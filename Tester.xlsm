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1.xml" ContentType="application/vnd.openxmlformats-officedocument.spreadsheetml.chart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slicerCaches/slicerCache40.xml" ContentType="application/vnd.ms-excel.slicerCache+xml"/>
  <Override PartName="/xl/slicerCaches/slicerCache41.xml" ContentType="application/vnd.ms-excel.slicerCache+xml"/>
  <Override PartName="/xl/slicerCaches/slicerCache42.xml" ContentType="application/vnd.ms-excel.slicerCache+xml"/>
  <Override PartName="/xl/slicerCaches/slicerCache4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8.xml" ContentType="application/vnd.openxmlformats-officedocument.spreadsheetml.pivot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9.xml" ContentType="application/vnd.openxmlformats-officedocument.spreadsheetml.pivotTable+xml"/>
  <Override PartName="/xl/drawings/drawing8.xml" ContentType="application/vnd.openxmlformats-officedocument.drawing+xml"/>
  <Override PartName="/xl/slicers/slicer8.xml" ContentType="application/vnd.ms-excel.slicer+xml"/>
  <Override PartName="/xl/pivotTables/pivotTable10.xml" ContentType="application/vnd.openxmlformats-officedocument.spreadsheetml.pivotTable+xml"/>
  <Override PartName="/xl/drawings/drawing9.xml" ContentType="application/vnd.openxmlformats-officedocument.drawing+xml"/>
  <Override PartName="/xl/slicers/slicer9.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1.xml" ContentType="application/vnd.openxmlformats-officedocument.spreadsheetml.pivotTable+xml"/>
  <Override PartName="/xl/drawings/drawing10.xml" ContentType="application/vnd.openxmlformats-officedocument.drawing+xml"/>
  <Override PartName="/xl/slicers/slicer10.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2.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6" firstSheet="1" activeTab="5"/>
  </bookViews>
  <sheets>
    <sheet name="NN_Topology" sheetId="35" r:id="rId1"/>
    <sheet name="MSE" sheetId="1" r:id="rId2"/>
    <sheet name="Run_TRS" sheetId="37" r:id="rId3"/>
    <sheet name="Run_TR" sheetId="28" r:id="rId4"/>
    <sheet name="Run_BASE" sheetId="29" r:id="rId5"/>
    <sheet name="New_TR" sheetId="38" r:id="rId6"/>
    <sheet name="TradeError" sheetId="23" r:id="rId7"/>
    <sheet name="RunErrVsMSER" sheetId="32" r:id="rId8"/>
    <sheet name="TestEnvironment" sheetId="15" r:id="rId9"/>
    <sheet name="ClientInfo" sheetId="6" r:id="rId10"/>
    <sheet name="Config" sheetId="34" r:id="rId11"/>
    <sheet name="Engines" sheetId="36" r:id="rId12"/>
    <sheet name="vXMLconfigs" sheetId="30" r:id="rId13"/>
    <sheet name="Overview" sheetId="20" r:id="rId14"/>
    <sheet name="Overview2" sheetId="31" r:id="rId15"/>
    <sheet name="Fix_Engine_Scripts" sheetId="22" r:id="rId16"/>
    <sheet name="Internals-SCGD" sheetId="17" r:id="rId17"/>
    <sheet name="MSE_vs_Err" sheetId="13" r:id="rId18"/>
    <sheet name="MSE-Err_Chart" sheetId="14" r:id="rId19"/>
    <sheet name="Engine" sheetId="8" r:id="rId20"/>
  </sheets>
  <definedNames>
    <definedName name="ExternalData_1" localSheetId="10" hidden="1">Config!$A$3:$E$92</definedName>
    <definedName name="ExternalData_2" localSheetId="10" hidden="1">Config!#REF!</definedName>
    <definedName name="Query_from_Algo" localSheetId="9" hidden="1">ClientInfo!$A$1:$J$137</definedName>
    <definedName name="Query_from_Algo" localSheetId="19" hidden="1">Engine!$A$1:$F$21</definedName>
    <definedName name="Query_from_Algo" localSheetId="12" hidden="1">vXMLconfigs!$A$1:$O$36</definedName>
    <definedName name="Slicer_BPALGO">#N/A</definedName>
    <definedName name="Slicer_CLIENTPID">#N/A</definedName>
    <definedName name="Slicer_CORE0USECONTEXT">#N/A</definedName>
    <definedName name="Slicer_CORE0USECONTEXT1">#N/A</definedName>
    <definedName name="Slicer_COREID1">#N/A</definedName>
    <definedName name="Slicer_COREID11">#N/A</definedName>
    <definedName name="Slicer_COREID2">#N/A</definedName>
    <definedName name="Slicer_COREID3">#N/A</definedName>
    <definedName name="Slicer_FEATURE">#N/A</definedName>
    <definedName name="Slicer_FEATURE1">#N/A</definedName>
    <definedName name="Slicer_FEATURE11">#N/A</definedName>
    <definedName name="Slicer_FEATURE12">#N/A</definedName>
    <definedName name="Slicer_FEATURE2">#N/A</definedName>
    <definedName name="Slicer_LAYER1">#N/A</definedName>
    <definedName name="Slicer_LAYER11">#N/A</definedName>
    <definedName name="Slicer_LAYER2">#N/A</definedName>
    <definedName name="Slicer_LAYER3">#N/A</definedName>
    <definedName name="Slicer_MAXEPOCHST">#N/A</definedName>
    <definedName name="Slicer_MSER1">#N/A</definedName>
    <definedName name="Slicer_MSER11">#N/A</definedName>
    <definedName name="Slicer_MSER12">#N/A</definedName>
    <definedName name="Slicer_MSER2">#N/A</definedName>
    <definedName name="Slicer_NETPROCESSID1">#N/A</definedName>
    <definedName name="Slicer_NETPROCESSID2">#N/A</definedName>
    <definedName name="Slicer_PROCESSID">#N/A</definedName>
    <definedName name="Slicer_PROCESSID1">#N/A</definedName>
    <definedName name="Slicer_PROCESSID11">#N/A</definedName>
    <definedName name="Slicer_PROCESSID111">#N/A</definedName>
    <definedName name="Slicer_PROCESSID112">#N/A</definedName>
    <definedName name="Slicer_PROCESSID12">#N/A</definedName>
    <definedName name="Slicer_PROCESSID3">#N/A</definedName>
    <definedName name="Slicer_SAMPLELENT">#N/A</definedName>
    <definedName name="Slicer_SEQUENCEID">#N/A</definedName>
    <definedName name="Slicer_SEQUENCEID1">#N/A</definedName>
    <definedName name="Slicer_SEQUENCEID11">#N/A</definedName>
    <definedName name="Slicer_SEQUENCEID2">#N/A</definedName>
    <definedName name="Slicer_SIMULATIONID">#N/A</definedName>
    <definedName name="Slicer_SOURCETSID3">#N/A</definedName>
    <definedName name="Slicer_THREADID1">#N/A</definedName>
    <definedName name="Slicer_THREADID11">#N/A</definedName>
    <definedName name="Slicer_THREADID12">#N/A</definedName>
    <definedName name="Slicer_THREADID2">#N/A</definedName>
    <definedName name="Slicer_WTLEVEL">#N/A</definedName>
  </definedNames>
  <calcPr calcId="152511"/>
  <pivotCaches>
    <pivotCache cacheId="0" r:id="rId21"/>
    <pivotCache cacheId="1" r:id="rId22"/>
    <pivotCache cacheId="2" r:id="rId23"/>
    <pivotCache cacheId="3" r:id="rId24"/>
    <pivotCache cacheId="4" r:id="rId25"/>
    <pivotCache cacheId="17" r:id="rId26"/>
    <pivotCache cacheId="25" r:id="rId27"/>
    <pivotCache cacheId="56" r:id="rId28"/>
    <pivotCache cacheId="104" r:id="rId29"/>
  </pivotCaches>
  <extLst>
    <ext xmlns:x14="http://schemas.microsoft.com/office/spreadsheetml/2009/9/main" uri="{BBE1A952-AA13-448e-AADC-164F8A28A991}">
      <x14:slicerCaches>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6" l="1"/>
  <c r="B8" i="35"/>
  <c r="F8" i="35"/>
  <c r="F9" i="35" s="1"/>
  <c r="B9" i="35"/>
  <c r="F11" i="35"/>
  <c r="F12" i="35"/>
  <c r="F13" i="35"/>
  <c r="F14" i="35"/>
  <c r="F15" i="35"/>
  <c r="G15" i="35" s="1"/>
  <c r="H1" i="37"/>
  <c r="H1" i="38"/>
  <c r="F10" i="35" l="1"/>
  <c r="G14" i="35"/>
  <c r="H15" i="35" s="1"/>
  <c r="G13" i="35" l="1"/>
  <c r="F1" i="1"/>
  <c r="H1" i="28"/>
  <c r="H1" i="29"/>
  <c r="G12" i="35" l="1"/>
  <c r="H14" i="35"/>
  <c r="D23" i="22"/>
  <c r="E23" i="22"/>
  <c r="F23" i="22"/>
  <c r="G23" i="22"/>
  <c r="D22" i="22"/>
  <c r="E22" i="22"/>
  <c r="F22" i="22"/>
  <c r="G22" i="22"/>
  <c r="D21" i="22"/>
  <c r="E21" i="22"/>
  <c r="F21" i="22"/>
  <c r="G21" i="22"/>
  <c r="D20" i="22"/>
  <c r="E20" i="22"/>
  <c r="F20" i="22"/>
  <c r="G20" i="22"/>
  <c r="F2" i="1"/>
  <c r="G11" i="35" l="1"/>
  <c r="H13" i="35"/>
  <c r="G19" i="22"/>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10" i="35" l="1"/>
  <c r="H12" i="35"/>
  <c r="G3" i="22"/>
  <c r="F3" i="22"/>
  <c r="G9" i="35" l="1"/>
  <c r="H11" i="35"/>
  <c r="E19" i="15"/>
  <c r="G8" i="35" l="1"/>
  <c r="G6" i="35" s="1"/>
  <c r="H10" i="35"/>
  <c r="B5" i="15"/>
  <c r="B4" i="15"/>
  <c r="B3" i="15"/>
  <c r="H9" i="35" l="1"/>
  <c r="H6" i="35"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Engines" type="1" refreshedVersion="5" savePassword="1" saveData="1">
    <dbPr connection="DSN=Algo;UID=LogUser;PWD=LogPwd;DBQ=ALGO;DBA=W;APA=T;EXC=F;FEN=T;QTO=T;FRC=10;FDL=10;LOB=T;RST=T;BTD=F;BNF=F;BAM=IfAllSuccessful;NUM=NLS;DPM=F;MTS=T;MDI=F;CSR=F;FWC=F;FBS=64000000000;TLO=O;MLD=0;ODA=F;STE=F;TSZ=8192;AST=FLOAT;LPS=8192;" command="select * from engines"/>
  </connection>
  <connection id="4"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5"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6"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7" name="Q_Overview2" type="1" refreshedVersion="5" savePassword="1" saveData="1">
    <dbPr connection="DSN=Algo;UID=LogUser;PWD=LogPwd;DBQ=ALGO;DBA=W;APA=T;EXC=F;FEN=T;QTO=T;FRC=10;FDL=10;LOB=T;RST=T;BTD=F;BNF=F;BAM=IfAllSuccessful;NUM=NLS;DPM=F;MTS=T;MDI=F;CSR=F;FWC=F;FBS=64000000000;TLO=O;MLD=0;ODA=F;STE=F;TSZ=8192;AST=FLOAT;" command="select * from vxmlconfig xt, vrunstats rs where rs.processid=xt.processid"/>
  </connection>
  <connection id="8"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9" name="Q_Run_New" type="1" refreshedVersion="5" savePassword="1" saveData="1">
    <dbPr connection="DSN=Algo;UID=LogUser;PWD=LogPwd;DBQ=ALGO;DBA=W;APA=T;EXC=F;FEN=T;QTO=T;FRC=10;FDL=10;LOB=T;RST=T;BTD=F;BNF=F;BAM=IfAllSuccessful;NUM=NLS;DPM=F;MTS=T;MDI=F;CSR=F;FWC=F;FBS=64000000000;TLO=O;MLD=0;ODA=F;STE=F;TSZ=8192;AST=FLOAT;" command="select rl.processid, rl.threadid, ci.sequenceid,_x000d__x000a_rl.netprocessid, netthreadid, ec.coreid, ec.layer, mser, pos, poslabel, feature, WTlevel,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rl.sequenceid=ci.sequenceid and_x000d__x000a_ci.simulationid=?"/>
    <parameters count="1">
      <parameter name="Parameter1" prompt="Parameter1"/>
    </parameters>
  </connection>
  <connection id="10"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11" name="Q_TradeInfo" type="1" refreshedVersion="5" savePassword="1" saveData="1">
    <dbPr connection="DSN=Algo;UID=LogUser;PWD=LogPwd;DBQ=ALGO;DBA=W;APA=T;EXC=F;FEN=T;QTO=T;FRC=10;FDL=10;LOB=T;RST=T;BTD=F;BNF=F;BAM=IfAllSuccessful;NUM=NLS;DPM=F;MTS=T;MDI=F;CSR=F;FWC=F;FBS=64000;TLO=O;MLD=0;ODA=F;STE=F;TSZ=8192;AST=FLOAT;" command="select clientpid, ticketid, lastbart, _x000d__x000a_lastbarh,decode(lastforecasth,0,lastbarh,lastforecasth), abs(lastbarh-decode(lastforecasth,0,lastbarh,lastforecasth)) errorH,_x000d__x000a_lastbarl,decode(lastforecastl,0,lastbarl,lastforecastl), abs(lastbarl-decode(lastforecastl,0,lastbarl,lastforecastl)) errorL,_x000d__x000a_lastbarc,decode(lastforecastc,0,lastbarc,lastforecastc), abs(lastbarc-decode(lastforecastc,0,lastbarc,lastforecastc)) errorC_x000d__x000a_from tradeinfo where lastforecasth&lt;&gt;0_x000d__x000a_order by clientpid,lastbart"/>
    <parameters count="1">
      <parameter name="Parameter1" prompt="Parameter1"/>
    </parameters>
  </connection>
  <connection id="12" name="Q_vXMLConfig" type="1" refreshedVersion="5" savePassword="1" background="1" saveData="1">
    <dbPr connection="DSN=Algo;UID=LogUser;PWD=LogPwd;DBQ=ALGO;DBA=W;APA=T;EXC=F;FEN=T;QTO=T;FRC=10;FDL=10;LOB=T;RST=T;BTD=F;BNF=F;BAM=IfAllSuccessful;NUM=NLS;DPM=F;MTS=T;MDI=F;CSR=F;FWC=F;FBS=64000000000;TLO=O;MLD=0;ODA=F;STE=F;TSZ=8192;AST=FLOAT;" command="SELECT VXMLCONFIG.PROCESSID, VXMLCONFIG.HISTORYLEN, VXMLCONFIG.TOPOLOGY, VXMLCONFIG.MAXEPOCHS, VXMLCONFIG.MAXK, VXMLCONFIG.SAMPLELEN, VXMLCONFIG.DATE0, VXMLCONFIG.SYMBOL0, VXMLCONFIG.SYMBOL1, VXMLCONFIG.SYMBOL2, VXMLCONFIG.TIMEFRAME, VXMLCONFIG.DATATRANSFORMATION, VXMLCONFIG.CORE0USECONTEXT, VXMLCONFIG.TIMESERIESCOUNT, VXMLCONFIG.CORE0USEBIAS_x000d__x000a_FROM LOGUSER.VXMLCONFIG VXMLCONFIG_x000d__x000a_ORDER BY VXMLCONFIG.PROCESSID"/>
  </connection>
  <connection id="13"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4" name="Q_XMLConfig2" type="1" refreshedVersion="5" savePassword="1" saveData="1">
    <dbPr connection="DSN=Algo;UID=LogUser;PWD=LogPwd;DBQ=ALGO;DBA=W;APA=T;EXC=F;FEN=T;QTO=T;FRC=10;FDL=10;LOB=T;RST=T;BTD=F;BNF=F;BAM=IfAllSuccessful;NUM=NLS;DPM=F;MTS=T;MDI=F;CSR=F;FWC=F;FBS=64000;TLO=O;MLD=0;ODA=F;STE=F;TSZ=8192;AST=FLOAT;" command="select fileid,_x000d__x000a_substr(s1,1, instr(s1,'/',1)-1)  section,_x000d__x000a_substr(s1,instr(s1,'/',1)+1, length(s1)-instr(s1,'/',1))  parameter,_x000d__x000a_parmval from (_x000d__x000a_select fileid, replace(substr(parmdesc,9,length(parmdesc)-9),'rootKey/','') s1, parmval from xmlconfigs where processid=9056 )_x000d__x000a_order by 1,2"/>
  </connection>
  <connection id="15" name="Q_XMLConfig21" type="1" refreshedVersion="5" savePassword="1" background="1" saveData="1">
    <dbPr connection="DSN=Algo;UID=LogUser;PWD=LogPwd;DBQ=ALGO;DBA=W;APA=T;EXC=F;FEN=T;QTO=T;FRC=10;FDL=10;LOB=T;RST=T;BTD=F;BNF=F;BAM=IfAllSuccessful;NUM=NLS;DPM=F;MTS=T;MDI=F;CSR=F;FWC=F;FBS=64000;TLO=O;MLD=0;ODA=F;STE=F;TSZ=8192;AST=FLOAT;LPS=8192;"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 id="16" name="Query from Algo" type="1" refreshedVersion="5" savePassword="1" saveData="1">
    <dbPr connection="DSN=Algo;UID=LogUser;PWD=LogPwd;DBQ=ALGO;DBA=W;APA=T;EXC=F;FEN=T;QTO=T;FRC=10;FDL=10;LOB=T;RST=T;BTD=F;BNF=F;BAM=IfAllSuccessful;NUM=NLS;DPM=F;MTS=T;MDI=F;CSR=F;FWC=F;FBS=1024000;TLO=O;MLD=0;ODA=F;STE=F;TSZ=8192;AST=FLOAT;" command="select rl.processid, rl.threadid, ci.sequenceid,_x000d__x000a_rl.netprocessid, netthreadid,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and_x000d__x000a_ci.simulationid=?"/>
    <parameters count="1">
      <parameter name="Parameter1" prompt="SimulationId?"/>
    </parameters>
  </connection>
</connections>
</file>

<file path=xl/sharedStrings.xml><?xml version="1.0" encoding="utf-8"?>
<sst xmlns="http://schemas.openxmlformats.org/spreadsheetml/2006/main" count="1165" uniqueCount="429">
  <si>
    <t>Row Labels</t>
  </si>
  <si>
    <t>Grand Total</t>
  </si>
  <si>
    <t>Training</t>
  </si>
  <si>
    <t>PROCESSID</t>
  </si>
  <si>
    <t>CLIENTNAME</t>
  </si>
  <si>
    <t>CLIENTSTART</t>
  </si>
  <si>
    <t>DOTRAINING</t>
  </si>
  <si>
    <t>Root.Tester</t>
  </si>
  <si>
    <t>SIMULATIONSTARTTRAIN</t>
  </si>
  <si>
    <t>SIMULATIONSTARTINFER</t>
  </si>
  <si>
    <t>SIMULATIONID</t>
  </si>
  <si>
    <t>Final MSE:</t>
  </si>
  <si>
    <t>COREID</t>
  </si>
  <si>
    <t>PARENTCOREID</t>
  </si>
  <si>
    <t>CUSTOM</t>
  </si>
  <si>
    <t>NN</t>
  </si>
  <si>
    <t>ENGINE_TYPE</t>
  </si>
  <si>
    <t>CORE_TYPE</t>
  </si>
  <si>
    <t>CONN_TYPE</t>
  </si>
  <si>
    <t>UNKNOWN</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</si>
  <si>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</si>
  <si>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</si>
  <si>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</si>
  <si>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</si>
  <si>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</si>
  <si>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</si>
  <si>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</si>
  <si>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</si>
  <si>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</si>
  <si>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</si>
  <si>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</si>
  <si>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</si>
  <si>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</si>
  <si>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</si>
  <si>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</si>
  <si>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</si>
  <si>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</si>
  <si>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</si>
  <si>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</si>
  <si>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</si>
  <si>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</si>
  <si>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</si>
  <si>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</si>
  <si>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</si>
  <si>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</si>
  <si>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</si>
  <si>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</si>
  <si>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</si>
  <si>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</si>
  <si>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</si>
  <si>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</si>
  <si>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</si>
  <si>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</si>
  <si>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</si>
  <si>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</si>
  <si>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</si>
  <si>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</si>
  <si>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</si>
  <si>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</si>
  <si>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</si>
  <si>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</si>
  <si>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</si>
  <si>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</si>
  <si>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</si>
  <si>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</si>
  <si>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</si>
  <si>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</si>
  <si>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</si>
  <si>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</si>
  <si>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</si>
  <si>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</si>
  <si>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</si>
  <si>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</si>
  <si>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</si>
  <si>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</si>
  <si>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</si>
  <si>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</si>
  <si>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</si>
  <si>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</si>
  <si>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</si>
  <si>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</si>
  <si>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</si>
  <si>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</si>
  <si>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</si>
  <si>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</si>
  <si>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(All)</t>
  </si>
  <si>
    <t>Average of RUNMSE</t>
  </si>
  <si>
    <t>Error</t>
  </si>
  <si>
    <t>050</t>
  </si>
  <si>
    <t>insert into Engines</t>
  </si>
  <si>
    <t>insert into EngineCores</t>
  </si>
  <si>
    <t>TrainPid</t>
  </si>
  <si>
    <t>SampleLen</t>
  </si>
  <si>
    <t>100</t>
  </si>
  <si>
    <t>200</t>
  </si>
  <si>
    <t>insert into CoreLoggerParms</t>
  </si>
  <si>
    <t>insert into DBConnections</t>
  </si>
  <si>
    <t>DATE0I</t>
  </si>
  <si>
    <t>EngineTopology</t>
  </si>
  <si>
    <t>HISTORYLEN</t>
  </si>
  <si>
    <t>TOPOLOGY</t>
  </si>
  <si>
    <t>MAXEPOCHS</t>
  </si>
  <si>
    <t>MAXK</t>
  </si>
  <si>
    <t>SAMPLELEN</t>
  </si>
  <si>
    <t>DATE0</t>
  </si>
  <si>
    <t>SYMBOL0</t>
  </si>
  <si>
    <t>SYMBOL1</t>
  </si>
  <si>
    <t>SYMBOL2</t>
  </si>
  <si>
    <t>TIMEFRAME</t>
  </si>
  <si>
    <t>DATATRANSFORMATION</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</si>
  <si>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</si>
  <si>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</si>
  <si>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</si>
  <si>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</si>
  <si>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</si>
  <si>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</si>
  <si>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</si>
  <si>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</si>
  <si>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</si>
  <si>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</si>
  <si>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</si>
  <si>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</si>
  <si>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</si>
  <si>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</si>
  <si>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</si>
  <si>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ErrorBase:</t>
  </si>
  <si>
    <t>Average of ERRORTR</t>
  </si>
  <si>
    <t>Average of ACTUALBASE</t>
  </si>
  <si>
    <t>Average of PREDICTEDBASE</t>
  </si>
  <si>
    <t>NETPROCESSID</t>
  </si>
  <si>
    <t>CORE0USECONTEXT</t>
  </si>
  <si>
    <t>CORE0USEBIAS</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</si>
  <si>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</si>
  <si>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</si>
  <si>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</si>
  <si>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AVGERRORTRS</t>
  </si>
  <si>
    <t>ErrorTR:</t>
  </si>
  <si>
    <t>MSER</t>
  </si>
  <si>
    <t>TRAINBATCHSIZE</t>
  </si>
  <si>
    <t>Values</t>
  </si>
  <si>
    <t>Average of AVGMSER</t>
  </si>
  <si>
    <t>SECTION</t>
  </si>
  <si>
    <t>PARAMETER</t>
  </si>
  <si>
    <t>clientCfg</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</si>
  <si>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</si>
  <si>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</si>
  <si>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</si>
  <si>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</si>
  <si>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</si>
  <si>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</si>
  <si>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</si>
  <si>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</si>
  <si>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</si>
  <si>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</si>
  <si>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</si>
  <si>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</si>
  <si>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</si>
  <si>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</si>
  <si>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</si>
  <si>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</si>
  <si>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</si>
  <si>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</si>
  <si>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</si>
  <si>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</si>
  <si>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</si>
  <si>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</si>
  <si>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</si>
  <si>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</si>
  <si>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</si>
  <si>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</si>
  <si>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</si>
  <si>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</si>
  <si>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</si>
  <si>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</si>
  <si>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PARMVAL1</t>
  </si>
  <si>
    <t>PARMVAL2</t>
  </si>
  <si>
    <t>COMPARE</t>
  </si>
  <si>
    <t>engineCfg</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</si>
  <si>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</si>
  <si>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</si>
  <si>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</si>
  <si>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</si>
  <si>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</si>
  <si>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</si>
  <si>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</si>
  <si>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</si>
  <si>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</si>
  <si>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</si>
  <si>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</si>
  <si>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</si>
  <si>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</si>
  <si>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</si>
  <si>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</si>
  <si>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</si>
  <si>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</si>
  <si>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</si>
  <si>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</si>
  <si>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</si>
  <si>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</si>
  <si>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</si>
  <si>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</si>
  <si>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</si>
  <si>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</si>
  <si>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</si>
  <si>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</si>
  <si>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</si>
  <si>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</si>
  <si>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</si>
  <si>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</si>
  <si>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</si>
  <si>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</si>
  <si>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</si>
  <si>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</si>
  <si>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</si>
  <si>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</si>
  <si>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</si>
  <si>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</si>
  <si>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</si>
  <si>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</si>
  <si>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</si>
  <si>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</si>
  <si>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</si>
  <si>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</si>
  <si>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</si>
  <si>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</si>
  <si>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</si>
  <si>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</si>
  <si>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</si>
  <si>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</si>
  <si>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</si>
  <si>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</si>
  <si>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</si>
  <si>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</si>
  <si>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</si>
  <si>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</si>
  <si>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</si>
  <si>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</si>
  <si>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</si>
  <si>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</si>
  <si>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</si>
  <si>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</si>
  <si>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</si>
  <si>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</si>
  <si>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</si>
  <si>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</si>
  <si>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</si>
  <si>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</si>
  <si>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</si>
  <si>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</si>
  <si>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</si>
  <si>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</si>
  <si>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</si>
  <si>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</si>
  <si>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</si>
  <si>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</si>
  <si>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</si>
  <si>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</si>
  <si>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</si>
  <si>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</si>
  <si>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</si>
  <si>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</si>
  <si>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</si>
  <si>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</si>
  <si>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</si>
  <si>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</si>
  <si>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</si>
  <si>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</si>
  <si>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</si>
  <si>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</si>
  <si>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</si>
  <si>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</si>
  <si>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</si>
  <si>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</si>
  <si>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outputCnt</t>
  </si>
  <si>
    <t>levelsCnt</t>
  </si>
  <si>
    <t>weights</t>
  </si>
  <si>
    <t>actual nodes</t>
  </si>
  <si>
    <t>nodes</t>
  </si>
  <si>
    <t>level</t>
  </si>
  <si>
    <t>levelRatio</t>
  </si>
  <si>
    <t>total</t>
  </si>
  <si>
    <t>useBias</t>
  </si>
  <si>
    <t>useContext</t>
  </si>
  <si>
    <t>batchSize</t>
  </si>
  <si>
    <t>featuresCnt</t>
  </si>
  <si>
    <t>targetLen</t>
  </si>
  <si>
    <t>sampleLen</t>
  </si>
  <si>
    <t>Duration</t>
  </si>
  <si>
    <t>SEQUENCEID</t>
  </si>
  <si>
    <t>2018-07-30-10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</si>
  <si>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</si>
  <si>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</si>
  <si>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</si>
  <si>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Count of PROCESSID</t>
  </si>
  <si>
    <t>DATASAMPLELEN</t>
  </si>
  <si>
    <t>DATAPREDICTIONLEN</t>
  </si>
  <si>
    <t>DATABATCHSIZE</t>
  </si>
  <si>
    <t>Total</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</si>
  <si>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</si>
  <si>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5024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</si>
  <si>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</si>
  <si>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2017-10-05-23:00</t>
  </si>
  <si>
    <t>actH</t>
  </si>
  <si>
    <t>prdH</t>
  </si>
  <si>
    <t>errH</t>
  </si>
  <si>
    <t>actL</t>
  </si>
  <si>
    <t>prdL</t>
  </si>
  <si>
    <t>errL</t>
  </si>
  <si>
    <t>actC</t>
  </si>
  <si>
    <t>errC</t>
  </si>
  <si>
    <t>prdC</t>
  </si>
  <si>
    <t>2018-06-29-05:00</t>
  </si>
  <si>
    <t>00:00:00</t>
  </si>
  <si>
    <t>MT5_account_25615969</t>
  </si>
  <si>
    <t>2018-08-28-08:00</t>
  </si>
  <si>
    <t>2018-08-28-07:00</t>
  </si>
  <si>
    <t>2018-08-28-06:00</t>
  </si>
  <si>
    <t>2018-08-28-05:00</t>
  </si>
  <si>
    <t>2018-08-28-04:00</t>
  </si>
  <si>
    <t>2018-08-28-03:00</t>
  </si>
  <si>
    <t>2018-08-28-02:00</t>
  </si>
  <si>
    <t>2018-08-28-01:00</t>
  </si>
  <si>
    <t>Average TR:</t>
  </si>
  <si>
    <t>2018-08-23-22:00</t>
  </si>
  <si>
    <t>2018-08-27-00:00</t>
  </si>
  <si>
    <t>2018-08-27-01:00</t>
  </si>
  <si>
    <t>2018-08-27-02:00</t>
  </si>
  <si>
    <t>2018-08-27-03:00</t>
  </si>
  <si>
    <t>2018-08-27-04:00</t>
  </si>
  <si>
    <t>2018-08-27-05:00</t>
  </si>
  <si>
    <t>2018-08-27-06:00</t>
  </si>
  <si>
    <t>2018-08-27-07:00</t>
  </si>
  <si>
    <t>2018-08-27-08:00</t>
  </si>
  <si>
    <t>2018-08-27-09:00</t>
  </si>
  <si>
    <t>2018-08-27-10:00</t>
  </si>
  <si>
    <t>2018-08-27-11:00</t>
  </si>
  <si>
    <t>2018-08-27-12:00</t>
  </si>
  <si>
    <t>2018-08-27-13:00</t>
  </si>
  <si>
    <t>2018-08-27-14:00</t>
  </si>
  <si>
    <t>2018-08-27-15:00</t>
  </si>
  <si>
    <t>2018-08-27-16:00</t>
  </si>
  <si>
    <t>2018-08-27-17:00</t>
  </si>
  <si>
    <t>2018-08-27-18:00</t>
  </si>
  <si>
    <t>2018-08-27-19:00</t>
  </si>
  <si>
    <t>2018-08-27-20:00</t>
  </si>
  <si>
    <t>2018-08-27-21:00</t>
  </si>
  <si>
    <t>2018-08-27-22:00</t>
  </si>
  <si>
    <t>2018-08-27-23:00</t>
  </si>
  <si>
    <t>2018-08-28-00:00</t>
  </si>
  <si>
    <t>2018-08-28-09:00</t>
  </si>
  <si>
    <t>2018-08-28-10:00</t>
  </si>
  <si>
    <t>2018-08-28-11:00</t>
  </si>
  <si>
    <t>2018-08-28-12:00</t>
  </si>
  <si>
    <t>2018-08-28-13:00</t>
  </si>
  <si>
    <t>2018-08-28-14:00</t>
  </si>
  <si>
    <t>2018-08-28-15:00</t>
  </si>
  <si>
    <t>2018-08-28-16:00</t>
  </si>
  <si>
    <t>2018-08-28-17:00</t>
  </si>
  <si>
    <t>2018-08-28-18:00</t>
  </si>
  <si>
    <t>2018-08-28-19:00</t>
  </si>
  <si>
    <t>2018-08-28-20:00</t>
  </si>
  <si>
    <t>2018-08-28-21:00</t>
  </si>
  <si>
    <t>2018-08-28-22:00</t>
  </si>
  <si>
    <t>2018-08-28-23:00</t>
  </si>
  <si>
    <t>2018-08-29-00:00</t>
  </si>
  <si>
    <t>2018-08-29-01:00</t>
  </si>
  <si>
    <t>2018-08-29-02:00</t>
  </si>
  <si>
    <t>2018-08-29-03:00</t>
  </si>
  <si>
    <t>2018-08-29-04:00</t>
  </si>
  <si>
    <t>2018-08-29-05:00</t>
  </si>
  <si>
    <t>2018-08-29-06:00</t>
  </si>
  <si>
    <t>2018-08-29-07:00</t>
  </si>
  <si>
    <t>2018-08-29-08:00</t>
  </si>
  <si>
    <t>2018-08-29-09:00</t>
  </si>
  <si>
    <t>2018-08-29-10:00</t>
  </si>
  <si>
    <t>2018-08-29-11:00</t>
  </si>
  <si>
    <t>2018-08-29-12:00</t>
  </si>
  <si>
    <t>2018-08-29-13:00</t>
  </si>
  <si>
    <t>2018-08-29-14:00</t>
  </si>
  <si>
    <t>2018-08-29-15:00</t>
  </si>
  <si>
    <t>2018-08-29-16:00</t>
  </si>
  <si>
    <t>2018-08-29-17:00</t>
  </si>
  <si>
    <t>2018-08-29-18:00</t>
  </si>
  <si>
    <t>2018-08-29-19:00</t>
  </si>
  <si>
    <t>2018-08-29-20:00</t>
  </si>
  <si>
    <t>2018-08-29-21:00</t>
  </si>
  <si>
    <t>2018-08-29-22:00</t>
  </si>
  <si>
    <t>2018-08-29-23:00</t>
  </si>
  <si>
    <t>2018-08-30-00:00</t>
  </si>
  <si>
    <t>2017-10-08-17:00</t>
  </si>
  <si>
    <t>#####:13:02</t>
  </si>
  <si>
    <t>#####:12:36</t>
  </si>
  <si>
    <t>#####:57:57</t>
  </si>
  <si>
    <t>#####:57:26</t>
  </si>
  <si>
    <t>2018-08-30-01:00</t>
  </si>
  <si>
    <t>2018-08-30-02:00</t>
  </si>
  <si>
    <t>2018-08-30-03:00</t>
  </si>
  <si>
    <t>2018-08-30-04:00</t>
  </si>
  <si>
    <t>2018-08-30-05:00</t>
  </si>
  <si>
    <t>2018-08-30-06:00</t>
  </si>
  <si>
    <t>2018-08-30-07:00</t>
  </si>
  <si>
    <t>2018-08-30-08:00</t>
  </si>
  <si>
    <t>2018-08-30-09:00</t>
  </si>
  <si>
    <t>2018-08-30-10:00</t>
  </si>
  <si>
    <t>2018-08-30-11:00</t>
  </si>
  <si>
    <t>2018-08-30-12:00</t>
  </si>
  <si>
    <t>2018-08-30-13:00</t>
  </si>
  <si>
    <t>2018-08-30-14:00</t>
  </si>
  <si>
    <t>2018-08-30-15:00</t>
  </si>
  <si>
    <t>2018-08-30-16:00</t>
  </si>
  <si>
    <t>2018-08-30-17:00</t>
  </si>
  <si>
    <t>2018-08-30-18:00</t>
  </si>
  <si>
    <t>2018-08-30-19:00</t>
  </si>
  <si>
    <t>2018-08-30-20:00</t>
  </si>
  <si>
    <t>2018-08-30-21:00</t>
  </si>
  <si>
    <t>2018-08-30-22:00</t>
  </si>
  <si>
    <t>2018-08-30-23:00</t>
  </si>
  <si>
    <t>2018-08-31-00:00</t>
  </si>
  <si>
    <t>2018-08-24-22:00</t>
  </si>
  <si>
    <t>2018-08-24-23:00</t>
  </si>
  <si>
    <t>2018-08-31-01:00</t>
  </si>
  <si>
    <t>#####:30:12</t>
  </si>
  <si>
    <t>#####:18:49</t>
  </si>
  <si>
    <t>#####:16:44</t>
  </si>
  <si>
    <t>#####:13:25</t>
  </si>
  <si>
    <t>#####:12:49</t>
  </si>
  <si>
    <t>#####:59:20</t>
  </si>
  <si>
    <t>#####:56:08</t>
  </si>
  <si>
    <t>2018-08-31-02:00</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</si>
</sst>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0.0000000"/>
  </numFmts>
  <fonts count="5"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
      <sz val="12"/>
      <color theme="1"/>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theme="4" tint="0.39997558519241921"/>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3">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2" fontId="0" fillId="0" borderId="0" xfId="0" applyNumberFormat="1"/>
    <xf numFmtId="22" fontId="0" fillId="0" borderId="0" xfId="0" applyNumberFormat="1"/>
    <xf numFmtId="164" fontId="1" fillId="0" borderId="0" xfId="0" applyNumberFormat="1" applyFont="1"/>
    <xf numFmtId="166" fontId="2" fillId="0" borderId="0" xfId="0" applyNumberFormat="1" applyFont="1"/>
    <xf numFmtId="3" fontId="0" fillId="0" borderId="0" xfId="0" applyNumberFormat="1"/>
    <xf numFmtId="0" fontId="0" fillId="3" borderId="0" xfId="0" applyFill="1"/>
    <xf numFmtId="3" fontId="1" fillId="0" borderId="0" xfId="0" applyNumberFormat="1" applyFont="1"/>
    <xf numFmtId="164" fontId="4" fillId="0" borderId="0" xfId="0" applyNumberFormat="1" applyFont="1"/>
    <xf numFmtId="0" fontId="0" fillId="0" borderId="0" xfId="0" applyAlignment="1">
      <alignment horizontal="right"/>
    </xf>
  </cellXfs>
  <cellStyles count="2">
    <cellStyle name="Hyperlink" xfId="1" builtinId="8"/>
    <cellStyle name="Normal" xfId="0" builtinId="0"/>
  </cellStyles>
  <dxfs count="43">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ont>
        <sz val="12"/>
      </font>
    </dxf>
    <dxf>
      <font>
        <sz val="12"/>
      </font>
    </dxf>
    <dxf>
      <font>
        <sz val="12"/>
      </font>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6.xml"/><Relationship Id="rId21" Type="http://schemas.openxmlformats.org/officeDocument/2006/relationships/pivotCacheDefinition" Target="pivotCache/pivotCacheDefinition1.xml"/><Relationship Id="rId42" Type="http://schemas.microsoft.com/office/2007/relationships/slicerCache" Target="slicerCaches/slicerCache13.xml"/><Relationship Id="rId47" Type="http://schemas.microsoft.com/office/2007/relationships/slicerCache" Target="slicerCaches/slicerCache18.xml"/><Relationship Id="rId63" Type="http://schemas.microsoft.com/office/2007/relationships/slicerCache" Target="slicerCaches/slicerCache34.xml"/><Relationship Id="rId68" Type="http://schemas.microsoft.com/office/2007/relationships/slicerCache" Target="slicerCaches/slicerCache39.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microsoft.com/office/2007/relationships/slicerCache" Target="slicerCaches/slicerCache3.xml"/><Relationship Id="rId37" Type="http://schemas.microsoft.com/office/2007/relationships/slicerCache" Target="slicerCaches/slicerCache8.xml"/><Relationship Id="rId40" Type="http://schemas.microsoft.com/office/2007/relationships/slicerCache" Target="slicerCaches/slicerCache11.xml"/><Relationship Id="rId45" Type="http://schemas.microsoft.com/office/2007/relationships/slicerCache" Target="slicerCaches/slicerCache16.xml"/><Relationship Id="rId53" Type="http://schemas.microsoft.com/office/2007/relationships/slicerCache" Target="slicerCaches/slicerCache24.xml"/><Relationship Id="rId58" Type="http://schemas.microsoft.com/office/2007/relationships/slicerCache" Target="slicerCaches/slicerCache29.xml"/><Relationship Id="rId66" Type="http://schemas.microsoft.com/office/2007/relationships/slicerCache" Target="slicerCaches/slicerCache37.xml"/><Relationship Id="rId74" Type="http://schemas.openxmlformats.org/officeDocument/2006/relationships/connections" Target="connections.xml"/><Relationship Id="rId5" Type="http://schemas.openxmlformats.org/officeDocument/2006/relationships/worksheet" Target="worksheets/sheet5.xml"/><Relationship Id="rId61" Type="http://schemas.microsoft.com/office/2007/relationships/slicerCache" Target="slicerCaches/slicerCache32.xml"/><Relationship Id="rId19" Type="http://schemas.openxmlformats.org/officeDocument/2006/relationships/chartsheet" Target="chartsheets/sheet1.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pivotCacheDefinition" Target="pivotCache/pivotCacheDefinition7.xml"/><Relationship Id="rId30" Type="http://schemas.microsoft.com/office/2007/relationships/slicerCache" Target="slicerCaches/slicerCache1.xml"/><Relationship Id="rId35" Type="http://schemas.microsoft.com/office/2007/relationships/slicerCache" Target="slicerCaches/slicerCache6.xml"/><Relationship Id="rId43" Type="http://schemas.microsoft.com/office/2007/relationships/slicerCache" Target="slicerCaches/slicerCache14.xml"/><Relationship Id="rId48" Type="http://schemas.microsoft.com/office/2007/relationships/slicerCache" Target="slicerCaches/slicerCache19.xml"/><Relationship Id="rId56" Type="http://schemas.microsoft.com/office/2007/relationships/slicerCache" Target="slicerCaches/slicerCache27.xml"/><Relationship Id="rId64" Type="http://schemas.microsoft.com/office/2007/relationships/slicerCache" Target="slicerCaches/slicerCache35.xml"/><Relationship Id="rId69" Type="http://schemas.microsoft.com/office/2007/relationships/slicerCache" Target="slicerCaches/slicerCache40.xml"/><Relationship Id="rId77" Type="http://schemas.openxmlformats.org/officeDocument/2006/relationships/calcChain" Target="calcChain.xml"/><Relationship Id="rId8" Type="http://schemas.openxmlformats.org/officeDocument/2006/relationships/worksheet" Target="worksheets/sheet8.xml"/><Relationship Id="rId51" Type="http://schemas.microsoft.com/office/2007/relationships/slicerCache" Target="slicerCaches/slicerCache22.xml"/><Relationship Id="rId72" Type="http://schemas.microsoft.com/office/2007/relationships/slicerCache" Target="slicerCaches/slicerCache4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5.xml"/><Relationship Id="rId33" Type="http://schemas.microsoft.com/office/2007/relationships/slicerCache" Target="slicerCaches/slicerCache4.xml"/><Relationship Id="rId38" Type="http://schemas.microsoft.com/office/2007/relationships/slicerCache" Target="slicerCaches/slicerCache9.xml"/><Relationship Id="rId46" Type="http://schemas.microsoft.com/office/2007/relationships/slicerCache" Target="slicerCaches/slicerCache17.xml"/><Relationship Id="rId59" Type="http://schemas.microsoft.com/office/2007/relationships/slicerCache" Target="slicerCaches/slicerCache30.xml"/><Relationship Id="rId67" Type="http://schemas.microsoft.com/office/2007/relationships/slicerCache" Target="slicerCaches/slicerCache38.xml"/><Relationship Id="rId20" Type="http://schemas.openxmlformats.org/officeDocument/2006/relationships/worksheet" Target="worksheets/sheet19.xml"/><Relationship Id="rId41" Type="http://schemas.microsoft.com/office/2007/relationships/slicerCache" Target="slicerCaches/slicerCache12.xml"/><Relationship Id="rId54" Type="http://schemas.microsoft.com/office/2007/relationships/slicerCache" Target="slicerCaches/slicerCache25.xml"/><Relationship Id="rId62" Type="http://schemas.microsoft.com/office/2007/relationships/slicerCache" Target="slicerCaches/slicerCache33.xml"/><Relationship Id="rId70" Type="http://schemas.microsoft.com/office/2007/relationships/slicerCache" Target="slicerCaches/slicerCache41.xml"/><Relationship Id="rId75"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pivotCacheDefinition" Target="pivotCache/pivotCacheDefinition8.xml"/><Relationship Id="rId36" Type="http://schemas.microsoft.com/office/2007/relationships/slicerCache" Target="slicerCaches/slicerCache7.xml"/><Relationship Id="rId49" Type="http://schemas.microsoft.com/office/2007/relationships/slicerCache" Target="slicerCaches/slicerCache20.xml"/><Relationship Id="rId57" Type="http://schemas.microsoft.com/office/2007/relationships/slicerCache" Target="slicerCaches/slicerCache28.xml"/><Relationship Id="rId10" Type="http://schemas.openxmlformats.org/officeDocument/2006/relationships/worksheet" Target="worksheets/sheet10.xml"/><Relationship Id="rId31" Type="http://schemas.microsoft.com/office/2007/relationships/slicerCache" Target="slicerCaches/slicerCache2.xml"/><Relationship Id="rId44" Type="http://schemas.microsoft.com/office/2007/relationships/slicerCache" Target="slicerCaches/slicerCache15.xml"/><Relationship Id="rId52" Type="http://schemas.microsoft.com/office/2007/relationships/slicerCache" Target="slicerCaches/slicerCache23.xml"/><Relationship Id="rId60" Type="http://schemas.microsoft.com/office/2007/relationships/slicerCache" Target="slicerCaches/slicerCache31.xml"/><Relationship Id="rId65" Type="http://schemas.microsoft.com/office/2007/relationships/slicerCache" Target="slicerCaches/slicerCache36.xml"/><Relationship Id="rId73" Type="http://schemas.openxmlformats.org/officeDocument/2006/relationships/theme" Target="theme/theme1.xml"/><Relationship Id="rId78"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microsoft.com/office/2007/relationships/slicerCache" Target="slicerCaches/slicerCache10.xml"/><Relationship Id="rId34" Type="http://schemas.microsoft.com/office/2007/relationships/slicerCache" Target="slicerCaches/slicerCache5.xml"/><Relationship Id="rId50" Type="http://schemas.microsoft.com/office/2007/relationships/slicerCache" Target="slicerCaches/slicerCache21.xml"/><Relationship Id="rId55" Type="http://schemas.microsoft.com/office/2007/relationships/slicerCache" Target="slicerCaches/slicerCache26.xml"/><Relationship Id="rId76" Type="http://schemas.openxmlformats.org/officeDocument/2006/relationships/sharedStrings" Target="sharedStrings.xml"/><Relationship Id="rId7" Type="http://schemas.openxmlformats.org/officeDocument/2006/relationships/worksheet" Target="worksheets/sheet7.xml"/><Relationship Id="rId71" Type="http://schemas.microsoft.com/office/2007/relationships/slicerCache" Target="slicerCaches/slicerCache42.xml"/><Relationship Id="rId2" Type="http://schemas.openxmlformats.org/officeDocument/2006/relationships/worksheet" Target="worksheets/sheet2.xml"/><Relationship Id="rId29" Type="http://schemas.openxmlformats.org/officeDocument/2006/relationships/pivotCacheDefinition" Target="pivotCache/pivotCacheDefinition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MSE!$A$2:$A$52</c:f>
              <c:strCache>
                <c:ptCount val="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strCache>
            </c:strRef>
          </c:cat>
          <c:val>
            <c:numRef>
              <c:f>MSE!$B$2:$B$52</c:f>
              <c:numCache>
                <c:formatCode>0.00000</c:formatCode>
                <c:ptCount val="50"/>
                <c:pt idx="0">
                  <c:v>5.4798945784568804E-3</c:v>
                </c:pt>
                <c:pt idx="1">
                  <c:v>2.56768753752112E-3</c:v>
                </c:pt>
                <c:pt idx="2">
                  <c:v>1.62872532382607E-3</c:v>
                </c:pt>
                <c:pt idx="3">
                  <c:v>1.06308015529066E-3</c:v>
                </c:pt>
                <c:pt idx="4">
                  <c:v>7.0655025774613001E-4</c:v>
                </c:pt>
                <c:pt idx="5">
                  <c:v>4.9328064778819702E-4</c:v>
                </c:pt>
                <c:pt idx="6">
                  <c:v>3.6909422487951799E-4</c:v>
                </c:pt>
                <c:pt idx="7">
                  <c:v>2.9449065914377603E-4</c:v>
                </c:pt>
                <c:pt idx="8">
                  <c:v>2.4709553690627201E-4</c:v>
                </c:pt>
                <c:pt idx="9">
                  <c:v>2.15317661059089E-4</c:v>
                </c:pt>
                <c:pt idx="10">
                  <c:v>1.9295436504762601E-4</c:v>
                </c:pt>
                <c:pt idx="11">
                  <c:v>1.7650031077209901E-4</c:v>
                </c:pt>
                <c:pt idx="12">
                  <c:v>1.6390049131587099E-4</c:v>
                </c:pt>
                <c:pt idx="13">
                  <c:v>1.5391946362797201E-4</c:v>
                </c:pt>
                <c:pt idx="14">
                  <c:v>1.4579141861759099E-4</c:v>
                </c:pt>
                <c:pt idx="15">
                  <c:v>1.3902698992751501E-4</c:v>
                </c:pt>
                <c:pt idx="16">
                  <c:v>1.3329829380381901E-4</c:v>
                </c:pt>
                <c:pt idx="17">
                  <c:v>1.2837984832003699E-4</c:v>
                </c:pt>
                <c:pt idx="18">
                  <c:v>1.24109224998392E-4</c:v>
                </c:pt>
                <c:pt idx="19">
                  <c:v>1.2036800762871301E-4</c:v>
                </c:pt>
                <c:pt idx="20">
                  <c:v>1.1706515942933E-4</c:v>
                </c:pt>
                <c:pt idx="21">
                  <c:v>1.14131173177157E-4</c:v>
                </c:pt>
                <c:pt idx="22">
                  <c:v>1.1151109356433201E-4</c:v>
                </c:pt>
                <c:pt idx="23">
                  <c:v>1.09159977000672E-4</c:v>
                </c:pt>
                <c:pt idx="24">
                  <c:v>1.07042134914082E-4</c:v>
                </c:pt>
                <c:pt idx="25">
                  <c:v>1.05127408460248E-4</c:v>
                </c:pt>
                <c:pt idx="26">
                  <c:v>1.03391554148402E-4</c:v>
                </c:pt>
                <c:pt idx="27">
                  <c:v>1.0181264224229399E-4</c:v>
                </c:pt>
                <c:pt idx="28">
                  <c:v>1.00373195891734E-4</c:v>
                </c:pt>
                <c:pt idx="29">
                  <c:v>9.9057768238708404E-5</c:v>
                </c:pt>
                <c:pt idx="30">
                  <c:v>9.7853218903765096E-5</c:v>
                </c:pt>
                <c:pt idx="31">
                  <c:v>9.6747855423018296E-5</c:v>
                </c:pt>
                <c:pt idx="32">
                  <c:v>9.5731469627935399E-5</c:v>
                </c:pt>
                <c:pt idx="33">
                  <c:v>9.4795541372150196E-5</c:v>
                </c:pt>
                <c:pt idx="34">
                  <c:v>9.3931732408236699E-5</c:v>
                </c:pt>
                <c:pt idx="35">
                  <c:v>9.3133392510935705E-5</c:v>
                </c:pt>
                <c:pt idx="36">
                  <c:v>9.2394329840317396E-5</c:v>
                </c:pt>
                <c:pt idx="37">
                  <c:v>9.1709072876256E-5</c:v>
                </c:pt>
                <c:pt idx="38">
                  <c:v>9.1072324721608297E-5</c:v>
                </c:pt>
                <c:pt idx="39">
                  <c:v>9.0480440121609704E-5</c:v>
                </c:pt>
                <c:pt idx="40">
                  <c:v>8.9929315436165793E-5</c:v>
                </c:pt>
                <c:pt idx="41">
                  <c:v>8.9414650574326502E-5</c:v>
                </c:pt>
                <c:pt idx="42">
                  <c:v>8.8934059021994499E-5</c:v>
                </c:pt>
                <c:pt idx="43">
                  <c:v>8.8484441221226007E-5</c:v>
                </c:pt>
                <c:pt idx="44">
                  <c:v>8.8063250586856197E-5</c:v>
                </c:pt>
                <c:pt idx="45">
                  <c:v>8.7668129708617899E-5</c:v>
                </c:pt>
                <c:pt idx="46">
                  <c:v>8.7296670244541006E-5</c:v>
                </c:pt>
                <c:pt idx="47">
                  <c:v>8.6947395175229799E-5</c:v>
                </c:pt>
                <c:pt idx="48">
                  <c:v>8.6618594650644795E-5</c:v>
                </c:pt>
                <c:pt idx="49">
                  <c:v>8.6308136815205203E-5</c:v>
                </c:pt>
              </c:numCache>
            </c:numRef>
          </c:val>
          <c:smooth val="0"/>
        </c:ser>
        <c:dLbls>
          <c:showLegendKey val="0"/>
          <c:showVal val="0"/>
          <c:showCatName val="0"/>
          <c:showSerName val="0"/>
          <c:showPercent val="0"/>
          <c:showBubbleSize val="0"/>
        </c:dLbls>
        <c:marker val="1"/>
        <c:smooth val="0"/>
        <c:axId val="-36092864"/>
        <c:axId val="-36105376"/>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MSE!$A$2:$A$52</c:f>
              <c:strCache>
                <c:ptCount val="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strCache>
            </c:strRef>
          </c:cat>
          <c:val>
            <c:numRef>
              <c:f>MSE!$C$2:$C$52</c:f>
              <c:numCache>
                <c:formatCode>0</c:formatCode>
                <c:ptCount val="50"/>
                <c:pt idx="0">
                  <c:v>15325</c:v>
                </c:pt>
                <c:pt idx="1">
                  <c:v>15356</c:v>
                </c:pt>
                <c:pt idx="2">
                  <c:v>15356</c:v>
                </c:pt>
                <c:pt idx="3">
                  <c:v>15371</c:v>
                </c:pt>
                <c:pt idx="4">
                  <c:v>15382</c:v>
                </c:pt>
                <c:pt idx="5">
                  <c:v>15403</c:v>
                </c:pt>
                <c:pt idx="6">
                  <c:v>15387</c:v>
                </c:pt>
                <c:pt idx="7">
                  <c:v>15387</c:v>
                </c:pt>
                <c:pt idx="8">
                  <c:v>15387</c:v>
                </c:pt>
                <c:pt idx="9">
                  <c:v>15387</c:v>
                </c:pt>
                <c:pt idx="10">
                  <c:v>15404</c:v>
                </c:pt>
                <c:pt idx="11">
                  <c:v>15389</c:v>
                </c:pt>
                <c:pt idx="12">
                  <c:v>15387</c:v>
                </c:pt>
                <c:pt idx="13">
                  <c:v>15387</c:v>
                </c:pt>
                <c:pt idx="14">
                  <c:v>15387</c:v>
                </c:pt>
                <c:pt idx="15">
                  <c:v>15403</c:v>
                </c:pt>
                <c:pt idx="16">
                  <c:v>15402</c:v>
                </c:pt>
                <c:pt idx="17">
                  <c:v>15429</c:v>
                </c:pt>
                <c:pt idx="18">
                  <c:v>15550</c:v>
                </c:pt>
                <c:pt idx="19">
                  <c:v>15559</c:v>
                </c:pt>
                <c:pt idx="20">
                  <c:v>15564</c:v>
                </c:pt>
                <c:pt idx="21">
                  <c:v>15560</c:v>
                </c:pt>
                <c:pt idx="22">
                  <c:v>15569</c:v>
                </c:pt>
                <c:pt idx="23">
                  <c:v>15576</c:v>
                </c:pt>
                <c:pt idx="24">
                  <c:v>15577</c:v>
                </c:pt>
                <c:pt idx="25">
                  <c:v>15559</c:v>
                </c:pt>
                <c:pt idx="26">
                  <c:v>15574</c:v>
                </c:pt>
                <c:pt idx="27">
                  <c:v>15543</c:v>
                </c:pt>
                <c:pt idx="28">
                  <c:v>15575</c:v>
                </c:pt>
                <c:pt idx="29">
                  <c:v>15574</c:v>
                </c:pt>
                <c:pt idx="30">
                  <c:v>15565</c:v>
                </c:pt>
                <c:pt idx="31">
                  <c:v>15575</c:v>
                </c:pt>
                <c:pt idx="32">
                  <c:v>15558</c:v>
                </c:pt>
                <c:pt idx="33">
                  <c:v>15559</c:v>
                </c:pt>
                <c:pt idx="34">
                  <c:v>15548</c:v>
                </c:pt>
                <c:pt idx="35">
                  <c:v>15567</c:v>
                </c:pt>
                <c:pt idx="36">
                  <c:v>15567</c:v>
                </c:pt>
                <c:pt idx="37">
                  <c:v>15542</c:v>
                </c:pt>
                <c:pt idx="38">
                  <c:v>15553</c:v>
                </c:pt>
                <c:pt idx="39">
                  <c:v>15559</c:v>
                </c:pt>
                <c:pt idx="40">
                  <c:v>15554</c:v>
                </c:pt>
                <c:pt idx="41">
                  <c:v>15575</c:v>
                </c:pt>
                <c:pt idx="42">
                  <c:v>15571</c:v>
                </c:pt>
                <c:pt idx="43">
                  <c:v>15548</c:v>
                </c:pt>
                <c:pt idx="44">
                  <c:v>15581</c:v>
                </c:pt>
                <c:pt idx="45">
                  <c:v>15627</c:v>
                </c:pt>
                <c:pt idx="46">
                  <c:v>15535</c:v>
                </c:pt>
                <c:pt idx="47">
                  <c:v>15543</c:v>
                </c:pt>
                <c:pt idx="48">
                  <c:v>15626</c:v>
                </c:pt>
                <c:pt idx="49">
                  <c:v>15516</c:v>
                </c:pt>
              </c:numCache>
            </c:numRef>
          </c:val>
          <c:smooth val="0"/>
        </c:ser>
        <c:dLbls>
          <c:showLegendKey val="0"/>
          <c:showVal val="0"/>
          <c:showCatName val="0"/>
          <c:showSerName val="0"/>
          <c:showPercent val="0"/>
          <c:showBubbleSize val="0"/>
        </c:dLbls>
        <c:marker val="1"/>
        <c:smooth val="0"/>
        <c:axId val="-36108096"/>
        <c:axId val="-36104288"/>
      </c:lineChart>
      <c:catAx>
        <c:axId val="-36092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05376"/>
        <c:crosses val="autoZero"/>
        <c:auto val="1"/>
        <c:lblAlgn val="ctr"/>
        <c:lblOffset val="100"/>
        <c:noMultiLvlLbl val="0"/>
      </c:catAx>
      <c:valAx>
        <c:axId val="-3610537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92864"/>
        <c:crosses val="autoZero"/>
        <c:crossBetween val="between"/>
      </c:valAx>
      <c:valAx>
        <c:axId val="-3610428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08096"/>
        <c:crosses val="max"/>
        <c:crossBetween val="between"/>
      </c:valAx>
      <c:catAx>
        <c:axId val="-36108096"/>
        <c:scaling>
          <c:orientation val="minMax"/>
        </c:scaling>
        <c:delete val="1"/>
        <c:axPos val="b"/>
        <c:numFmt formatCode="General" sourceLinked="1"/>
        <c:majorTickMark val="out"/>
        <c:minorTickMark val="none"/>
        <c:tickLblPos val="nextTo"/>
        <c:crossAx val="-3610428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1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6.3234547203074379E-2"/>
          <c:y val="5.0629127458990279E-2"/>
          <c:w val="0.77638711808861804"/>
          <c:h val="0.89874174508201943"/>
        </c:manualLayout>
      </c:layout>
      <c:lineChart>
        <c:grouping val="standard"/>
        <c:varyColors val="0"/>
        <c:dLbls>
          <c:showLegendKey val="0"/>
          <c:showVal val="0"/>
          <c:showCatName val="0"/>
          <c:showSerName val="0"/>
          <c:showPercent val="0"/>
          <c:showBubbleSize val="0"/>
        </c:dLbls>
        <c:marker val="1"/>
        <c:smooth val="0"/>
        <c:axId val="-36095040"/>
        <c:axId val="-36098848"/>
      </c:lineChart>
      <c:lineChart>
        <c:grouping val="standard"/>
        <c:varyColors val="0"/>
        <c:dLbls>
          <c:showLegendKey val="0"/>
          <c:showVal val="0"/>
          <c:showCatName val="0"/>
          <c:showSerName val="0"/>
          <c:showPercent val="0"/>
          <c:showBubbleSize val="0"/>
        </c:dLbls>
        <c:marker val="1"/>
        <c:smooth val="0"/>
        <c:axId val="-36093952"/>
        <c:axId val="-36105920"/>
      </c:lineChart>
      <c:catAx>
        <c:axId val="-36095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98848"/>
        <c:crosses val="autoZero"/>
        <c:auto val="1"/>
        <c:lblAlgn val="ctr"/>
        <c:lblOffset val="100"/>
        <c:tickLblSkip val="1"/>
        <c:noMultiLvlLbl val="0"/>
      </c:catAx>
      <c:valAx>
        <c:axId val="-3609884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95040"/>
        <c:crosses val="autoZero"/>
        <c:crossBetween val="between"/>
      </c:valAx>
      <c:valAx>
        <c:axId val="-3610592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93952"/>
        <c:crosses val="max"/>
        <c:crossBetween val="between"/>
      </c:valAx>
      <c:catAx>
        <c:axId val="-360939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0592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6.3234547203074379E-2"/>
          <c:y val="5.0629127458990279E-2"/>
          <c:w val="0.77638711808861804"/>
          <c:h val="0.89874174508201943"/>
        </c:manualLayout>
      </c:layout>
      <c:lineChart>
        <c:grouping val="standard"/>
        <c:varyColors val="0"/>
        <c:dLbls>
          <c:showLegendKey val="0"/>
          <c:showVal val="0"/>
          <c:showCatName val="0"/>
          <c:showSerName val="0"/>
          <c:showPercent val="0"/>
          <c:showBubbleSize val="0"/>
        </c:dLbls>
        <c:marker val="1"/>
        <c:smooth val="0"/>
        <c:axId val="-36093408"/>
        <c:axId val="-36100480"/>
      </c:lineChart>
      <c:lineChart>
        <c:grouping val="standard"/>
        <c:varyColors val="0"/>
        <c:dLbls>
          <c:showLegendKey val="0"/>
          <c:showVal val="0"/>
          <c:showCatName val="0"/>
          <c:showSerName val="0"/>
          <c:showPercent val="0"/>
          <c:showBubbleSize val="0"/>
        </c:dLbls>
        <c:marker val="1"/>
        <c:smooth val="0"/>
        <c:axId val="-36107552"/>
        <c:axId val="-36102656"/>
      </c:lineChart>
      <c:catAx>
        <c:axId val="-36093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00480"/>
        <c:crosses val="autoZero"/>
        <c:auto val="1"/>
        <c:lblAlgn val="ctr"/>
        <c:lblOffset val="100"/>
        <c:tickLblSkip val="1"/>
        <c:noMultiLvlLbl val="0"/>
      </c:catAx>
      <c:valAx>
        <c:axId val="-3610048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93408"/>
        <c:crosses val="autoZero"/>
        <c:crossBetween val="between"/>
      </c:valAx>
      <c:valAx>
        <c:axId val="-3610265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07552"/>
        <c:crosses val="max"/>
        <c:crossBetween val="between"/>
      </c:valAx>
      <c:catAx>
        <c:axId val="-361075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0265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dLbls>
          <c:showLegendKey val="0"/>
          <c:showVal val="0"/>
          <c:showCatName val="0"/>
          <c:showSerName val="0"/>
          <c:showPercent val="0"/>
          <c:showBubbleSize val="0"/>
        </c:dLbls>
        <c:marker val="1"/>
        <c:smooth val="0"/>
        <c:axId val="-36102112"/>
        <c:axId val="-36101568"/>
      </c:lineChart>
      <c:lineChart>
        <c:grouping val="standard"/>
        <c:varyColors val="0"/>
        <c:dLbls>
          <c:showLegendKey val="0"/>
          <c:showVal val="0"/>
          <c:showCatName val="0"/>
          <c:showSerName val="0"/>
          <c:showPercent val="0"/>
          <c:showBubbleSize val="0"/>
        </c:dLbls>
        <c:marker val="1"/>
        <c:smooth val="0"/>
        <c:axId val="-36098304"/>
        <c:axId val="-36099936"/>
      </c:lineChart>
      <c:catAx>
        <c:axId val="-36102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01568"/>
        <c:crosses val="autoZero"/>
        <c:auto val="1"/>
        <c:lblAlgn val="ctr"/>
        <c:lblOffset val="100"/>
        <c:tickLblSkip val="1"/>
        <c:noMultiLvlLbl val="0"/>
      </c:catAx>
      <c:valAx>
        <c:axId val="-3610156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02112"/>
        <c:crosses val="autoZero"/>
        <c:crossBetween val="between"/>
      </c:valAx>
      <c:valAx>
        <c:axId val="-3609993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98304"/>
        <c:crosses val="max"/>
        <c:crossBetween val="between"/>
      </c:valAx>
      <c:catAx>
        <c:axId val="-360983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9993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[Tester.xlsm]New_TR!PivotTable1</c:name>
    <c:fmtId val="5"/>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New_TR!$B$1</c:f>
              <c:strCache>
                <c:ptCount val="1"/>
                <c:pt idx="0">
                  <c:v>Average of ACTUALBASE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New_TR!$A$2:$A$102</c:f>
              <c:strCache>
                <c:ptCount val="100"/>
                <c:pt idx="0">
                  <c:v>2018-08-24-23:00</c:v>
                </c:pt>
                <c:pt idx="1">
                  <c:v>2018-08-27-00:00</c:v>
                </c:pt>
                <c:pt idx="2">
                  <c:v>2018-08-27-01:00</c:v>
                </c:pt>
                <c:pt idx="3">
                  <c:v>2018-08-27-02:00</c:v>
                </c:pt>
                <c:pt idx="4">
                  <c:v>2018-08-27-03:00</c:v>
                </c:pt>
                <c:pt idx="5">
                  <c:v>2018-08-27-04:00</c:v>
                </c:pt>
                <c:pt idx="6">
                  <c:v>2018-08-27-05:00</c:v>
                </c:pt>
                <c:pt idx="7">
                  <c:v>2018-08-27-06:00</c:v>
                </c:pt>
                <c:pt idx="8">
                  <c:v>2018-08-27-07:00</c:v>
                </c:pt>
                <c:pt idx="9">
                  <c:v>2018-08-27-08:00</c:v>
                </c:pt>
                <c:pt idx="10">
                  <c:v>2018-08-27-09:00</c:v>
                </c:pt>
                <c:pt idx="11">
                  <c:v>2018-08-27-10:00</c:v>
                </c:pt>
                <c:pt idx="12">
                  <c:v>2018-08-27-11:00</c:v>
                </c:pt>
                <c:pt idx="13">
                  <c:v>2018-08-27-12:00</c:v>
                </c:pt>
                <c:pt idx="14">
                  <c:v>2018-08-27-13:00</c:v>
                </c:pt>
                <c:pt idx="15">
                  <c:v>2018-08-27-14:00</c:v>
                </c:pt>
                <c:pt idx="16">
                  <c:v>2018-08-27-15:00</c:v>
                </c:pt>
                <c:pt idx="17">
                  <c:v>2018-08-27-16:00</c:v>
                </c:pt>
                <c:pt idx="18">
                  <c:v>2018-08-27-17:00</c:v>
                </c:pt>
                <c:pt idx="19">
                  <c:v>2018-08-27-18:00</c:v>
                </c:pt>
                <c:pt idx="20">
                  <c:v>2018-08-27-19:00</c:v>
                </c:pt>
                <c:pt idx="21">
                  <c:v>2018-08-27-20:00</c:v>
                </c:pt>
                <c:pt idx="22">
                  <c:v>2018-08-27-21:00</c:v>
                </c:pt>
                <c:pt idx="23">
                  <c:v>2018-08-27-22:00</c:v>
                </c:pt>
                <c:pt idx="24">
                  <c:v>2018-08-27-23:00</c:v>
                </c:pt>
                <c:pt idx="25">
                  <c:v>2018-08-28-00:00</c:v>
                </c:pt>
                <c:pt idx="26">
                  <c:v>2018-08-28-01:00</c:v>
                </c:pt>
                <c:pt idx="27">
                  <c:v>2018-08-28-02:00</c:v>
                </c:pt>
                <c:pt idx="28">
                  <c:v>2018-08-28-03:00</c:v>
                </c:pt>
                <c:pt idx="29">
                  <c:v>2018-08-28-04:00</c:v>
                </c:pt>
                <c:pt idx="30">
                  <c:v>2018-08-28-05:00</c:v>
                </c:pt>
                <c:pt idx="31">
                  <c:v>2018-08-28-06:00</c:v>
                </c:pt>
                <c:pt idx="32">
                  <c:v>2018-08-28-07:00</c:v>
                </c:pt>
                <c:pt idx="33">
                  <c:v>2018-08-28-08:00</c:v>
                </c:pt>
                <c:pt idx="34">
                  <c:v>2018-08-28-09:00</c:v>
                </c:pt>
                <c:pt idx="35">
                  <c:v>2018-08-28-10:00</c:v>
                </c:pt>
                <c:pt idx="36">
                  <c:v>2018-08-28-11:00</c:v>
                </c:pt>
                <c:pt idx="37">
                  <c:v>2018-08-28-12:00</c:v>
                </c:pt>
                <c:pt idx="38">
                  <c:v>2018-08-28-13:00</c:v>
                </c:pt>
                <c:pt idx="39">
                  <c:v>2018-08-28-14:00</c:v>
                </c:pt>
                <c:pt idx="40">
                  <c:v>2018-08-28-15:00</c:v>
                </c:pt>
                <c:pt idx="41">
                  <c:v>2018-08-28-16:00</c:v>
                </c:pt>
                <c:pt idx="42">
                  <c:v>2018-08-28-17:00</c:v>
                </c:pt>
                <c:pt idx="43">
                  <c:v>2018-08-28-18:00</c:v>
                </c:pt>
                <c:pt idx="44">
                  <c:v>2018-08-28-19:00</c:v>
                </c:pt>
                <c:pt idx="45">
                  <c:v>2018-08-28-20:00</c:v>
                </c:pt>
                <c:pt idx="46">
                  <c:v>2018-08-28-21:00</c:v>
                </c:pt>
                <c:pt idx="47">
                  <c:v>2018-08-28-22:00</c:v>
                </c:pt>
                <c:pt idx="48">
                  <c:v>2018-08-28-23:00</c:v>
                </c:pt>
                <c:pt idx="49">
                  <c:v>2018-08-29-00:00</c:v>
                </c:pt>
                <c:pt idx="50">
                  <c:v>2018-08-29-01:00</c:v>
                </c:pt>
                <c:pt idx="51">
                  <c:v>2018-08-29-02:00</c:v>
                </c:pt>
                <c:pt idx="52">
                  <c:v>2018-08-29-03:00</c:v>
                </c:pt>
                <c:pt idx="53">
                  <c:v>2018-08-29-04:00</c:v>
                </c:pt>
                <c:pt idx="54">
                  <c:v>2018-08-29-05:00</c:v>
                </c:pt>
                <c:pt idx="55">
                  <c:v>2018-08-29-06:00</c:v>
                </c:pt>
                <c:pt idx="56">
                  <c:v>2018-08-29-07:00</c:v>
                </c:pt>
                <c:pt idx="57">
                  <c:v>2018-08-29-08:00</c:v>
                </c:pt>
                <c:pt idx="58">
                  <c:v>2018-08-29-09:00</c:v>
                </c:pt>
                <c:pt idx="59">
                  <c:v>2018-08-29-10:00</c:v>
                </c:pt>
                <c:pt idx="60">
                  <c:v>2018-08-29-11:00</c:v>
                </c:pt>
                <c:pt idx="61">
                  <c:v>2018-08-29-12:00</c:v>
                </c:pt>
                <c:pt idx="62">
                  <c:v>2018-08-29-13:00</c:v>
                </c:pt>
                <c:pt idx="63">
                  <c:v>2018-08-29-14:00</c:v>
                </c:pt>
                <c:pt idx="64">
                  <c:v>2018-08-29-15:00</c:v>
                </c:pt>
                <c:pt idx="65">
                  <c:v>2018-08-29-16:00</c:v>
                </c:pt>
                <c:pt idx="66">
                  <c:v>2018-08-29-17:00</c:v>
                </c:pt>
                <c:pt idx="67">
                  <c:v>2018-08-29-18:00</c:v>
                </c:pt>
                <c:pt idx="68">
                  <c:v>2018-08-29-19:00</c:v>
                </c:pt>
                <c:pt idx="69">
                  <c:v>2018-08-29-20:00</c:v>
                </c:pt>
                <c:pt idx="70">
                  <c:v>2018-08-29-21:00</c:v>
                </c:pt>
                <c:pt idx="71">
                  <c:v>2018-08-29-22:00</c:v>
                </c:pt>
                <c:pt idx="72">
                  <c:v>2018-08-29-23:00</c:v>
                </c:pt>
                <c:pt idx="73">
                  <c:v>2018-08-30-00:00</c:v>
                </c:pt>
                <c:pt idx="74">
                  <c:v>2018-08-30-01:00</c:v>
                </c:pt>
                <c:pt idx="75">
                  <c:v>2018-08-30-02:00</c:v>
                </c:pt>
                <c:pt idx="76">
                  <c:v>2018-08-30-03:00</c:v>
                </c:pt>
                <c:pt idx="77">
                  <c:v>2018-08-30-04:00</c:v>
                </c:pt>
                <c:pt idx="78">
                  <c:v>2018-08-30-05:00</c:v>
                </c:pt>
                <c:pt idx="79">
                  <c:v>2018-08-30-06:00</c:v>
                </c:pt>
                <c:pt idx="80">
                  <c:v>2018-08-30-07:00</c:v>
                </c:pt>
                <c:pt idx="81">
                  <c:v>2018-08-30-08:00</c:v>
                </c:pt>
                <c:pt idx="82">
                  <c:v>2018-08-30-09:00</c:v>
                </c:pt>
                <c:pt idx="83">
                  <c:v>2018-08-30-10:00</c:v>
                </c:pt>
                <c:pt idx="84">
                  <c:v>2018-08-30-11:00</c:v>
                </c:pt>
                <c:pt idx="85">
                  <c:v>2018-08-30-12:00</c:v>
                </c:pt>
                <c:pt idx="86">
                  <c:v>2018-08-30-13:00</c:v>
                </c:pt>
                <c:pt idx="87">
                  <c:v>2018-08-30-14:00</c:v>
                </c:pt>
                <c:pt idx="88">
                  <c:v>2018-08-30-15:00</c:v>
                </c:pt>
                <c:pt idx="89">
                  <c:v>2018-08-30-16:00</c:v>
                </c:pt>
                <c:pt idx="90">
                  <c:v>2018-08-30-17:00</c:v>
                </c:pt>
                <c:pt idx="91">
                  <c:v>2018-08-30-18:00</c:v>
                </c:pt>
                <c:pt idx="92">
                  <c:v>2018-08-30-19:00</c:v>
                </c:pt>
                <c:pt idx="93">
                  <c:v>2018-08-30-20:00</c:v>
                </c:pt>
                <c:pt idx="94">
                  <c:v>2018-08-30-21:00</c:v>
                </c:pt>
                <c:pt idx="95">
                  <c:v>2018-08-30-22:00</c:v>
                </c:pt>
                <c:pt idx="96">
                  <c:v>2018-08-30-23:00</c:v>
                </c:pt>
                <c:pt idx="97">
                  <c:v>2018-08-31-00:00</c:v>
                </c:pt>
                <c:pt idx="98">
                  <c:v>2018-08-31-01:00</c:v>
                </c:pt>
                <c:pt idx="99">
                  <c:v>2018-08-31-02:00</c:v>
                </c:pt>
              </c:strCache>
            </c:strRef>
          </c:cat>
          <c:val>
            <c:numRef>
              <c:f>New_TR!$B$2:$B$102</c:f>
              <c:numCache>
                <c:formatCode>0.00000</c:formatCode>
                <c:ptCount val="100"/>
                <c:pt idx="0">
                  <c:v>1.1626000404357899</c:v>
                </c:pt>
                <c:pt idx="1">
                  <c:v>1.1623400449752801</c:v>
                </c:pt>
                <c:pt idx="2">
                  <c:v>1.16281998157501</c:v>
                </c:pt>
                <c:pt idx="3">
                  <c:v>1.1652799844741799</c:v>
                </c:pt>
                <c:pt idx="4">
                  <c:v>1.1645799875259399</c:v>
                </c:pt>
                <c:pt idx="5">
                  <c:v>1.1635700464248699</c:v>
                </c:pt>
                <c:pt idx="6">
                  <c:v>1.1636600494384799</c:v>
                </c:pt>
                <c:pt idx="7">
                  <c:v>1.1634000539779701</c:v>
                </c:pt>
                <c:pt idx="8">
                  <c:v>1.1625900268554701</c:v>
                </c:pt>
                <c:pt idx="9">
                  <c:v>1.16196000576019</c:v>
                </c:pt>
                <c:pt idx="10">
                  <c:v>1.1623400449752801</c:v>
                </c:pt>
                <c:pt idx="11">
                  <c:v>1.1610399484634399</c:v>
                </c:pt>
                <c:pt idx="12">
                  <c:v>1.16187000274658</c:v>
                </c:pt>
                <c:pt idx="13">
                  <c:v>1.16210997104645</c:v>
                </c:pt>
                <c:pt idx="14">
                  <c:v>1.16196000576019</c:v>
                </c:pt>
                <c:pt idx="15">
                  <c:v>1.1629099845886199</c:v>
                </c:pt>
                <c:pt idx="16">
                  <c:v>1.16428005695343</c:v>
                </c:pt>
                <c:pt idx="17">
                  <c:v>1.1656899452209499</c:v>
                </c:pt>
                <c:pt idx="18">
                  <c:v>1.1672899723053001</c:v>
                </c:pt>
                <c:pt idx="19">
                  <c:v>1.1680699586868299</c:v>
                </c:pt>
                <c:pt idx="20">
                  <c:v>1.16904997825623</c:v>
                </c:pt>
                <c:pt idx="21">
                  <c:v>1.16928994655609</c:v>
                </c:pt>
                <c:pt idx="22">
                  <c:v>1.16828000545502</c:v>
                </c:pt>
                <c:pt idx="23">
                  <c:v>1.16814005374908</c:v>
                </c:pt>
                <c:pt idx="24">
                  <c:v>1.16843998432159</c:v>
                </c:pt>
                <c:pt idx="25">
                  <c:v>1.16813004016876</c:v>
                </c:pt>
                <c:pt idx="26">
                  <c:v>1.1680699586868299</c:v>
                </c:pt>
                <c:pt idx="27">
                  <c:v>1.16833996772766</c:v>
                </c:pt>
                <c:pt idx="28">
                  <c:v>1.1696300506591799</c:v>
                </c:pt>
                <c:pt idx="29">
                  <c:v>1.16913998126984</c:v>
                </c:pt>
                <c:pt idx="30">
                  <c:v>1.16767001152039</c:v>
                </c:pt>
                <c:pt idx="31">
                  <c:v>1.1676900386810301</c:v>
                </c:pt>
                <c:pt idx="32">
                  <c:v>1.1675100326538099</c:v>
                </c:pt>
                <c:pt idx="33">
                  <c:v>1.16733002662659</c:v>
                </c:pt>
                <c:pt idx="34">
                  <c:v>1.1690299510955799</c:v>
                </c:pt>
                <c:pt idx="35">
                  <c:v>1.1698900461196899</c:v>
                </c:pt>
                <c:pt idx="36">
                  <c:v>1.1698700189590501</c:v>
                </c:pt>
                <c:pt idx="37">
                  <c:v>1.1703900098800699</c:v>
                </c:pt>
                <c:pt idx="38">
                  <c:v>1.17060005664825</c:v>
                </c:pt>
                <c:pt idx="39">
                  <c:v>1.1716899871826201</c:v>
                </c:pt>
                <c:pt idx="40">
                  <c:v>1.1720600128173799</c:v>
                </c:pt>
                <c:pt idx="41">
                  <c:v>1.1732800006866499</c:v>
                </c:pt>
                <c:pt idx="42">
                  <c:v>1.1730500459671001</c:v>
                </c:pt>
                <c:pt idx="43">
                  <c:v>1.1721899509429901</c:v>
                </c:pt>
                <c:pt idx="44">
                  <c:v>1.1724499464035001</c:v>
                </c:pt>
                <c:pt idx="45">
                  <c:v>1.1720900535583501</c:v>
                </c:pt>
                <c:pt idx="46">
                  <c:v>1.1712000370025599</c:v>
                </c:pt>
                <c:pt idx="47">
                  <c:v>1.1697800159454299</c:v>
                </c:pt>
                <c:pt idx="48">
                  <c:v>1.16948997974396</c:v>
                </c:pt>
                <c:pt idx="49">
                  <c:v>1.1695599555969201</c:v>
                </c:pt>
                <c:pt idx="50">
                  <c:v>1.1694699525833101</c:v>
                </c:pt>
                <c:pt idx="51">
                  <c:v>1.1694600582122801</c:v>
                </c:pt>
                <c:pt idx="52">
                  <c:v>1.16961002349854</c:v>
                </c:pt>
                <c:pt idx="53">
                  <c:v>1.16884005069733</c:v>
                </c:pt>
                <c:pt idx="54">
                  <c:v>1.16965997219086</c:v>
                </c:pt>
                <c:pt idx="55">
                  <c:v>1.1694099903106701</c:v>
                </c:pt>
                <c:pt idx="56">
                  <c:v>1.1695100069046001</c:v>
                </c:pt>
                <c:pt idx="57">
                  <c:v>1.1695599555969201</c:v>
                </c:pt>
                <c:pt idx="58">
                  <c:v>1.16808998584747</c:v>
                </c:pt>
                <c:pt idx="59">
                  <c:v>1.1685700416564899</c:v>
                </c:pt>
                <c:pt idx="60">
                  <c:v>1.16767001152039</c:v>
                </c:pt>
                <c:pt idx="61">
                  <c:v>1.16752994060516</c:v>
                </c:pt>
                <c:pt idx="62">
                  <c:v>1.1674400568008401</c:v>
                </c:pt>
                <c:pt idx="63">
                  <c:v>1.16675996780396</c:v>
                </c:pt>
                <c:pt idx="64">
                  <c:v>1.1666500568389899</c:v>
                </c:pt>
                <c:pt idx="65">
                  <c:v>1.168830037117</c:v>
                </c:pt>
                <c:pt idx="66">
                  <c:v>1.1706999540328999</c:v>
                </c:pt>
                <c:pt idx="67">
                  <c:v>1.17025005817413</c:v>
                </c:pt>
                <c:pt idx="68">
                  <c:v>1.1706399917602499</c:v>
                </c:pt>
                <c:pt idx="69">
                  <c:v>1.17056000232697</c:v>
                </c:pt>
                <c:pt idx="70">
                  <c:v>1.1701300144195601</c:v>
                </c:pt>
                <c:pt idx="71">
                  <c:v>1.17067003250122</c:v>
                </c:pt>
                <c:pt idx="72">
                  <c:v>1.17091000080109</c:v>
                </c:pt>
                <c:pt idx="73">
                  <c:v>1.1708300113678001</c:v>
                </c:pt>
                <c:pt idx="74">
                  <c:v>1.1709300279617301</c:v>
                </c:pt>
                <c:pt idx="75">
                  <c:v>1.1709799766540501</c:v>
                </c:pt>
                <c:pt idx="76">
                  <c:v>1.17127001285553</c:v>
                </c:pt>
                <c:pt idx="77">
                  <c:v>1.1709899902343801</c:v>
                </c:pt>
                <c:pt idx="78">
                  <c:v>1.1705900430679299</c:v>
                </c:pt>
                <c:pt idx="79">
                  <c:v>1.17044997215271</c:v>
                </c:pt>
                <c:pt idx="80">
                  <c:v>1.1702400445938099</c:v>
                </c:pt>
                <c:pt idx="81">
                  <c:v>1.1698900461196899</c:v>
                </c:pt>
                <c:pt idx="82">
                  <c:v>1.17051005363464</c:v>
                </c:pt>
                <c:pt idx="83">
                  <c:v>1.1717400550842301</c:v>
                </c:pt>
                <c:pt idx="84">
                  <c:v>1.1703599691391</c:v>
                </c:pt>
                <c:pt idx="85">
                  <c:v>1.16990995407104</c:v>
                </c:pt>
                <c:pt idx="86">
                  <c:v>1.17081999778748</c:v>
                </c:pt>
                <c:pt idx="87">
                  <c:v>1.1698299646377599</c:v>
                </c:pt>
                <c:pt idx="88">
                  <c:v>1.1695200204849201</c:v>
                </c:pt>
                <c:pt idx="89">
                  <c:v>1.16819000244141</c:v>
                </c:pt>
                <c:pt idx="90">
                  <c:v>1.16676998138428</c:v>
                </c:pt>
                <c:pt idx="91">
                  <c:v>1.16612005233765</c:v>
                </c:pt>
                <c:pt idx="92">
                  <c:v>1.1659799814224201</c:v>
                </c:pt>
                <c:pt idx="93">
                  <c:v>1.16691994667053</c:v>
                </c:pt>
                <c:pt idx="94">
                  <c:v>1.1671400070190401</c:v>
                </c:pt>
                <c:pt idx="95">
                  <c:v>1.16782999038696</c:v>
                </c:pt>
                <c:pt idx="96">
                  <c:v>1.1676100492477399</c:v>
                </c:pt>
                <c:pt idx="97">
                  <c:v>1.1669900417327901</c:v>
                </c:pt>
                <c:pt idx="98">
                  <c:v>1.16675996780396</c:v>
                </c:pt>
                <c:pt idx="99">
                  <c:v>1.16662001609802</c:v>
                </c:pt>
              </c:numCache>
            </c:numRef>
          </c:val>
          <c:smooth val="0"/>
        </c:ser>
        <c:ser>
          <c:idx val="1"/>
          <c:order val="1"/>
          <c:tx>
            <c:strRef>
              <c:f>New_TR!$C$1</c:f>
              <c:strCache>
                <c:ptCount val="1"/>
                <c:pt idx="0">
                  <c:v>Average of PREDICTEDBASE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New_TR!$A$2:$A$102</c:f>
              <c:strCache>
                <c:ptCount val="100"/>
                <c:pt idx="0">
                  <c:v>2018-08-24-23:00</c:v>
                </c:pt>
                <c:pt idx="1">
                  <c:v>2018-08-27-00:00</c:v>
                </c:pt>
                <c:pt idx="2">
                  <c:v>2018-08-27-01:00</c:v>
                </c:pt>
                <c:pt idx="3">
                  <c:v>2018-08-27-02:00</c:v>
                </c:pt>
                <c:pt idx="4">
                  <c:v>2018-08-27-03:00</c:v>
                </c:pt>
                <c:pt idx="5">
                  <c:v>2018-08-27-04:00</c:v>
                </c:pt>
                <c:pt idx="6">
                  <c:v>2018-08-27-05:00</c:v>
                </c:pt>
                <c:pt idx="7">
                  <c:v>2018-08-27-06:00</c:v>
                </c:pt>
                <c:pt idx="8">
                  <c:v>2018-08-27-07:00</c:v>
                </c:pt>
                <c:pt idx="9">
                  <c:v>2018-08-27-08:00</c:v>
                </c:pt>
                <c:pt idx="10">
                  <c:v>2018-08-27-09:00</c:v>
                </c:pt>
                <c:pt idx="11">
                  <c:v>2018-08-27-10:00</c:v>
                </c:pt>
                <c:pt idx="12">
                  <c:v>2018-08-27-11:00</c:v>
                </c:pt>
                <c:pt idx="13">
                  <c:v>2018-08-27-12:00</c:v>
                </c:pt>
                <c:pt idx="14">
                  <c:v>2018-08-27-13:00</c:v>
                </c:pt>
                <c:pt idx="15">
                  <c:v>2018-08-27-14:00</c:v>
                </c:pt>
                <c:pt idx="16">
                  <c:v>2018-08-27-15:00</c:v>
                </c:pt>
                <c:pt idx="17">
                  <c:v>2018-08-27-16:00</c:v>
                </c:pt>
                <c:pt idx="18">
                  <c:v>2018-08-27-17:00</c:v>
                </c:pt>
                <c:pt idx="19">
                  <c:v>2018-08-27-18:00</c:v>
                </c:pt>
                <c:pt idx="20">
                  <c:v>2018-08-27-19:00</c:v>
                </c:pt>
                <c:pt idx="21">
                  <c:v>2018-08-27-20:00</c:v>
                </c:pt>
                <c:pt idx="22">
                  <c:v>2018-08-27-21:00</c:v>
                </c:pt>
                <c:pt idx="23">
                  <c:v>2018-08-27-22:00</c:v>
                </c:pt>
                <c:pt idx="24">
                  <c:v>2018-08-27-23:00</c:v>
                </c:pt>
                <c:pt idx="25">
                  <c:v>2018-08-28-00:00</c:v>
                </c:pt>
                <c:pt idx="26">
                  <c:v>2018-08-28-01:00</c:v>
                </c:pt>
                <c:pt idx="27">
                  <c:v>2018-08-28-02:00</c:v>
                </c:pt>
                <c:pt idx="28">
                  <c:v>2018-08-28-03:00</c:v>
                </c:pt>
                <c:pt idx="29">
                  <c:v>2018-08-28-04:00</c:v>
                </c:pt>
                <c:pt idx="30">
                  <c:v>2018-08-28-05:00</c:v>
                </c:pt>
                <c:pt idx="31">
                  <c:v>2018-08-28-06:00</c:v>
                </c:pt>
                <c:pt idx="32">
                  <c:v>2018-08-28-07:00</c:v>
                </c:pt>
                <c:pt idx="33">
                  <c:v>2018-08-28-08:00</c:v>
                </c:pt>
                <c:pt idx="34">
                  <c:v>2018-08-28-09:00</c:v>
                </c:pt>
                <c:pt idx="35">
                  <c:v>2018-08-28-10:00</c:v>
                </c:pt>
                <c:pt idx="36">
                  <c:v>2018-08-28-11:00</c:v>
                </c:pt>
                <c:pt idx="37">
                  <c:v>2018-08-28-12:00</c:v>
                </c:pt>
                <c:pt idx="38">
                  <c:v>2018-08-28-13:00</c:v>
                </c:pt>
                <c:pt idx="39">
                  <c:v>2018-08-28-14:00</c:v>
                </c:pt>
                <c:pt idx="40">
                  <c:v>2018-08-28-15:00</c:v>
                </c:pt>
                <c:pt idx="41">
                  <c:v>2018-08-28-16:00</c:v>
                </c:pt>
                <c:pt idx="42">
                  <c:v>2018-08-28-17:00</c:v>
                </c:pt>
                <c:pt idx="43">
                  <c:v>2018-08-28-18:00</c:v>
                </c:pt>
                <c:pt idx="44">
                  <c:v>2018-08-28-19:00</c:v>
                </c:pt>
                <c:pt idx="45">
                  <c:v>2018-08-28-20:00</c:v>
                </c:pt>
                <c:pt idx="46">
                  <c:v>2018-08-28-21:00</c:v>
                </c:pt>
                <c:pt idx="47">
                  <c:v>2018-08-28-22:00</c:v>
                </c:pt>
                <c:pt idx="48">
                  <c:v>2018-08-28-23:00</c:v>
                </c:pt>
                <c:pt idx="49">
                  <c:v>2018-08-29-00:00</c:v>
                </c:pt>
                <c:pt idx="50">
                  <c:v>2018-08-29-01:00</c:v>
                </c:pt>
                <c:pt idx="51">
                  <c:v>2018-08-29-02:00</c:v>
                </c:pt>
                <c:pt idx="52">
                  <c:v>2018-08-29-03:00</c:v>
                </c:pt>
                <c:pt idx="53">
                  <c:v>2018-08-29-04:00</c:v>
                </c:pt>
                <c:pt idx="54">
                  <c:v>2018-08-29-05:00</c:v>
                </c:pt>
                <c:pt idx="55">
                  <c:v>2018-08-29-06:00</c:v>
                </c:pt>
                <c:pt idx="56">
                  <c:v>2018-08-29-07:00</c:v>
                </c:pt>
                <c:pt idx="57">
                  <c:v>2018-08-29-08:00</c:v>
                </c:pt>
                <c:pt idx="58">
                  <c:v>2018-08-29-09:00</c:v>
                </c:pt>
                <c:pt idx="59">
                  <c:v>2018-08-29-10:00</c:v>
                </c:pt>
                <c:pt idx="60">
                  <c:v>2018-08-29-11:00</c:v>
                </c:pt>
                <c:pt idx="61">
                  <c:v>2018-08-29-12:00</c:v>
                </c:pt>
                <c:pt idx="62">
                  <c:v>2018-08-29-13:00</c:v>
                </c:pt>
                <c:pt idx="63">
                  <c:v>2018-08-29-14:00</c:v>
                </c:pt>
                <c:pt idx="64">
                  <c:v>2018-08-29-15:00</c:v>
                </c:pt>
                <c:pt idx="65">
                  <c:v>2018-08-29-16:00</c:v>
                </c:pt>
                <c:pt idx="66">
                  <c:v>2018-08-29-17:00</c:v>
                </c:pt>
                <c:pt idx="67">
                  <c:v>2018-08-29-18:00</c:v>
                </c:pt>
                <c:pt idx="68">
                  <c:v>2018-08-29-19:00</c:v>
                </c:pt>
                <c:pt idx="69">
                  <c:v>2018-08-29-20:00</c:v>
                </c:pt>
                <c:pt idx="70">
                  <c:v>2018-08-29-21:00</c:v>
                </c:pt>
                <c:pt idx="71">
                  <c:v>2018-08-29-22:00</c:v>
                </c:pt>
                <c:pt idx="72">
                  <c:v>2018-08-29-23:00</c:v>
                </c:pt>
                <c:pt idx="73">
                  <c:v>2018-08-30-00:00</c:v>
                </c:pt>
                <c:pt idx="74">
                  <c:v>2018-08-30-01:00</c:v>
                </c:pt>
                <c:pt idx="75">
                  <c:v>2018-08-30-02:00</c:v>
                </c:pt>
                <c:pt idx="76">
                  <c:v>2018-08-30-03:00</c:v>
                </c:pt>
                <c:pt idx="77">
                  <c:v>2018-08-30-04:00</c:v>
                </c:pt>
                <c:pt idx="78">
                  <c:v>2018-08-30-05:00</c:v>
                </c:pt>
                <c:pt idx="79">
                  <c:v>2018-08-30-06:00</c:v>
                </c:pt>
                <c:pt idx="80">
                  <c:v>2018-08-30-07:00</c:v>
                </c:pt>
                <c:pt idx="81">
                  <c:v>2018-08-30-08:00</c:v>
                </c:pt>
                <c:pt idx="82">
                  <c:v>2018-08-30-09:00</c:v>
                </c:pt>
                <c:pt idx="83">
                  <c:v>2018-08-30-10:00</c:v>
                </c:pt>
                <c:pt idx="84">
                  <c:v>2018-08-30-11:00</c:v>
                </c:pt>
                <c:pt idx="85">
                  <c:v>2018-08-30-12:00</c:v>
                </c:pt>
                <c:pt idx="86">
                  <c:v>2018-08-30-13:00</c:v>
                </c:pt>
                <c:pt idx="87">
                  <c:v>2018-08-30-14:00</c:v>
                </c:pt>
                <c:pt idx="88">
                  <c:v>2018-08-30-15:00</c:v>
                </c:pt>
                <c:pt idx="89">
                  <c:v>2018-08-30-16:00</c:v>
                </c:pt>
                <c:pt idx="90">
                  <c:v>2018-08-30-17:00</c:v>
                </c:pt>
                <c:pt idx="91">
                  <c:v>2018-08-30-18:00</c:v>
                </c:pt>
                <c:pt idx="92">
                  <c:v>2018-08-30-19:00</c:v>
                </c:pt>
                <c:pt idx="93">
                  <c:v>2018-08-30-20:00</c:v>
                </c:pt>
                <c:pt idx="94">
                  <c:v>2018-08-30-21:00</c:v>
                </c:pt>
                <c:pt idx="95">
                  <c:v>2018-08-30-22:00</c:v>
                </c:pt>
                <c:pt idx="96">
                  <c:v>2018-08-30-23:00</c:v>
                </c:pt>
                <c:pt idx="97">
                  <c:v>2018-08-31-00:00</c:v>
                </c:pt>
                <c:pt idx="98">
                  <c:v>2018-08-31-01:00</c:v>
                </c:pt>
                <c:pt idx="99">
                  <c:v>2018-08-31-02:00</c:v>
                </c:pt>
              </c:strCache>
            </c:strRef>
          </c:cat>
          <c:val>
            <c:numRef>
              <c:f>New_TR!$C$2:$C$102</c:f>
              <c:numCache>
                <c:formatCode>0.00000</c:formatCode>
                <c:ptCount val="100"/>
                <c:pt idx="50">
                  <c:v>1.1693757772445701</c:v>
                </c:pt>
                <c:pt idx="51">
                  <c:v>1.1693719625473</c:v>
                </c:pt>
                <c:pt idx="52">
                  <c:v>1.1695688962936399</c:v>
                </c:pt>
                <c:pt idx="53">
                  <c:v>1.16883444786072</c:v>
                </c:pt>
                <c:pt idx="54">
                  <c:v>1.1696962118148799</c:v>
                </c:pt>
                <c:pt idx="55">
                  <c:v>1.16938948631287</c:v>
                </c:pt>
                <c:pt idx="56">
                  <c:v>1.1694960594177199</c:v>
                </c:pt>
                <c:pt idx="57">
                  <c:v>1.1695572137832599</c:v>
                </c:pt>
                <c:pt idx="58">
                  <c:v>1.1680437326431301</c:v>
                </c:pt>
                <c:pt idx="59">
                  <c:v>1.16856729984283</c:v>
                </c:pt>
                <c:pt idx="60">
                  <c:v>1.16763019561768</c:v>
                </c:pt>
                <c:pt idx="61">
                  <c:v>1.16748142242432</c:v>
                </c:pt>
                <c:pt idx="62">
                  <c:v>1.1673837900161701</c:v>
                </c:pt>
                <c:pt idx="63">
                  <c:v>1.16670441627502</c:v>
                </c:pt>
                <c:pt idx="64">
                  <c:v>1.1666272878646899</c:v>
                </c:pt>
                <c:pt idx="65">
                  <c:v>1.1688810586929299</c:v>
                </c:pt>
                <c:pt idx="66">
                  <c:v>1.17076551914215</c:v>
                </c:pt>
                <c:pt idx="67">
                  <c:v>1.17029464244843</c:v>
                </c:pt>
                <c:pt idx="68">
                  <c:v>1.1706804037094101</c:v>
                </c:pt>
                <c:pt idx="69">
                  <c:v>1.17055559158325</c:v>
                </c:pt>
                <c:pt idx="70">
                  <c:v>1.17012751102448</c:v>
                </c:pt>
                <c:pt idx="71">
                  <c:v>1.1706626415252701</c:v>
                </c:pt>
                <c:pt idx="72">
                  <c:v>1.1708943843841599</c:v>
                </c:pt>
                <c:pt idx="73">
                  <c:v>1.17081475257874</c:v>
                </c:pt>
                <c:pt idx="74">
                  <c:v>1.1709288358688399</c:v>
                </c:pt>
                <c:pt idx="75">
                  <c:v>1.17098605632782</c:v>
                </c:pt>
                <c:pt idx="76">
                  <c:v>1.17127084732056</c:v>
                </c:pt>
                <c:pt idx="77">
                  <c:v>1.1709829568862899</c:v>
                </c:pt>
                <c:pt idx="78">
                  <c:v>1.1705738306045499</c:v>
                </c:pt>
                <c:pt idx="79">
                  <c:v>1.17045557498932</c:v>
                </c:pt>
                <c:pt idx="80">
                  <c:v>1.1702579259872401</c:v>
                </c:pt>
                <c:pt idx="81">
                  <c:v>1.1698926687240601</c:v>
                </c:pt>
                <c:pt idx="82">
                  <c:v>1.1704803705215501</c:v>
                </c:pt>
                <c:pt idx="83">
                  <c:v>1.1716821193695099</c:v>
                </c:pt>
                <c:pt idx="84">
                  <c:v>1.17026019096375</c:v>
                </c:pt>
                <c:pt idx="85">
                  <c:v>1.16984462738037</c:v>
                </c:pt>
                <c:pt idx="86">
                  <c:v>1.1708017587661701</c:v>
                </c:pt>
                <c:pt idx="87">
                  <c:v>1.16979324817657</c:v>
                </c:pt>
                <c:pt idx="88">
                  <c:v>1.16952323913574</c:v>
                </c:pt>
                <c:pt idx="89">
                  <c:v>1.16821253299713</c:v>
                </c:pt>
                <c:pt idx="90">
                  <c:v>1.1667492389678999</c:v>
                </c:pt>
                <c:pt idx="91">
                  <c:v>1.16611039638519</c:v>
                </c:pt>
                <c:pt idx="92">
                  <c:v>1.1660064458846999</c:v>
                </c:pt>
                <c:pt idx="93">
                  <c:v>1.1669713258743299</c:v>
                </c:pt>
                <c:pt idx="94">
                  <c:v>1.16719686985016</c:v>
                </c:pt>
                <c:pt idx="95">
                  <c:v>1.16786408424377</c:v>
                </c:pt>
                <c:pt idx="96">
                  <c:v>1.1676266193389899</c:v>
                </c:pt>
                <c:pt idx="97">
                  <c:v>1.1670050621032699</c:v>
                </c:pt>
                <c:pt idx="98">
                  <c:v>1.16665315628052</c:v>
                </c:pt>
                <c:pt idx="99">
                  <c:v>1.1663247346878101</c:v>
                </c:pt>
              </c:numCache>
            </c:numRef>
          </c:val>
          <c:smooth val="0"/>
        </c:ser>
        <c:dLbls>
          <c:showLegendKey val="0"/>
          <c:showVal val="0"/>
          <c:showCatName val="0"/>
          <c:showSerName val="0"/>
          <c:showPercent val="0"/>
          <c:showBubbleSize val="0"/>
        </c:dLbls>
        <c:marker val="1"/>
        <c:smooth val="0"/>
        <c:axId val="-1770444288"/>
        <c:axId val="-1770434496"/>
      </c:lineChart>
      <c:lineChart>
        <c:grouping val="standard"/>
        <c:varyColors val="0"/>
        <c:ser>
          <c:idx val="2"/>
          <c:order val="2"/>
          <c:tx>
            <c:strRef>
              <c:f>New_TR!$D$1</c:f>
              <c:strCache>
                <c:ptCount val="1"/>
                <c:pt idx="0">
                  <c:v>Average of ERRORTR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New_TR!$A$2:$A$102</c:f>
              <c:strCache>
                <c:ptCount val="100"/>
                <c:pt idx="0">
                  <c:v>2018-08-24-23:00</c:v>
                </c:pt>
                <c:pt idx="1">
                  <c:v>2018-08-27-00:00</c:v>
                </c:pt>
                <c:pt idx="2">
                  <c:v>2018-08-27-01:00</c:v>
                </c:pt>
                <c:pt idx="3">
                  <c:v>2018-08-27-02:00</c:v>
                </c:pt>
                <c:pt idx="4">
                  <c:v>2018-08-27-03:00</c:v>
                </c:pt>
                <c:pt idx="5">
                  <c:v>2018-08-27-04:00</c:v>
                </c:pt>
                <c:pt idx="6">
                  <c:v>2018-08-27-05:00</c:v>
                </c:pt>
                <c:pt idx="7">
                  <c:v>2018-08-27-06:00</c:v>
                </c:pt>
                <c:pt idx="8">
                  <c:v>2018-08-27-07:00</c:v>
                </c:pt>
                <c:pt idx="9">
                  <c:v>2018-08-27-08:00</c:v>
                </c:pt>
                <c:pt idx="10">
                  <c:v>2018-08-27-09:00</c:v>
                </c:pt>
                <c:pt idx="11">
                  <c:v>2018-08-27-10:00</c:v>
                </c:pt>
                <c:pt idx="12">
                  <c:v>2018-08-27-11:00</c:v>
                </c:pt>
                <c:pt idx="13">
                  <c:v>2018-08-27-12:00</c:v>
                </c:pt>
                <c:pt idx="14">
                  <c:v>2018-08-27-13:00</c:v>
                </c:pt>
                <c:pt idx="15">
                  <c:v>2018-08-27-14:00</c:v>
                </c:pt>
                <c:pt idx="16">
                  <c:v>2018-08-27-15:00</c:v>
                </c:pt>
                <c:pt idx="17">
                  <c:v>2018-08-27-16:00</c:v>
                </c:pt>
                <c:pt idx="18">
                  <c:v>2018-08-27-17:00</c:v>
                </c:pt>
                <c:pt idx="19">
                  <c:v>2018-08-27-18:00</c:v>
                </c:pt>
                <c:pt idx="20">
                  <c:v>2018-08-27-19:00</c:v>
                </c:pt>
                <c:pt idx="21">
                  <c:v>2018-08-27-20:00</c:v>
                </c:pt>
                <c:pt idx="22">
                  <c:v>2018-08-27-21:00</c:v>
                </c:pt>
                <c:pt idx="23">
                  <c:v>2018-08-27-22:00</c:v>
                </c:pt>
                <c:pt idx="24">
                  <c:v>2018-08-27-23:00</c:v>
                </c:pt>
                <c:pt idx="25">
                  <c:v>2018-08-28-00:00</c:v>
                </c:pt>
                <c:pt idx="26">
                  <c:v>2018-08-28-01:00</c:v>
                </c:pt>
                <c:pt idx="27">
                  <c:v>2018-08-28-02:00</c:v>
                </c:pt>
                <c:pt idx="28">
                  <c:v>2018-08-28-03:00</c:v>
                </c:pt>
                <c:pt idx="29">
                  <c:v>2018-08-28-04:00</c:v>
                </c:pt>
                <c:pt idx="30">
                  <c:v>2018-08-28-05:00</c:v>
                </c:pt>
                <c:pt idx="31">
                  <c:v>2018-08-28-06:00</c:v>
                </c:pt>
                <c:pt idx="32">
                  <c:v>2018-08-28-07:00</c:v>
                </c:pt>
                <c:pt idx="33">
                  <c:v>2018-08-28-08:00</c:v>
                </c:pt>
                <c:pt idx="34">
                  <c:v>2018-08-28-09:00</c:v>
                </c:pt>
                <c:pt idx="35">
                  <c:v>2018-08-28-10:00</c:v>
                </c:pt>
                <c:pt idx="36">
                  <c:v>2018-08-28-11:00</c:v>
                </c:pt>
                <c:pt idx="37">
                  <c:v>2018-08-28-12:00</c:v>
                </c:pt>
                <c:pt idx="38">
                  <c:v>2018-08-28-13:00</c:v>
                </c:pt>
                <c:pt idx="39">
                  <c:v>2018-08-28-14:00</c:v>
                </c:pt>
                <c:pt idx="40">
                  <c:v>2018-08-28-15:00</c:v>
                </c:pt>
                <c:pt idx="41">
                  <c:v>2018-08-28-16:00</c:v>
                </c:pt>
                <c:pt idx="42">
                  <c:v>2018-08-28-17:00</c:v>
                </c:pt>
                <c:pt idx="43">
                  <c:v>2018-08-28-18:00</c:v>
                </c:pt>
                <c:pt idx="44">
                  <c:v>2018-08-28-19:00</c:v>
                </c:pt>
                <c:pt idx="45">
                  <c:v>2018-08-28-20:00</c:v>
                </c:pt>
                <c:pt idx="46">
                  <c:v>2018-08-28-21:00</c:v>
                </c:pt>
                <c:pt idx="47">
                  <c:v>2018-08-28-22:00</c:v>
                </c:pt>
                <c:pt idx="48">
                  <c:v>2018-08-28-23:00</c:v>
                </c:pt>
                <c:pt idx="49">
                  <c:v>2018-08-29-00:00</c:v>
                </c:pt>
                <c:pt idx="50">
                  <c:v>2018-08-29-01:00</c:v>
                </c:pt>
                <c:pt idx="51">
                  <c:v>2018-08-29-02:00</c:v>
                </c:pt>
                <c:pt idx="52">
                  <c:v>2018-08-29-03:00</c:v>
                </c:pt>
                <c:pt idx="53">
                  <c:v>2018-08-29-04:00</c:v>
                </c:pt>
                <c:pt idx="54">
                  <c:v>2018-08-29-05:00</c:v>
                </c:pt>
                <c:pt idx="55">
                  <c:v>2018-08-29-06:00</c:v>
                </c:pt>
                <c:pt idx="56">
                  <c:v>2018-08-29-07:00</c:v>
                </c:pt>
                <c:pt idx="57">
                  <c:v>2018-08-29-08:00</c:v>
                </c:pt>
                <c:pt idx="58">
                  <c:v>2018-08-29-09:00</c:v>
                </c:pt>
                <c:pt idx="59">
                  <c:v>2018-08-29-10:00</c:v>
                </c:pt>
                <c:pt idx="60">
                  <c:v>2018-08-29-11:00</c:v>
                </c:pt>
                <c:pt idx="61">
                  <c:v>2018-08-29-12:00</c:v>
                </c:pt>
                <c:pt idx="62">
                  <c:v>2018-08-29-13:00</c:v>
                </c:pt>
                <c:pt idx="63">
                  <c:v>2018-08-29-14:00</c:v>
                </c:pt>
                <c:pt idx="64">
                  <c:v>2018-08-29-15:00</c:v>
                </c:pt>
                <c:pt idx="65">
                  <c:v>2018-08-29-16:00</c:v>
                </c:pt>
                <c:pt idx="66">
                  <c:v>2018-08-29-17:00</c:v>
                </c:pt>
                <c:pt idx="67">
                  <c:v>2018-08-29-18:00</c:v>
                </c:pt>
                <c:pt idx="68">
                  <c:v>2018-08-29-19:00</c:v>
                </c:pt>
                <c:pt idx="69">
                  <c:v>2018-08-29-20:00</c:v>
                </c:pt>
                <c:pt idx="70">
                  <c:v>2018-08-29-21:00</c:v>
                </c:pt>
                <c:pt idx="71">
                  <c:v>2018-08-29-22:00</c:v>
                </c:pt>
                <c:pt idx="72">
                  <c:v>2018-08-29-23:00</c:v>
                </c:pt>
                <c:pt idx="73">
                  <c:v>2018-08-30-00:00</c:v>
                </c:pt>
                <c:pt idx="74">
                  <c:v>2018-08-30-01:00</c:v>
                </c:pt>
                <c:pt idx="75">
                  <c:v>2018-08-30-02:00</c:v>
                </c:pt>
                <c:pt idx="76">
                  <c:v>2018-08-30-03:00</c:v>
                </c:pt>
                <c:pt idx="77">
                  <c:v>2018-08-30-04:00</c:v>
                </c:pt>
                <c:pt idx="78">
                  <c:v>2018-08-30-05:00</c:v>
                </c:pt>
                <c:pt idx="79">
                  <c:v>2018-08-30-06:00</c:v>
                </c:pt>
                <c:pt idx="80">
                  <c:v>2018-08-30-07:00</c:v>
                </c:pt>
                <c:pt idx="81">
                  <c:v>2018-08-30-08:00</c:v>
                </c:pt>
                <c:pt idx="82">
                  <c:v>2018-08-30-09:00</c:v>
                </c:pt>
                <c:pt idx="83">
                  <c:v>2018-08-30-10:00</c:v>
                </c:pt>
                <c:pt idx="84">
                  <c:v>2018-08-30-11:00</c:v>
                </c:pt>
                <c:pt idx="85">
                  <c:v>2018-08-30-12:00</c:v>
                </c:pt>
                <c:pt idx="86">
                  <c:v>2018-08-30-13:00</c:v>
                </c:pt>
                <c:pt idx="87">
                  <c:v>2018-08-30-14:00</c:v>
                </c:pt>
                <c:pt idx="88">
                  <c:v>2018-08-30-15:00</c:v>
                </c:pt>
                <c:pt idx="89">
                  <c:v>2018-08-30-16:00</c:v>
                </c:pt>
                <c:pt idx="90">
                  <c:v>2018-08-30-17:00</c:v>
                </c:pt>
                <c:pt idx="91">
                  <c:v>2018-08-30-18:00</c:v>
                </c:pt>
                <c:pt idx="92">
                  <c:v>2018-08-30-19:00</c:v>
                </c:pt>
                <c:pt idx="93">
                  <c:v>2018-08-30-20:00</c:v>
                </c:pt>
                <c:pt idx="94">
                  <c:v>2018-08-30-21:00</c:v>
                </c:pt>
                <c:pt idx="95">
                  <c:v>2018-08-30-22:00</c:v>
                </c:pt>
                <c:pt idx="96">
                  <c:v>2018-08-30-23:00</c:v>
                </c:pt>
                <c:pt idx="97">
                  <c:v>2018-08-31-00:00</c:v>
                </c:pt>
                <c:pt idx="98">
                  <c:v>2018-08-31-01:00</c:v>
                </c:pt>
                <c:pt idx="99">
                  <c:v>2018-08-31-02:00</c:v>
                </c:pt>
              </c:strCache>
            </c:strRef>
          </c:cat>
          <c:val>
            <c:numRef>
              <c:f>New_TR!$D$2:$D$102</c:f>
              <c:numCache>
                <c:formatCode>0.00000</c:formatCode>
                <c:ptCount val="100"/>
                <c:pt idx="50">
                  <c:v>9.4210001407191198E-5</c:v>
                </c:pt>
                <c:pt idx="51">
                  <c:v>8.8125547335948754E-5</c:v>
                </c:pt>
                <c:pt idx="52">
                  <c:v>4.1082268580794998E-5</c:v>
                </c:pt>
                <c:pt idx="53">
                  <c:v>5.6329881772399999E-6</c:v>
                </c:pt>
                <c:pt idx="54">
                  <c:v>3.6191195249558003E-5</c:v>
                </c:pt>
                <c:pt idx="55">
                  <c:v>2.0458333892748E-5</c:v>
                </c:pt>
                <c:pt idx="56">
                  <c:v>1.38896502903658E-5</c:v>
                </c:pt>
                <c:pt idx="57">
                  <c:v>2.7901478460988999E-6</c:v>
                </c:pt>
                <c:pt idx="58">
                  <c:v>4.624587018043E-5</c:v>
                </c:pt>
                <c:pt idx="59">
                  <c:v>2.800457878038E-6</c:v>
                </c:pt>
                <c:pt idx="60">
                  <c:v>3.9801991079002998E-5</c:v>
                </c:pt>
                <c:pt idx="61">
                  <c:v>4.8538029659539E-5</c:v>
                </c:pt>
                <c:pt idx="62">
                  <c:v>5.6230608606710901E-5</c:v>
                </c:pt>
                <c:pt idx="63">
                  <c:v>5.5497395806014999E-5</c:v>
                </c:pt>
                <c:pt idx="64">
                  <c:v>2.2710562916473001E-5</c:v>
                </c:pt>
                <c:pt idx="65">
                  <c:v>5.1058828830719997E-5</c:v>
                </c:pt>
                <c:pt idx="66">
                  <c:v>6.5514352172620001E-5</c:v>
                </c:pt>
                <c:pt idx="67">
                  <c:v>4.4569140300154002E-5</c:v>
                </c:pt>
                <c:pt idx="68">
                  <c:v>4.0402781451121E-5</c:v>
                </c:pt>
                <c:pt idx="69">
                  <c:v>4.3595427996479E-6</c:v>
                </c:pt>
                <c:pt idx="70">
                  <c:v>2.496526576579E-6</c:v>
                </c:pt>
                <c:pt idx="71">
                  <c:v>7.3835253715510004E-6</c:v>
                </c:pt>
                <c:pt idx="72">
                  <c:v>1.5563346096315001E-5</c:v>
                </c:pt>
                <c:pt idx="73">
                  <c:v>1.5286954294424501E-5</c:v>
                </c:pt>
                <c:pt idx="74">
                  <c:v>1.2058517313558001E-6</c:v>
                </c:pt>
                <c:pt idx="75">
                  <c:v>6.1099308368285001E-6</c:v>
                </c:pt>
                <c:pt idx="76">
                  <c:v>7.9491292126500005E-7</c:v>
                </c:pt>
                <c:pt idx="77">
                  <c:v>6.975082214922E-6</c:v>
                </c:pt>
                <c:pt idx="78">
                  <c:v>1.6210571629926999E-5</c:v>
                </c:pt>
                <c:pt idx="79">
                  <c:v>5.622074240819E-6</c:v>
                </c:pt>
                <c:pt idx="80">
                  <c:v>1.7843078239820999E-5</c:v>
                </c:pt>
                <c:pt idx="81">
                  <c:v>2.6782508939510002E-6</c:v>
                </c:pt>
                <c:pt idx="82">
                  <c:v>2.9711110983044001E-5</c:v>
                </c:pt>
                <c:pt idx="83">
                  <c:v>5.7916156947609998E-5</c:v>
                </c:pt>
                <c:pt idx="84">
                  <c:v>9.9724042229360006E-5</c:v>
                </c:pt>
                <c:pt idx="85">
                  <c:v>6.5362255554645996E-5</c:v>
                </c:pt>
                <c:pt idx="86">
                  <c:v>1.8255668692291E-5</c:v>
                </c:pt>
                <c:pt idx="87">
                  <c:v>3.6761048249902001E-5</c:v>
                </c:pt>
                <c:pt idx="88">
                  <c:v>3.2696407288309998E-6</c:v>
                </c:pt>
                <c:pt idx="89">
                  <c:v>2.2517167963090002E-5</c:v>
                </c:pt>
                <c:pt idx="90">
                  <c:v>2.0800041966139999E-5</c:v>
                </c:pt>
                <c:pt idx="91">
                  <c:v>9.6779549494390005E-6</c:v>
                </c:pt>
                <c:pt idx="92">
                  <c:v>2.6446432457305999E-5</c:v>
                </c:pt>
                <c:pt idx="93">
                  <c:v>5.1361625082791001E-5</c:v>
                </c:pt>
                <c:pt idx="94">
                  <c:v>5.6907854741439E-5</c:v>
                </c:pt>
                <c:pt idx="95">
                  <c:v>3.4049793612211997E-5</c:v>
                </c:pt>
                <c:pt idx="96">
                  <c:v>1.6532445442861999E-5</c:v>
                </c:pt>
                <c:pt idx="97">
                  <c:v>1.5041907317936E-5</c:v>
                </c:pt>
                <c:pt idx="98">
                  <c:v>1.0681853746064001E-4</c:v>
                </c:pt>
                <c:pt idx="99">
                  <c:v>2.95307341730222E-4</c:v>
                </c:pt>
              </c:numCache>
            </c:numRef>
          </c:val>
          <c:smooth val="0"/>
        </c:ser>
        <c:dLbls>
          <c:showLegendKey val="0"/>
          <c:showVal val="0"/>
          <c:showCatName val="0"/>
          <c:showSerName val="0"/>
          <c:showPercent val="0"/>
          <c:showBubbleSize val="0"/>
        </c:dLbls>
        <c:marker val="1"/>
        <c:smooth val="0"/>
        <c:axId val="-36099392"/>
        <c:axId val="-1798535360"/>
      </c:lineChart>
      <c:catAx>
        <c:axId val="-1770444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0434496"/>
        <c:crosses val="autoZero"/>
        <c:auto val="1"/>
        <c:lblAlgn val="ctr"/>
        <c:lblOffset val="100"/>
        <c:noMultiLvlLbl val="0"/>
      </c:catAx>
      <c:valAx>
        <c:axId val="-177043449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0444288"/>
        <c:crosses val="autoZero"/>
        <c:crossBetween val="between"/>
      </c:valAx>
      <c:valAx>
        <c:axId val="-179853536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99392"/>
        <c:crosses val="max"/>
        <c:crossBetween val="between"/>
      </c:valAx>
      <c:catAx>
        <c:axId val="-36099392"/>
        <c:scaling>
          <c:orientation val="minMax"/>
        </c:scaling>
        <c:delete val="1"/>
        <c:axPos val="b"/>
        <c:numFmt formatCode="General" sourceLinked="1"/>
        <c:majorTickMark val="out"/>
        <c:minorTickMark val="none"/>
        <c:tickLblPos val="nextTo"/>
        <c:crossAx val="-1798535360"/>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33"/>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3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6"/>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37"/>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3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9"/>
        <c:spPr>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40"/>
        <c:spPr>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s>
    <c:plotArea>
      <c:layout/>
      <c:lineChart>
        <c:grouping val="standard"/>
        <c:varyColors val="0"/>
        <c:ser>
          <c:idx val="0"/>
          <c:order val="0"/>
          <c:tx>
            <c:strRef>
              <c:f>TradeError!$B$2</c:f>
              <c:strCache>
                <c:ptCount val="1"/>
                <c:pt idx="0">
                  <c:v>actH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TradeError!$B$3:$B$27</c:f>
              <c:numCache>
                <c:formatCode>0.00000</c:formatCode>
                <c:ptCount val="24"/>
                <c:pt idx="0">
                  <c:v>1.1709099999999999</c:v>
                </c:pt>
                <c:pt idx="1">
                  <c:v>1.17083</c:v>
                </c:pt>
                <c:pt idx="2">
                  <c:v>1.17093</c:v>
                </c:pt>
                <c:pt idx="3">
                  <c:v>1.1709799999999999</c:v>
                </c:pt>
                <c:pt idx="4">
                  <c:v>1.17127</c:v>
                </c:pt>
                <c:pt idx="5">
                  <c:v>1.17099</c:v>
                </c:pt>
                <c:pt idx="6">
                  <c:v>1.17059</c:v>
                </c:pt>
                <c:pt idx="7">
                  <c:v>1.17045</c:v>
                </c:pt>
                <c:pt idx="8">
                  <c:v>1.1702399999999999</c:v>
                </c:pt>
                <c:pt idx="9">
                  <c:v>1.1698900000000001</c:v>
                </c:pt>
                <c:pt idx="10">
                  <c:v>1.1705099999999999</c:v>
                </c:pt>
                <c:pt idx="11">
                  <c:v>1.17174</c:v>
                </c:pt>
                <c:pt idx="12">
                  <c:v>1.1703600000000001</c:v>
                </c:pt>
                <c:pt idx="13">
                  <c:v>1.16991</c:v>
                </c:pt>
                <c:pt idx="14">
                  <c:v>1.17082</c:v>
                </c:pt>
                <c:pt idx="15">
                  <c:v>1.1698299999999999</c:v>
                </c:pt>
                <c:pt idx="16">
                  <c:v>1.1695199999999999</c:v>
                </c:pt>
                <c:pt idx="17">
                  <c:v>1.1681900000000001</c:v>
                </c:pt>
                <c:pt idx="18">
                  <c:v>1.1667700000000001</c:v>
                </c:pt>
                <c:pt idx="19">
                  <c:v>1.16612</c:v>
                </c:pt>
                <c:pt idx="20">
                  <c:v>1.16598</c:v>
                </c:pt>
                <c:pt idx="21">
                  <c:v>1.16692</c:v>
                </c:pt>
                <c:pt idx="22">
                  <c:v>1.1671400000000001</c:v>
                </c:pt>
                <c:pt idx="23">
                  <c:v>1.1678299999999999</c:v>
                </c:pt>
              </c:numCache>
            </c:numRef>
          </c:val>
          <c:smooth val="0"/>
        </c:ser>
        <c:ser>
          <c:idx val="1"/>
          <c:order val="1"/>
          <c:tx>
            <c:strRef>
              <c:f>TradeError!$C$2</c:f>
              <c:strCache>
                <c:ptCount val="1"/>
                <c:pt idx="0">
                  <c:v>prdH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TradeError!$C$3:$C$27</c:f>
              <c:numCache>
                <c:formatCode>0.00000</c:formatCode>
                <c:ptCount val="24"/>
                <c:pt idx="0">
                  <c:v>1.170415</c:v>
                </c:pt>
                <c:pt idx="1">
                  <c:v>1.1700159999999999</c:v>
                </c:pt>
                <c:pt idx="2">
                  <c:v>1.1705950000000001</c:v>
                </c:pt>
                <c:pt idx="3">
                  <c:v>1.1707970000000001</c:v>
                </c:pt>
                <c:pt idx="4">
                  <c:v>1.170712</c:v>
                </c:pt>
                <c:pt idx="5">
                  <c:v>1.170757</c:v>
                </c:pt>
                <c:pt idx="6">
                  <c:v>1.170876</c:v>
                </c:pt>
                <c:pt idx="7">
                  <c:v>1.1712560000000001</c:v>
                </c:pt>
                <c:pt idx="8">
                  <c:v>1.170917</c:v>
                </c:pt>
                <c:pt idx="9">
                  <c:v>1.1705000000000001</c:v>
                </c:pt>
                <c:pt idx="10">
                  <c:v>1.170382</c:v>
                </c:pt>
                <c:pt idx="11">
                  <c:v>1.1700980000000001</c:v>
                </c:pt>
                <c:pt idx="12">
                  <c:v>1.1696530000000001</c:v>
                </c:pt>
                <c:pt idx="13">
                  <c:v>1.170517</c:v>
                </c:pt>
                <c:pt idx="14">
                  <c:v>1.171748</c:v>
                </c:pt>
                <c:pt idx="15">
                  <c:v>1.170369</c:v>
                </c:pt>
                <c:pt idx="16">
                  <c:v>1.1700349999999999</c:v>
                </c:pt>
                <c:pt idx="17">
                  <c:v>1.170944</c:v>
                </c:pt>
                <c:pt idx="18">
                  <c:v>1.170088</c:v>
                </c:pt>
                <c:pt idx="19">
                  <c:v>1.1696800000000001</c:v>
                </c:pt>
                <c:pt idx="20">
                  <c:v>1.168553</c:v>
                </c:pt>
                <c:pt idx="21">
                  <c:v>1.1671240000000001</c:v>
                </c:pt>
                <c:pt idx="22">
                  <c:v>1.166377</c:v>
                </c:pt>
                <c:pt idx="23">
                  <c:v>1.16618</c:v>
                </c:pt>
              </c:numCache>
            </c:numRef>
          </c:val>
          <c:smooth val="0"/>
        </c:ser>
        <c:ser>
          <c:idx val="3"/>
          <c:order val="3"/>
          <c:tx>
            <c:strRef>
              <c:f>TradeError!$E$2</c:f>
              <c:strCache>
                <c:ptCount val="1"/>
                <c:pt idx="0">
                  <c:v>actL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TradeError!$E$3:$E$27</c:f>
              <c:numCache>
                <c:formatCode>0.00000</c:formatCode>
                <c:ptCount val="24"/>
                <c:pt idx="0">
                  <c:v>1.17022</c:v>
                </c:pt>
                <c:pt idx="1">
                  <c:v>1.17041</c:v>
                </c:pt>
                <c:pt idx="2">
                  <c:v>1.1705399999999999</c:v>
                </c:pt>
                <c:pt idx="3">
                  <c:v>1.1705399999999999</c:v>
                </c:pt>
                <c:pt idx="4">
                  <c:v>1.17012</c:v>
                </c:pt>
                <c:pt idx="5">
                  <c:v>1.1695800000000001</c:v>
                </c:pt>
                <c:pt idx="6">
                  <c:v>1.16997</c:v>
                </c:pt>
                <c:pt idx="7">
                  <c:v>1.16947</c:v>
                </c:pt>
                <c:pt idx="8">
                  <c:v>1.1696500000000001</c:v>
                </c:pt>
                <c:pt idx="9">
                  <c:v>1.1685000000000001</c:v>
                </c:pt>
                <c:pt idx="10">
                  <c:v>1.16883</c:v>
                </c:pt>
                <c:pt idx="11">
                  <c:v>1.1695899999999999</c:v>
                </c:pt>
                <c:pt idx="12">
                  <c:v>1.16743</c:v>
                </c:pt>
                <c:pt idx="13">
                  <c:v>1.16839</c:v>
                </c:pt>
                <c:pt idx="14">
                  <c:v>1.16906</c:v>
                </c:pt>
                <c:pt idx="15">
                  <c:v>1.16815</c:v>
                </c:pt>
                <c:pt idx="16">
                  <c:v>1.16761</c:v>
                </c:pt>
                <c:pt idx="17">
                  <c:v>1.1643399999999999</c:v>
                </c:pt>
                <c:pt idx="18">
                  <c:v>1.1649700000000001</c:v>
                </c:pt>
                <c:pt idx="19">
                  <c:v>1.1641300000000001</c:v>
                </c:pt>
                <c:pt idx="20">
                  <c:v>1.1640999999999999</c:v>
                </c:pt>
                <c:pt idx="21">
                  <c:v>1.1649099999999999</c:v>
                </c:pt>
                <c:pt idx="22">
                  <c:v>1.1655199999999999</c:v>
                </c:pt>
                <c:pt idx="23">
                  <c:v>1.1658999999999999</c:v>
                </c:pt>
              </c:numCache>
            </c:numRef>
          </c:val>
          <c:smooth val="0"/>
        </c:ser>
        <c:ser>
          <c:idx val="4"/>
          <c:order val="4"/>
          <c:tx>
            <c:strRef>
              <c:f>TradeError!$F$2</c:f>
              <c:strCache>
                <c:ptCount val="1"/>
                <c:pt idx="0">
                  <c:v>prdL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TradeError!$F$3:$F$27</c:f>
              <c:numCache>
                <c:formatCode>0.00000</c:formatCode>
                <c:ptCount val="24"/>
                <c:pt idx="0">
                  <c:v>1.1692709999999999</c:v>
                </c:pt>
                <c:pt idx="1">
                  <c:v>1.1686099999999999</c:v>
                </c:pt>
                <c:pt idx="2">
                  <c:v>1.169508</c:v>
                </c:pt>
                <c:pt idx="3">
                  <c:v>1.169986</c:v>
                </c:pt>
                <c:pt idx="4">
                  <c:v>1.1701589999999999</c:v>
                </c:pt>
                <c:pt idx="5">
                  <c:v>1.170269</c:v>
                </c:pt>
                <c:pt idx="6">
                  <c:v>1.1703220000000001</c:v>
                </c:pt>
                <c:pt idx="7">
                  <c:v>1.169934</c:v>
                </c:pt>
                <c:pt idx="8">
                  <c:v>1.169387</c:v>
                </c:pt>
                <c:pt idx="9">
                  <c:v>1.169789</c:v>
                </c:pt>
                <c:pt idx="10">
                  <c:v>1.169354</c:v>
                </c:pt>
                <c:pt idx="11">
                  <c:v>1.16954</c:v>
                </c:pt>
                <c:pt idx="12">
                  <c:v>1.168274</c:v>
                </c:pt>
                <c:pt idx="13">
                  <c:v>1.1688270000000001</c:v>
                </c:pt>
                <c:pt idx="14">
                  <c:v>1.169608</c:v>
                </c:pt>
                <c:pt idx="15">
                  <c:v>1.1674310000000001</c:v>
                </c:pt>
                <c:pt idx="16">
                  <c:v>1.168558</c:v>
                </c:pt>
                <c:pt idx="17">
                  <c:v>1.1692419999999999</c:v>
                </c:pt>
                <c:pt idx="18">
                  <c:v>1.16804</c:v>
                </c:pt>
                <c:pt idx="19">
                  <c:v>1.1677439999999999</c:v>
                </c:pt>
                <c:pt idx="20">
                  <c:v>1.1649499999999999</c:v>
                </c:pt>
                <c:pt idx="21">
                  <c:v>1.1654659999999999</c:v>
                </c:pt>
                <c:pt idx="22">
                  <c:v>1.1645490000000001</c:v>
                </c:pt>
                <c:pt idx="23">
                  <c:v>1.164364</c:v>
                </c:pt>
              </c:numCache>
            </c:numRef>
          </c:val>
          <c:smooth val="0"/>
        </c:ser>
        <c:ser>
          <c:idx val="6"/>
          <c:order val="6"/>
          <c:tx>
            <c:strRef>
              <c:f>TradeError!$H$2</c:f>
              <c:strCache>
                <c:ptCount val="1"/>
                <c:pt idx="0">
                  <c:v>actC</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TradeError!$H$3:$H$27</c:f>
              <c:numCache>
                <c:formatCode>0.00000</c:formatCode>
                <c:ptCount val="24"/>
                <c:pt idx="0">
                  <c:v>1.1705700000000001</c:v>
                </c:pt>
                <c:pt idx="1">
                  <c:v>1.1708099999999999</c:v>
                </c:pt>
                <c:pt idx="2">
                  <c:v>1.1705399999999999</c:v>
                </c:pt>
                <c:pt idx="3">
                  <c:v>1.17086</c:v>
                </c:pt>
                <c:pt idx="4">
                  <c:v>1.1705000000000001</c:v>
                </c:pt>
                <c:pt idx="5">
                  <c:v>1.1703600000000001</c:v>
                </c:pt>
                <c:pt idx="6">
                  <c:v>1.17</c:v>
                </c:pt>
                <c:pt idx="7">
                  <c:v>1.16995</c:v>
                </c:pt>
                <c:pt idx="8">
                  <c:v>1.1698500000000001</c:v>
                </c:pt>
                <c:pt idx="9">
                  <c:v>1.1688700000000001</c:v>
                </c:pt>
                <c:pt idx="10">
                  <c:v>1.17028</c:v>
                </c:pt>
                <c:pt idx="11">
                  <c:v>1.17015</c:v>
                </c:pt>
                <c:pt idx="12">
                  <c:v>1.16862</c:v>
                </c:pt>
                <c:pt idx="13">
                  <c:v>1.1698500000000001</c:v>
                </c:pt>
                <c:pt idx="14">
                  <c:v>1.1697</c:v>
                </c:pt>
                <c:pt idx="15">
                  <c:v>1.1685399999999999</c:v>
                </c:pt>
                <c:pt idx="16">
                  <c:v>1.16767</c:v>
                </c:pt>
                <c:pt idx="17">
                  <c:v>1.1659200000000001</c:v>
                </c:pt>
                <c:pt idx="18">
                  <c:v>1.16564</c:v>
                </c:pt>
                <c:pt idx="19">
                  <c:v>1.1645399999999999</c:v>
                </c:pt>
                <c:pt idx="20">
                  <c:v>1.16564</c:v>
                </c:pt>
                <c:pt idx="21">
                  <c:v>1.1667400000000001</c:v>
                </c:pt>
                <c:pt idx="22">
                  <c:v>1.1664099999999999</c:v>
                </c:pt>
                <c:pt idx="23">
                  <c:v>1.16761</c:v>
                </c:pt>
              </c:numCache>
            </c:numRef>
          </c:val>
          <c:smooth val="0"/>
        </c:ser>
        <c:ser>
          <c:idx val="7"/>
          <c:order val="7"/>
          <c:tx>
            <c:strRef>
              <c:f>TradeError!$I$2</c:f>
              <c:strCache>
                <c:ptCount val="1"/>
                <c:pt idx="0">
                  <c:v>prdC</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TradeError!$I$3:$I$27</c:f>
              <c:numCache>
                <c:formatCode>0.00000</c:formatCode>
                <c:ptCount val="24"/>
                <c:pt idx="0">
                  <c:v>1.1705700000000001</c:v>
                </c:pt>
                <c:pt idx="1">
                  <c:v>1.1708099999999999</c:v>
                </c:pt>
                <c:pt idx="2">
                  <c:v>1.1705399999999999</c:v>
                </c:pt>
                <c:pt idx="3">
                  <c:v>1.17086</c:v>
                </c:pt>
                <c:pt idx="4">
                  <c:v>1.1705000000000001</c:v>
                </c:pt>
                <c:pt idx="5">
                  <c:v>1.1703600000000001</c:v>
                </c:pt>
                <c:pt idx="6">
                  <c:v>1.17</c:v>
                </c:pt>
                <c:pt idx="7">
                  <c:v>1.16995</c:v>
                </c:pt>
                <c:pt idx="8">
                  <c:v>1.1698500000000001</c:v>
                </c:pt>
                <c:pt idx="9">
                  <c:v>1.1688700000000001</c:v>
                </c:pt>
                <c:pt idx="10">
                  <c:v>1.17028</c:v>
                </c:pt>
                <c:pt idx="11">
                  <c:v>1.17015</c:v>
                </c:pt>
                <c:pt idx="12">
                  <c:v>1.16862</c:v>
                </c:pt>
                <c:pt idx="13">
                  <c:v>1.1698500000000001</c:v>
                </c:pt>
                <c:pt idx="14">
                  <c:v>1.1697</c:v>
                </c:pt>
                <c:pt idx="15">
                  <c:v>1.1685399999999999</c:v>
                </c:pt>
                <c:pt idx="16">
                  <c:v>1.16767</c:v>
                </c:pt>
                <c:pt idx="17">
                  <c:v>1.1659200000000001</c:v>
                </c:pt>
                <c:pt idx="18">
                  <c:v>1.16564</c:v>
                </c:pt>
                <c:pt idx="19">
                  <c:v>1.1645399999999999</c:v>
                </c:pt>
                <c:pt idx="20">
                  <c:v>1.16564</c:v>
                </c:pt>
                <c:pt idx="21">
                  <c:v>1.1667400000000001</c:v>
                </c:pt>
                <c:pt idx="22">
                  <c:v>1.1664099999999999</c:v>
                </c:pt>
                <c:pt idx="23">
                  <c:v>1.16761</c:v>
                </c:pt>
              </c:numCache>
            </c:numRef>
          </c:val>
          <c:smooth val="0"/>
        </c:ser>
        <c:dLbls>
          <c:showLegendKey val="0"/>
          <c:showVal val="0"/>
          <c:showCatName val="0"/>
          <c:showSerName val="0"/>
          <c:showPercent val="0"/>
          <c:showBubbleSize val="0"/>
        </c:dLbls>
        <c:marker val="1"/>
        <c:smooth val="0"/>
        <c:axId val="-36096128"/>
        <c:axId val="-36095584"/>
      </c:lineChart>
      <c:lineChart>
        <c:grouping val="standard"/>
        <c:varyColors val="0"/>
        <c:ser>
          <c:idx val="2"/>
          <c:order val="2"/>
          <c:tx>
            <c:strRef>
              <c:f>TradeError!$D$2</c:f>
              <c:strCache>
                <c:ptCount val="1"/>
                <c:pt idx="0">
                  <c:v>errH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TradeError!$D$3:$D$27</c:f>
              <c:numCache>
                <c:formatCode>0.00000</c:formatCode>
                <c:ptCount val="24"/>
                <c:pt idx="0">
                  <c:v>4.95E-4</c:v>
                </c:pt>
                <c:pt idx="1">
                  <c:v>8.1400000000000005E-4</c:v>
                </c:pt>
                <c:pt idx="2">
                  <c:v>3.3500000000000001E-4</c:v>
                </c:pt>
                <c:pt idx="3">
                  <c:v>1.83E-4</c:v>
                </c:pt>
                <c:pt idx="4">
                  <c:v>5.5800000000000001E-4</c:v>
                </c:pt>
                <c:pt idx="5">
                  <c:v>2.33E-4</c:v>
                </c:pt>
                <c:pt idx="6">
                  <c:v>2.8600000000000001E-4</c:v>
                </c:pt>
                <c:pt idx="7">
                  <c:v>8.0599999999999997E-4</c:v>
                </c:pt>
                <c:pt idx="8">
                  <c:v>6.7699999999999998E-4</c:v>
                </c:pt>
                <c:pt idx="9">
                  <c:v>6.0999999999999997E-4</c:v>
                </c:pt>
                <c:pt idx="10">
                  <c:v>1.2799999999999999E-4</c:v>
                </c:pt>
                <c:pt idx="11">
                  <c:v>1.642E-3</c:v>
                </c:pt>
                <c:pt idx="12">
                  <c:v>7.0699999999999995E-4</c:v>
                </c:pt>
                <c:pt idx="13">
                  <c:v>6.0700000000000001E-4</c:v>
                </c:pt>
                <c:pt idx="14">
                  <c:v>9.2800000000000001E-4</c:v>
                </c:pt>
                <c:pt idx="15">
                  <c:v>5.3899999999999998E-4</c:v>
                </c:pt>
                <c:pt idx="16">
                  <c:v>5.1500000000000005E-4</c:v>
                </c:pt>
                <c:pt idx="17">
                  <c:v>2.7539999999999999E-3</c:v>
                </c:pt>
                <c:pt idx="18">
                  <c:v>3.3180000000000002E-3</c:v>
                </c:pt>
                <c:pt idx="19">
                  <c:v>3.5599999999999998E-3</c:v>
                </c:pt>
                <c:pt idx="20">
                  <c:v>2.5730000000000002E-3</c:v>
                </c:pt>
                <c:pt idx="21">
                  <c:v>2.04E-4</c:v>
                </c:pt>
                <c:pt idx="22">
                  <c:v>7.6300000000000001E-4</c:v>
                </c:pt>
                <c:pt idx="23">
                  <c:v>1.65E-3</c:v>
                </c:pt>
              </c:numCache>
            </c:numRef>
          </c:val>
          <c:smooth val="0"/>
        </c:ser>
        <c:ser>
          <c:idx val="5"/>
          <c:order val="5"/>
          <c:tx>
            <c:strRef>
              <c:f>TradeError!$G$2</c:f>
              <c:strCache>
                <c:ptCount val="1"/>
                <c:pt idx="0">
                  <c:v>errL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TradeError!$G$3:$G$27</c:f>
              <c:numCache>
                <c:formatCode>0.00000</c:formatCode>
                <c:ptCount val="24"/>
                <c:pt idx="0">
                  <c:v>9.4899999999999997E-4</c:v>
                </c:pt>
                <c:pt idx="1">
                  <c:v>1.8E-3</c:v>
                </c:pt>
                <c:pt idx="2">
                  <c:v>1.0319999999999999E-3</c:v>
                </c:pt>
                <c:pt idx="3">
                  <c:v>5.5400000000000002E-4</c:v>
                </c:pt>
                <c:pt idx="4">
                  <c:v>3.8999999999999999E-5</c:v>
                </c:pt>
                <c:pt idx="5">
                  <c:v>6.8900000000000005E-4</c:v>
                </c:pt>
                <c:pt idx="6">
                  <c:v>3.5199999999999999E-4</c:v>
                </c:pt>
                <c:pt idx="7">
                  <c:v>4.64E-4</c:v>
                </c:pt>
                <c:pt idx="8">
                  <c:v>2.63E-4</c:v>
                </c:pt>
                <c:pt idx="9">
                  <c:v>1.289E-3</c:v>
                </c:pt>
                <c:pt idx="10">
                  <c:v>5.2400000000000005E-4</c:v>
                </c:pt>
                <c:pt idx="11">
                  <c:v>5.0000000000000002E-5</c:v>
                </c:pt>
                <c:pt idx="12">
                  <c:v>8.4400000000000002E-4</c:v>
                </c:pt>
                <c:pt idx="13">
                  <c:v>4.37E-4</c:v>
                </c:pt>
                <c:pt idx="14">
                  <c:v>5.4799999999999998E-4</c:v>
                </c:pt>
                <c:pt idx="15">
                  <c:v>7.1900000000000002E-4</c:v>
                </c:pt>
                <c:pt idx="16">
                  <c:v>9.4799999999999995E-4</c:v>
                </c:pt>
                <c:pt idx="17">
                  <c:v>4.9020000000000001E-3</c:v>
                </c:pt>
                <c:pt idx="18">
                  <c:v>3.0699999999999998E-3</c:v>
                </c:pt>
                <c:pt idx="19">
                  <c:v>3.614E-3</c:v>
                </c:pt>
                <c:pt idx="20">
                  <c:v>8.4999999999999995E-4</c:v>
                </c:pt>
                <c:pt idx="21">
                  <c:v>5.5599999999999996E-4</c:v>
                </c:pt>
                <c:pt idx="22">
                  <c:v>9.7099999999999997E-4</c:v>
                </c:pt>
                <c:pt idx="23">
                  <c:v>1.536E-3</c:v>
                </c:pt>
              </c:numCache>
            </c:numRef>
          </c:val>
          <c:smooth val="0"/>
        </c:ser>
        <c:ser>
          <c:idx val="8"/>
          <c:order val="8"/>
          <c:tx>
            <c:strRef>
              <c:f>TradeError!$J$2</c:f>
              <c:strCache>
                <c:ptCount val="1"/>
                <c:pt idx="0">
                  <c:v>errC</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TradeError!$A$3:$A$27</c:f>
              <c:strCache>
                <c:ptCount val="24"/>
                <c:pt idx="0">
                  <c:v>2018-08-29 23:00</c:v>
                </c:pt>
                <c:pt idx="1">
                  <c:v>2018-08-30 00:00</c:v>
                </c:pt>
                <c:pt idx="2">
                  <c:v>2018-08-30 01:00</c:v>
                </c:pt>
                <c:pt idx="3">
                  <c:v>2018-08-30 02:00</c:v>
                </c:pt>
                <c:pt idx="4">
                  <c:v>2018-08-30 03:00</c:v>
                </c:pt>
                <c:pt idx="5">
                  <c:v>2018-08-30 04:00</c:v>
                </c:pt>
                <c:pt idx="6">
                  <c:v>2018-08-30 05:00</c:v>
                </c:pt>
                <c:pt idx="7">
                  <c:v>2018-08-30 06:00</c:v>
                </c:pt>
                <c:pt idx="8">
                  <c:v>2018-08-30 07:00</c:v>
                </c:pt>
                <c:pt idx="9">
                  <c:v>2018-08-30 08:00</c:v>
                </c:pt>
                <c:pt idx="10">
                  <c:v>2018-08-30 09:00</c:v>
                </c:pt>
                <c:pt idx="11">
                  <c:v>2018-08-30 10:00</c:v>
                </c:pt>
                <c:pt idx="12">
                  <c:v>2018-08-30 11:00</c:v>
                </c:pt>
                <c:pt idx="13">
                  <c:v>2018-08-30 12:00</c:v>
                </c:pt>
                <c:pt idx="14">
                  <c:v>2018-08-30 13:00</c:v>
                </c:pt>
                <c:pt idx="15">
                  <c:v>2018-08-30 14:00</c:v>
                </c:pt>
                <c:pt idx="16">
                  <c:v>2018-08-30 15:00</c:v>
                </c:pt>
                <c:pt idx="17">
                  <c:v>2018-08-30 16:00</c:v>
                </c:pt>
                <c:pt idx="18">
                  <c:v>2018-08-30 17:00</c:v>
                </c:pt>
                <c:pt idx="19">
                  <c:v>2018-08-30 18:00</c:v>
                </c:pt>
                <c:pt idx="20">
                  <c:v>2018-08-30 19:00</c:v>
                </c:pt>
                <c:pt idx="21">
                  <c:v>2018-08-30 20:00</c:v>
                </c:pt>
                <c:pt idx="22">
                  <c:v>2018-08-30 21:00</c:v>
                </c:pt>
                <c:pt idx="23">
                  <c:v>2018-08-30 22:00</c:v>
                </c:pt>
              </c:strCache>
            </c:strRef>
          </c:cat>
          <c:val>
            <c:numRef>
              <c:f>TradeError!$J$3:$J$27</c:f>
              <c:numCache>
                <c:formatCode>0.00000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ser>
        <c:dLbls>
          <c:showLegendKey val="0"/>
          <c:showVal val="0"/>
          <c:showCatName val="0"/>
          <c:showSerName val="0"/>
          <c:showPercent val="0"/>
          <c:showBubbleSize val="0"/>
        </c:dLbls>
        <c:marker val="1"/>
        <c:smooth val="0"/>
        <c:axId val="-79122560"/>
        <c:axId val="-79127456"/>
      </c:lineChart>
      <c:catAx>
        <c:axId val="-36096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95584"/>
        <c:crosses val="autoZero"/>
        <c:auto val="1"/>
        <c:lblAlgn val="ctr"/>
        <c:lblOffset val="100"/>
        <c:noMultiLvlLbl val="0"/>
      </c:catAx>
      <c:valAx>
        <c:axId val="-3609558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96128"/>
        <c:crosses val="autoZero"/>
        <c:crossBetween val="between"/>
      </c:valAx>
      <c:valAx>
        <c:axId val="-7912745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22560"/>
        <c:crosses val="max"/>
        <c:crossBetween val="between"/>
      </c:valAx>
      <c:catAx>
        <c:axId val="-79122560"/>
        <c:scaling>
          <c:orientation val="minMax"/>
        </c:scaling>
        <c:delete val="1"/>
        <c:axPos val="b"/>
        <c:numFmt formatCode="General" sourceLinked="1"/>
        <c:majorTickMark val="out"/>
        <c:minorTickMark val="none"/>
        <c:tickLblPos val="nextTo"/>
        <c:crossAx val="-79127456"/>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dLbls>
          <c:showLegendKey val="0"/>
          <c:showVal val="0"/>
          <c:showCatName val="0"/>
          <c:showSerName val="0"/>
          <c:showPercent val="0"/>
          <c:showBubbleSize val="0"/>
        </c:dLbls>
        <c:marker val="1"/>
        <c:smooth val="0"/>
        <c:axId val="-35138464"/>
        <c:axId val="-35139008"/>
      </c:lineChart>
      <c:catAx>
        <c:axId val="-3513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39008"/>
        <c:crosses val="autoZero"/>
        <c:auto val="1"/>
        <c:lblAlgn val="ctr"/>
        <c:lblOffset val="100"/>
        <c:noMultiLvlLbl val="0"/>
      </c:catAx>
      <c:valAx>
        <c:axId val="-35139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384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[Tester.xlsm]Overview2!PivotTable1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Overview2!$B$1:$B$2</c:f>
              <c:strCache>
                <c:ptCount val="1"/>
                <c:pt idx="0">
                  <c:v>Average of AVGERRORTRS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Overview2!$A$3:$A$7</c:f>
              <c:strCache>
                <c:ptCount val="4"/>
                <c:pt idx="0">
                  <c:v>1</c:v>
                </c:pt>
                <c:pt idx="1">
                  <c:v>5</c:v>
                </c:pt>
                <c:pt idx="2">
                  <c:v>10</c:v>
                </c:pt>
                <c:pt idx="3">
                  <c:v>20</c:v>
                </c:pt>
              </c:strCache>
            </c:strRef>
          </c:cat>
          <c:val>
            <c:numRef>
              <c:f>Overview2!$B$3:$B$7</c:f>
              <c:numCache>
                <c:formatCode>General</c:formatCode>
                <c:ptCount val="4"/>
                <c:pt idx="0">
                  <c:v>0.10903226123945184</c:v>
                </c:pt>
                <c:pt idx="1">
                  <c:v>8.2701498630585221E-2</c:v>
                </c:pt>
                <c:pt idx="2">
                  <c:v>8.3921808410890628E-2</c:v>
                </c:pt>
                <c:pt idx="3">
                  <c:v>7.0878666766800685E-2</c:v>
                </c:pt>
              </c:numCache>
            </c:numRef>
          </c:val>
          <c:smooth val="0"/>
        </c:ser>
        <c:dLbls>
          <c:showLegendKey val="0"/>
          <c:showVal val="0"/>
          <c:showCatName val="0"/>
          <c:showSerName val="0"/>
          <c:showPercent val="0"/>
          <c:showBubbleSize val="0"/>
        </c:dLbls>
        <c:marker val="1"/>
        <c:smooth val="0"/>
        <c:axId val="-35146080"/>
        <c:axId val="-35137920"/>
      </c:lineChart>
      <c:lineChart>
        <c:grouping val="standard"/>
        <c:varyColors val="0"/>
        <c:ser>
          <c:idx val="1"/>
          <c:order val="1"/>
          <c:tx>
            <c:strRef>
              <c:f>Overview2!$C$1:$C$2</c:f>
              <c:strCache>
                <c:ptCount val="1"/>
                <c:pt idx="0">
                  <c:v>Average of AVGMSER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Overview2!$A$3:$A$7</c:f>
              <c:strCache>
                <c:ptCount val="4"/>
                <c:pt idx="0">
                  <c:v>1</c:v>
                </c:pt>
                <c:pt idx="1">
                  <c:v>5</c:v>
                </c:pt>
                <c:pt idx="2">
                  <c:v>10</c:v>
                </c:pt>
                <c:pt idx="3">
                  <c:v>20</c:v>
                </c:pt>
              </c:strCache>
            </c:strRef>
          </c:cat>
          <c:val>
            <c:numRef>
              <c:f>Overview2!$C$3:$C$7</c:f>
              <c:numCache>
                <c:formatCode>General</c:formatCode>
                <c:ptCount val="4"/>
                <c:pt idx="0">
                  <c:v>1.47228790447116E-2</c:v>
                </c:pt>
                <c:pt idx="1">
                  <c:v>1.1140202172100501E-2</c:v>
                </c:pt>
                <c:pt idx="2">
                  <c:v>1.1272941716015301E-2</c:v>
                </c:pt>
                <c:pt idx="3">
                  <c:v>5.34465117380023E-3</c:v>
                </c:pt>
              </c:numCache>
            </c:numRef>
          </c:val>
          <c:smooth val="0"/>
        </c:ser>
        <c:dLbls>
          <c:showLegendKey val="0"/>
          <c:showVal val="0"/>
          <c:showCatName val="0"/>
          <c:showSerName val="0"/>
          <c:showPercent val="0"/>
          <c:showBubbleSize val="0"/>
        </c:dLbls>
        <c:marker val="1"/>
        <c:smooth val="0"/>
        <c:axId val="-35135744"/>
        <c:axId val="-35134656"/>
      </c:lineChart>
      <c:catAx>
        <c:axId val="-351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37920"/>
        <c:crosses val="autoZero"/>
        <c:auto val="1"/>
        <c:lblAlgn val="ctr"/>
        <c:lblOffset val="100"/>
        <c:noMultiLvlLbl val="0"/>
      </c:catAx>
      <c:valAx>
        <c:axId val="-35137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46080"/>
        <c:crosses val="autoZero"/>
        <c:crossBetween val="between"/>
      </c:valAx>
      <c:valAx>
        <c:axId val="-3513465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35744"/>
        <c:crosses val="max"/>
        <c:crossBetween val="between"/>
      </c:valAx>
      <c:catAx>
        <c:axId val="-35135744"/>
        <c:scaling>
          <c:orientation val="minMax"/>
        </c:scaling>
        <c:delete val="1"/>
        <c:axPos val="b"/>
        <c:numFmt formatCode="General" sourceLinked="1"/>
        <c:majorTickMark val="out"/>
        <c:minorTickMark val="none"/>
        <c:tickLblPos val="nextTo"/>
        <c:crossAx val="-3513465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35146624"/>
        <c:axId val="-35145536"/>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35134112"/>
        <c:axId val="-35140640"/>
      </c:lineChart>
      <c:catAx>
        <c:axId val="-3514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45536"/>
        <c:crosses val="autoZero"/>
        <c:auto val="1"/>
        <c:lblAlgn val="ctr"/>
        <c:lblOffset val="100"/>
        <c:noMultiLvlLbl val="0"/>
      </c:catAx>
      <c:valAx>
        <c:axId val="-35145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46624"/>
        <c:crosses val="autoZero"/>
        <c:crossBetween val="between"/>
      </c:valAx>
      <c:valAx>
        <c:axId val="-3514064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34112"/>
        <c:crosses val="max"/>
        <c:crossBetween val="between"/>
      </c:valAx>
      <c:catAx>
        <c:axId val="-35134112"/>
        <c:scaling>
          <c:orientation val="minMax"/>
        </c:scaling>
        <c:delete val="1"/>
        <c:axPos val="b"/>
        <c:numFmt formatCode="General" sourceLinked="1"/>
        <c:majorTickMark val="out"/>
        <c:minorTickMark val="none"/>
        <c:tickLblPos val="nextTo"/>
        <c:crossAx val="-3514064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35144992"/>
        <c:axId val="-35141184"/>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35139552"/>
        <c:axId val="-35147168"/>
      </c:lineChart>
      <c:catAx>
        <c:axId val="-3514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41184"/>
        <c:crosses val="autoZero"/>
        <c:auto val="1"/>
        <c:lblAlgn val="ctr"/>
        <c:lblOffset val="100"/>
        <c:noMultiLvlLbl val="0"/>
      </c:catAx>
      <c:valAx>
        <c:axId val="-3514118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44992"/>
        <c:crosses val="autoZero"/>
        <c:crossBetween val="between"/>
      </c:valAx>
      <c:valAx>
        <c:axId val="-35147168"/>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39552"/>
        <c:crosses val="max"/>
        <c:crossBetween val="between"/>
      </c:valAx>
      <c:catAx>
        <c:axId val="-35139552"/>
        <c:scaling>
          <c:orientation val="minMax"/>
        </c:scaling>
        <c:delete val="1"/>
        <c:axPos val="b"/>
        <c:numFmt formatCode="General" sourceLinked="1"/>
        <c:majorTickMark val="out"/>
        <c:minorTickMark val="none"/>
        <c:tickLblPos val="nextTo"/>
        <c:crossAx val="-3514716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1.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3965201"/>
    <mc:AlternateContent xmlns:mc="http://schemas.openxmlformats.org/markup-compatibility/2006" xmlns:a14="http://schemas.microsoft.com/office/drawing/2010/main">
      <mc:Choice Requires="a14">
        <xdr:graphicFrame macro="">
          <xdr:nvGraphicFramePr>
            <xdr:cNvPr id="3" name="PROCESSID 6"/>
            <xdr:cNvGraphicFramePr/>
          </xdr:nvGraphicFramePr>
          <xdr:xfrm>
            <a:off x="0" y="0"/>
            <a:ext cx="0" cy="0"/>
          </xdr:xfrm>
          <a:graphic>
            <a:graphicData uri="http://schemas.microsoft.com/office/drawing/2010/slicer">
              <sle:slicer xmlns:sle="http://schemas.microsoft.com/office/drawing/2010/slicer" name="PROCESSID 6"/>
            </a:graphicData>
          </a:graphic>
        </xdr:graphicFrame>
      </mc:Choice>
      <mc:Fallback xmlns="">
        <xdr:sp macro="" textlink="">
          <xdr:nvSpPr>
            <xdr:cNvPr id="0" name=""/>
            <xdr:cNvSpPr>
              <a:spLocks noTextEdit="1"/>
            </xdr:cNvSpPr>
          </xdr:nvSpPr>
          <xdr:spPr>
            <a:xfrm>
              <a:off x="5730127" y="281828"/>
              <a:ext cx="1815353" cy="39652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22</xdr:row>
      <xdr:rowOff>156882</xdr:rowOff>
    </xdr:from>
    <xdr:ext cx="1815353" cy="1949824"/>
    <mc:AlternateContent xmlns:mc="http://schemas.openxmlformats.org/markup-compatibility/2006" xmlns:a14="http://schemas.microsoft.com/office/drawing/2010/main">
      <mc:Choice Requires="a14">
        <xdr:graphicFrame macro="">
          <xdr:nvGraphicFramePr>
            <xdr:cNvPr id="4" name="FEATURE 4"/>
            <xdr:cNvGraphicFramePr/>
          </xdr:nvGraphicFramePr>
          <xdr:xfrm>
            <a:off x="0" y="0"/>
            <a:ext cx="0" cy="0"/>
          </xdr:xfrm>
          <a:graphic>
            <a:graphicData uri="http://schemas.microsoft.com/office/drawing/2010/slicer">
              <sle:slicer xmlns:sle="http://schemas.microsoft.com/office/drawing/2010/slicer" name="FEATURE 4"/>
            </a:graphicData>
          </a:graphic>
        </xdr:graphicFrame>
      </mc:Choice>
      <mc:Fallback xmlns="">
        <xdr:sp macro="" textlink="">
          <xdr:nvSpPr>
            <xdr:cNvPr id="0" name=""/>
            <xdr:cNvSpPr>
              <a:spLocks noTextEdit="1"/>
            </xdr:cNvSpPr>
          </xdr:nvSpPr>
          <xdr:spPr>
            <a:xfrm>
              <a:off x="5744695" y="4347882"/>
              <a:ext cx="1815353" cy="19498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4"/>
            <xdr:cNvGraphicFramePr/>
          </xdr:nvGraphicFramePr>
          <xdr:xfrm>
            <a:off x="0" y="0"/>
            <a:ext cx="0" cy="0"/>
          </xdr:xfrm>
          <a:graphic>
            <a:graphicData uri="http://schemas.microsoft.com/office/drawing/2010/slicer">
              <sle:slicer xmlns:sle="http://schemas.microsoft.com/office/drawing/2010/slicer" name="MSER 4"/>
            </a:graphicData>
          </a:graphic>
        </xdr:graphicFrame>
      </mc:Choice>
      <mc:Fallback xmlns="">
        <xdr:sp macro="" textlink="">
          <xdr:nvSpPr>
            <xdr:cNvPr id="0" name=""/>
            <xdr:cNvSpPr>
              <a:spLocks noTextEdit="1"/>
            </xdr:cNvSpPr>
          </xdr:nvSpPr>
          <xdr:spPr>
            <a:xfrm>
              <a:off x="9430310"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7</xdr:col>
      <xdr:colOff>297516</xdr:colOff>
      <xdr:row>48</xdr:row>
      <xdr:rowOff>123265</xdr:rowOff>
    </xdr:from>
    <xdr:ext cx="1815353" cy="2524125"/>
    <mc:AlternateContent xmlns:mc="http://schemas.openxmlformats.org/markup-compatibility/2006" xmlns:a14="http://schemas.microsoft.com/office/drawing/2010/main">
      <mc:Choice Requires="a14">
        <xdr:graphicFrame macro="">
          <xdr:nvGraphicFramePr>
            <xdr:cNvPr id="6"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7693398" y="926726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7" name="LAYER 4"/>
            <xdr:cNvGraphicFramePr/>
          </xdr:nvGraphicFramePr>
          <xdr:xfrm>
            <a:off x="0" y="0"/>
            <a:ext cx="0" cy="0"/>
          </xdr:xfrm>
          <a:graphic>
            <a:graphicData uri="http://schemas.microsoft.com/office/drawing/2010/slicer">
              <sle:slicer xmlns:sle="http://schemas.microsoft.com/office/drawing/2010/slicer" name="LAYER 4"/>
            </a:graphicData>
          </a:graphic>
        </xdr:graphicFrame>
      </mc:Choice>
      <mc:Fallback xmlns="">
        <xdr:sp macro="" textlink="">
          <xdr:nvSpPr>
            <xdr:cNvPr id="0" name=""/>
            <xdr:cNvSpPr>
              <a:spLocks noTextEdit="1"/>
            </xdr:cNvSpPr>
          </xdr:nvSpPr>
          <xdr:spPr>
            <a:xfrm>
              <a:off x="12101793"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8" name="COREID 4"/>
            <xdr:cNvGraphicFramePr/>
          </xdr:nvGraphicFramePr>
          <xdr:xfrm>
            <a:off x="0" y="0"/>
            <a:ext cx="0" cy="0"/>
          </xdr:xfrm>
          <a:graphic>
            <a:graphicData uri="http://schemas.microsoft.com/office/drawing/2010/slicer">
              <sle:slicer xmlns:sle="http://schemas.microsoft.com/office/drawing/2010/slicer" name="COREID 4"/>
            </a:graphicData>
          </a:graphic>
        </xdr:graphicFrame>
      </mc:Choice>
      <mc:Fallback xmlns="">
        <xdr:sp macro="" textlink="">
          <xdr:nvSpPr>
            <xdr:cNvPr id="0" name=""/>
            <xdr:cNvSpPr>
              <a:spLocks noTextEdit="1"/>
            </xdr:cNvSpPr>
          </xdr:nvSpPr>
          <xdr:spPr>
            <a:xfrm>
              <a:off x="16505704"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66675</xdr:colOff>
      <xdr:row>44</xdr:row>
      <xdr:rowOff>179294</xdr:rowOff>
    </xdr:from>
    <xdr:to>
      <xdr:col>7</xdr:col>
      <xdr:colOff>80122</xdr:colOff>
      <xdr:row>56</xdr:row>
      <xdr:rowOff>104215</xdr:rowOff>
    </xdr:to>
    <mc:AlternateContent xmlns:mc="http://schemas.openxmlformats.org/markup-compatibility/2006" xmlns:a14="http://schemas.microsoft.com/office/drawing/2010/main">
      <mc:Choice Requires="a14">
        <xdr:graphicFrame macro="">
          <xdr:nvGraphicFramePr>
            <xdr:cNvPr id="9" name="SEQUENCEID 2"/>
            <xdr:cNvGraphicFramePr/>
          </xdr:nvGraphicFramePr>
          <xdr:xfrm>
            <a:off x="0" y="0"/>
            <a:ext cx="0" cy="0"/>
          </xdr:xfrm>
          <a:graphic>
            <a:graphicData uri="http://schemas.microsoft.com/office/drawing/2010/slicer">
              <sle:slicer xmlns:sle="http://schemas.microsoft.com/office/drawing/2010/slicer" name="SEQUENCEID 2"/>
            </a:graphicData>
          </a:graphic>
        </xdr:graphicFrame>
      </mc:Choice>
      <mc:Fallback xmlns="">
        <xdr:sp macro="" textlink="">
          <xdr:nvSpPr>
            <xdr:cNvPr id="0" name=""/>
            <xdr:cNvSpPr>
              <a:spLocks noTextEdit="1"/>
            </xdr:cNvSpPr>
          </xdr:nvSpPr>
          <xdr:spPr>
            <a:xfrm>
              <a:off x="5647204" y="8561294"/>
              <a:ext cx="1828800" cy="22109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134471</xdr:colOff>
      <xdr:row>34</xdr:row>
      <xdr:rowOff>11206</xdr:rowOff>
    </xdr:from>
    <xdr:to>
      <xdr:col>7</xdr:col>
      <xdr:colOff>147918</xdr:colOff>
      <xdr:row>43</xdr:row>
      <xdr:rowOff>112059</xdr:rowOff>
    </xdr:to>
    <mc:AlternateContent xmlns:mc="http://schemas.openxmlformats.org/markup-compatibility/2006" xmlns:a14="http://schemas.microsoft.com/office/drawing/2010/main">
      <mc:Choice Requires="a14">
        <xdr:graphicFrame macro="">
          <xdr:nvGraphicFramePr>
            <xdr:cNvPr id="10" name="WTLEVEL 1"/>
            <xdr:cNvGraphicFramePr/>
          </xdr:nvGraphicFramePr>
          <xdr:xfrm>
            <a:off x="0" y="0"/>
            <a:ext cx="0" cy="0"/>
          </xdr:xfrm>
          <a:graphic>
            <a:graphicData uri="http://schemas.microsoft.com/office/drawing/2010/slicer">
              <sle:slicer xmlns:sle="http://schemas.microsoft.com/office/drawing/2010/slicer" name="WTLEVEL 1"/>
            </a:graphicData>
          </a:graphic>
        </xdr:graphicFrame>
      </mc:Choice>
      <mc:Fallback xmlns="">
        <xdr:sp macro="" textlink="">
          <xdr:nvSpPr>
            <xdr:cNvPr id="0" name=""/>
            <xdr:cNvSpPr>
              <a:spLocks noTextEdit="1"/>
            </xdr:cNvSpPr>
          </xdr:nvSpPr>
          <xdr:spPr>
            <a:xfrm>
              <a:off x="5715000" y="6488206"/>
              <a:ext cx="1828800" cy="18153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3965201"/>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22</xdr:row>
      <xdr:rowOff>156882</xdr:rowOff>
    </xdr:from>
    <xdr:ext cx="1815353" cy="1949824"/>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107016</xdr:colOff>
      <xdr:row>44</xdr:row>
      <xdr:rowOff>156883</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85840" y="8538883"/>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mlns="">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145116</xdr:colOff>
      <xdr:row>33</xdr:row>
      <xdr:rowOff>0</xdr:rowOff>
    </xdr:from>
    <xdr:to>
      <xdr:col>7</xdr:col>
      <xdr:colOff>158565</xdr:colOff>
      <xdr:row>44</xdr:row>
      <xdr:rowOff>115421</xdr:rowOff>
    </xdr:to>
    <mc:AlternateContent xmlns:mc="http://schemas.openxmlformats.org/markup-compatibility/2006" xmlns:a14="http://schemas.microsoft.com/office/drawing/2010/main">
      <mc:Choice Requires="a14">
        <xdr:graphicFrame macro="">
          <xdr:nvGraphicFramePr>
            <xdr:cNvPr id="7" name="SEQUENCEID 1"/>
            <xdr:cNvGraphicFramePr/>
          </xdr:nvGraphicFramePr>
          <xdr:xfrm>
            <a:off x="0" y="0"/>
            <a:ext cx="0" cy="0"/>
          </xdr:xfrm>
          <a:graphic>
            <a:graphicData uri="http://schemas.microsoft.com/office/drawing/2010/slicer">
              <sle:slicer xmlns:sle="http://schemas.microsoft.com/office/drawing/2010/slicer" name="SEQUENCEID 1"/>
            </a:graphicData>
          </a:graphic>
        </xdr:graphicFrame>
      </mc:Choice>
      <mc:Fallback xmlns="">
        <xdr:sp macro="" textlink="">
          <xdr:nvSpPr>
            <xdr:cNvPr id="0" name=""/>
            <xdr:cNvSpPr>
              <a:spLocks noTextEdit="1"/>
            </xdr:cNvSpPr>
          </xdr:nvSpPr>
          <xdr:spPr>
            <a:xfrm>
              <a:off x="5523940" y="6286500"/>
              <a:ext cx="1828800" cy="22109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95250</xdr:colOff>
      <xdr:row>33</xdr:row>
      <xdr:rowOff>166972</xdr:rowOff>
    </xdr:from>
    <xdr:ext cx="1815353" cy="2679326"/>
    <mc:AlternateContent xmlns:mc="http://schemas.openxmlformats.org/markup-compatibility/2006" xmlns:a14="http://schemas.microsoft.com/office/drawing/2010/main">
      <mc:Choice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944721" y="6453472"/>
              <a:ext cx="1815353" cy="26793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7</xdr:col>
      <xdr:colOff>562535</xdr:colOff>
      <xdr:row>51</xdr:row>
      <xdr:rowOff>113184</xdr:rowOff>
    </xdr:from>
    <xdr:ext cx="1815353" cy="2524125"/>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8227359" y="982868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xmlns:a14="http://schemas.microsoft.com/office/drawing/2010/main">
      <mc:Choice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mlns="">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6</xdr:row>
      <xdr:rowOff>44824</xdr:rowOff>
    </xdr:to>
    <mc:AlternateContent xmlns:mc="http://schemas.openxmlformats.org/markup-compatibility/2006" xmlns:a14="http://schemas.microsoft.com/office/drawing/2010/main">
      <mc:Choice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100292</xdr:colOff>
      <xdr:row>60</xdr:row>
      <xdr:rowOff>56034</xdr:rowOff>
    </xdr:from>
    <xdr:to>
      <xdr:col>7</xdr:col>
      <xdr:colOff>113739</xdr:colOff>
      <xdr:row>72</xdr:row>
      <xdr:rowOff>11210</xdr:rowOff>
    </xdr:to>
    <mc:AlternateContent xmlns:mc="http://schemas.openxmlformats.org/markup-compatibility/2006" xmlns:a14="http://schemas.microsoft.com/office/drawing/2010/main">
      <mc:Choice Requires="a14">
        <xdr:graphicFrame macro="">
          <xdr:nvGraphicFramePr>
            <xdr:cNvPr id="9" name="SEQUENCEID"/>
            <xdr:cNvGraphicFramePr/>
          </xdr:nvGraphicFramePr>
          <xdr:xfrm>
            <a:off x="0" y="0"/>
            <a:ext cx="0" cy="0"/>
          </xdr:xfrm>
          <a:graphic>
            <a:graphicData uri="http://schemas.microsoft.com/office/drawing/2010/slicer">
              <sle:slicer xmlns:sle="http://schemas.microsoft.com/office/drawing/2010/slicer" name="SEQUENCEID"/>
            </a:graphicData>
          </a:graphic>
        </xdr:graphicFrame>
      </mc:Choice>
      <mc:Fallback xmlns="">
        <xdr:sp macro="" textlink="">
          <xdr:nvSpPr>
            <xdr:cNvPr id="0" name=""/>
            <xdr:cNvSpPr>
              <a:spLocks noTextEdit="1"/>
            </xdr:cNvSpPr>
          </xdr:nvSpPr>
          <xdr:spPr>
            <a:xfrm>
              <a:off x="5949763" y="11486034"/>
              <a:ext cx="1828800" cy="22411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4</xdr:col>
      <xdr:colOff>179294</xdr:colOff>
      <xdr:row>1</xdr:row>
      <xdr:rowOff>44824</xdr:rowOff>
    </xdr:from>
    <xdr:ext cx="1815353" cy="6017558"/>
    <mc:AlternateContent xmlns:mc="http://schemas.openxmlformats.org/markup-compatibility/2006" xmlns:a14="http://schemas.microsoft.com/office/drawing/2010/main">
      <mc:Choice Requires="a14">
        <xdr:graphicFrame macro="">
          <xdr:nvGraphicFramePr>
            <xdr:cNvPr id="10"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6028765" y="235324"/>
              <a:ext cx="1815353" cy="60175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7</xdr:col>
      <xdr:colOff>223557</xdr:colOff>
      <xdr:row>1</xdr:row>
      <xdr:rowOff>60511</xdr:rowOff>
    </xdr:from>
    <xdr:to>
      <xdr:col>10</xdr:col>
      <xdr:colOff>134472</xdr:colOff>
      <xdr:row>7</xdr:row>
      <xdr:rowOff>0</xdr:rowOff>
    </xdr:to>
    <mc:AlternateContent xmlns:mc="http://schemas.openxmlformats.org/markup-compatibility/2006" xmlns:a14="http://schemas.microsoft.com/office/drawing/2010/main">
      <mc:Choice Requires="a14">
        <xdr:graphicFrame macro="">
          <xdr:nvGraphicFramePr>
            <xdr:cNvPr id="3" name="NETPROCESSID 2"/>
            <xdr:cNvGraphicFramePr/>
          </xdr:nvGraphicFramePr>
          <xdr:xfrm>
            <a:off x="0" y="0"/>
            <a:ext cx="0" cy="0"/>
          </xdr:xfrm>
          <a:graphic>
            <a:graphicData uri="http://schemas.microsoft.com/office/drawing/2010/slicer">
              <sle:slicer xmlns:sle="http://schemas.microsoft.com/office/drawing/2010/slicer" name="NETPROCESSID 2"/>
            </a:graphicData>
          </a:graphic>
        </xdr:graphicFrame>
      </mc:Choice>
      <mc:Fallback xmlns="">
        <xdr:sp macro="" textlink="">
          <xdr:nvSpPr>
            <xdr:cNvPr id="0" name=""/>
            <xdr:cNvSpPr>
              <a:spLocks noTextEdit="1"/>
            </xdr:cNvSpPr>
          </xdr:nvSpPr>
          <xdr:spPr>
            <a:xfrm>
              <a:off x="7888381" y="251011"/>
              <a:ext cx="1726266" cy="10824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0</xdr:colOff>
      <xdr:row>49</xdr:row>
      <xdr:rowOff>0</xdr:rowOff>
    </xdr:from>
    <xdr:to>
      <xdr:col>7</xdr:col>
      <xdr:colOff>13447</xdr:colOff>
      <xdr:row>58</xdr:row>
      <xdr:rowOff>100853</xdr:rowOff>
    </xdr:to>
    <mc:AlternateContent xmlns:mc="http://schemas.openxmlformats.org/markup-compatibility/2006" xmlns:a14="http://schemas.microsoft.com/office/drawing/2010/main">
      <mc:Choice Requires="a14">
        <xdr:graphicFrame macro="">
          <xdr:nvGraphicFramePr>
            <xdr:cNvPr id="12" name="WTLEVEL"/>
            <xdr:cNvGraphicFramePr/>
          </xdr:nvGraphicFramePr>
          <xdr:xfrm>
            <a:off x="0" y="0"/>
            <a:ext cx="0" cy="0"/>
          </xdr:xfrm>
          <a:graphic>
            <a:graphicData uri="http://schemas.microsoft.com/office/drawing/2010/slicer">
              <sle:slicer xmlns:sle="http://schemas.microsoft.com/office/drawing/2010/slicer" name="WTLEVEL"/>
            </a:graphicData>
          </a:graphic>
        </xdr:graphicFrame>
      </mc:Choice>
      <mc:Fallback xmlns="">
        <xdr:sp macro="" textlink="">
          <xdr:nvSpPr>
            <xdr:cNvPr id="0" name=""/>
            <xdr:cNvSpPr>
              <a:spLocks noTextEdit="1"/>
            </xdr:cNvSpPr>
          </xdr:nvSpPr>
          <xdr:spPr>
            <a:xfrm>
              <a:off x="5849471" y="9334500"/>
              <a:ext cx="1828800" cy="18153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4</xdr:col>
      <xdr:colOff>138393</xdr:colOff>
      <xdr:row>27</xdr:row>
      <xdr:rowOff>99173</xdr:rowOff>
    </xdr:from>
    <xdr:ext cx="1828800" cy="1442757"/>
    <mc:AlternateContent xmlns:mc="http://schemas.openxmlformats.org/markup-compatibility/2006">
      <mc:Choice xmlns:a14="http://schemas.microsoft.com/office/drawing/2010/main" Requires="a14">
        <xdr:graphicFrame macro="">
          <xdr:nvGraphicFramePr>
            <xdr:cNvPr id="2"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dr:sp macro="" textlink="">
          <xdr:nvSpPr>
            <xdr:cNvPr id="0" name=""/>
            <xdr:cNvSpPr>
              <a:spLocks noTextEdit="1"/>
            </xdr:cNvSpPr>
          </xdr:nvSpPr>
          <xdr:spPr>
            <a:xfrm>
              <a:off x="6037169" y="4940114"/>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146237</xdr:colOff>
      <xdr:row>14</xdr:row>
      <xdr:rowOff>161364</xdr:rowOff>
    </xdr:from>
    <xdr:ext cx="1828800" cy="2237256"/>
    <mc:AlternateContent xmlns:mc="http://schemas.openxmlformats.org/markup-compatibility/2006">
      <mc:Choice xmlns:a14="http://schemas.microsoft.com/office/drawing/2010/main" Requires="a14">
        <xdr:graphicFrame macro="">
          <xdr:nvGraphicFramePr>
            <xdr:cNvPr id="3" name="SEQUENCEID 3"/>
            <xdr:cNvGraphicFramePr/>
          </xdr:nvGraphicFramePr>
          <xdr:xfrm>
            <a:off x="0" y="0"/>
            <a:ext cx="0" cy="0"/>
          </xdr:xfrm>
          <a:graphic>
            <a:graphicData uri="http://schemas.microsoft.com/office/drawing/2010/slicer">
              <sle:slicer xmlns:sle="http://schemas.microsoft.com/office/drawing/2010/slicer" name="SEQUENCEID 3"/>
            </a:graphicData>
          </a:graphic>
        </xdr:graphicFrame>
      </mc:Choice>
      <mc:Fallback>
        <xdr:sp macro="" textlink="">
          <xdr:nvSpPr>
            <xdr:cNvPr id="0" name=""/>
            <xdr:cNvSpPr>
              <a:spLocks noTextEdit="1"/>
            </xdr:cNvSpPr>
          </xdr:nvSpPr>
          <xdr:spPr>
            <a:xfrm>
              <a:off x="6045013" y="2671482"/>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147357</xdr:colOff>
      <xdr:row>0</xdr:row>
      <xdr:rowOff>80682</xdr:rowOff>
    </xdr:from>
    <xdr:ext cx="1828800" cy="2524125"/>
    <mc:AlternateContent xmlns:mc="http://schemas.openxmlformats.org/markup-compatibility/2006">
      <mc:Choice xmlns:a14="http://schemas.microsoft.com/office/drawing/2010/main" Requires="a14">
        <xdr:graphicFrame macro="">
          <xdr:nvGraphicFramePr>
            <xdr:cNvPr id="6"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dr:sp macro="" textlink="">
          <xdr:nvSpPr>
            <xdr:cNvPr id="0" name=""/>
            <xdr:cNvSpPr>
              <a:spLocks noTextEdit="1"/>
            </xdr:cNvSpPr>
          </xdr:nvSpPr>
          <xdr:spPr>
            <a:xfrm>
              <a:off x="6046133" y="8068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11</xdr:col>
      <xdr:colOff>329454</xdr:colOff>
      <xdr:row>0</xdr:row>
      <xdr:rowOff>118783</xdr:rowOff>
    </xdr:from>
    <xdr:ext cx="1828800" cy="6343650"/>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7035054" y="118783"/>
              <a:ext cx="1828800" cy="6343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15</xdr:col>
      <xdr:colOff>500904</xdr:colOff>
      <xdr:row>0</xdr:row>
      <xdr:rowOff>110826</xdr:rowOff>
    </xdr:from>
    <xdr:to>
      <xdr:col>26</xdr:col>
      <xdr:colOff>131107</xdr:colOff>
      <xdr:row>30</xdr:row>
      <xdr:rowOff>61296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251637"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265084"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77593"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75169"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215218" y="6236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539565</xdr:colOff>
      <xdr:row>15</xdr:row>
      <xdr:rowOff>108137</xdr:rowOff>
    </xdr:to>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80634" y="419100"/>
              <a:ext cx="1842247"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461121</xdr:colOff>
      <xdr:row>10</xdr:row>
      <xdr:rowOff>33618</xdr:rowOff>
    </xdr:to>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254193" y="475129"/>
              <a:ext cx="1842247"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2</xdr:col>
      <xdr:colOff>331470</xdr:colOff>
      <xdr:row>8</xdr:row>
      <xdr:rowOff>30480</xdr:rowOff>
    </xdr:from>
    <xdr:to>
      <xdr:col>10</xdr:col>
      <xdr:colOff>381000</xdr:colOff>
      <xdr:row>30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571500</xdr:colOff>
      <xdr:row>0</xdr:row>
      <xdr:rowOff>22861</xdr:rowOff>
    </xdr:from>
    <xdr:to>
      <xdr:col>4</xdr:col>
      <xdr:colOff>1074420</xdr:colOff>
      <xdr:row>5</xdr:row>
      <xdr:rowOff>121921</xdr:rowOff>
    </xdr:to>
    <mc:AlternateContent xmlns:mc="http://schemas.openxmlformats.org/markup-compatibility/2006" xmlns:a14="http://schemas.microsoft.com/office/drawing/2010/main">
      <mc:Choice Requires="a14">
        <xdr:graphicFrame macro="">
          <xdr:nvGraphicFramePr>
            <xdr:cNvPr id="3" name="CORE0USECONTEXT 1"/>
            <xdr:cNvGraphicFramePr/>
          </xdr:nvGraphicFramePr>
          <xdr:xfrm>
            <a:off x="0" y="0"/>
            <a:ext cx="0" cy="0"/>
          </xdr:xfrm>
          <a:graphic>
            <a:graphicData uri="http://schemas.microsoft.com/office/drawing/2010/slicer">
              <sle:slicer xmlns:sle="http://schemas.microsoft.com/office/drawing/2010/slicer" name="CORE0USECONTEXT 1"/>
            </a:graphicData>
          </a:graphic>
        </xdr:graphicFrame>
      </mc:Choice>
      <mc:Fallback xmlns="">
        <xdr:sp macro="" textlink="">
          <xdr:nvSpPr>
            <xdr:cNvPr id="0" name=""/>
            <xdr:cNvSpPr>
              <a:spLocks noTextEdit="1"/>
            </xdr:cNvSpPr>
          </xdr:nvSpPr>
          <xdr:spPr>
            <a:xfrm>
              <a:off x="4716780" y="22861"/>
              <a:ext cx="1828800" cy="1013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5"/>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10"/>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6"/>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705.965866435188" createdVersion="5" refreshedVersion="5" minRefreshableVersion="3" recordCount="32">
  <cacheSource type="external" connectionId="7"/>
  <cacheFields count="27">
    <cacheField name="PROCESSID" numFmtId="0" sqlType="6">
      <sharedItems containsSemiMixedTypes="0" containsString="0" containsNumber="1" containsInteger="1" minValue="3140" maxValue="14296" count="8">
        <n v="7268"/>
        <n v="12284"/>
        <n v="7472"/>
        <n v="14296"/>
        <n v="11736"/>
        <n v="14280"/>
        <n v="3140"/>
        <n v="13484"/>
      </sharedItems>
    </cacheField>
    <cacheField name="HISTORYLEN" numFmtId="0" sqlType="6">
      <sharedItems containsSemiMixedTypes="0" containsString="0" containsNumber="1" containsInteger="1" minValue="5002" maxValue="5002" count="1">
        <n v="5002"/>
      </sharedItems>
    </cacheField>
    <cacheField name="TOPOLOGY" numFmtId="0" sqlType="12">
      <sharedItems count="1">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 numFmtId="0" sqlType="6">
      <sharedItems containsSemiMixedTypes="0" containsString="0" containsNumber="1" containsInteger="1" minValue="50" maxValue="50" count="1">
        <n v="50"/>
      </sharedItems>
    </cacheField>
    <cacheField name="MAXK" numFmtId="0" sqlType="6">
      <sharedItems containsString="0" containsBlank="1" count="1">
        <m/>
      </sharedItems>
    </cacheField>
    <cacheField name="SAMPLELEN" numFmtId="0" sqlType="6">
      <sharedItems containsSemiMixedTypes="0" containsString="0" containsNumber="1" containsInteger="1" minValue="20" maxValue="20" count="1">
        <n v="20"/>
      </sharedItems>
    </cacheField>
    <cacheField name="DATE0"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 numFmtId="0" sqlType="12">
      <sharedItems containsString="0" containsBlank="1" count="1">
        <m/>
      </sharedItems>
    </cacheField>
    <cacheField name="SYMBOL1" numFmtId="0" sqlType="12">
      <sharedItems containsString="0" containsBlank="1" count="1">
        <m/>
      </sharedItems>
    </cacheField>
    <cacheField name="SYMBOL2" numFmtId="0" sqlType="12">
      <sharedItems containsString="0" containsBlank="1" count="1">
        <m/>
      </sharedItems>
    </cacheField>
    <cacheField name="TIMEFRAME"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ntainsString="0" containsBlank="1" count="1">
        <m/>
      </sharedItems>
    </cacheField>
    <cacheField name="CORE0USEBIAS" numFmtId="0" sqlType="12">
      <sharedItems count="1">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RAINBATCHSIZE" numFmtId="0" sqlType="6">
      <sharedItems containsSemiMixedTypes="0" containsString="0" containsNumber="1" containsInteger="1" minValue="1" maxValue="20" count="4">
        <n v="1"/>
        <n v="20"/>
        <n v="10"/>
        <n v="5"/>
      </sharedItems>
    </cacheField>
    <cacheField name="INFERBATCHSIZE" numFmtId="0" sqlType="6">
      <sharedItems containsString="0" containsBlank="1" count="1">
        <m/>
      </sharedItems>
    </cacheField>
    <cacheField name="PROCESSID2" numFmtId="0" sqlType="6">
      <sharedItems containsSemiMixedTypes="0" containsString="0" containsNumber="1" containsInteger="1" minValue="3140" maxValue="14296" count="8">
        <n v="7268"/>
        <n v="12284"/>
        <n v="7472"/>
        <n v="14296"/>
        <n v="11736"/>
        <n v="14280"/>
        <n v="3140"/>
        <n v="13484"/>
      </sharedItems>
    </cacheField>
    <cacheField name="THREADID" numFmtId="0" sqlType="6">
      <sharedItems containsSemiMixedTypes="0" containsString="0" containsNumber="1" containsInteger="1" minValue="1280" maxValue="16304" count="8">
        <n v="15480"/>
        <n v="12864"/>
        <n v="11944"/>
        <n v="3304"/>
        <n v="16304"/>
        <n v="1280"/>
        <n v="15980"/>
        <n v="12924"/>
      </sharedItems>
    </cacheField>
    <cacheField name="NETPROCESSID" numFmtId="0" sqlType="6">
      <sharedItems containsSemiMixedTypes="0" containsString="0" containsNumber="1" containsInteger="1" minValue="3140" maxValue="14296" count="8">
        <n v="7268"/>
        <n v="12284"/>
        <n v="7472"/>
        <n v="14296"/>
        <n v="11736"/>
        <n v="14280"/>
        <n v="3140"/>
        <n v="13484"/>
      </sharedItems>
    </cacheField>
    <cacheField name="NETTHREADID" numFmtId="0" sqlType="6">
      <sharedItems containsSemiMixedTypes="0" containsString="0" containsNumber="1" containsInteger="1" minValue="2784" maxValue="15804" count="8">
        <n v="9612"/>
        <n v="7656"/>
        <n v="2784"/>
        <n v="14004"/>
        <n v="15804"/>
        <n v="7720"/>
        <n v="12756"/>
        <n v="5652"/>
      </sharedItems>
    </cacheField>
    <cacheField name="FEATURE" numFmtId="0" sqlType="12">
      <sharedItems count="4">
        <s v="OPEN"/>
        <s v="HIGH"/>
        <s v="LOW"/>
        <s v="CLOSE"/>
      </sharedItems>
    </cacheField>
    <cacheField name="LASTDATE" numFmtId="0" sqlType="12">
      <sharedItems count="1">
        <s v="2018-05-30-00:00"/>
      </sharedItems>
    </cacheField>
    <cacheField name="LASTPOS" numFmtId="0" sqlType="6">
      <sharedItems containsSemiMixedTypes="0" containsString="0" containsNumber="1" containsInteger="1" minValue="5001" maxValue="5001" count="1">
        <n v="5001"/>
      </sharedItems>
    </cacheField>
    <cacheField name="AVGMSER" numFmtId="0" sqlType="6">
      <sharedItems containsSemiMixedTypes="0" containsString="0" containsNumber="1" minValue="3.9713210426270996E-3" maxValue="1.47228790447116E-2" count="8">
        <n v="1.47228790447116E-2"/>
        <n v="5.34465117380023E-3"/>
        <n v="1.1272941716015301E-2"/>
        <n v="8.9237699285149592E-3"/>
        <n v="8.6636403575539606E-3"/>
        <n v="8.7073622271418606E-3"/>
        <n v="1.1140202172100501E-2"/>
        <n v="3.9713210426270996E-3"/>
      </sharedItems>
    </cacheField>
    <cacheField name="AVGERRORBASE" numFmtId="0" sqlType="6">
      <sharedItems containsSemiMixedTypes="0" containsString="0" containsNumber="1" minValue="6.9653399255762747E-5" maxValue="1.3954777977925772E-3"/>
    </cacheField>
    <cacheField name="AVGERRORTRS" numFmtId="0" sqlType="6">
      <sharedItems containsSemiMixedTypes="0" containsString="0" containsNumber="1" minValue="6.5928553528641666E-3" maxValue="0.13208522069601519"/>
    </cacheField>
  </cacheFields>
  <extLst>
    <ext xmlns:x14="http://schemas.microsoft.com/office/spreadsheetml/2009/9/main" uri="{725AE2AE-9491-48be-B2B4-4EB974FC3084}">
      <x14:pivotCacheDefinition pivotCacheId="8"/>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739.617422453703" createdVersion="5" refreshedVersion="5" minRefreshableVersion="3" recordCount="43">
  <cacheSource type="external" connectionId="3"/>
  <cacheFields count="14">
    <cacheField name="PROCESSID" numFmtId="0" sqlType="6">
      <sharedItems containsSemiMixedTypes="0" containsString="0" containsNumber="1" containsInteger="1" minValue="680" maxValue="17088" count="43">
        <n v="17088"/>
        <n v="6116"/>
        <n v="10004"/>
        <n v="13736"/>
        <n v="2068"/>
        <n v="11468"/>
        <n v="5116"/>
        <n v="680"/>
        <n v="12708"/>
        <n v="6132"/>
        <n v="10016"/>
        <n v="10408"/>
        <n v="1604"/>
        <n v="14108"/>
        <n v="12652"/>
        <n v="6704"/>
        <n v="9900"/>
        <n v="11900"/>
        <n v="7272"/>
        <n v="11184"/>
        <n v="12500"/>
        <n v="8352"/>
        <n v="876"/>
        <n v="10012"/>
        <n v="14524"/>
        <n v="14308"/>
        <n v="1284"/>
        <n v="12651"/>
        <n v="14360"/>
        <n v="9004"/>
        <n v="6956"/>
        <n v="11808"/>
        <n v="2504"/>
        <n v="9912"/>
        <n v="12292"/>
        <n v="8408"/>
        <n v="16504"/>
        <n v="5644"/>
        <n v="13796"/>
        <n v="9652"/>
        <n v="6912"/>
        <n v="14096"/>
        <n v="15200"/>
      </sharedItems>
    </cacheField>
    <cacheField name="ENGINETYPE" numFmtId="0" sqlType="6">
      <sharedItems containsSemiMixedTypes="0" containsString="0" containsNumber="1" containsInteger="1" minValue="2" maxValue="2" count="1">
        <n v="2"/>
      </sharedItems>
    </cacheField>
    <cacheField name="DATASAMPLELEN" numFmtId="0" sqlType="6">
      <sharedItems containsSemiMixedTypes="0" containsString="0" containsNumber="1" containsInteger="1" minValue="1" maxValue="50" count="4">
        <n v="50"/>
        <n v="1"/>
        <n v="20"/>
        <n v="10"/>
      </sharedItems>
    </cacheField>
    <cacheField name="DATAPREDICTIONLEN" numFmtId="0" sqlType="6">
      <sharedItems containsSemiMixedTypes="0" containsString="0" containsNumber="1" containsInteger="1" minValue="1" maxValue="10" count="4">
        <n v="3"/>
        <n v="1"/>
        <n v="5"/>
        <n v="10"/>
      </sharedItems>
    </cacheField>
    <cacheField name="DATAFEATURESCNT" numFmtId="0" sqlType="6">
      <sharedItems containsSemiMixedTypes="0" containsString="0" containsNumber="1" containsInteger="1" minValue="4" maxValue="4" count="1">
        <n v="4"/>
      </sharedItems>
    </cacheField>
    <cacheField name="DATABATCHSIZE" numFmtId="0" sqlType="6">
      <sharedItems containsString="0" containsBlank="1" containsNumber="1" containsInteger="1" minValue="1" maxValue="50" count="6">
        <n v="2"/>
        <n v="20"/>
        <n v="1"/>
        <m/>
        <n v="10"/>
        <n v="50"/>
      </sharedItems>
    </cacheField>
    <cacheField name="WNNDECOMPLEVEL" numFmtId="0" sqlType="6">
      <sharedItems containsSemiMixedTypes="0" containsString="0" containsNumber="1" containsInteger="1" minValue="-1" maxValue="-1" count="1">
        <n v="-1"/>
      </sharedItems>
    </cacheField>
    <cacheField name="WNNWAVELETTYPE" numFmtId="0" sqlType="6">
      <sharedItems containsSemiMixedTypes="0" containsString="0" containsNumber="1" containsInteger="1" minValue="-1" maxValue="-1" count="1">
        <n v="-1"/>
      </sharedItems>
    </cacheField>
    <cacheField name="READFROM" numFmtId="0" sqlType="6">
      <sharedItems containsString="0" containsBlank="1" count="1">
        <m/>
      </sharedItems>
    </cacheField>
    <cacheField name="SAVETODB" numFmtId="0" sqlType="6">
      <sharedItems containsSemiMixedTypes="0" containsString="0" containsNumber="1" containsInteger="1" minValue="1" maxValue="1" count="1">
        <n v="1"/>
      </sharedItems>
    </cacheField>
    <cacheField name="SAVETOFILE" numFmtId="0" sqlType="6">
      <sharedItems containsSemiMixedTypes="0" containsString="0" containsNumber="1" containsInteger="1" minValue="0" maxValue="0" count="1">
        <n v="0"/>
      </sharedItems>
    </cacheField>
    <cacheField name="ORAUSERNAME" numFmtId="0" sqlType="12">
      <sharedItems count="1">
        <s v="LogUser"/>
      </sharedItems>
    </cacheField>
    <cacheField name="ORAPASSWORD" numFmtId="0" sqlType="12">
      <sharedItems count="1">
        <s v="LogPwd"/>
      </sharedItems>
    </cacheField>
    <cacheField name="ORACONNSTRING" numFmtId="0" sqlType="12">
      <sharedItems count="1">
        <s v="Algo"/>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787.427568865744" createdVersion="5" refreshedVersion="5" minRefreshableVersion="3" recordCount="0">
  <cacheSource type="external" connectionId="9"/>
  <cacheFields count="21">
    <cacheField name="PROCESSID" numFmtId="0" sqlType="6">
      <sharedItems containsSemiMixedTypes="0" containsString="0" containsNumber="1" containsInteger="1" minValue="32" maxValue="16380" count="402">
        <n v="13307" u="1"/>
        <n v="7464" u="1"/>
        <n v="12787" u="1"/>
        <n v="14804" u="1"/>
        <n v="7204" u="1"/>
        <n v="12724" u="1"/>
        <n v="11164" u="1"/>
        <n v="9604" u="1"/>
        <n v="12472" u="1"/>
        <n v="8312" u="1"/>
        <n v="16380" u="1"/>
        <n v="7732" u="1"/>
        <n v="6952" u="1"/>
        <n v="11700" u="1"/>
        <n v="8580" u="1"/>
        <n v="11448" u="1"/>
        <n v="10408" u="1"/>
        <n v="4880" u="1"/>
        <n v="4100" u="1"/>
        <n v="13544" u="1"/>
        <n v="11464" u="1"/>
        <n v="8008" u="1"/>
        <n v="7488" u="1"/>
        <n v="7228" u="1"/>
        <n v="1708" u="1"/>
        <n v="4888" u="1"/>
        <n v="9652" u="1"/>
        <n v="3972" u="1"/>
        <n v="3712" u="1"/>
        <n v="13560" u="1"/>
        <n v="14868" u="1"/>
        <n v="13308" u="1"/>
        <n v="12788" u="1"/>
        <n v="14096" u="1"/>
        <n v="12016" u="1"/>
        <n v="6984" u="1"/>
        <n v="6464" u="1"/>
        <n v="5164" u="1"/>
        <n v="16192" u="1"/>
        <n v="14632" u="1"/>
        <n v="3460" u="1"/>
        <n v="8912" u="1"/>
        <n v="5952" u="1"/>
        <n v="11260" u="1"/>
        <n v="12048" u="1"/>
        <n v="2944" u="1"/>
        <n v="10488" u="1"/>
        <n v="7000" u="1"/>
        <n v="6740" u="1"/>
        <n v="1196" u="1"/>
        <n v="4400" u="1"/>
        <n v="14144" u="1"/>
        <n v="3468" u="1"/>
        <n v="12064" u="1"/>
        <n v="8944" u="1"/>
        <n v="7788" u="1"/>
        <n v="1848" u="1"/>
        <n v="13892" u="1"/>
        <n v="12332" u="1"/>
        <n v="16240" u="1"/>
        <n v="15720" u="1"/>
        <n v="15200" u="1"/>
        <n v="14160" u="1"/>
        <n v="13640" u="1"/>
        <n v="656" u="1"/>
        <n v="1980" u="1"/>
        <n v="6756" u="1"/>
        <n v="14239" u="1"/>
        <n v="15736" u="1"/>
        <n v="13136" u="1"/>
        <n v="12616" u="1"/>
        <n v="12096" u="1"/>
        <n v="11576" u="1"/>
        <n v="13924" u="1"/>
        <n v="4000" u="1"/>
        <n v="3740" u="1"/>
        <n v="10552" u="1"/>
        <n v="8072" u="1"/>
        <n v="5732" u="1"/>
        <n v="10300" u="1"/>
        <n v="4432" u="1"/>
        <n v="8740" u="1"/>
        <n v="8220" u="1"/>
        <n v="4004" u="1"/>
        <n v="13751" u="1"/>
        <n v="14208" u="1"/>
        <n v="13688" u="1"/>
        <n v="12128" u="1"/>
        <n v="10568" u="1"/>
        <n v="13956" u="1"/>
        <n v="1596" u="1"/>
        <n v="12396" u="1"/>
        <n v="11876" u="1"/>
        <n v="4960" u="1"/>
        <n v="8088" u="1"/>
        <n v="7568" u="1"/>
        <n v="13452" u="1"/>
        <n v="1468" u="1"/>
        <n v="11372" u="1"/>
        <n v="3232" u="1"/>
        <n v="15548" u="1"/>
        <n v="13988" u="1"/>
        <n v="6536" u="1"/>
        <n v="12948" u="1"/>
        <n v="1600" u="1"/>
        <n v="11908" u="1"/>
        <n v="9828" u="1"/>
        <n v="3496" u="1"/>
        <n v="8536" u="1"/>
        <n v="5504" u="1"/>
        <n v="14272" u="1"/>
        <n v="13232" u="1"/>
        <n v="2720" u="1"/>
        <n v="11940" u="1"/>
        <n v="5512" u="1"/>
        <n v="11704" u="1"/>
        <n v="9104" u="1"/>
        <n v="1868" u="1"/>
        <n v="6308" u="1"/>
        <n v="3512" u="1"/>
        <n v="10160" u="1"/>
        <n v="2000" u="1"/>
        <n v="13548" u="1"/>
        <n v="11468" u="1"/>
        <n v="244" u="1"/>
        <n v="2740" u="1"/>
        <n v="10712" u="1"/>
        <n v="15140" u="1"/>
        <n v="14620" u="1"/>
        <n v="1224" u="1"/>
        <n v="14368" u="1"/>
        <n v="12099" u="1"/>
        <n v="10996" u="1"/>
        <n v="5300" u="1"/>
        <n v="15944" u="1"/>
        <n v="3008" u="1"/>
        <n v="15172" u="1"/>
        <n v="14132" u="1"/>
        <n v="1488" u="1"/>
        <n v="8412" u="1"/>
        <n v="4052" u="1"/>
        <n v="13360" u="1"/>
        <n v="11280" u="1"/>
        <n v="12651" u="1"/>
        <n v="14148" u="1"/>
        <n v="13108" u="1"/>
        <n v="12588" u="1"/>
        <n v="5576" u="1"/>
        <n v="9468" u="1"/>
        <n v="8428" u="1"/>
        <n v="14747" u="1"/>
        <n v="1752" u="1"/>
        <n v="13124" u="1"/>
        <n v="13912" u="1"/>
        <n v="11375" u="1"/>
        <n v="2240" u="1"/>
        <n v="5915" u="1"/>
        <n v="12100" u="1"/>
        <n v="13928" u="1"/>
        <n v="9768" u="1"/>
        <n v="8728" u="1"/>
        <n v="15756" u="1"/>
        <n v="12636" u="1"/>
        <n v="10304" u="1"/>
        <n v="13172" u="1"/>
        <n v="11612" u="1"/>
        <n v="8240" u="1"/>
        <n v="32" u="1"/>
        <n v="8508" u="1"/>
        <n v="13976" u="1"/>
        <n v="8776" u="1"/>
        <n v="15284" u="1"/>
        <n v="5624" u="1"/>
        <n v="5364" u="1"/>
        <n v="3560" u="1"/>
        <n v="11912" u="1"/>
        <n v="548" u="1"/>
        <n v="8272" u="1"/>
        <n v="15300" u="1"/>
        <n v="14260" u="1"/>
        <n v="11723" u="1"/>
        <n v="5632" u="1"/>
        <n v="1244" u="1"/>
        <n v="10368" u="1"/>
        <n v="15836" u="1"/>
        <n v="14276" u="1"/>
        <n v="15064" u="1"/>
        <n v="680" u="1"/>
        <n v="14812" u="1"/>
        <n v="14292" u="1"/>
        <n v="6948" u="1"/>
        <n v="6168" u="1"/>
        <n v="5648" u="1"/>
        <n v="13583" u="1"/>
        <n v="14040" u="1"/>
        <n v="13000" u="1"/>
        <n v="7539" u="1"/>
        <n v="14308" u="1"/>
        <n v="5916" u="1"/>
        <n v="5656" u="1"/>
        <n v="9628" u="1"/>
        <n v="16136" u="1"/>
        <n v="10936" u="1"/>
        <n v="9896" u="1"/>
        <n v="7484" u="1"/>
        <n v="14844" u="1"/>
        <n v="13284" u="1"/>
        <n v="11204" u="1"/>
        <n v="1252" u="1"/>
        <n v="9644" u="1"/>
        <n v="13615" u="1"/>
        <n v="14072" u="1"/>
        <n v="3060" u="1"/>
        <n v="13426" u="1"/>
        <n v="8352" u="1"/>
        <n v="7232" u="1"/>
        <n v="12260" u="1"/>
        <n v="16168" u="1"/>
        <n v="15648" u="1"/>
        <n v="13568" u="1"/>
        <n v="7760" u="1"/>
        <n v="13836" u="1"/>
        <n v="12796" u="1"/>
        <n v="12276" u="1"/>
        <n v="5940" u="1"/>
        <n v="11756" u="1"/>
        <n v="4900" u="1"/>
        <n v="232" u="1"/>
        <n v="9944" u="1"/>
        <n v="13852" u="1"/>
        <n v="3395" u="1"/>
        <n v="11772" u="1"/>
        <n v="12040" u="1"/>
        <n v="10480" u="1"/>
        <n v="12828" u="1"/>
        <n v="11788" u="1"/>
        <n v="1325" u="1"/>
        <n v="13616" u="1"/>
        <n v="12576" u="1"/>
        <n v="11016" u="1"/>
        <n v="14924" u="1"/>
        <n v="11804" u="1"/>
        <n v="5704" u="1"/>
        <n v="9204" u="1"/>
        <n v="12072" u="1"/>
        <n v="14483" u="1"/>
        <n v="6492" u="1"/>
        <n v="12860" u="1"/>
        <n v="340" u="1"/>
        <n v="13648" u="1"/>
        <n v="13128" u="1"/>
        <n v="7020" u="1"/>
        <n v="1656" u="1"/>
        <n v="9236" u="1"/>
        <n v="8196" u="1"/>
        <n v="7808" u="1"/>
        <n v="1268" u="1"/>
        <n v="16280" u="1"/>
        <n v="14200" u="1"/>
        <n v="13680" u="1"/>
        <n v="2572" u="1"/>
        <n v="10040" u="1"/>
        <n v="8480" u="1"/>
        <n v="2052" u="1"/>
        <n v="16028" u="1"/>
        <n v="10308" u="1"/>
        <n v="13176" u="1"/>
        <n v="15004" u="1"/>
        <n v="12467" u="1"/>
        <n v="11427" u="1"/>
        <n v="12404" u="1"/>
        <n v="8244" u="1"/>
        <n v="8092" u="1"/>
        <n v="6792" u="1"/>
        <n v="11900" u="1"/>
        <n v="11380" u="1"/>
        <n v="10340" u="1"/>
        <n v="8100" u="1"/>
        <n v="10356" u="1"/>
        <n v="1020" u="1"/>
        <n v="13744" u="1"/>
        <n v="10104" u="1"/>
        <n v="8544" u="1"/>
        <n v="15052" u="1"/>
        <n v="9852" u="1"/>
        <n v="8812" u="1"/>
        <n v="8292" u="1"/>
        <n v="956" u="1"/>
        <n v="10451" u="1"/>
        <n v="12468" u="1"/>
        <n v="11428" u="1"/>
        <n v="8576" u="1"/>
        <n v="14107" u="1"/>
        <n v="14564" u="1"/>
        <n v="14044" u="1"/>
        <n v="6824" u="1"/>
        <n v="12484" u="1"/>
        <n v="11444" u="1"/>
        <n v="14312" u="1"/>
        <n v="11192" u="1"/>
        <n v="1999" u="1"/>
        <n v="6832" u="1"/>
        <n v="12500" u="1"/>
        <n v="11460" u="1"/>
        <n v="1284" u="1"/>
        <n v="14848" u="1"/>
        <n v="14328" u="1"/>
        <n v="8140" u="1"/>
        <n v="508" u="1"/>
        <n v="1936" u="1"/>
        <n v="14344" u="1"/>
        <n v="11807" u="1"/>
        <n v="7171" u="1"/>
        <n v="2088" u="1"/>
        <n v="8148" u="1"/>
        <n v="7628" u="1"/>
        <n v="14092" u="1"/>
        <n v="12532" u="1"/>
        <n v="6068" u="1"/>
        <n v="12012" u="1"/>
        <n v="10452" u="1"/>
        <n v="4508" u="1"/>
        <n v="8372" u="1"/>
        <n v="14360" u="1"/>
        <n v="3392" u="1"/>
        <n v="12800" u="1"/>
        <n v="7896" u="1"/>
        <n v="13068" u="1"/>
        <n v="10988" u="1"/>
        <n v="10468" u="1"/>
        <n v="13336" u="1"/>
        <n v="12816" u="1"/>
        <n v="10736" u="1"/>
        <n v="16204" u="1"/>
        <n v="9964" u="1"/>
        <n v="15952" u="1"/>
        <n v="3920" u="1"/>
        <n v="13872" u="1"/>
        <n v="12832" u="1"/>
        <n v="10295" u="1"/>
        <n v="8172" u="1"/>
        <n v="13100" u="1"/>
        <n v="12060" u="1"/>
        <n v="4532" u="1"/>
        <n v="11808" u="1"/>
        <n v="10768" u="1"/>
        <n v="10248" u="1"/>
        <n v="9728" u="1"/>
        <n v="14156" u="1"/>
        <n v="11036" u="1"/>
        <n v="1296" u="1"/>
        <n v="2561" u="1"/>
        <n v="8436" u="1"/>
        <n v="7928" u="1"/>
        <n v="13132" u="1"/>
        <n v="15480" u="1"/>
        <n v="12880" u="1"/>
        <n v="3152" u="1"/>
        <n v="12360" u="1"/>
        <n v="11840" u="1"/>
        <n v="10280" u="1"/>
        <n v="7156" u="1"/>
        <n v="6896" u="1"/>
        <n v="13668" u="1"/>
        <n v="13148" u="1"/>
        <n v="4296" u="1"/>
        <n v="14456" u="1"/>
        <n v="15764" u="1"/>
        <n v="1952" u="1"/>
        <n v="15244" u="1"/>
        <n v="13684" u="1"/>
        <n v="12644" u="1"/>
        <n v="16032" u="1"/>
        <n v="7432" u="1"/>
        <n v="7172" u="1"/>
        <n v="6912" u="1"/>
        <n v="13180" u="1"/>
        <n v="6132" u="1"/>
        <n v="5872" u="1"/>
        <n v="4312" u="1"/>
        <n v="13968" u="1"/>
        <n v="10848" u="1"/>
        <n v="9288" u="1"/>
        <n v="7700" u="1"/>
        <n v="10596" u="1"/>
        <n v="5100" u="1"/>
        <n v="10076" u="1"/>
        <n v="9556" u="1"/>
        <n v="2388" u="1"/>
        <n v="14252" u="1"/>
        <n v="13212" u="1"/>
        <n v="11652" u="1"/>
        <n v="9052" u="1"/>
        <n v="3692" u="1"/>
        <n v="14520" u="1"/>
        <n v="8406" u="1"/>
        <n v="9840" u="1"/>
        <n v="9320" u="1"/>
        <n v="14851" u="1"/>
        <n v="12708" u="1"/>
        <n v="5116" u="1"/>
        <n v="14536" u="1"/>
      </sharedItems>
    </cacheField>
    <cacheField name="THREADID" numFmtId="0" sqlType="6">
      <sharedItems containsSemiMixedTypes="0" containsString="0" containsNumber="1" containsInteger="1" minValue="96" maxValue="16856" count="988">
        <n v="15844" u="1"/>
        <n v="14284" u="1"/>
        <n v="6684" u="1"/>
        <n v="13244" u="1"/>
        <n v="1572" u="1"/>
        <n v="12204" u="1"/>
        <n v="5644" u="1"/>
        <n v="5384" u="1"/>
        <n v="5124" u="1"/>
        <n v="8564" u="1"/>
        <n v="1052" u="1"/>
        <n v="13512" u="1"/>
        <n v="12992" u="1"/>
        <n v="2400" u="1"/>
        <n v="7992" u="1"/>
        <n v="15860" u="1"/>
        <n v="14300" u="1"/>
        <n v="13780" u="1"/>
        <n v="6692" u="1"/>
        <n v="12740" u="1"/>
        <n v="10660" u="1"/>
        <n v="9620" u="1"/>
        <n v="9100" u="1"/>
        <n v="8580" u="1"/>
        <n v="15088" u="1"/>
        <n v="11448" u="1"/>
        <n v="9888" u="1"/>
        <n v="8000" u="1"/>
        <n v="7480" u="1"/>
        <n v="14316" u="1"/>
        <n v="5920" u="1"/>
        <n v="11716" u="1"/>
        <n v="5400" u="1"/>
        <n v="10676" u="1"/>
        <n v="10156" u="1"/>
        <n v="9636" u="1"/>
        <n v="4620" u="1"/>
        <n v="15624" u="1"/>
        <n v="14584" u="1"/>
        <n v="2928" u="1"/>
        <n v="8008" u="1"/>
        <n v="7748" u="1"/>
        <n v="13812" u="1"/>
        <n v="1708" u="1"/>
        <n v="13292" u="1"/>
        <n v="12772" u="1"/>
        <n v="12252" u="1"/>
        <n v="5928" u="1"/>
        <n v="11732" u="1"/>
        <n v="5668" u="1"/>
        <n v="11212" u="1"/>
        <n v="5148" u="1"/>
        <n v="10172" u="1"/>
        <n v="14080" u="1"/>
        <n v="13560" u="1"/>
        <n v="12520" u="1"/>
        <n v="10960" u="1"/>
        <n v="10440" u="1"/>
        <n v="8880" u="1"/>
        <n v="14868" u="1"/>
        <n v="6976" u="1"/>
        <n v="13828" u="1"/>
        <n v="12788" u="1"/>
        <n v="6196" u="1"/>
        <n v="5416" u="1"/>
        <n v="10188" u="1"/>
        <n v="9148" u="1"/>
        <n v="4376" u="1"/>
        <n v="240" u="1"/>
        <n v="14616" u="1"/>
        <n v="14096" u="1"/>
        <n v="3456" u="1"/>
        <n v="13576" u="1"/>
        <n v="12536" u="1"/>
        <n v="12016" u="1"/>
        <n v="2936" u="1"/>
        <n v="11496" u="1"/>
        <n v="10456" u="1"/>
        <n v="2416" u="1"/>
        <n v="8896" u="1"/>
        <n v="14884" u="1"/>
        <n v="13844" u="1"/>
        <n v="6464" u="1"/>
        <n v="10724" u="1"/>
        <n v="5164" u="1"/>
        <n v="10204" u="1"/>
        <n v="4904" u="1"/>
        <n v="9684" u="1"/>
        <n v="15672" u="1"/>
        <n v="3720" u="1"/>
        <n v="14112" u="1"/>
        <n v="224" u="1"/>
        <n v="13072" u="1"/>
        <n v="3200" u="1"/>
        <n v="11512" u="1"/>
        <n v="10992" u="1"/>
        <n v="10472" u="1"/>
        <n v="420" u="1"/>
        <n v="1584" u="1"/>
        <n v="1324" u="1"/>
        <n v="9700" u="1"/>
        <n v="8660" u="1"/>
        <n v="4132" u="1"/>
        <n v="15168" u="1"/>
        <n v="3724" u="1"/>
        <n v="12568" u="1"/>
        <n v="2164" u="1"/>
        <n v="8040" u="1"/>
        <n v="1976" u="1"/>
        <n v="14396" u="1"/>
        <n v="12836" u="1"/>
        <n v="1456" u="1"/>
        <n v="11276" u="1"/>
        <n v="1196" u="1"/>
        <n v="4660" u="1"/>
        <n v="4140" u="1"/>
        <n v="3988" u="1"/>
        <n v="15704" u="1"/>
        <n v="15184" u="1"/>
        <n v="3728" u="1"/>
        <n v="13624" u="1"/>
        <n v="2688" u="1"/>
        <n v="9984" u="1"/>
        <n v="8048" u="1"/>
        <n v="7788" u="1"/>
        <n v="7268" u="1"/>
        <n v="6488" u="1"/>
        <n v="6228" u="1"/>
        <n v="5708" u="1"/>
        <n v="14680" u="1"/>
        <n v="14160" u="1"/>
        <n v="13120" u="1"/>
        <n v="3212" u="1"/>
        <n v="12080" u="1"/>
        <n v="11040" u="1"/>
        <n v="9480" u="1"/>
        <n v="7276" u="1"/>
        <n v="14428" u="1"/>
        <n v="13908" u="1"/>
        <n v="13388" u="1"/>
        <n v="5716" u="1"/>
        <n v="5196" u="1"/>
        <n v="10268" u="1"/>
        <n v="4156" u="1"/>
        <n v="3736" u="1"/>
        <n v="14696" u="1"/>
        <n v="14176" u="1"/>
        <n v="12616" u="1"/>
        <n v="10536" u="1"/>
        <n v="10016" u="1"/>
        <n v="592" u="1"/>
        <n v="2176" u="1"/>
        <n v="14964" u="1"/>
        <n v="12884" u="1"/>
        <n v="5984" u="1"/>
        <n v="11844" u="1"/>
        <n v="11324" u="1"/>
        <n v="10804" u="1"/>
        <n v="10284" u="1"/>
        <n v="8724" u="1"/>
        <n v="8204" u="1"/>
        <n v="14192" u="1"/>
        <n v="3220" u="1"/>
        <n v="11072" u="1"/>
        <n v="9512" u="1"/>
        <n v="7552" u="1"/>
        <n v="13420" u="1"/>
        <n v="6512" u="1"/>
        <n v="11860" u="1"/>
        <n v="1464" u="1"/>
        <n v="10820" u="1"/>
        <n v="5212" u="1"/>
        <n v="9260" u="1"/>
        <n v="4432" u="1"/>
        <n v="16288" u="1"/>
        <n v="260" u="1"/>
        <n v="14728" u="1"/>
        <n v="14208" u="1"/>
        <n v="13168" u="1"/>
        <n v="3224" u="1"/>
        <n v="12648" u="1"/>
        <n v="10568" u="1"/>
        <n v="7820" u="1"/>
        <n v="13436" u="1"/>
        <n v="11876" u="1"/>
        <n v="9796" u="1"/>
        <n v="4180" u="1"/>
        <n v="3748" u="1"/>
        <n v="10064" u="1"/>
        <n v="9024" u="1"/>
        <n v="8504" u="1"/>
        <n v="16052" u="1"/>
        <n v="7828" u="1"/>
        <n v="14492" u="1"/>
        <n v="12932" u="1"/>
        <n v="6268" u="1"/>
        <n v="11892" u="1"/>
        <n v="10852" u="1"/>
        <n v="4708" u="1"/>
        <n v="4012" u="1"/>
        <n v="14240" u="1"/>
        <n v="3492" u="1"/>
        <n v="13720" u="1"/>
        <n v="3232" u="1"/>
        <n v="9560" u="1"/>
        <n v="16068" u="1"/>
        <n v="7836" u="1"/>
        <n v="15028" u="1"/>
        <n v="1860" u="1"/>
        <n v="12948" u="1"/>
        <n v="1600" u="1"/>
        <n v="11388" u="1"/>
        <n v="5496" u="1"/>
        <n v="10868" u="1"/>
        <n v="4716" u="1"/>
        <n v="4016" u="1"/>
        <n v="15296" u="1"/>
        <n v="3756" u="1"/>
        <n v="3496" u="1"/>
        <n v="12696" u="1"/>
        <n v="2456" u="1"/>
        <n v="9576" u="1"/>
        <n v="9056" u="1"/>
        <n v="8536" u="1"/>
        <n v="16084" u="1"/>
        <n v="15564" u="1"/>
        <n v="15044" u="1"/>
        <n v="14004" u="1"/>
        <n v="13484" u="1"/>
        <n v="12444" u="1"/>
        <n v="6024" u="1"/>
        <n v="10364" u="1"/>
        <n v="3500" u="1"/>
        <n v="11672" u="1"/>
        <n v="11152" u="1"/>
        <n v="2720" u="1"/>
        <n v="8552" u="1"/>
        <n v="16856" u="1"/>
        <n v="1864" u="1"/>
        <n v="7332" u="1"/>
        <n v="7072" u="1"/>
        <n v="14020" u="1"/>
        <n v="13500" u="1"/>
        <n v="12460" u="1"/>
        <n v="6032" u="1"/>
        <n v="96" u="1"/>
        <n v="11420" u="1"/>
        <n v="15328" u="1"/>
        <n v="3504" u="1"/>
        <n v="12208" u="1"/>
        <n v="2724" u="1"/>
        <n v="10648" u="1"/>
        <n v="15076" u="1"/>
        <n v="7080" u="1"/>
        <n v="14036" u="1"/>
        <n v="6040" u="1"/>
        <n v="11956" u="1"/>
        <n v="5260" u="1"/>
        <n v="14304" u="1"/>
        <n v="13784" u="1"/>
        <n v="12744" u="1"/>
        <n v="10664" u="1"/>
        <n v="7608" u="1"/>
        <n v="13012" u="1"/>
        <n v="12492" u="1"/>
        <n v="11972" u="1"/>
        <n v="11452" u="1"/>
        <n v="3512" u="1"/>
        <n v="2992" u="1"/>
        <n v="11200" u="1"/>
        <n v="10680" u="1"/>
        <n v="10160" u="1"/>
        <n v="2212" u="1"/>
        <n v="8136" u="1"/>
        <n v="16148" u="1"/>
        <n v="2000" u="1"/>
        <n v="15628" u="1"/>
        <n v="7356" u="1"/>
        <n v="1740" u="1"/>
        <n v="6836" u="1"/>
        <n v="13548" u="1"/>
        <n v="5276" u="1"/>
        <n v="4756" u="1"/>
        <n v="8868" u="1"/>
        <n v="13296" u="1"/>
        <n v="3256" u="1"/>
        <n v="12776" u="1"/>
        <n v="2996" u="1"/>
        <n v="10696" u="1"/>
        <n v="9136" u="1"/>
        <n v="2216" u="1"/>
        <n v="8144" u="1"/>
        <n v="7104" u="1"/>
        <n v="6584" u="1"/>
        <n v="12004" u="1"/>
        <n v="10444" u="1"/>
        <n v="5024" u="1"/>
        <n v="15912" u="1"/>
        <n v="244" u="1"/>
        <n v="14352" u="1"/>
        <n v="12272" u="1"/>
        <n v="9672" u="1"/>
        <n v="8152" u="1"/>
        <n v="2004" u="1"/>
        <n v="7632" u="1"/>
        <n v="13580" u="1"/>
        <n v="6592" u="1"/>
        <n v="13060" u="1"/>
        <n v="6072" u="1"/>
        <n v="11500" u="1"/>
        <n v="10980" u="1"/>
        <n v="5032" u="1"/>
        <n v="9420" u="1"/>
        <n v="14368" u="1"/>
        <n v="228" u="1"/>
        <n v="2484" u="1"/>
        <n v="9168" u="1"/>
        <n v="7640" u="1"/>
        <n v="15156" u="1"/>
        <n v="7380" u="1"/>
        <n v="14636" u="1"/>
        <n v="7120" u="1"/>
        <n v="13596" u="1"/>
        <n v="6080" u="1"/>
        <n v="12036" u="1"/>
        <n v="1356" u="1"/>
        <n v="9436" u="1"/>
        <n v="3788" u="1"/>
        <n v="3528" u="1"/>
        <n v="3268" u="1"/>
        <n v="12824" u="1"/>
        <n v="3008" u="1"/>
        <n v="11784" u="1"/>
        <n v="2748" u="1"/>
        <n v="10744" u="1"/>
        <n v="9704" u="1"/>
        <n v="16212" u="1"/>
        <n v="7388" u="1"/>
        <n v="14652" u="1"/>
        <n v="1748" u="1"/>
        <n v="12572" u="1"/>
        <n v="11532" u="1"/>
        <n v="5568" u="1"/>
        <n v="10492" u="1"/>
        <n v="9972" u="1"/>
        <n v="9452" u="1"/>
        <n v="4528" u="1"/>
        <n v="996" u="1"/>
        <n v="12840" u="1"/>
        <n v="12320" u="1"/>
        <n v="2492" u="1"/>
        <n v="9200" u="1"/>
        <n v="15708" u="1"/>
        <n v="14148" u="1"/>
        <n v="6616" u="1"/>
        <n v="12068" u="1"/>
        <n v="11548" u="1"/>
        <n v="5576" u="1"/>
        <n v="1360" u="1"/>
        <n v="10776" u="1"/>
        <n v="2236" u="1"/>
        <n v="7144" u="1"/>
        <n v="13124" u="1"/>
        <n v="12084" u="1"/>
        <n v="1492" u="1"/>
        <n v="5844" u="1"/>
        <n v="11564" u="1"/>
        <n v="14952" u="1"/>
        <n v="3540" u="1"/>
        <n v="868" u="1"/>
        <n v="13392" u="1"/>
        <n v="12352" u="1"/>
        <n v="10272" u="1"/>
        <n v="9752" u="1"/>
        <n v="9232" u="1"/>
        <n v="14700" u="1"/>
        <n v="7152" u="1"/>
        <n v="6892" u="1"/>
        <n v="13660" u="1"/>
        <n v="6632" u="1"/>
        <n v="13140" u="1"/>
        <n v="6112" u="1"/>
        <n v="10540" u="1"/>
        <n v="8460" u="1"/>
        <n v="15488" u="1"/>
        <n v="14968" u="1"/>
        <n v="13928" u="1"/>
        <n v="12888" u="1"/>
        <n v="11848" u="1"/>
        <n v="11328" u="1"/>
        <n v="10288" u="1"/>
        <n v="9768" u="1"/>
        <n v="8728" u="1"/>
        <n v="544" u="1"/>
        <n v="14196" u="1"/>
        <n v="1756" u="1"/>
        <n v="12636" u="1"/>
        <n v="5860" u="1"/>
        <n v="11596" u="1"/>
        <n v="11076" u="1"/>
        <n v="1236" u="1"/>
        <n v="4300" u="1"/>
        <n v="8476" u="1"/>
        <n v="3808" u="1"/>
        <n v="14984" u="1"/>
        <n v="13944" u="1"/>
        <n v="13424" u="1"/>
        <n v="12384" u="1"/>
        <n v="2768" u="1"/>
        <n v="10824" u="1"/>
        <n v="10304" u="1"/>
        <n v="2248" u="1"/>
        <n v="7948" u="1"/>
        <n v="7688" u="1"/>
        <n v="1888" u="1"/>
        <n v="6388" u="1"/>
        <n v="1368" u="1"/>
        <n v="10052" u="1"/>
        <n v="4828" u="1"/>
        <n v="9532" u="1"/>
        <n v="9012" u="1"/>
        <n v="15000" u="1"/>
        <n v="11360" u="1"/>
        <n v="10840" u="1"/>
        <n v="2512" u="1"/>
        <n v="9800" u="1"/>
        <n v="9280" u="1"/>
        <n v="2252" u="1"/>
        <n v="14228" u="1"/>
        <n v="13708" u="1"/>
        <n v="11628" u="1"/>
        <n v="11108" u="1"/>
        <n v="1240" u="1"/>
        <n v="12936" u="1"/>
        <n v="12416" u="1"/>
        <n v="11376" u="1"/>
        <n v="10856" u="1"/>
        <n v="9816" u="1"/>
        <n v="8776" u="1"/>
        <n v="8256" u="1"/>
        <n v="7704" u="1"/>
        <n v="15284" u="1"/>
        <n v="14244" u="1"/>
        <n v="12684" u="1"/>
        <n v="5884" u="1"/>
        <n v="11644" u="1"/>
        <n v="11124" u="1"/>
        <n v="4844" u="1"/>
        <n v="4584" u="1"/>
        <n v="8524" u="1"/>
        <n v="16072" u="1"/>
        <n v="15552" u="1"/>
        <n v="13992" u="1"/>
        <n v="11912" u="1"/>
        <n v="11392" u="1"/>
        <n v="10872" u="1"/>
        <n v="8272" u="1"/>
        <n v="7712" u="1"/>
        <n v="15300" u="1"/>
        <n v="7192" u="1"/>
        <n v="12700" u="1"/>
        <n v="400" u="1"/>
        <n v="5632" u="1"/>
        <n v="10620" u="1"/>
        <n v="8540" u="1"/>
        <n v="1004" u="1"/>
        <n v="3824" u="1"/>
        <n v="15048" u="1"/>
        <n v="14528" u="1"/>
        <n v="14008" u="1"/>
        <n v="13488" u="1"/>
        <n v="11928" u="1"/>
        <n v="9848" u="1"/>
        <n v="8808" u="1"/>
        <n v="7720" u="1"/>
        <n v="14276" u="1"/>
        <n v="6680" u="1"/>
        <n v="13236" u="1"/>
        <n v="11676" u="1"/>
        <n v="10636" u="1"/>
        <n v="10116" u="1"/>
        <n v="4860" u="1"/>
        <n v="4340" u="1"/>
        <n v="4088" u="1"/>
        <n v="15584" u="1"/>
        <n v="15064" u="1"/>
        <n v="14544" u="1"/>
        <n v="11424" u="1"/>
        <n v="10904" u="1"/>
        <n v="680" u="1"/>
        <n v="9864" u="1"/>
        <n v="9344" u="1"/>
        <n v="15852" u="1"/>
        <n v="15332" u="1"/>
        <n v="6948" u="1"/>
        <n v="13252" u="1"/>
        <n v="11692" u="1"/>
        <n v="11172" u="1"/>
        <n v="1248" u="1"/>
        <n v="4348" u="1"/>
        <n v="4092" u="1"/>
        <n v="14560" u="1"/>
        <n v="12480" u="1"/>
        <n v="2532" u="1"/>
        <n v="7736" u="1"/>
        <n v="15348" u="1"/>
        <n v="14828" u="1"/>
        <n v="1640" u="1"/>
        <n v="5916" u="1"/>
        <n v="5396" u="1"/>
        <n v="8588" u="1"/>
        <n v="15616" u="1"/>
        <n v="14576" u="1"/>
        <n v="13016" u="1"/>
        <n v="12496" u="1"/>
        <n v="10936" u="1"/>
        <n v="10416" u="1"/>
        <n v="15364" u="1"/>
        <n v="6704" u="1"/>
        <n v="13284" u="1"/>
        <n v="6444" u="1"/>
        <n v="12244" u="1"/>
        <n v="1252" u="1"/>
        <n v="9124" u="1"/>
        <n v="4364" u="1"/>
        <n v="14592" u="1"/>
        <n v="13032" u="1"/>
        <n v="12512" u="1"/>
        <n v="2540" u="1"/>
        <n v="8352" u="1"/>
        <n v="8012" u="1"/>
        <n v="15900" u="1"/>
        <n v="13820" u="1"/>
        <n v="6192" u="1"/>
        <n v="11740" u="1"/>
        <n v="9140" u="1"/>
        <n v="4372" u="1"/>
        <n v="8620" u="1"/>
        <n v="16168" u="1"/>
        <n v="248" u="1"/>
        <n v="3844" u="1"/>
        <n v="944" u="1"/>
        <n v="2804" u="1"/>
        <n v="10448" u="1"/>
        <n v="9928" u="1"/>
        <n v="9408" u="1"/>
        <n v="8020" u="1"/>
        <n v="15916" u="1"/>
        <n v="15396" u="1"/>
        <n v="13836" u="1"/>
        <n v="12796" u="1"/>
        <n v="12276" u="1"/>
        <n v="5160" u="1"/>
        <n v="4640" u="1"/>
        <n v="9156" u="1"/>
        <n v="4380" u="1"/>
        <n v="14104" u="1"/>
        <n v="13584" u="1"/>
        <n v="10464" u="1"/>
        <n v="9424" u="1"/>
        <n v="1908" u="1"/>
        <n v="14892" u="1"/>
        <n v="14372" u="1"/>
        <n v="436" u="1"/>
        <n v="6728" u="1"/>
        <n v="13332" u="1"/>
        <n v="12292" u="1"/>
        <n v="10212" u="1"/>
        <n v="9692" u="1"/>
        <n v="4388" u="1"/>
        <n v="15680" u="1"/>
        <n v="3592" u="1"/>
        <n v="14120" u="1"/>
        <n v="12560" u="1"/>
        <n v="11520" u="1"/>
        <n v="8920" u="1"/>
        <n v="8400" u="1"/>
        <n v="8036" u="1"/>
        <n v="7776" u="1"/>
        <n v="7516" u="1"/>
        <n v="6996" u="1"/>
        <n v="13868" u="1"/>
        <n v="12828" u="1"/>
        <n v="11788" u="1"/>
        <n v="11268" u="1"/>
        <n v="10748" u="1"/>
        <n v="10228" u="1"/>
        <n v="9188" u="1"/>
        <n v="4396" u="1"/>
        <n v="8668" u="1"/>
        <n v="4136" u="1"/>
        <n v="1012" u="1"/>
        <n v="15176" u="1"/>
        <n v="12056" u="1"/>
        <n v="10496" u="1"/>
        <n v="8936" u="1"/>
        <n v="8416" u="1"/>
        <n v="6744" u="1"/>
        <n v="5964" u="1"/>
        <n v="5184" u="1"/>
        <n v="4924" u="1"/>
        <n v="4664" u="1"/>
        <n v="9204" u="1"/>
        <n v="4144" u="1"/>
        <n v="3860" u="1"/>
        <n v="7792" u="1"/>
        <n v="14420" u="1"/>
        <n v="6752" u="1"/>
        <n v="13380" u="1"/>
        <n v="6232" u="1"/>
        <n v="9740" u="1"/>
        <n v="15728" u="1"/>
        <n v="3864" u="1"/>
        <n v="15208" u="1"/>
        <n v="14688" u="1"/>
        <n v="3344" u="1"/>
        <n v="13128" u="1"/>
        <n v="3084" u="1"/>
        <n v="12088" u="1"/>
        <n v="11568" u="1"/>
        <n v="10008" u="1"/>
        <n v="624" u="1"/>
        <n v="7280" u="1"/>
        <n v="14436" u="1"/>
        <n v="6240" u="1"/>
        <n v="9236" u="1"/>
        <n v="1136" u="1"/>
        <n v="16264" u="1"/>
        <n v="3608" u="1"/>
        <n v="13144" u="1"/>
        <n v="10544" u="1"/>
        <n v="9504" u="1"/>
        <n v="7028" u="1"/>
        <n v="13412" u="1"/>
        <n v="6508" u="1"/>
        <n v="12372" u="1"/>
        <n v="11852" u="1"/>
        <n v="11332" u="1"/>
        <n v="4168" u="1"/>
        <n v="16280" u="1"/>
        <n v="15240" u="1"/>
        <n v="14200" u="1"/>
        <n v="10560" u="1"/>
        <n v="9520" u="1"/>
        <n v="8076" u="1"/>
        <n v="16028" u="1"/>
        <n v="13948" u="1"/>
        <n v="12908" u="1"/>
        <n v="6256" u="1"/>
        <n v="5996" u="1"/>
        <n v="11868" u="1"/>
        <n v="5476" u="1"/>
        <n v="4956" u="1"/>
        <n v="4436" u="1"/>
        <n v="4176" u="1"/>
        <n v="14216" u="1"/>
        <n v="13176" u="1"/>
        <n v="12656" u="1"/>
        <n v="12136" u="1"/>
        <n v="2576" u="1"/>
        <n v="2316" u="1"/>
        <n v="9016" u="1"/>
        <n v="8496" u="1"/>
        <n v="8084" u="1"/>
        <n v="16044" u="1"/>
        <n v="7824" u="1"/>
        <n v="6784" u="1"/>
        <n v="13444" u="1"/>
        <n v="6264" u="1"/>
        <n v="12404" u="1"/>
        <n v="11884" u="1"/>
        <n v="10324" u="1"/>
        <n v="9284" u="1"/>
        <n v="4184" u="1"/>
        <n v="16312" u="1"/>
        <n v="3880" u="1"/>
        <n v="14752" u="1"/>
        <n v="13712" u="1"/>
        <n v="13192" u="1"/>
        <n v="12672" u="1"/>
        <n v="12152" u="1"/>
        <n v="2840" u="1"/>
        <n v="16060" u="1"/>
        <n v="1924" u="1"/>
        <n v="13980" u="1"/>
        <n v="6792" u="1"/>
        <n v="6532" u="1"/>
        <n v="12420" u="1"/>
        <n v="5752" u="1"/>
        <n v="1404" u="1"/>
        <n v="10860" u="1"/>
        <n v="10340" u="1"/>
        <n v="9300" u="1"/>
        <n v="8780" u="1"/>
        <n v="4192" u="1"/>
        <n v="15808" u="1"/>
        <n v="3364" u="1"/>
        <n v="824" u="1"/>
        <n v="11128" u="1"/>
        <n v="10608" u="1"/>
        <n v="14516" u="1"/>
        <n v="6800" u="1"/>
        <n v="12956" u="1"/>
        <n v="1536" u="1"/>
        <n v="11396" u="1"/>
        <n v="10876" u="1"/>
        <n v="10356" u="1"/>
        <n v="16344" u="1"/>
        <n v="15304" u="1"/>
        <n v="3628" u="1"/>
        <n v="13224" u="1"/>
        <n v="12704" u="1"/>
        <n v="12184" u="1"/>
        <n v="2848" u="1"/>
        <n v="11144" u="1"/>
        <n v="9584" u="1"/>
        <n v="9064" u="1"/>
        <n v="8108" u="1"/>
        <n v="15572" u="1"/>
        <n v="15052" u="1"/>
        <n v="13492" u="1"/>
        <n v="1668" u="1"/>
        <n v="6548" u="1"/>
        <n v="12972" u="1"/>
        <n v="100" u="1"/>
        <n v="11412" u="1"/>
        <n v="10892" u="1"/>
        <n v="4988" u="1"/>
        <n v="4728" u="1"/>
        <n v="16360" u="1"/>
        <n v="3632" u="1"/>
        <n v="14280" u="1"/>
        <n v="13760" u="1"/>
        <n v="13240" u="1"/>
        <n v="11680" u="1"/>
        <n v="11160" u="1"/>
        <n v="10120" u="1"/>
        <n v="2332" u="1"/>
        <n v="8560" u="1"/>
        <n v="1800" u="1"/>
        <n v="13508" u="1"/>
        <n v="12988" u="1"/>
        <n v="6036" u="1"/>
        <n v="5516" u="1"/>
        <n v="344" u="1"/>
        <n v="9868" u="1"/>
        <n v="9348" u="1"/>
        <n v="4476" u="1"/>
        <n v="15856" u="1"/>
        <n v="3896" u="1"/>
        <n v="14816" u="1"/>
        <n v="13776" u="1"/>
        <n v="13256" u="1"/>
        <n v="14044" u="1"/>
        <n v="6304" u="1"/>
        <n v="11444" u="1"/>
        <n v="5524" u="1"/>
        <n v="15872" u="1"/>
        <n v="15352" u="1"/>
        <n v="14312" u="1"/>
        <n v="3120" u="1"/>
        <n v="11712" u="1"/>
        <n v="10152" u="1"/>
        <n v="2080" u="1"/>
        <n v="15100" u="1"/>
        <n v="7352" u="1"/>
        <n v="6832" u="1"/>
        <n v="12500" u="1"/>
        <n v="11460" u="1"/>
        <n v="5272" u="1"/>
        <n v="10420" u="1"/>
        <n v="15888" u="1"/>
        <n v="3644" u="1"/>
        <n v="13808" u="1"/>
        <n v="13288" u="1"/>
        <n v="3124" u="1"/>
        <n v="764" u="1"/>
        <n v="11728" u="1"/>
        <n v="2604" u="1"/>
        <n v="10168" u="1"/>
        <n v="9128" u="1"/>
        <n v="16156" u="1"/>
        <n v="7880" u="1"/>
        <n v="15636" u="1"/>
        <n v="1936" u="1"/>
        <n v="14596" u="1"/>
        <n v="14076" u="1"/>
        <n v="13556" u="1"/>
        <n v="5020" u="1"/>
        <n v="4760" u="1"/>
        <n v="15904" u="1"/>
        <n v="252" u="1"/>
        <n v="14864" u="1"/>
        <n v="3388" u="1"/>
        <n v="12784" u="1"/>
        <n v="9664" u="1"/>
        <n v="8624" u="1"/>
        <n v="2088" u="1"/>
        <n v="14092" u="1"/>
        <n v="6848" u="1"/>
        <n v="6328" u="1"/>
        <n v="6068" u="1"/>
        <n v="12012" u="1"/>
        <n v="11492" u="1"/>
        <n v="10452" u="1"/>
        <n v="1288" u="1"/>
        <n v="3912" u="1"/>
        <n v="3652" u="1"/>
        <n v="13840" u="1"/>
        <n v="13320" u="1"/>
        <n v="11760" u="1"/>
        <n v="8640" u="1"/>
        <n v="15148" u="1"/>
        <n v="7376" u="1"/>
        <n v="14108" u="1"/>
        <n v="444" u="1"/>
        <n v="6856" u="1"/>
        <n v="13588" u="1"/>
        <n v="1680" u="1"/>
        <n v="12548" u="1"/>
        <n v="5816" u="1"/>
        <n v="11508" u="1"/>
        <n v="5556" u="1"/>
        <n v="5036" u="1"/>
        <n v="9428" u="1"/>
        <n v="1160" u="1"/>
        <n v="8388" u="1"/>
        <n v="13336" u="1"/>
        <n v="12816" u="1"/>
        <n v="3136" u="1"/>
        <n v="2876" u="1"/>
        <n v="10216" u="1"/>
        <n v="9696" u="1"/>
        <n v="8656" u="1"/>
        <n v="14124" u="1"/>
        <n v="13604" u="1"/>
        <n v="12564" u="1"/>
        <n v="6084" u="1"/>
        <n v="5564" u="1"/>
        <n v="8924" u="1"/>
        <n v="1032" u="1"/>
        <n v="3920" u="1"/>
        <n v="3140" u="1"/>
        <n v="12312" u="1"/>
        <n v="11792" u="1"/>
        <n v="10752" u="1"/>
        <n v="2360" u="1"/>
        <n v="9192" u="1"/>
        <n v="8172" u="1"/>
        <n v="7912" u="1"/>
        <n v="1944" u="1"/>
        <n v="7652" u="1"/>
        <n v="14140" u="1"/>
        <n v="13100" u="1"/>
        <n v="5572" u="1"/>
        <n v="9980" u="1"/>
        <n v="1164" u="1"/>
        <n v="8420" u="1"/>
        <n v="15968" u="1"/>
        <n v="14408" u="1"/>
        <n v="13368" u="1"/>
        <n v="12328" u="1"/>
        <n v="11808" u="1"/>
        <n v="11288" u="1"/>
        <n v="704" u="1"/>
        <n v="10768" u="1"/>
        <n v="10248" u="1"/>
        <n v="7920" u="1"/>
        <n v="15196" u="1"/>
        <n v="14676" u="1"/>
        <n v="14156" u="1"/>
        <n v="13636" u="1"/>
        <n v="6100" u="1"/>
        <n v="9996" u="1"/>
        <n v="9476" u="1"/>
        <n v="15984" u="1"/>
        <n v="3928" u="1"/>
        <n v="15464" u="1"/>
        <n v="13384" u="1"/>
        <n v="12864" u="1"/>
        <n v="13652" u="1"/>
        <n v="12092" u="1"/>
        <n v="11572" u="1"/>
        <n v="11052" u="1"/>
        <n v="10532" u="1"/>
        <n v="10012" u="1"/>
        <n v="9492" u="1"/>
        <n v="4548" u="1"/>
        <n v="8972" u="1"/>
        <n v="8452" u="1"/>
        <n v="14960" u="1"/>
        <n v="13920" u="1"/>
        <n v="13400" u="1"/>
        <n v="11840" u="1"/>
        <n v="11320" u="1"/>
        <n v="9240" u="1"/>
        <n v="14708" u="1"/>
        <n v="14188" u="1"/>
        <n v="13668" u="1"/>
        <n v="13148" u="1"/>
        <n v="1560" u="1"/>
        <n v="11588" u="1"/>
        <n v="10548" u="1"/>
        <n v="1300" u="1"/>
        <n v="5076" u="1"/>
        <n v="4816" u="1"/>
        <n v="9508" u="1"/>
        <n v="3676" u="1"/>
        <n v="14456" u="1"/>
        <n v="3416" u="1"/>
        <n v="13416" u="1"/>
        <n v="12896" u="1"/>
        <n v="772" u="1"/>
        <n v="11856" u="1"/>
        <n v="10816" u="1"/>
        <n v="1952" u="1"/>
        <n v="7684" u="1"/>
        <n v="15244" u="1"/>
        <n v="7424" u="1"/>
        <n v="14724" u="1"/>
        <n v="14204" u="1"/>
        <n v="13684" u="1"/>
        <n v="1692" u="1"/>
        <n v="6644" u="1"/>
        <n v="6384" u="1"/>
        <n v="10564" u="1"/>
        <n v="3680" u="1"/>
        <n v="14472" u="1"/>
        <n v="10312" u="1"/>
        <n v="9792" u="1"/>
        <n v="480" u="1"/>
        <n v="7432" u="1"/>
        <n v="14220" u="1"/>
        <n v="13700" u="1"/>
        <n v="6392" u="1"/>
        <n v="5872" u="1"/>
        <n v="1044" u="1"/>
        <n v="3944" u="1"/>
        <n v="13968" u="1"/>
        <n v="12928" u="1"/>
        <n v="2904" u="1"/>
        <n v="9808" u="1"/>
        <n v="9288" u="1"/>
        <n v="8768" u="1"/>
        <n v="16316" u="1"/>
        <n v="15796" u="1"/>
        <n v="1956" u="1"/>
        <n v="13196" u="1"/>
        <n v="6140" u="1"/>
        <n v="12156" u="1"/>
        <n v="1436" u="1"/>
        <n v="11116" u="1"/>
        <n v="9556" u="1"/>
        <n v="4580" u="1"/>
        <n v="9036" u="1"/>
        <n v="8516" u="1"/>
        <n v="16064" u="1"/>
        <n v="3428" u="1"/>
        <n v="10864" u="1"/>
        <n v="9824" u="1"/>
        <n v="2388" u="1"/>
        <n v="9304" u="1"/>
        <n v="7448" u="1"/>
        <n v="1828" u="1"/>
        <n v="13732" u="1"/>
        <n v="6668" u="1"/>
        <n v="12692" u="1"/>
        <n v="11132" u="1"/>
        <n v="4588" u="1"/>
        <n v="3952" u="1"/>
        <n v="15040" u="1"/>
        <n v="10880" u="1"/>
        <n v="2392" u="1"/>
        <n v="8800" u="1"/>
        <n v="15828" u="1"/>
        <n v="1960" u="1"/>
        <n v="15308" u="1"/>
        <n v="7196" u="1"/>
        <n v="14268" u="1"/>
        <n v="13228" u="1"/>
        <n v="1440" u="1"/>
        <n v="5376" u="1"/>
        <n v="10628" u="1"/>
        <n v="4856" u="1"/>
        <n v="14016" u="1"/>
        <n v="12976" u="1"/>
        <n v="11936" u="1"/>
        <n v="10896" u="1"/>
      </sharedItems>
    </cacheField>
    <cacheField name="SEQUENCEID" numFmtId="0" sqlType="6">
      <sharedItems containsSemiMixedTypes="0" containsString="0" containsNumber="1" containsInteger="1" minValue="0" maxValue="48" count="49">
        <n v="0" u="1"/>
        <n v="34" u="1"/>
        <n v="13" u="1"/>
        <n v="36" u="1"/>
        <n v="38" u="1"/>
        <n v="5" u="1"/>
        <n v="14" u="1"/>
        <n v="40" u="1"/>
        <n v="42" u="1"/>
        <n v="15" u="1"/>
        <n v="44" u="1"/>
        <n v="2" u="1"/>
        <n v="46" u="1"/>
        <n v="6" u="1"/>
        <n v="16" u="1"/>
        <n v="48" u="1"/>
        <n v="17" u="1"/>
        <n v="18" u="1"/>
        <n v="19" u="1"/>
        <n v="7" u="1"/>
        <n v="20" u="1"/>
        <n v="33" u="1"/>
        <n v="21" u="1"/>
        <n v="35" u="1"/>
        <n v="22" u="1"/>
        <n v="37" u="1"/>
        <n v="1" u="1"/>
        <n v="23" u="1"/>
        <n v="3" u="1"/>
        <n v="8" u="1"/>
        <n v="39" u="1"/>
        <n v="24" u="1"/>
        <n v="41" u="1"/>
        <n v="25" u="1"/>
        <n v="9" u="1"/>
        <n v="43" u="1"/>
        <n v="26" u="1"/>
        <n v="45" u="1"/>
        <n v="27" u="1"/>
        <n v="10" u="1"/>
        <n v="47" u="1"/>
        <n v="28" u="1"/>
        <n v="29" u="1"/>
        <n v="11" u="1"/>
        <n v="30" u="1"/>
        <n v="31" u="1"/>
        <n v="4" u="1"/>
        <n v="12" u="1"/>
        <n v="32" u="1"/>
      </sharedItems>
    </cacheField>
    <cacheField name="NETPROCESSID" numFmtId="0" sqlType="6">
      <sharedItems containsSemiMixedTypes="0" containsString="0" containsNumber="1" containsInteger="1" minValue="0" maxValue="16204" count="148">
        <n v="0" u="1"/>
        <n v="11372" u="1"/>
        <n v="9236" u="1"/>
        <n v="1268" u="1"/>
        <n v="8172" u="1"/>
        <n v="7732" u="1"/>
        <n v="12800" u="1"/>
        <n v="13648" u="1"/>
        <n v="15140" u="1"/>
        <n v="12360" u="1"/>
        <n v="13176" u="1"/>
        <n v="1468" u="1"/>
        <n v="11448" u="1"/>
        <n v="1252" u="1"/>
        <n v="12500" u="1"/>
        <n v="1244" u="1"/>
        <n v="13928" u="1"/>
        <n v="10300" u="1"/>
        <n v="16032" u="1"/>
        <n v="4052" u="1"/>
        <n v="8776" u="1"/>
        <n v="5704" u="1"/>
        <n v="16204" u="1"/>
        <n v="32" u="1"/>
        <n v="14272" u="1"/>
        <n v="6536" u="1"/>
        <n v="4400" u="1"/>
        <n v="1020" u="1"/>
        <n v="10408" u="1"/>
        <n v="11900" u="1"/>
        <n v="6740" u="1"/>
        <n v="8272" u="1"/>
        <n v="3392" u="1"/>
        <n v="11460" u="1"/>
        <n v="13124" u="1"/>
        <n v="2740" u="1"/>
        <n v="11192" u="1"/>
        <n v="12040" u="1"/>
        <n v="6912" u="1"/>
        <n v="11804" u="1"/>
        <n v="2088" u="1"/>
        <n v="6896" u="1"/>
        <n v="11772" u="1"/>
        <n v="9840" u="1"/>
        <n v="13232" u="1"/>
        <n v="12588" u="1"/>
        <n v="4100" u="1"/>
        <n v="14252" u="1"/>
        <n v="3395" u="1"/>
        <n v="3972" u="1"/>
        <n v="13136" u="1"/>
        <n v="1196" u="1"/>
        <n v="8220" u="1"/>
        <n v="11204" u="1"/>
        <n v="8088" u="1"/>
        <n v="14156" u="1"/>
        <n v="15004" u="1"/>
        <n v="14360" u="1"/>
        <n v="5732" u="1"/>
        <n v="680" u="1"/>
        <n v="10936" u="1"/>
        <n v="12396" u="1"/>
        <n v="13212" u="1"/>
        <n v="12128" u="1"/>
        <n v="13180" u="1"/>
        <n v="12708" u="1"/>
        <n v="1596" u="1"/>
        <n v="12472" u="1"/>
        <n v="9896" u="1"/>
        <n v="8372" u="1"/>
        <n v="10712" u="1"/>
        <n v="8576" u="1"/>
        <n v="3468" u="1"/>
        <n v="9628" u="1"/>
        <n v="12816" u="1"/>
        <n v="14308" u="1"/>
        <n v="4960" u="1"/>
        <n v="5164" u="1"/>
        <n v="8148" u="1"/>
        <n v="7928" u="1"/>
        <n v="15736" u="1"/>
        <n v="12787" u="1"/>
        <n v="8244" u="1"/>
        <n v="7896" u="1"/>
        <n v="13568" u="1"/>
        <n v="13128" u="1"/>
        <n v="5116" u="1"/>
        <n v="13976" u="1"/>
        <n v="6168" u="1"/>
        <n v="9468" u="1"/>
        <n v="548" u="1"/>
        <n v="11808" u="1"/>
        <n v="11164" u="1"/>
        <n v="14148" u="1"/>
        <n v="4880" u="1"/>
        <n v="12012" u="1"/>
        <n v="12860" u="1"/>
        <n v="15200" u="1"/>
        <n v="13912" u="1"/>
        <n v="10488" u="1"/>
        <n v="8352" u="1"/>
        <n v="7628" u="1"/>
        <n v="232" u="1"/>
        <n v="6952" u="1"/>
        <n v="13172" u="1"/>
        <n v="7156" u="1"/>
        <n v="9104" u="1"/>
        <n v="11444" u="1"/>
        <n v="12292" u="1"/>
        <n v="5648" u="1"/>
        <n v="10768" u="1"/>
        <n v="14160" u="1"/>
        <n v="13924" u="1"/>
        <n v="9652" u="1"/>
        <n v="13688" u="1"/>
        <n v="13892" u="1"/>
        <n v="11756" u="1"/>
        <n v="14096" u="1"/>
        <n v="4532" u="1"/>
        <n v="1952" u="1"/>
        <n v="3560" u="1"/>
        <n v="4296" u="1"/>
        <n v="7484" u="1"/>
        <n v="9964" u="1"/>
        <n v="12948" u="1"/>
        <n v="9728" u="1"/>
        <n v="9288" u="1"/>
        <n v="10340" u="1"/>
        <n v="7232" u="1"/>
        <n v="1936" u="1"/>
        <n v="10308" u="1"/>
        <n v="3740" u="1"/>
        <n v="5300" u="1"/>
        <n v="6792" u="1"/>
        <n v="6132" u="1"/>
        <n v="10040" u="1"/>
        <n v="12651" u="1"/>
        <n v="8312" u="1"/>
        <n v="12788" u="1"/>
        <n v="1284" u="1"/>
        <n v="11908" u="1"/>
        <n v="11468" u="1"/>
        <n v="15944" u="1"/>
        <n v="15300" u="1"/>
        <n v="3496" u="1"/>
        <n v="12724" u="1"/>
        <n v="13132" u="1"/>
        <n v="1488" u="1"/>
      </sharedItems>
    </cacheField>
    <cacheField name="NETTHREADID" numFmtId="0" sqlType="6">
      <sharedItems containsSemiMixedTypes="0" containsString="0"/>
    </cacheField>
    <cacheField name="COREID" numFmtId="0" sqlType="6">
      <sharedItems containsSemiMixedTypes="0" containsString="0" containsNumber="1" containsInteger="1" minValue="0" maxValue="5" count="6">
        <n v="0" u="1"/>
        <n v="3" u="1"/>
        <n v="4" u="1"/>
        <n v="2" u="1"/>
        <n v="1" u="1"/>
        <n v="5" u="1"/>
      </sharedItems>
    </cacheField>
    <cacheField name="LAYER" numFmtId="0" sqlType="6">
      <sharedItems containsSemiMixedTypes="0" containsString="0" containsNumber="1" containsInteger="1" minValue="0" maxValue="1" count="2">
        <n v="0" u="1"/>
        <n v="1" u="1"/>
      </sharedItems>
    </cacheField>
    <cacheField name="MSER" numFmtId="0" sqlType="6">
      <sharedItems containsSemiMixedTypes="0" containsString="0" containsNumber="1" minValue="1.1016039934475E-5" maxValue="99983704" count="740">
        <n v="3.6032844946021201E-5" u="1"/>
        <n v="3.32746049389243E-3" u="1"/>
        <n v="0.13907459378242501" u="1"/>
        <n v="9.6977724751923206E-5" u="1"/>
        <n v="3.0078948475420501E-3" u="1"/>
        <n v="6.4356178045272799E-2" u="1"/>
        <n v="6.5621097746770802E-5" u="1"/>
        <n v="1.4208738866727799E-4" u="1"/>
        <n v="3.8119740784168202E-2" u="1"/>
        <n v="5.45318871736526E-2" u="1"/>
        <n v="6.0924282297492001E-3" u="1"/>
        <n v="1999647" u="1"/>
        <n v="8.7471198639832396E-5" u="1"/>
        <n v="6.8663796409964596E-3" u="1"/>
        <n v="3.0927280022297102E-5" u="1"/>
        <n v="4.7846185043454196E-3" u="1"/>
        <n v="9.3915509060025198E-3" u="1"/>
        <n v="2.9555459041148398E-3" u="1"/>
        <n v="6.9644287228584303E-2" u="1"/>
        <n v="8.1430068239569699E-3" u="1"/>
        <n v="1.11488094553351E-2" u="1"/>
        <n v="2.25128121674061E-2" u="1"/>
        <n v="7.7802361920476003E-4" u="1"/>
        <n v="2.9666482005268301E-3" u="1"/>
        <n v="0.26762863993644698" u="1"/>
        <n v="3.0381444375962002E-3" u="1"/>
        <n v="6.6882692277431502E-2" u="1"/>
        <n v="4.6422313898801804E-3" u="1"/>
        <n v="1.53880240395665E-2" u="1"/>
        <n v="3.00051318481565E-3" u="1"/>
        <n v="7.25544523447752E-5" u="1"/>
        <n v="1.06531232595444E-2" u="1"/>
        <n v="3.7642791867256199E-2" u="1"/>
        <n v="4.9421489238739E-2" u="1"/>
        <n v="8.8948598131537403E-3" u="1"/>
        <n v="0.10138213634491" u="1"/>
        <n v="2.23632045090199E-2" u="1"/>
        <n v="2.5233626365661599E-3" u="1"/>
        <n v="4.2435574869159602E-5" u="1"/>
        <n v="6.4242273569107097E-2" u="1"/>
        <n v="3.1329814344644498E-2" u="1"/>
        <n v="1.7586076632142102E-2" u="1"/>
        <n v="1.8908673897385601E-2" u="1"/>
        <n v="4.25912579521537E-3" u="1"/>
        <n v="3.8183368742466001E-2" u="1"/>
        <n v="1.5883942833170299E-3" u="1"/>
        <n v="0.115814872086048" u="1"/>
        <n v="1.9471190171316301E-3" u="1"/>
        <n v="3.0158564914017898E-3" u="1"/>
        <n v="3.0119891744106999E-3" u="1"/>
        <n v="2.6362562552094501E-2" u="1"/>
        <n v="4.2870700359344503E-2" u="1"/>
        <n v="5.0947454292327198E-4" u="1"/>
        <n v="8.3254622295498796E-3" u="1"/>
        <n v="2.9819766059517899E-3" u="1"/>
        <n v="1.7584817484021201E-2" u="1"/>
        <n v="4.0530070662498502E-2" u="1"/>
        <n v="3.97346587851644E-3" u="1"/>
        <n v="3.0084284953773E-3" u="1"/>
        <n v="6.3931094482541102E-3" u="1"/>
        <n v="6.0527451569214496E-4" u="1"/>
        <n v="3.7701874971389798E-2" u="1"/>
        <n v="3.4438928123563502E-3" u="1"/>
        <n v="6.9047542638145401E-5" u="1"/>
        <n v="2.65710186213255E-2" u="1"/>
        <n v="7.8898863866925205E-3" u="1"/>
        <n v="3.0571939423680301E-3" u="1"/>
        <n v="3.0196299776434898E-3" u="1"/>
        <n v="1.4004986733198201E-3" u="1"/>
        <n v="5.5969487875699997E-3" u="1"/>
        <n v="1.1541279964149E-2" u="1"/>
        <n v="1.1016039934475E-5" u="1"/>
        <n v="8.1960082752630101E-5" u="1"/>
        <n v="7.9221429768949704E-4" u="1"/>
        <n v="2.2574020549654999E-2" u="1"/>
        <n v="5.72896715311799E-5" u="1"/>
        <n v="6.9194003008306E-3" u="1"/>
        <n v="4.1017923504114203E-3" u="1"/>
        <n v="2.9596248641610098E-3" u="1"/>
        <n v="3.1359547283500398E-3" u="1"/>
        <n v="0.112694442272186" u="1"/>
        <n v="4.5257365854922702E-5" u="1"/>
        <n v="8.4153041243553196E-3" u="1"/>
        <n v="1.4336109161377E-2" u="1"/>
        <n v="2.9932782053947401E-3" u="1"/>
        <n v="5.8454042300581897E-3" u="1"/>
        <n v="7.1389418735634495E-5" u="1"/>
        <n v="5.5968053638935098E-3" u="1"/>
        <n v="6.8816736340522794E-2" u="1"/>
        <n v="9.4983465969562496E-3" u="1"/>
        <n v="0.114510044455528" u="1"/>
        <n v="4.1436450555920601E-4" u="1"/>
        <n v="1.5283592976629699E-2" u="1"/>
        <n v="7.0024412125349001E-3" u="1"/>
        <n v="3.5157960373908299E-3" u="1"/>
        <n v="5.56239411234856E-2" u="1"/>
        <n v="2.9258474241942202E-3" u="1"/>
        <n v="3.4885127097368199E-2" u="1"/>
        <n v="5.8822704886551899E-5" u="1"/>
        <n v="1.3179022062104201E-4" u="1"/>
        <n v="8.4908008575439505E-3" u="1"/>
        <n v="8.7829772382974598E-5" u="1"/>
        <n v="7.8899646177887899E-3" u="1"/>
        <n v="1.7888940870761899E-2" u="1"/>
        <n v="7.6322459790389998E-5" u="1"/>
        <n v="1.14963790401816E-2" u="1"/>
        <n v="4.9126382917165798E-2" u="1"/>
        <n v="6.3918362138792905E-4" u="1"/>
        <n v="3.4180120564997201E-3" u="1"/>
        <n v="1.14016489533242E-4" u="1"/>
        <n v="7.5976611697115004E-5" u="1"/>
        <n v="5.8150403201579999E-2" u="1"/>
        <n v="3.75149757019244E-5" u="1"/>
        <n v="1.61374584422447E-4" u="1"/>
        <n v="8.7330099195241893E-3" u="1"/>
        <n v="3775.46850585938" u="1"/>
        <n v="1.14018577733077E-4" u="1"/>
        <n v="659.066162109375" u="1"/>
        <n v="1.0310555808246099E-2" u="1"/>
        <n v="1.1242379434406801E-2" u="1"/>
        <n v="3.4825425595045097E-2" u="1"/>
        <n v="4.3914529669564197E-5" u="1"/>
        <n v="4.59832511842251E-3" u="1"/>
        <n v="8.2710699643939701E-4" u="1"/>
        <n v="1.3624980056192699E-4" u="1"/>
        <n v="1.2279257643967899E-3" u="1"/>
        <n v="0.140096619725227" u="1"/>
        <n v="3.7105281080585E-5" u="1"/>
        <n v="2.2807196364738001E-4" u="1"/>
        <n v="1.3989728176966301E-3" u="1"/>
        <n v="3.97422863170505E-3" u="1"/>
        <n v="3.9985316107049601E-4" u="1"/>
        <n v="8.1623009464237798E-5" u="1"/>
        <n v="9.1238059103488905E-3" u="1"/>
        <n v="4.8113185912370703E-2" u="1"/>
        <n v="8.6723277345299703E-3" u="1"/>
        <n v="659.06604003906295" u="1"/>
        <n v="1.0761433281004399E-2" u="1"/>
        <n v="3.9897868409752802E-3" u="1"/>
        <n v="7.8574623330496306E-5" u="1"/>
        <n v="1.3408453669398999E-3" u="1"/>
        <n v="2.2488504648208601E-2" u="1"/>
        <n v="3.9629736420465599E-5" u="1"/>
        <n v="3.9897677488624998E-3" u="1"/>
        <n v="1.53448209166527E-2" u="1"/>
        <n v="4.87713478505611E-2" u="1"/>
        <n v="5.5689834058284801E-2" u="1"/>
        <n v="5.9592876583337798E-2" u="1"/>
        <n v="1.3990575680509201E-3" u="1"/>
        <n v="2.18683984712698E-4" u="1"/>
        <n v="4.9958292947849299E-5" u="1"/>
        <n v="2.2698862478136999E-2" u="1"/>
        <n v="1.6000303439795999E-3" u="1"/>
        <n v="1.0491791181266299E-2" u="1"/>
        <n v="3.3928244374692402E-4" u="1"/>
        <n v="3.0936501920223201E-2" u="1"/>
        <n v="6.6915199160575894E-2" u="1"/>
        <n v="4.7942907549440904E-3" u="1"/>
        <n v="5.3879595361650001E-4" u="1"/>
        <n v="5.5009648349368897E-5" u="1"/>
        <n v="99980520" u="1"/>
        <n v="7.2920337319374098E-2" u="1"/>
        <n v="99980584" u="1"/>
        <n v="99980648" u="1"/>
        <n v="99980776" u="1"/>
        <n v="1.0839018068509199E-4" u="1"/>
        <n v="4.4736840209225199E-5" u="1"/>
        <n v="6.00037383264862E-5" u="1"/>
        <n v="3.8809735997347202E-5" u="1"/>
        <n v="1.1108611710369601E-2" u="1"/>
        <n v="1.33707222994417E-3" u="1"/>
        <n v="3.7812962546013302E-5" u="1"/>
        <n v="99980384" u="1"/>
        <n v="99980576" u="1"/>
        <n v="3.0486937612295199E-2" u="1"/>
        <n v="99980768" u="1"/>
        <n v="2.2792423143982901E-2" u="1"/>
        <n v="99980832" u="1"/>
        <n v="1.14679774269462E-2" u="1"/>
        <n v="5.8827230532188002E-5" u="1"/>
        <n v="99980376" u="1"/>
        <n v="9.4659408205188797E-5" u="1"/>
        <n v="2.7540927752852402E-2" u="1"/>
        <n v="99980568" u="1"/>
        <n v="4.7788950614631202E-3" u="1"/>
        <n v="99980632" u="1"/>
        <n v="4.4687058776617099E-2" u="1"/>
        <n v="2.6371385320089801E-4" u="1"/>
        <n v="4.1631506755948101E-3" u="1"/>
        <n v="5.1813671598210898E-4" u="1"/>
        <n v="4.2743988160509603E-5" u="1"/>
        <n v="8.2927334005944404E-5" u="1"/>
        <n v="5.8038525283336598E-2" u="1"/>
        <n v="2.82503751805052E-4" u="1"/>
        <n v="8.0690442700870294E-5" u="1"/>
        <n v="1.08732795342803E-3" u="1"/>
        <n v="6.7314383340999495E-4" u="1"/>
        <n v="8.6389429867267595E-2" u="1"/>
        <n v="6.7129899980500297E-4" u="1"/>
        <n v="5.0046145915985099E-3" u="1"/>
        <n v="99983704" u="1"/>
        <n v="0.24374139308929399" u="1"/>
        <n v="3.2849919050931903E-2" u="1"/>
        <n v="3.0352545436471701E-3" u="1"/>
        <n v="6.8605691194534302E-3" u="1"/>
        <n v="99980488" u="1"/>
        <n v="99980616" u="1"/>
        <n v="1.3205969298724099E-4" u="1"/>
        <n v="6.4256913901772404E-5" u="1"/>
        <n v="5.03792434756178E-5" u="1"/>
        <n v="4.7942921519279497E-3" u="1"/>
        <n v="2.2463271394372E-2" u="1"/>
        <n v="0.13075289130210899" u="1"/>
        <n v="1.40667275991291E-3" u="1"/>
        <n v="3.00177093595266E-3" u="1"/>
        <n v="4.3159809138160199E-5" u="1"/>
        <n v="10829393" u="1"/>
        <n v="99980352" u="1"/>
        <n v="99980416" u="1"/>
        <n v="99980544" u="1"/>
        <n v="0.41545334458351102" u="1"/>
        <n v="5.4849866777658497E-2" u="1"/>
        <n v="3.6185581120662402E-4" u="1"/>
        <n v="3.03932535462081E-3" u="1"/>
        <n v="6.0566286556422702E-3" u="1"/>
        <n v="1.4593017112929401E-4" u="1"/>
        <n v="4.5291692018508897E-2" u="1"/>
        <n v="1.05815306596924E-4" u="1"/>
        <n v="3.0094101093709499E-3" u="1"/>
        <n v="1.2280664406716799E-2" u="1"/>
        <n v="1.40489614568651E-3" u="1"/>
        <n v="1.1979308328591299E-4" u="1"/>
        <n v="2.7501201257109599E-3" u="1"/>
        <n v="2.0238088443875299E-2" u="1"/>
        <n v="99980408" u="1"/>
        <n v="99980472" u="1"/>
        <n v="99980536" u="1"/>
        <n v="99980600" u="1"/>
        <n v="1041464.3125" u="1"/>
        <n v="1.92174389958382E-2" u="1"/>
        <n v="1041465.3125" u="1"/>
        <n v="1041465.8125" u="1"/>
        <n v="1041466.8125" u="1"/>
        <n v="3.6100439727306401E-2" u="1"/>
        <n v="1041467.3125" u="1"/>
        <n v="1.0088890849147E-4" u="1"/>
        <n v="1.60215760115534E-3" u="1"/>
        <n v="6.04142223892268E-5" u="1"/>
        <n v="2.2720609194948301E-5" u="1"/>
        <n v="1041463.25" u="1"/>
        <n v="1041463.75" u="1"/>
        <n v="4.2317351326346397E-3" u="1"/>
        <n v="1.93357598618604E-4" u="1"/>
        <n v="5.0655584782362002E-3" u="1"/>
        <n v="9.4901952252257602E-5" u="1"/>
        <n v="3.67578431905713E-5" u="1"/>
        <n v="9.1175886336713997E-4" u="1"/>
        <n v="2.48329737223685E-3" u="1"/>
        <n v="3.01326555199921E-3" u="1"/>
        <n v="3.02081881090999E-3" u="1"/>
        <n v="1041463.6875" u="1"/>
        <n v="6.9442920386791201E-2" u="1"/>
        <n v="1041464.1875" u="1"/>
        <n v="6.6029766458086697E-5" u="1"/>
        <n v="9.3522351235151308E-3" u="1"/>
        <n v="1041466.6875" u="1"/>
        <n v="1041467.1875" u="1"/>
        <n v="3.8867346942424802E-2" u="1"/>
        <n v="5.8821089565753902E-2" u="1"/>
        <n v="2.6401599869132E-2" u="1"/>
        <n v="1041468.6875" u="1"/>
        <n v="2.9499846277758499E-5" u="1"/>
        <n v="7.1495920419692993E-2" u="1"/>
        <n v="7.0187780074775202E-3" u="1"/>
        <n v="2.24957726895809E-2" u="1"/>
        <n v="2.2975675761699701E-2" u="1"/>
        <n v="6.8847650254610899E-5" u="1"/>
        <n v="3.0547736212611198E-2" u="1"/>
        <n v="3.4378890413790898E-3" u="1"/>
        <n v="5.7619608938694E-2" u="1"/>
        <n v="1.73805692611495E-5" u="1"/>
        <n v="1.16633171273861E-4" u="1"/>
        <n v="3.6043547093868297E-2" u="1"/>
        <n v="1041464.5625" u="1"/>
        <n v="5.5015832185745196E-4" u="1"/>
        <n v="5.8301578974351298E-4" u="1"/>
        <n v="6.7323133407626301E-5" u="1"/>
        <n v="1.14042610221077E-4" u="1"/>
        <n v="2.1684145031031199E-4" u="1"/>
        <n v="3.9757618651492501E-5" u="1"/>
        <n v="5.4024032579036402E-5" u="1"/>
        <n v="1.3975246110931E-3" u="1"/>
        <n v="7.9689249396324192E-3" u="1"/>
        <n v="1041463" u="1"/>
        <n v="1041463.5" u="1"/>
        <n v="1.2628244236111599E-2" u="1"/>
        <n v="1041464.5" u="1"/>
        <n v="1041465.5" u="1"/>
        <n v="1041466" u="1"/>
        <n v="1.13144114948227E-5" u="1"/>
        <n v="0.11429512500762901" u="1"/>
        <n v="4.10759646911174E-4" u="1"/>
        <n v="3.5984296351671198E-2" u="1"/>
        <n v="1041464.9375" u="1"/>
        <n v="1.5557912411168199E-4" u="1"/>
        <n v="2.5772130116820301E-2" u="1"/>
        <n v="3.6040931940078701E-2" u="1"/>
        <n v="8.8642392074689302E-4" u="1"/>
        <n v="5.2966533985454603E-5" u="1"/>
        <n v="4.3425694457255298E-4" u="1"/>
        <n v="5.1368441432714497E-2" u="1"/>
        <n v="1.6078896587714601E-3" u="1"/>
        <n v="1.1877576820552301E-2" u="1"/>
        <n v="8.4512569010257704E-3" u="1"/>
        <n v="2.20556370913982E-3" u="1"/>
        <n v="3.1334829982370099E-3" u="1"/>
        <n v="3.1958598643541301E-2" u="1"/>
        <n v="9.6917196060530801E-5" u="1"/>
        <n v="1.0390235111117399E-2" u="1"/>
        <n v="1.1516430415213099E-2" u="1"/>
        <n v="3.5986114293336903E-2" u="1"/>
        <n v="3.9464952424168604E-3" u="1"/>
        <n v="1.3975850306451299E-3" u="1"/>
        <n v="3.0096268747001899E-3" u="1"/>
        <n v="5.1172130042687102E-4" u="1"/>
        <n v="2.26767994463444E-2" u="1"/>
        <n v="1.3469773693941501E-4" u="1"/>
        <n v="7.6608717790804803E-5" u="1"/>
        <n v="2.24979910999537E-2" u="1"/>
        <n v="1.2811231135856401E-4" u="1"/>
        <n v="9.2624053359031695E-3" u="1"/>
        <n v="2.45746807195246E-3" u="1"/>
        <n v="1.9191913306713101E-2" u="1"/>
        <n v="7.5498031219467499E-4" u="1"/>
        <n v="1.0360063984990101E-2" u="1"/>
        <n v="5.5967149091884505E-4" u="1"/>
        <n v="7.2467938065528897E-2" u="1"/>
        <n v="0.124162152409554" u="1"/>
        <n v="3.1033072620630299E-2" u="1"/>
        <n v="4.3932250264333602E-5" u="1"/>
        <n v="3.9694658480584604E-3" u="1"/>
        <n v="2.4764209520071702E-3" u="1"/>
        <n v="9.6091302111744894E-5" u="1"/>
        <n v="7.3794566094875294E-2" u="1"/>
        <n v="3.9172647520899799E-3" u="1"/>
        <n v="1.8424546578898999E-4" u="1"/>
        <n v="2.24683340638876E-2" u="1"/>
        <n v="1.4107666211202699E-3" u="1"/>
        <n v="3.02125979214907E-3" u="1"/>
        <n v="8.69434225023724E-5" u="1"/>
        <n v="6.1713308095932E-2" u="1"/>
        <n v="1.5403536381199999E-3" u="1"/>
        <n v="2.2979527420830001E-4" u="1"/>
        <n v="7.2317093145102295E-4" u="1"/>
        <n v="1.31679512560368E-3" u="1"/>
        <n v="9.1283247456885901E-5" u="1"/>
        <n v="1.7809288576245301E-2" u="1"/>
        <n v="2.2744202578906E-4" u="1"/>
        <n v="0.12200907617807399" u="1"/>
        <n v="2.1829555043950701E-4" u="1"/>
        <n v="1.5215536579489699E-2" u="1"/>
        <n v="1.59121394972317E-4" u="1"/>
        <n v="5.7671266404213397E-5" u="1"/>
        <n v="4.4733155518770201E-3" u="1"/>
        <n v="3332683.25" u="1"/>
        <n v="3332685.25" u="1"/>
        <n v="3332691.25" u="1"/>
        <n v="3332693.25" u="1"/>
        <n v="3332697.25" u="1"/>
        <n v="3332699.25" u="1"/>
        <n v="3332701.25" u="1"/>
        <n v="7.4032381235156195E-5" u="1"/>
        <n v="0.51187664270401001" u="1"/>
        <n v="7.2502727562095997E-5" u="1"/>
        <n v="3.6292392760515199E-2" u="1"/>
        <n v="3332659" u="1"/>
        <n v="8.3025656640529598E-3" u="1"/>
        <n v="3332673" u="1"/>
        <n v="5.63797494396567E-3" u="1"/>
        <n v="2.2499192506074898E-2" u="1"/>
        <n v="4.4462294317781898E-4" u="1"/>
        <n v="3332679" u="1"/>
        <n v="1.0692243464291099E-2" u="1"/>
        <n v="3332681" u="1"/>
        <n v="3332687" u="1"/>
        <n v="3332689" u="1"/>
        <n v="3.7194777280092198E-2" u="1"/>
        <n v="3332697" u="1"/>
        <n v="3332699" u="1"/>
        <n v="3.0324605759233202E-3" u="1"/>
        <n v="1.1277460493147399E-2" u="1"/>
        <n v="3332711" u="1"/>
        <n v="3.63388127880171E-4" u="1"/>
        <n v="1.4291341358330101E-4" u="1"/>
        <n v="5.1156926929252202E-5" u="1"/>
        <n v="4.3760363041656099E-5" u="1"/>
        <n v="1.0915813036263E-3" u="1"/>
        <n v="3332668.75" u="1"/>
        <n v="4.35349624603987E-3" u="1"/>
        <n v="4.45838831365108E-2" u="1"/>
        <n v="3332676.75" u="1"/>
        <n v="3332682.75" u="1"/>
        <n v="3332684.75" u="1"/>
        <n v="3332686.75" u="1"/>
        <n v="4.6764174476265902E-4" u="1"/>
        <n v="3332690.75" u="1"/>
        <n v="3332694.75" u="1"/>
        <n v="1.9330194918438801E-3" u="1"/>
        <n v="1.04364100843668E-2" u="1"/>
        <n v="3332698.75" u="1"/>
        <n v="3332700.75" u="1"/>
        <n v="1.5388961401186E-5" u="1"/>
        <n v="3332706.75" u="1"/>
        <n v="1.0105469264090099E-2" u="1"/>
        <n v="7.8136071562767001E-2" u="1"/>
        <n v="3332656.5" u="1"/>
        <n v="3.2019815989770002E-5" u="1"/>
        <n v="3.00995609723032E-3" u="1"/>
        <n v="1.7812889069318799E-2" u="1"/>
        <n v="1.3939592463430001E-4" u="1"/>
        <n v="3332670.5" u="1"/>
        <n v="3332672.5" u="1"/>
        <n v="6.9227553904056497E-3" u="1"/>
        <n v="3332678.5" u="1"/>
        <n v="3332680.5" u="1"/>
        <n v="3332682.5" u="1"/>
        <n v="3332684.5" u="1"/>
        <n v="1.3964313257019999E-4" u="1"/>
        <n v="3332686.5" u="1"/>
        <n v="3.8767699152231203E-5" u="1"/>
        <n v="3332688.5" u="1"/>
        <n v="8.1423662777524401E-5" u="1"/>
        <n v="3332694.5" u="1"/>
        <n v="3332696.5" u="1"/>
        <n v="3332698.5" u="1"/>
        <n v="5.8136897860094905E-4" u="1"/>
        <n v="4.4225484132766703E-2" u="1"/>
        <n v="3.07346433401108E-2" u="1"/>
        <n v="5.9083384257974103E-5" u="1"/>
        <n v="2.2559328004717799E-2" u="1"/>
        <n v="3332664.25" u="1"/>
        <n v="3.7979118525981903E-2" u="1"/>
        <n v="3332666.25" u="1"/>
        <n v="3332724.5" u="1"/>
        <n v="6.9832704029977304E-3" u="1"/>
        <n v="3332668.25" u="1"/>
        <n v="4.7941258526407198E-4" u="1"/>
        <n v="2.51037231646478E-3" u="1"/>
        <n v="3332732.5" u="1"/>
        <n v="3332676.25" u="1"/>
        <n v="3332680.25" u="1"/>
        <n v="3332682.25" u="1"/>
        <n v="3332684.25" u="1"/>
        <n v="3332686.25" u="1"/>
        <n v="4.1126757860183698E-3" u="1"/>
        <n v="3332690.25" u="1"/>
        <n v="3332692.25" u="1"/>
        <n v="3332694.25" u="1"/>
        <n v="5.5706850253045602E-3" u="1"/>
        <n v="3.4421812742948502E-3" u="1"/>
        <n v="3332702.25" u="1"/>
        <n v="3332706.25" u="1"/>
        <n v="5.4145250469446203E-2" u="1"/>
        <n v="0.11119163036346399" u="1"/>
        <n v="1.19349926535506E-4" u="1"/>
        <n v="2.27122996002436E-2" u="1"/>
        <n v="3.0591832473874101E-3" u="1"/>
        <n v="1.17002287879586E-4" u="1"/>
        <n v="3332672" u="1"/>
        <n v="3332788.5" u="1"/>
        <n v="4.59360817330889E-5" u="1"/>
        <n v="3332676" u="1"/>
        <n v="2.76553560979664E-4" u="1"/>
        <n v="2.35217667068355E-4" u="1"/>
        <n v="8.21292586624622E-3" u="1"/>
        <n v="3332688" u="1"/>
        <n v="1.74205601215363E-2" u="1"/>
        <n v="2.4879705160856199E-3" u="1"/>
        <n v="7.0136059075593896E-3" u="1"/>
        <n v="3.0214919243007898E-3" u="1"/>
        <n v="9.74057329585776E-5" u="1"/>
        <n v="7.9783487308304798E-5" u="1"/>
        <n v="2.7548284269869302E-3" u="1"/>
        <n v="3.4613508731126799E-2" u="1"/>
        <n v="3332780.25" u="1"/>
        <n v="3.6072786315344301E-5" u="1"/>
        <n v="3332667.75" u="1"/>
        <n v="3332669.75" u="1"/>
        <n v="3332671.75" u="1"/>
        <n v="3332675.75" u="1"/>
        <n v="1.41526004881598E-4" u="1"/>
        <n v="2.4844959843903802E-3" u="1"/>
        <n v="3332683.75" u="1"/>
        <n v="8.2427337765693699E-3" u="1"/>
        <n v="3332689.75" u="1"/>
        <n v="2.9535794630646699E-2" u="1"/>
        <n v="3332691.75" u="1"/>
        <n v="3332693.75" u="1"/>
        <n v="3332695.75" u="1"/>
        <n v="3332697.75" u="1"/>
        <n v="2.9715454205870601E-2" u="1"/>
        <n v="3332711.75" u="1"/>
        <n v="2.2532440721988699E-2" u="1"/>
        <n v="2.2501410916447601E-2" u="1"/>
        <n v="9.0012195869348903E-5" u="1"/>
        <n v="3332679.5" u="1"/>
        <n v="4.5758213673252599E-5" u="1"/>
        <n v="3332681.5" u="1"/>
        <n v="0.107953391969204" u="1"/>
        <n v="3332683.5" u="1"/>
        <n v="2.68606469035149E-2" u="1"/>
        <n v="3332691.5" u="1"/>
        <n v="3332693.5" u="1"/>
        <n v="3.01800575107336E-3" u="1"/>
        <n v="3332695.5" u="1"/>
        <n v="2.25627645850182E-2" u="1"/>
        <n v="3332703.5" u="1"/>
        <n v="3332713.5" u="1"/>
        <n v="1.86572468373924E-3" u="1"/>
        <n v="3332715.5" u="1"/>
        <n v="2.9992938507348299E-3" u="1"/>
        <n v="1.7574185505509401E-2" u="1"/>
        <n v="3.7255253642797498E-2" u="1"/>
        <n v="6.8054207076784196E-5" u="1"/>
        <n v="3.0106580816209299E-3" u="1"/>
        <n v="5.7758677750825903E-2" u="1"/>
        <n v="1.5797246305737601E-4" u="1"/>
        <n v="6.8784775212407103E-3" u="1"/>
        <n v="2.25038770586252E-2" u="1"/>
        <n v="2.01588179916143E-2" u="1"/>
        <n v="5.74412770220079E-5" u="1"/>
        <n v="1.0407860390842001E-2" u="1"/>
        <n v="3.3336195629090101E-3" u="1"/>
        <n v="2.2532479837536801E-2" u="1"/>
        <n v="1.15201715379953E-2" u="1"/>
        <n v="4.7599021345377003E-3" u="1"/>
        <n v="1.9954988965764601E-4" u="1"/>
        <n v="3.3334938343614301E-3" u="1"/>
        <n v="0.523553907871246" u="1"/>
        <n v="6.5781185403466199E-3" u="1"/>
        <n v="2.7191348635824401E-5" u="1"/>
        <n v="3.8773196138208698E-5" u="1"/>
        <n v="1.5611173876095601E-4" u="1"/>
        <n v="2.6771625503897702E-2" u="1"/>
        <n v="1.75455901771784E-2" u="1"/>
        <n v="3.4163412638008599E-3" u="1"/>
        <n v="3.5967424046248202E-3" u="1"/>
        <n v="7.0816077291965498E-2" u="1"/>
        <n v="3.1851120293140397E-2" u="1"/>
        <n v="6.5095775062218298E-4" u="1"/>
        <n v="2.92438012547791E-3" u="1"/>
        <n v="6.9474554038606598E-5" u="1"/>
        <n v="3.03685874678195E-3" u="1"/>
        <n v="3.9786188863217796E-3" u="1"/>
        <n v="1.0649603791534901E-2" u="1"/>
        <n v="2.2594336420297598E-2" u="1"/>
        <n v="4.2674262076616301E-2" u="1"/>
        <n v="3774.0107421875" u="1"/>
        <n v="2.2113565355539301E-2" u="1"/>
        <n v="1.04233548045158E-2" u="1"/>
        <n v="2.7223862707614899E-2" u="1"/>
        <n v="9.40087702474557E-5" u="1"/>
        <n v="1.5292624011635799E-2" u="1"/>
        <n v="1837.44165039063" u="1"/>
        <n v="3.3198992605321098E-4" u="1"/>
        <n v="4.9228273332119002E-2" u="1"/>
        <n v="2.2776419296860698E-2" u="1"/>
        <n v="2.8935341164469702E-2" u="1"/>
        <n v="4.5273881405591999E-3" u="1"/>
        <n v="2.9882385861128599E-3" u="1"/>
        <n v="7.0053087256383205E-5" u="1"/>
        <n v="4.92829643189907E-2" u="1"/>
        <n v="3.0147465877234901E-3" u="1"/>
        <n v="3.1855270266532898E-2" u="1"/>
        <n v="5.8062713593244601E-2" u="1"/>
        <n v="1.9090729765593999E-3" u="1"/>
        <n v="4.8864398151636103E-2" u="1"/>
        <n v="3.9636236615479001E-3" u="1"/>
        <n v="1.12362252548337E-2" u="1"/>
        <n v="5.9793121181428399E-5" u="1"/>
        <n v="4.0535959415137802E-3" u="1"/>
        <n v="8.7416665628552402E-3" u="1"/>
        <n v="1.3802839384879901E-4" u="1"/>
        <n v="3.0670089181512599E-3" u="1"/>
        <n v="1.4017969369888299E-3" u="1"/>
        <n v="3.40844671882223E-5" u="1"/>
        <n v="3.0746106058359098E-3" u="1"/>
        <n v="5.8242712169885601E-2" u="1"/>
        <n v="1.90345896407962E-3" u="1"/>
        <n v="6.8420514464378399E-2" u="1"/>
        <n v="0.53331744670867898" u="1"/>
        <n v="3.3038298133760699E-3" u="1"/>
        <n v="9.0716267004609108E-3" u="1"/>
        <n v="8.4621911810245406E-5" u="1"/>
        <n v="1.27705046907067E-4" u="1"/>
        <n v="8.9994928566738996E-4" u="1"/>
        <n v="3.5551936889533001E-5" u="1"/>
        <n v="1.6072748228907599E-2" u="1"/>
        <n v="1.75455491989851E-2" u="1"/>
        <n v="1.7666639760136601E-2" u="1"/>
        <n v="3.70810339518357E-5" u="1"/>
        <n v="1.00045399740338E-2" u="1"/>
        <n v="4.1303341276943697E-5" u="1"/>
        <n v="8.9317516540177194E-5" u="1"/>
        <n v="4.2540534195722999E-5" u="1"/>
        <n v="7.6230123639106806E-2" u="1"/>
        <n v="1.3850997202098401E-2" u="1"/>
        <n v="5.1580806029960502E-4" u="1"/>
        <n v="9.2020862211938893E-5" u="1"/>
        <n v="2.2505655884742699E-2" u="1"/>
        <n v="2.52219033427536E-4" u="1"/>
        <n v="8.2512822700664401E-5" u="1"/>
        <n v="3.04485019296408E-3" u="1"/>
        <n v="3.9937901310622701E-3" u="1"/>
        <n v="4.0571484714746503E-2" u="1"/>
        <n v="1.73080060631037E-2" u="1"/>
        <n v="1.3925399398431199E-3" u="1"/>
        <n v="6.8664595484733595E-2" u="1"/>
        <n v="2.2627435624599498E-2" u="1"/>
        <n v="4.9713016487657998E-3" u="1"/>
        <n v="3.8408942520618397E-2" u="1"/>
        <n v="1.72464270144701E-2" u="1"/>
        <n v="1.5108521329239E-3" u="1"/>
        <n v="1.2724862608593001E-4" u="1"/>
        <n v="8.7112560868263193E-3" u="1"/>
        <n v="5.3092553280293898E-3" u="1"/>
        <n v="2.2478383034467701E-2" u="1"/>
        <n v="4.1837414755718803E-5" u="1"/>
        <n v="1.39062013477087E-3" u="1"/>
        <n v="3.2580479979515103E-2" u="1"/>
        <n v="2.2569116204977001E-2" u="1"/>
        <n v="5.5239617824554402E-2" u="1"/>
        <n v="4.8642479669069898E-5" u="1"/>
        <n v="5.7391567679587799E-5" u="1"/>
        <n v="4.9983058124780698E-4" u="1"/>
        <n v="5.84252178668976E-3" u="1"/>
        <n v="3.0443858355283699E-2" u="1"/>
        <n v="1.8454075325280401E-4" u="1"/>
        <n v="8.6050480604171796E-4" u="1"/>
        <n v="9.3908384442329407E-2" u="1"/>
        <n v="6.99910968542099E-2" u="1"/>
        <n v="3.0262013897299801E-3" u="1"/>
        <n v="1.7513306811451899E-3" u="1"/>
        <n v="4.7367401421070099E-2" u="1"/>
        <n v="6.8539520725607899E-5" u="1"/>
        <n v="5.8186624199152E-2" u="1"/>
        <n v="833189.75" u="1"/>
        <n v="2.5604809634387502E-3" u="1"/>
        <n v="2.085598744452E-2" u="1"/>
        <n v="3.7492198316613199E-5" u="1"/>
        <n v="0.25696560740470897" u="1"/>
        <n v="8.2017742097377794E-3" u="1"/>
        <n v="2.6460735170985599E-5" u="1"/>
        <n v="4.0845577605068701E-3" u="1"/>
        <n v="7.9939942224882502E-5" u="1"/>
        <n v="3.0297932680696201E-3" u="1"/>
        <n v="4.72507381346077E-4" u="1"/>
        <n v="7.5520485639572102E-2" u="1"/>
        <n v="1.977314427495E-2" u="1"/>
        <n v="6.7341998219490107E-2" u="1"/>
        <n v="7.42021054029465E-2" u="1"/>
        <n v="2.6725463612820001E-5" u="1"/>
        <n v="1837.82482910156" u="1"/>
        <n v="3.5978021332994098E-4" u="1"/>
        <n v="7.4068462708964903E-5" u="1"/>
        <n v="2.83221714198589E-4" u="1"/>
        <n v="3.8639567792415602E-3" u="1"/>
        <n v="1.4019998488947699E-3" u="1"/>
        <n v="1.03508932515979E-2" u="1"/>
        <n v="0.14146538078784901" u="1"/>
        <n v="2.7106031775474501E-3" u="1"/>
        <n v="2.87296026945114E-2" u="1"/>
        <n v="1.9411931280046699E-3" u="1"/>
        <n v="8.7210784840863198E-5" u="1"/>
        <n v="2.05915112019284E-5" u="1"/>
        <n v="8.6677838116884197E-3" u="1"/>
        <n v="7.0659146877005696E-4" u="1"/>
        <n v="3.1015491113066699E-3" u="1"/>
        <n v="2.0555919036269198E-2" u="1"/>
        <n v="1.0531181469559701E-2" u="1"/>
        <n v="9.9149430170655303E-3" u="1"/>
        <n v="2.1358935628086298E-3" u="1"/>
        <n v="1.05005791410804E-2" u="1"/>
        <n v="0.124338671565056" u="1"/>
        <n v="6.7735134507529397E-5" u="1"/>
        <n v="8.6381314322352392E-3" u="1"/>
        <n v="7.9587938671466004E-5" u="1"/>
        <n v="6.21872721239924E-3" u="1"/>
        <n v="1.1237488128244899E-2" u="1"/>
        <n v="1.76119559910148E-4" u="1"/>
        <n v="3.6068167537450797E-2" u="1"/>
        <n v="1.09370723366737E-2" u="1"/>
        <n v="7.1192502975463895E-2" u="1"/>
        <n v="7.0549569500144598E-5" u="1"/>
        <n v="0.12049327045679099" u="1"/>
        <n v="7.5838805059902397E-5" u="1"/>
        <n v="1.39846513047814E-3" u="1"/>
        <n v="2.2450482472777401E-2" u="1"/>
        <n v="6.3472674228250998E-3" u="1"/>
        <n v="6.85928971506655E-4" u="1"/>
        <n v="2.3736687580821998E-5" u="1"/>
        <n v="1.12526193261147E-2" u="1"/>
        <n v="7.6655080192722394E-5" u="1"/>
        <n v="1.9301613792777099E-4" u="1"/>
        <n v="1.15088922902942E-2" u="1"/>
        <n v="1.5110269887372899E-3" u="1"/>
        <n v="7.5833238952327506E-5" u="1"/>
        <n v="9.4148570497054607E-5" u="1"/>
        <n v="7.5489791925065206E-5" u="1"/>
        <n v="7.8718364238738996E-3" u="1"/>
        <n v="8.0824280157685297E-3" u="1"/>
        <n v="2.0256491377949701E-2" u="1"/>
        <n v="3.3095773687818999E-5" u="1"/>
        <n v="1.92068479955196E-2" u="1"/>
        <n v="2.9889964498579502E-3" u="1"/>
        <n v="5.6154452264308902E-2" u="1"/>
        <n v="0.35031244158744801" u="1"/>
        <n v="5.5958903394639501E-3" u="1"/>
        <n v="3.50526385009289E-2" u="1"/>
        <n v="1.3127541751600799E-4" u="1"/>
        <n v="1.23694678768516E-3" u="1"/>
        <n v="1.03827472776175E-2" u="1"/>
        <n v="5.6875217705965E-2" u="1"/>
        <n v="9.65033832471818E-5" u="1"/>
        <n v="3.4027781337499598E-2" u="1"/>
        <n v="4.5931581407785402E-2" u="1"/>
        <n v="2.9702358879148999E-3" u="1"/>
        <n v="3.78592842025682E-4" u="1"/>
        <n v="3.6073479801416397E-2" u="1"/>
        <n v="6.9406494498252896E-2" u="1"/>
        <n v="3.61375398933887E-2" u="1"/>
        <n v="3.0868231988279102E-5" u="1"/>
        <n v="6.08423799276352E-2" u="1"/>
        <n v="8.1242556916549802E-5" u="1"/>
        <n v="4.0284588932991E-2" u="1"/>
        <n v="6.7959867417812306E-2" u="1"/>
        <n v="1.11649831524119E-4" u="1"/>
        <n v="6.3527066959068201E-4" u="1"/>
        <n v="2.58191703323973E-5" u="1"/>
        <n v="1.41357292886823E-3" u="1"/>
      </sharedItems>
    </cacheField>
    <cacheField name="POS" numFmtId="0" sqlType="6">
      <sharedItems containsSemiMixedTypes="0" containsString="0" containsNumber="1" containsInteger="1" minValue="0" maxValue="24427" count="8000">
        <n v="0" u="1"/>
        <n v="392" u="1"/>
        <n v="11212" u="1"/>
        <n v="187" u="1"/>
        <n v="7510" u="1"/>
        <n v="13447" u="1"/>
        <n v="89" u="1"/>
        <n v="3611" u="1"/>
        <n v="2515" u="1"/>
        <n v="7553" u="1"/>
        <n v="20" u="1"/>
        <n v="13533" u="1"/>
        <n v="9149" u="1"/>
        <n v="7596" u="1"/>
        <n v="5404" u="1"/>
        <n v="9235" u="1"/>
        <n v="2558" u="1"/>
        <n v="1755" u="1"/>
        <n v="5447" u="1"/>
        <n v="9321" u="1"/>
        <n v="11556" u="1"/>
        <n v="5490" u="1"/>
        <n v="3697" u="1"/>
        <n v="11642" u="1"/>
        <n v="7725" u="1"/>
        <n v="13877" u="1"/>
        <n v="7768" u="1"/>
        <n v="13963" u="1"/>
        <n v="3740" u="1"/>
        <n v="2644" u="1"/>
        <n v="1250" u="1"/>
        <n v="7811" u="1"/>
        <n v="863" u="1"/>
        <n v="5619" u="1"/>
        <n v="14049" u="1"/>
        <n v="9665" u="1"/>
        <n v="5662" u="1"/>
        <n v="9751" u="1"/>
        <n v="11986" u="1"/>
        <n v="5705" u="1"/>
        <n v="9837" u="1"/>
        <n v="12072" u="1"/>
        <n v="14307" u="1"/>
        <n v="3826" u="1"/>
        <n v="12158" u="1"/>
        <n v="1293" u="1"/>
        <n v="7983" u="1"/>
        <n v="14393" u="1"/>
        <n v="8026" u="1"/>
        <n v="14479" u="1"/>
        <n v="10095" u="1"/>
        <n v="2773" u="1"/>
        <n v="8069" u="1"/>
        <n v="5877" u="1"/>
        <n v="10181" u="1"/>
        <n v="5920" u="1"/>
        <n v="10267" u="1"/>
        <n v="1884" u="1"/>
        <n v="12502" u="1"/>
        <n v="5963" u="1"/>
        <n v="632" u="1"/>
        <n v="12588" u="1"/>
        <n v="8204" u="1"/>
        <n v="140" u="1"/>
        <n v="14823" u="1"/>
        <n v="3955" u="1"/>
        <n v="2859" u="1"/>
        <n v="8290" u="1"/>
        <n v="14909" u="1"/>
        <n v="8376" u="1"/>
        <n v="6092" u="1"/>
        <n v="14995" u="1"/>
        <n v="10611" u="1"/>
        <n v="2902" u="1"/>
        <n v="1927" u="1"/>
        <n v="6135" u="1"/>
        <n v="10697" u="1"/>
        <n v="12932" u="1"/>
        <n v="6178" u="1"/>
        <n v="4041" u="1"/>
        <n v="10783" u="1"/>
        <n v="13018" u="1"/>
        <n v="13104" u="1"/>
        <n v="8720" u="1"/>
        <n v="4084" u="1"/>
        <n v="2988" u="1"/>
        <n v="1422" u="1"/>
        <n v="8806" u="1"/>
        <n v="949" u="1"/>
        <n v="11041" u="1"/>
        <n v="8892" u="1"/>
        <n v="6350" u="1"/>
        <n v="11127" u="1"/>
        <n v="3031" u="1"/>
        <n v="13362" u="1"/>
        <n v="6393" u="1"/>
        <n v="11213" u="1"/>
        <n v="13448" u="1"/>
        <n v="6436" u="1"/>
        <n v="4244" u="1"/>
        <n v="2013" u="1"/>
        <n v="13534" u="1"/>
        <n v="1465" u="1"/>
        <n v="9150" u="1"/>
        <n v="4287" u="1"/>
        <n v="9236" u="1"/>
        <n v="3117" u="1"/>
        <n v="9322" u="1"/>
        <n v="6565" u="1"/>
        <n v="11557" u="1"/>
        <n v="6608" u="1"/>
        <n v="11643" u="1"/>
        <n v="2064" u="1"/>
        <n v="13878" u="1"/>
        <n v="6651" u="1"/>
        <n v="718" u="1"/>
        <n v="4459" u="1"/>
        <n v="13964" u="1"/>
        <n v="230" u="1"/>
        <n v="4502" u="1"/>
        <n v="53" u="1"/>
        <n v="14050" u="1"/>
        <n v="9666" u="1"/>
        <n v="4545" u="1"/>
        <n v="9752" u="1"/>
        <n v="11987" u="1"/>
        <n v="3246" u="1"/>
        <n v="9838" u="1"/>
        <n v="6823" u="1"/>
        <n v="12073" u="1"/>
        <n v="14308" u="1"/>
        <n v="6866" u="1"/>
        <n v="4674" u="1"/>
        <n v="12159" u="1"/>
        <n v="2193" u="1"/>
        <n v="14394" u="1"/>
        <n v="4717" u="1"/>
        <n v="14480" u="1"/>
        <n v="10096" u="1"/>
        <n v="4760" u="1"/>
        <n v="3332" u="1"/>
        <n v="1594" u="1"/>
        <n v="10182" u="1"/>
        <n v="1046" u="1"/>
        <n v="10268" u="1"/>
        <n v="7038" u="1"/>
        <n v="12503" u="1"/>
        <n v="3375" u="1"/>
        <n v="2279" u="1"/>
        <n v="7081" u="1"/>
        <n v="12589" u="1"/>
        <n v="8205" u="1"/>
        <n v="14824" u="1"/>
        <n v="7124" u="1"/>
        <n v="4932" u="1"/>
        <n v="8291" u="1"/>
        <n v="2322" u="1"/>
        <n v="14910" u="1"/>
        <n v="1637" u="1"/>
        <n v="4975" u="1"/>
        <n v="8377" u="1"/>
        <n v="14996" u="1"/>
        <n v="10612" u="1"/>
        <n v="5018" u="1"/>
        <n v="3461" u="1"/>
        <n v="10698" u="1"/>
        <n v="12933" u="1"/>
        <n v="10784" u="1"/>
        <n v="7296" u="1"/>
        <n v="13019" u="1"/>
        <n v="3504" u="1"/>
        <n v="2408" u="1"/>
        <n v="1132" u="1"/>
        <n v="7339" u="1"/>
        <n v="804" u="1"/>
        <n v="5147" u="1"/>
        <n v="13105" u="1"/>
        <n v="8721" u="1"/>
        <n v="384" u="1"/>
        <n v="183" u="1"/>
        <n v="5190" u="1"/>
        <n v="87" u="1"/>
        <n v="8807" u="1"/>
        <n v="11042" u="1"/>
        <n v="5233" u="1"/>
        <n v="8893" u="1"/>
        <n v="11128" u="1"/>
        <n v="13363" u="1"/>
        <n v="3590" u="1"/>
        <n v="11214" u="1"/>
        <n v="1175" u="1"/>
        <n v="7511" u="1"/>
        <n v="13449" u="1"/>
        <n v="7554" u="1"/>
        <n v="13535" u="1"/>
        <n v="9151" u="1"/>
        <n v="2537" u="1"/>
        <n v="7597" u="1"/>
        <n v="5405" u="1"/>
        <n v="9237" u="1"/>
        <n v="5448" u="1"/>
        <n v="9323" u="1"/>
        <n v="1766" u="1"/>
        <n v="11558" u="1"/>
        <n v="5491" u="1"/>
        <n v="573" u="1"/>
        <n v="11644" u="1"/>
        <n v="7726" u="1"/>
        <n v="13879" u="1"/>
        <n v="3719" u="1"/>
        <n v="7769" u="1"/>
        <n v="13965" u="1"/>
        <n v="7812" u="1"/>
        <n v="5620" u="1"/>
        <n v="14051" u="1"/>
        <n v="9667" u="1"/>
        <n v="2666" u="1"/>
        <n v="1809" u="1"/>
        <n v="5663" u="1"/>
        <n v="9753" u="1"/>
        <n v="11988" u="1"/>
        <n v="5706" u="1"/>
        <n v="3805" u="1"/>
        <n v="9839" u="1"/>
        <n v="12074" u="1"/>
        <n v="14309" u="1"/>
        <n v="12160" u="1"/>
        <n v="7984" u="1"/>
        <n v="14395" u="1"/>
        <n v="3848" u="1"/>
        <n v="2752" u="1"/>
        <n v="1304" u="1"/>
        <n v="8027" u="1"/>
        <n v="890" u="1"/>
        <n v="14481" u="1"/>
        <n v="10097" u="1"/>
        <n v="427" u="1"/>
        <n v="290" u="1"/>
        <n v="8070" u="1"/>
        <n v="136" u="1"/>
        <n v="5878" u="1"/>
        <n v="10183" u="1"/>
        <n v="2795" u="1"/>
        <n v="5921" u="1"/>
        <n v="10269" u="1"/>
        <n v="12504" u="1"/>
        <n v="5964" u="1"/>
        <n v="3934" u="1"/>
        <n v="1895" u="1"/>
        <n v="12590" u="1"/>
        <n v="1347" u="1"/>
        <n v="8206" u="1"/>
        <n v="14825" u="1"/>
        <n v="8292" u="1"/>
        <n v="14911" u="1"/>
        <n v="2881" u="1"/>
        <n v="8378" u="1"/>
        <n v="6093" u="1"/>
        <n v="14997" u="1"/>
        <n v="10613" u="1"/>
        <n v="6136" u="1"/>
        <n v="10699" u="1"/>
        <n v="1938" u="1"/>
        <n v="12934" u="1"/>
        <n v="6179" u="1"/>
        <n v="659" u="1"/>
        <n v="10785" u="1"/>
        <n v="13020" u="1"/>
        <n v="4063" u="1"/>
        <n v="13106" u="1"/>
        <n v="8722" u="1"/>
        <n v="8808" u="1"/>
        <n v="11043" u="1"/>
        <n v="3010" u="1"/>
        <n v="8894" u="1"/>
        <n v="6351" u="1"/>
        <n v="11129" u="1"/>
        <n v="13364" u="1"/>
        <n v="6394" u="1"/>
        <n v="11215" u="1"/>
        <n v="13450" u="1"/>
        <n v="6437" u="1"/>
        <n v="4245" u="1"/>
        <n v="13536" u="1"/>
        <n v="9152" u="1"/>
        <n v="4288" u="1"/>
        <n v="3096" u="1"/>
        <n v="1476" u="1"/>
        <n v="9238" u="1"/>
        <n v="976" u="1"/>
        <n v="470" u="1"/>
        <n v="9324" u="1"/>
        <n v="6566" u="1"/>
        <n v="11559" u="1"/>
        <n v="3139" u="1"/>
        <n v="52" u="1"/>
        <n v="6609" u="1"/>
        <n v="11645" u="1"/>
        <n v="13880" u="1"/>
        <n v="6652" u="1"/>
        <n v="4460" u="1"/>
        <n v="2086" u="1"/>
        <n v="13966" u="1"/>
        <n v="1519" u="1"/>
        <n v="4503" u="1"/>
        <n v="14052" u="1"/>
        <n v="9668" u="1"/>
        <n v="4546" u="1"/>
        <n v="3225" u="1"/>
        <n v="9754" u="1"/>
        <n v="11989" u="1"/>
        <n v="9840" u="1"/>
        <n v="6824" u="1"/>
        <n v="12075" u="1"/>
        <n v="3268" u="1"/>
        <n v="2172" u="1"/>
        <n v="14310" u="1"/>
        <n v="1019" u="1"/>
        <n v="6867" u="1"/>
        <n v="745" u="1"/>
        <n v="4675" u="1"/>
        <n v="12161" u="1"/>
        <n v="14396" u="1"/>
        <n v="4718" u="1"/>
        <n v="2215" u="1"/>
        <n v="14482" u="1"/>
        <n v="10098" u="1"/>
        <n v="4761" u="1"/>
        <n v="10184" u="1"/>
        <n v="3354" u="1"/>
        <n v="10270" u="1"/>
        <n v="1057" u="1"/>
        <n v="7039" u="1"/>
        <n v="12505" u="1"/>
        <n v="7082" u="1"/>
        <n v="12591" u="1"/>
        <n v="8207" u="1"/>
        <n v="2301" u="1"/>
        <n v="14826" u="1"/>
        <n v="7125" u="1"/>
        <n v="4933" u="1"/>
        <n v="8293" u="1"/>
        <n v="14912" u="1"/>
        <n v="4976" u="1"/>
        <n v="8379" u="1"/>
        <n v="14998" u="1"/>
        <n v="1648" u="1"/>
        <n v="10614" u="1"/>
        <n v="5019" u="1"/>
        <n v="514" u="1"/>
        <n v="10700" u="1"/>
        <n v="179" u="1"/>
        <n v="12935" u="1"/>
        <n v="85" u="1"/>
        <n v="3483" u="1"/>
        <n v="7297" u="1"/>
        <n v="19" u="1"/>
        <n v="13021" u="1"/>
        <n v="7340" u="1"/>
        <n v="5148" u="1"/>
        <n v="13107" u="1"/>
        <n v="8723" u="1"/>
        <n v="2430" u="1"/>
        <n v="1691" u="1"/>
        <n v="5191" u="1"/>
        <n v="8809" u="1"/>
        <n v="11044" u="1"/>
        <n v="5234" u="1"/>
        <n v="3569" u="1"/>
        <n v="8895" u="1"/>
        <n v="11130" u="1"/>
        <n v="13365" u="1"/>
        <n v="11216" u="1"/>
        <n v="7512" u="1"/>
        <n v="13451" u="1"/>
        <n v="3612" u="1"/>
        <n v="2516" u="1"/>
        <n v="1186" u="1"/>
        <n v="7555" u="1"/>
        <n v="831" u="1"/>
        <n v="13537" u="1"/>
        <n v="9153" u="1"/>
        <n v="7598" u="1"/>
        <n v="5406" u="1"/>
        <n v="9239" u="1"/>
        <n v="2559" u="1"/>
        <n v="5449" u="1"/>
        <n v="9325" u="1"/>
        <n v="11560" u="1"/>
        <n v="5492" u="1"/>
        <n v="3698" u="1"/>
        <n v="1777" u="1"/>
        <n v="11646" u="1"/>
        <n v="1229" u="1"/>
        <n v="7727" u="1"/>
        <n v="13881" u="1"/>
        <n v="7770" u="1"/>
        <n v="13967" u="1"/>
        <n v="2645" u="1"/>
        <n v="7813" u="1"/>
        <n v="5621" u="1"/>
        <n v="14053" u="1"/>
        <n v="9669" u="1"/>
        <n v="20662" u="1"/>
        <n v="5664" u="1"/>
        <n v="9755" u="1"/>
        <n v="1820" u="1"/>
        <n v="11990" u="1"/>
        <n v="5707" u="1"/>
        <n v="600" u="1"/>
        <n v="9841" u="1"/>
        <n v="282" u="1"/>
        <n v="12076" u="1"/>
        <n v="132" u="1"/>
        <n v="14311" u="1"/>
        <n v="3827" u="1"/>
        <n v="12162" u="1"/>
        <n v="7985" u="1"/>
        <n v="14397" u="1"/>
        <n v="7" u="1"/>
        <n v="8028" u="1"/>
        <n v="14483" u="1"/>
        <n v="10099" u="1"/>
        <n v="2774" u="1"/>
        <n v="8071" u="1"/>
        <n v="5879" u="1"/>
        <n v="10185" u="1"/>
        <n v="12420" u="1"/>
        <n v="5922" u="1"/>
        <n v="10271" u="1"/>
        <n v="12506" u="1"/>
        <n v="5965" u="1"/>
        <n v="12592" u="1"/>
        <n v="8208" u="1"/>
        <n v="14827" u="1"/>
        <n v="3956" u="1"/>
        <n v="2860" u="1"/>
        <n v="1358" u="1"/>
        <n v="8294" u="1"/>
        <n v="14913" u="1"/>
        <n v="8380" u="1"/>
        <n v="6094" u="1"/>
        <n v="14999" u="1"/>
        <n v="10615" u="1"/>
        <n v="2903" u="1"/>
        <n v="6137" u="1"/>
        <n v="10701" u="1"/>
        <n v="12936" u="1"/>
        <n v="6180" u="1"/>
        <n v="4042" u="1"/>
        <n v="1949" u="1"/>
        <n v="13022" u="1"/>
        <n v="20663" u="1"/>
        <n v="1401" u="1"/>
        <n v="13108" u="1"/>
        <n v="8724" u="1"/>
        <n v="4085" u="1"/>
        <n v="2989" u="1"/>
        <n v="8810" u="1"/>
        <n v="11045" u="1"/>
        <n v="8896" u="1"/>
        <n v="6352" u="1"/>
        <n v="11131" u="1"/>
        <n v="3032" u="1"/>
        <n v="1992" u="1"/>
        <n v="13366" u="1"/>
        <n v="960" u="1"/>
        <n v="6395" u="1"/>
        <n v="686" u="1"/>
        <n v="4203" u="1"/>
        <n v="11217" u="1"/>
        <n v="325" u="1"/>
        <n v="13452" u="1"/>
        <n v="222" u="1"/>
        <n v="4246" u="1"/>
        <n v="51" u="1"/>
        <n v="13538" u="1"/>
        <n v="9154" u="1"/>
        <n v="4289" u="1"/>
        <n v="9240" u="1"/>
        <n v="3118" u="1"/>
        <n v="9326" u="1"/>
        <n v="6567" u="1"/>
        <n v="11561" u="1"/>
        <n v="6610" u="1"/>
        <n v="11647" u="1"/>
        <n v="2065" u="1"/>
        <n v="13882" u="1"/>
        <n v="6653" u="1"/>
        <n v="4461" u="1"/>
        <n v="13968" u="1"/>
        <n v="4504" u="1"/>
        <n v="14054" u="1"/>
        <n v="1530" u="1"/>
        <n v="9670" u="1"/>
        <n v="4547" u="1"/>
        <n v="20664" u="1"/>
        <n v="9756" u="1"/>
        <n v="11991" u="1"/>
        <n v="3247" u="1"/>
        <n v="9842" u="1"/>
        <n v="6825" u="1"/>
        <n v="12077" u="1"/>
        <n v="14312" u="1"/>
        <n v="6868" u="1"/>
        <n v="4676" u="1"/>
        <n v="12163" u="1"/>
        <n v="2194" u="1"/>
        <n v="14398" u="1"/>
        <n v="4719" u="1"/>
        <n v="14484" u="1"/>
        <n v="10100" u="1"/>
        <n v="4762" u="1"/>
        <n v="3333" u="1"/>
        <n v="10186" u="1"/>
        <n v="12421" u="1"/>
        <n v="10272" u="1"/>
        <n v="7040" u="1"/>
        <n v="12507" u="1"/>
        <n v="3376" u="1"/>
        <n v="2280" u="1"/>
        <n v="1068" u="1"/>
        <n v="7083" u="1"/>
        <n v="772" u="1"/>
        <n v="12593" u="1"/>
        <n v="8209" u="1"/>
        <n v="368" u="1"/>
        <n v="14828" u="1"/>
        <n v="175" u="1"/>
        <n v="7126" u="1"/>
        <n v="4934" u="1"/>
        <n v="83" u="1"/>
        <n v="8295" u="1"/>
        <n v="2323" u="1"/>
        <n v="14914" u="1"/>
        <n v="4977" u="1"/>
        <n v="8381" u="1"/>
        <n v="15000" u="1"/>
        <n v="10616" u="1"/>
        <n v="5020" u="1"/>
        <n v="3462" u="1"/>
        <n v="1659" u="1"/>
        <n v="10702" u="1"/>
        <n v="1111" u="1"/>
        <n v="7255" u="1"/>
        <n v="12937" u="1"/>
        <n v="7298" u="1"/>
        <n v="13023" u="1"/>
        <n v="20665" u="1"/>
        <n v="3505" u="1"/>
        <n v="2409" u="1"/>
        <n v="7341" u="1"/>
        <n v="5149" u="1"/>
        <n v="13109" u="1"/>
        <n v="8725" u="1"/>
        <n v="5192" u="1"/>
        <n v="8811" u="1"/>
        <n v="1702" u="1"/>
        <n v="11046" u="1"/>
        <n v="5235" u="1"/>
        <n v="541" u="1"/>
        <n v="8897" u="1"/>
        <n v="11132" u="1"/>
        <n v="13367" u="1"/>
        <n v="3591" u="1"/>
        <n v="11218" u="1"/>
        <n v="7513" u="1"/>
        <n v="13453" u="1"/>
        <n v="7556" u="1"/>
        <n v="13539" u="1"/>
        <n v="9155" u="1"/>
        <n v="2538" u="1"/>
        <n v="7599" u="1"/>
        <n v="5407" u="1"/>
        <n v="9241" u="1"/>
        <n v="5450" u="1"/>
        <n v="9327" u="1"/>
        <n v="11562" u="1"/>
        <n v="5493" u="1"/>
        <n v="11648" u="1"/>
        <n v="7728" u="1"/>
        <n v="13883" u="1"/>
        <n v="3720" u="1"/>
        <n v="2624" u="1"/>
        <n v="1240" u="1"/>
        <n v="7771" u="1"/>
        <n v="13969" u="1"/>
        <n v="411" u="1"/>
        <n v="7814" u="1"/>
        <n v="128" u="1"/>
        <n v="5622" u="1"/>
        <n v="14055" u="1"/>
        <n v="9671" u="1"/>
        <n v="2667" u="1"/>
        <n v="20666" u="1"/>
        <n v="5665" u="1"/>
        <n v="9757" u="1"/>
        <n v="11992" u="1"/>
        <n v="5708" u="1"/>
        <n v="3806" u="1"/>
        <n v="9843" u="1"/>
        <n v="1831" u="1"/>
        <n v="12078" u="1"/>
        <n v="1283" u="1"/>
        <n v="14313" u="1"/>
        <n v="12164" u="1"/>
        <n v="7986" u="1"/>
        <n v="14399" u="1"/>
        <n v="3849" u="1"/>
        <n v="2753" u="1"/>
        <n v="8029" u="1"/>
        <n v="14485" u="1"/>
        <n v="10101" u="1"/>
        <n v="8072" u="1"/>
        <n v="5880" u="1"/>
        <n v="10187" u="1"/>
        <n v="2796" u="1"/>
        <n v="1874" u="1"/>
        <n v="12422" u="1"/>
        <n v="901" u="1"/>
        <n v="5923" u="1"/>
        <n v="627" u="1"/>
        <n v="10273" u="1"/>
        <n v="12508" u="1"/>
        <n v="5966" u="1"/>
        <n v="3935" u="1"/>
        <n v="12594" u="1"/>
        <n v="8210" u="1"/>
        <n v="14829" u="1"/>
        <n v="8296" u="1"/>
        <n v="14915" u="1"/>
        <n v="2882" u="1"/>
        <n v="8382" u="1"/>
        <n v="6095" u="1"/>
        <n v="15001" u="1"/>
        <n v="10617" u="1"/>
        <n v="6138" u="1"/>
        <n v="10703" u="1"/>
        <n v="12938" u="1"/>
        <n v="6181" u="1"/>
        <n v="13024" u="1"/>
        <n v="20667" u="1"/>
        <n v="4064" u="1"/>
        <n v="13110" u="1"/>
        <n v="1412" u="1"/>
        <n v="8726" u="1"/>
        <n v="454" u="1"/>
        <n v="8812" u="1"/>
        <n v="11047" u="1"/>
        <n v="3011" u="1"/>
        <n v="50" u="1"/>
        <n v="8898" u="1"/>
        <n v="6353" u="1"/>
        <n v="11133" u="1"/>
        <n v="13368" u="1"/>
        <n v="6396" u="1"/>
        <n v="4204" u="1"/>
        <n v="11219" u="1"/>
        <n v="2003" u="1"/>
        <n v="13454" u="1"/>
        <n v="4247" u="1"/>
        <n v="13540" u="1"/>
        <n v="9156" u="1"/>
        <n v="4290" u="1"/>
        <n v="3097" u="1"/>
        <n v="9242" u="1"/>
        <n v="9328" u="1"/>
        <n v="6568" u="1"/>
        <n v="11563" u="1"/>
        <n v="3140" u="1"/>
        <n v="2046" u="1"/>
        <n v="987" u="1"/>
        <n v="6611" u="1"/>
        <n v="713" u="1"/>
        <n v="11649" u="1"/>
        <n v="13884" u="1"/>
        <n v="6654" u="1"/>
        <n v="4462" u="1"/>
        <n v="2087" u="1"/>
        <n v="13970" u="1"/>
        <n v="4505" u="1"/>
        <n v="14056" u="1"/>
        <n v="9672" u="1"/>
        <n v="4548" u="1"/>
        <n v="3226" u="1"/>
        <n v="20668" u="1"/>
        <n v="1541" u="1"/>
        <n v="9758" u="1"/>
        <n v="11993" u="1"/>
        <n v="9844" u="1"/>
        <n v="6826" u="1"/>
        <n v="12079" u="1"/>
        <n v="3269" u="1"/>
        <n v="2173" u="1"/>
        <n v="14314" u="1"/>
        <n v="6869" u="1"/>
        <n v="4677" u="1"/>
        <n v="12165" u="1"/>
        <n v="14400" u="1"/>
        <n v="4720" u="1"/>
        <n v="14486" u="1"/>
        <n v="1584" u="1"/>
        <n v="10102" u="1"/>
        <n v="756" u="1"/>
        <n v="4763" u="1"/>
        <n v="497" u="1"/>
        <n v="10188" u="1"/>
        <n v="171" u="1"/>
        <n v="12423" u="1"/>
        <n v="81" u="1"/>
        <n v="3355" u="1"/>
        <n v="10274" u="1"/>
        <n v="7041" u="1"/>
        <n v="18" u="1"/>
        <n v="12509" u="1"/>
        <n v="7084" u="1"/>
        <n v="12595" u="1"/>
        <n v="8211" u="1"/>
        <n v="2302" u="1"/>
        <n v="14830" u="1"/>
        <n v="7127" u="1"/>
        <n v="4935" u="1"/>
        <n v="8297" u="1"/>
        <n v="14916" u="1"/>
        <n v="4978" u="1"/>
        <n v="8383" u="1"/>
        <n v="15002" u="1"/>
        <n v="10618" u="1"/>
        <n v="5021" u="1"/>
        <n v="10704" u="1"/>
        <n v="7256" u="1"/>
        <n v="12939" u="1"/>
        <n v="3484" u="1"/>
        <n v="1122" u="1"/>
        <n v="7299" u="1"/>
        <n v="13025" u="1"/>
        <n v="20669" u="1"/>
        <n v="7342" u="1"/>
        <n v="5150" u="1"/>
        <n v="13111" u="1"/>
        <n v="8727" u="1"/>
        <n v="2431" u="1"/>
        <n v="5193" u="1"/>
        <n v="8813" u="1"/>
        <n v="11048" u="1"/>
        <n v="5236" u="1"/>
        <n v="3570" u="1"/>
        <n v="8899" u="1"/>
        <n v="1713" u="1"/>
        <n v="11134" u="1"/>
        <n v="1165" u="1"/>
        <n v="13369" u="1"/>
        <n v="11220" u="1"/>
        <n v="7514" u="1"/>
        <n v="13455" u="1"/>
        <n v="3613" u="1"/>
        <n v="2517" u="1"/>
        <n v="7557" u="1"/>
        <n v="13541" u="1"/>
        <n v="9157" u="1"/>
        <n v="7600" u="1"/>
        <n v="5408" u="1"/>
        <n v="9243" u="1"/>
        <n v="2560" u="1"/>
        <n v="1756" u="1"/>
        <n v="842" u="1"/>
        <n v="5451" u="1"/>
        <n v="568" u="1"/>
        <n v="9329" u="1"/>
        <n v="266" u="1"/>
        <n v="11564" u="1"/>
        <n v="126" u="1"/>
        <n v="5494" u="1"/>
        <n v="3699" u="1"/>
        <n v="11650" u="1"/>
        <n v="7729" u="1"/>
        <n v="13885" u="1"/>
        <n v="7772" u="1"/>
        <n v="13971" u="1"/>
        <n v="2646" u="1"/>
        <n v="1251" u="1"/>
        <n v="7815" u="1"/>
        <n v="5623" u="1"/>
        <n v="14057" u="1"/>
        <n v="9673" u="1"/>
        <n v="20670" u="1"/>
        <n v="5666" u="1"/>
        <n v="9759" u="1"/>
        <n v="11994" u="1"/>
        <n v="5709" u="1"/>
        <n v="9845" u="1"/>
        <n v="12080" u="1"/>
        <n v="14315" u="1"/>
        <n v="3828" u="1"/>
        <n v="12166" u="1"/>
        <n v="1294" u="1"/>
        <n v="7987" u="1"/>
        <n v="14401" u="1"/>
        <n v="8030" u="1"/>
        <n v="14487" u="1"/>
        <n v="10103" u="1"/>
        <n v="2775" u="1"/>
        <n v="8073" u="1"/>
        <n v="5881" u="1"/>
        <n v="10189" u="1"/>
        <n v="12424" u="1"/>
        <n v="5924" u="1"/>
        <n v="10275" u="1"/>
        <n v="1885" u="1"/>
        <n v="12510" u="1"/>
        <n v="5967" u="1"/>
        <n v="12596" u="1"/>
        <n v="8212" u="1"/>
        <n v="14831" u="1"/>
        <n v="3957" u="1"/>
        <n v="2861" u="1"/>
        <n v="8298" u="1"/>
        <n v="14917" u="1"/>
        <n v="8384" u="1"/>
        <n v="6096" u="1"/>
        <n v="15003" u="1"/>
        <n v="10619" u="1"/>
        <n v="2904" u="1"/>
        <n v="1928" u="1"/>
        <n v="928" u="1"/>
        <n v="6139" u="1"/>
        <n v="654" u="1"/>
        <n v="10705" u="1"/>
        <n v="309" u="1"/>
        <n v="12940" u="1"/>
        <n v="214" u="1"/>
        <n v="6182" u="1"/>
        <n v="4043" u="1"/>
        <n v="49" u="1"/>
        <n v="13026" u="1"/>
        <n v="20671" u="1"/>
        <n v="13112" u="1"/>
        <n v="8728" u="1"/>
        <n v="4086" u="1"/>
        <n v="2990" u="1"/>
        <n v="1423" u="1"/>
        <n v="8814" u="1"/>
        <n v="11049" u="1"/>
        <n v="8900" u="1"/>
        <n v="6354" u="1"/>
        <n v="11135" u="1"/>
        <n v="3033" u="1"/>
        <n v="13370" u="1"/>
        <n v="6397" u="1"/>
        <n v="4205" u="1"/>
        <n v="11221" u="1"/>
        <n v="13456" u="1"/>
        <n v="4248" u="1"/>
        <n v="2014" u="1"/>
        <n v="13542" u="1"/>
        <n v="1466" u="1"/>
        <n v="9158" u="1"/>
        <n v="697" u="1"/>
        <n v="4291" u="1"/>
        <n v="9244" u="1"/>
        <n v="3119" u="1"/>
        <n v="9330" u="1"/>
        <n v="6569" u="1"/>
        <n v="11565" u="1"/>
        <n v="6612" u="1"/>
        <n v="11651" u="1"/>
        <n v="2066" u="1"/>
        <n v="13886" u="1"/>
        <n v="6655" u="1"/>
        <n v="4463" u="1"/>
        <n v="13972" u="1"/>
        <n v="4506" u="1"/>
        <n v="14058" u="1"/>
        <n v="9674" u="1"/>
        <n v="4549" u="1"/>
        <n v="9760" u="1"/>
        <n v="11995" u="1"/>
        <n v="3248" u="1"/>
        <n v="9846" u="1"/>
        <n v="1014" u="1"/>
        <n v="6827" u="1"/>
        <n v="12081" u="1"/>
        <n v="352" u="1"/>
        <n v="14316" u="1"/>
        <n v="167" u="1"/>
        <n v="6870" u="1"/>
        <n v="4678" u="1"/>
        <n v="12167" u="1"/>
        <n v="79" u="1"/>
        <n v="2195" u="1"/>
        <n v="14402" u="1"/>
        <n v="4721" u="1"/>
        <n v="14488" u="1"/>
        <n v="10104" u="1"/>
        <n v="4764" u="1"/>
        <n v="3334" u="1"/>
        <n v="1595" u="1"/>
        <n v="10190" u="1"/>
        <n v="1047" u="1"/>
        <n v="12425" u="1"/>
        <n v="10276" u="1"/>
        <n v="7042" u="1"/>
        <n v="12511" u="1"/>
        <n v="3377" u="1"/>
        <n v="2281" u="1"/>
        <n v="7085" u="1"/>
        <n v="12597" u="1"/>
        <n v="8213" u="1"/>
        <n v="14832" u="1"/>
        <n v="7128" u="1"/>
        <n v="4936" u="1"/>
        <n v="8299" u="1"/>
        <n v="2324" u="1"/>
        <n v="14918" u="1"/>
        <n v="1638" u="1"/>
        <n v="783" u="1"/>
        <n v="4979" u="1"/>
        <n v="8385" u="1"/>
        <n v="15004" u="1"/>
        <n v="10620" u="1"/>
        <n v="5022" u="1"/>
        <n v="3463" u="1"/>
        <n v="10706" u="1"/>
        <n v="7257" u="1"/>
        <n v="12941" u="1"/>
        <n v="7300" u="1"/>
        <n v="13027" u="1"/>
        <n v="3506" u="1"/>
        <n v="2410" u="1"/>
        <n v="1133" u="1"/>
        <n v="7343" u="1"/>
        <n v="5151" u="1"/>
        <n v="13113" u="1"/>
        <n v="8729" u="1"/>
        <n v="5194" u="1"/>
        <n v="8815" u="1"/>
        <n v="11050" u="1"/>
        <n v="5237" u="1"/>
        <n v="8901" u="1"/>
        <n v="11136" u="1"/>
        <n v="13371" u="1"/>
        <n v="3592" u="1"/>
        <n v="11222" u="1"/>
        <n v="1176" u="1"/>
        <n v="7515" u="1"/>
        <n v="13457" u="1"/>
        <n v="395" u="1"/>
        <n v="7558" u="1"/>
        <n v="124" u="1"/>
        <n v="13543" u="1"/>
        <n v="9159" u="1"/>
        <n v="2539" u="1"/>
        <n v="7601" u="1"/>
        <n v="5409" u="1"/>
        <n v="9245" u="1"/>
        <n v="5452" u="1"/>
        <n v="9331" u="1"/>
        <n v="1767" u="1"/>
        <n v="11566" u="1"/>
        <n v="5495" u="1"/>
        <n v="11652" u="1"/>
        <n v="7730" u="1"/>
        <n v="13887" u="1"/>
        <n v="3721" u="1"/>
        <n v="2625" u="1"/>
        <n v="7773" u="1"/>
        <n v="13973" u="1"/>
        <n v="7816" u="1"/>
        <n v="5624" u="1"/>
        <n v="14059" u="1"/>
        <n v="9675" u="1"/>
        <n v="2668" u="1"/>
        <n v="1810" u="1"/>
        <n v="869" u="1"/>
        <n v="5667" u="1"/>
        <n v="595" u="1"/>
        <n v="9761" u="1"/>
        <n v="11996" u="1"/>
        <n v="5710" u="1"/>
        <n v="3807" u="1"/>
        <n v="12082" u="1"/>
        <n v="14317" u="1"/>
        <n v="12168" u="1"/>
        <n v="7988" u="1"/>
        <n v="14403" u="1"/>
        <n v="3850" u="1"/>
        <n v="2754" u="1"/>
        <n v="1305" u="1"/>
        <n v="8031" u="1"/>
        <n v="14489" u="1"/>
        <n v="10105" u="1"/>
        <n v="8074" u="1"/>
        <n v="5882" u="1"/>
        <n v="10191" u="1"/>
        <n v="2797" u="1"/>
        <n v="12426" u="1"/>
        <n v="5925" u="1"/>
        <n v="10277" u="1"/>
        <n v="12512" u="1"/>
        <n v="3936" u="1"/>
        <n v="1896" u="1"/>
        <n v="12598" u="1"/>
        <n v="1348" u="1"/>
        <n v="8214" u="1"/>
        <n v="14833" u="1"/>
        <n v="638" u="1"/>
        <n v="438" u="1"/>
        <n v="210" u="1"/>
        <n v="8300" u="1"/>
        <n v="14919" u="1"/>
        <n v="2883" u="1"/>
        <n v="48" u="1"/>
        <n v="8386" u="1"/>
        <n v="6097" u="1"/>
        <n v="15005" u="1"/>
        <n v="10621" u="1"/>
        <n v="6140" u="1"/>
        <n v="10707" u="1"/>
        <n v="1939" u="1"/>
        <n v="12942" u="1"/>
        <n v="6183" u="1"/>
        <n v="13028" u="1"/>
        <n v="4065" u="1"/>
        <n v="13114" u="1"/>
        <n v="8730" u="1"/>
        <n v="8816" u="1"/>
        <n v="11051" u="1"/>
        <n v="3012" u="1"/>
        <n v="8902" u="1"/>
        <n v="955" u="1"/>
        <n v="6355" u="1"/>
        <n v="11137" u="1"/>
        <n v="13372" u="1"/>
        <n v="6398" u="1"/>
        <n v="4206" u="1"/>
        <n v="11223" u="1"/>
        <n v="13458" u="1"/>
        <n v="4249" u="1"/>
        <n v="13544" u="1"/>
        <n v="9160" u="1"/>
        <n v="4292" u="1"/>
        <n v="3098" u="1"/>
        <n v="1477" u="1"/>
        <n v="9246" u="1"/>
        <n v="9332" u="1"/>
        <n v="6570" u="1"/>
        <n v="11567" u="1"/>
        <n v="3141" u="1"/>
        <n v="6613" u="1"/>
        <n v="11653" u="1"/>
        <n v="13888" u="1"/>
        <n v="6656" u="1"/>
        <n v="4464" u="1"/>
        <n v="2088" u="1"/>
        <n v="13974" u="1"/>
        <n v="1520" u="1"/>
        <n v="724" u="1"/>
        <n v="4507" u="1"/>
        <n v="481" u="1"/>
        <n v="14060" u="1"/>
        <n v="9676" u="1"/>
        <n v="163" u="1"/>
        <n v="4550" u="1"/>
        <n v="77" u="1"/>
        <n v="3227" u="1"/>
        <n v="9762" u="1"/>
        <n v="17" u="1"/>
        <n v="11997" u="1"/>
        <n v="6828" u="1"/>
        <n v="12083" u="1"/>
        <n v="18785" u="1"/>
        <n v="3270" u="1"/>
        <n v="2174" u="1"/>
        <n v="14318" u="1"/>
        <n v="6871" u="1"/>
        <n v="4679" u="1"/>
        <n v="12169" u="1"/>
        <n v="14404" u="1"/>
        <n v="4722" u="1"/>
        <n v="14490" u="1"/>
        <n v="10106" u="1"/>
        <n v="4765" u="1"/>
        <n v="10192" u="1"/>
        <n v="12427" u="1"/>
        <n v="3356" u="1"/>
        <n v="10278" u="1"/>
        <n v="1058" u="1"/>
        <n v="7043" u="1"/>
        <n v="12513" u="1"/>
        <n v="7086" u="1"/>
        <n v="12599" u="1"/>
        <n v="8215" u="1"/>
        <n v="2303" u="1"/>
        <n v="14834" u="1"/>
        <n v="7129" u="1"/>
        <n v="4937" u="1"/>
        <n v="8301" u="1"/>
        <n v="14920" u="1"/>
        <n v="4980" u="1"/>
        <n v="8387" u="1"/>
        <n v="15006" u="1"/>
        <n v="1649" u="1"/>
        <n v="10622" u="1"/>
        <n v="5023" u="1"/>
        <n v="10708" u="1"/>
        <n v="7258" u="1"/>
        <n v="12943" u="1"/>
        <n v="3485" u="1"/>
        <n v="7301" u="1"/>
        <n v="13029" u="1"/>
        <n v="7344" u="1"/>
        <n v="5152" u="1"/>
        <n v="13115" u="1"/>
        <n v="8731" u="1"/>
        <n v="2432" u="1"/>
        <n v="1692" u="1"/>
        <n v="18786" u="1"/>
        <n v="810" u="1"/>
        <n v="5195" u="1"/>
        <n v="536" u="1"/>
        <n v="8817" u="1"/>
        <n v="253" u="1"/>
        <n v="11052" u="1"/>
        <n v="122" u="1"/>
        <n v="5238" u="1"/>
        <n v="3571" u="1"/>
        <n v="8903" u="1"/>
        <n v="11138" u="1"/>
        <n v="13373" u="1"/>
        <n v="11224" u="1"/>
        <n v="7516" u="1"/>
        <n v="13459" u="1"/>
        <n v="3614" u="1"/>
        <n v="2518" u="1"/>
        <n v="1187" u="1"/>
        <n v="7559" u="1"/>
        <n v="13545" u="1"/>
        <n v="9161" u="1"/>
        <n v="7602" u="1"/>
        <n v="5410" u="1"/>
        <n v="9247" u="1"/>
        <n v="2561" u="1"/>
        <n v="11482" u="1"/>
        <n v="5453" u="1"/>
        <n v="9333" u="1"/>
        <n v="11568" u="1"/>
        <n v="5496" u="1"/>
        <n v="3700" u="1"/>
        <n v="1778" u="1"/>
        <n v="11654" u="1"/>
        <n v="1230" u="1"/>
        <n v="7731" u="1"/>
        <n v="13889" u="1"/>
        <n v="579" u="1"/>
        <n v="7774" u="1"/>
        <n v="13975" u="1"/>
        <n v="2647" u="1"/>
        <n v="7817" u="1"/>
        <n v="5625" u="1"/>
        <n v="14061" u="1"/>
        <n v="9677" u="1"/>
        <n v="5668" u="1"/>
        <n v="9763" u="1"/>
        <n v="1821" u="1"/>
        <n v="11998" u="1"/>
        <n v="5711" u="1"/>
        <n v="12084" u="1"/>
        <n v="18787" u="1"/>
        <n v="14319" u="1"/>
        <n v="3829" u="1"/>
        <n v="12170" u="1"/>
        <n v="7989" u="1"/>
        <n v="14405" u="1"/>
        <n v="8032" u="1"/>
        <n v="14491" u="1"/>
        <n v="10107" u="1"/>
        <n v="2776" u="1"/>
        <n v="8075" u="1"/>
        <n v="896" u="1"/>
        <n v="5883" u="1"/>
        <n v="10193" u="1"/>
        <n v="293" u="1"/>
        <n v="12428" u="1"/>
        <n v="5926" u="1"/>
        <n v="3915" u="1"/>
        <n v="10279" u="1"/>
        <n v="47" u="1"/>
        <n v="12514" u="1"/>
        <n v="12600" u="1"/>
        <n v="8216" u="1"/>
        <n v="14835" u="1"/>
        <n v="3958" u="1"/>
        <n v="2862" u="1"/>
        <n v="1359" u="1"/>
        <n v="8302" u="1"/>
        <n v="14921" u="1"/>
        <n v="8388" u="1"/>
        <n v="6098" u="1"/>
        <n v="15007" u="1"/>
        <n v="10623" u="1"/>
        <n v="2905" u="1"/>
        <n v="6141" u="1"/>
        <n v="10709" u="1"/>
        <n v="12944" u="1"/>
        <n v="6184" u="1"/>
        <n v="4044" u="1"/>
        <n v="1950" u="1"/>
        <n v="13030" u="1"/>
        <n v="1402" u="1"/>
        <n v="665" u="1"/>
        <n v="13116" u="1"/>
        <n v="8732" u="1"/>
        <n v="4087" u="1"/>
        <n v="2991" u="1"/>
        <n v="18788" u="1"/>
        <n v="8818" u="1"/>
        <n v="11053" u="1"/>
        <n v="8904" u="1"/>
        <n v="6356" u="1"/>
        <n v="11139" u="1"/>
        <n v="3034" u="1"/>
        <n v="1993" u="1"/>
        <n v="13374" u="1"/>
        <n v="6399" u="1"/>
        <n v="4207" u="1"/>
        <n v="11225" u="1"/>
        <n v="13460" u="1"/>
        <n v="4250" u="1"/>
        <n v="13546" u="1"/>
        <n v="9162" u="1"/>
        <n v="4293" u="1"/>
        <n v="9248" u="1"/>
        <n v="11483" u="1"/>
        <n v="3120" u="1"/>
        <n v="9334" u="1"/>
        <n v="982" u="1"/>
        <n v="6571" u="1"/>
        <n v="11569" u="1"/>
        <n v="336" u="1"/>
        <n v="159" u="1"/>
        <n v="6614" u="1"/>
        <n v="11655" u="1"/>
        <n v="75" u="1"/>
        <n v="2067" u="1"/>
        <n v="13890" u="1"/>
        <n v="6657" u="1"/>
        <n v="4465" u="1"/>
        <n v="13976" u="1"/>
        <n v="4508" u="1"/>
        <n v="14062" u="1"/>
        <n v="1531" u="1"/>
        <n v="9678" u="1"/>
        <n v="4551" u="1"/>
        <n v="9764" u="1"/>
        <n v="6786" u="1"/>
        <n v="11999" u="1"/>
        <n v="3249" u="1"/>
        <n v="6829" u="1"/>
        <n v="12085" u="1"/>
        <n v="14320" u="1"/>
        <n v="6872" u="1"/>
        <n v="4680" u="1"/>
        <n v="12171" u="1"/>
        <n v="2196" u="1"/>
        <n v="14406" u="1"/>
        <n v="1574" u="1"/>
        <n v="751" u="1"/>
        <n v="4723" u="1"/>
        <n v="14492" u="1"/>
        <n v="10108" u="1"/>
        <n v="4766" u="1"/>
        <n v="3335" u="1"/>
        <n v="10194" u="1"/>
        <n v="12429" u="1"/>
        <n v="10280" u="1"/>
        <n v="7044" u="1"/>
        <n v="12515" u="1"/>
        <n v="3378" u="1"/>
        <n v="2282" u="1"/>
        <n v="1069" u="1"/>
        <n v="7087" u="1"/>
        <n v="12601" u="1"/>
        <n v="8217" u="1"/>
        <n v="14836" u="1"/>
        <n v="7130" u="1"/>
        <n v="4938" u="1"/>
        <n v="8303" u="1"/>
        <n v="2325" u="1"/>
        <n v="14922" u="1"/>
        <n v="4981" u="1"/>
        <n v="8389" u="1"/>
        <n v="15008" u="1"/>
        <n v="10624" u="1"/>
        <n v="5024" u="1"/>
        <n v="3464" u="1"/>
        <n v="1660" u="1"/>
        <n v="10710" u="1"/>
        <n v="1112" u="1"/>
        <n v="7259" u="1"/>
        <n v="12945" u="1"/>
        <n v="520" u="1"/>
        <n v="379" u="1"/>
        <n v="7302" u="1"/>
        <n v="120" u="1"/>
        <n v="13031" u="1"/>
        <n v="2411" u="1"/>
        <n v="7345" u="1"/>
        <n v="5153" u="1"/>
        <n v="13117" u="1"/>
        <n v="8733" u="1"/>
        <n v="5196" u="1"/>
        <n v="8819" u="1"/>
        <n v="1703" u="1"/>
        <n v="11054" u="1"/>
        <n v="5239" u="1"/>
        <n v="8905" u="1"/>
        <n v="11140" u="1"/>
        <n v="13375" u="1"/>
        <n v="3593" u="1"/>
        <n v="11226" u="1"/>
        <n v="7517" u="1"/>
        <n v="13461" u="1"/>
        <n v="7560" u="1"/>
        <n v="13547" u="1"/>
        <n v="9163" u="1"/>
        <n v="2540" u="1"/>
        <n v="7603" u="1"/>
        <n v="837" u="1"/>
        <n v="5411" u="1"/>
        <n v="9249" u="1"/>
        <n v="11484" u="1"/>
        <n v="5454" u="1"/>
        <n v="9335" u="1"/>
        <n v="11570" u="1"/>
        <n v="5497" u="1"/>
        <n v="11656" u="1"/>
        <n v="7732" u="1"/>
        <n v="13891" u="1"/>
        <n v="3722" u="1"/>
        <n v="2626" u="1"/>
        <n v="1241" u="1"/>
        <n v="7775" u="1"/>
        <n v="13977" u="1"/>
        <n v="7818" u="1"/>
        <n v="5626" u="1"/>
        <n v="14063" u="1"/>
        <n v="9679" u="1"/>
        <n v="2669" u="1"/>
        <n v="5669" u="1"/>
        <n v="9765" u="1"/>
        <n v="12000" u="1"/>
        <n v="5712" u="1"/>
        <n v="3808" u="1"/>
        <n v="1832" u="1"/>
        <n v="12086" u="1"/>
        <n v="1284" u="1"/>
        <n v="14321" u="1"/>
        <n v="606" u="1"/>
        <n v="422" u="1"/>
        <n v="12172" u="1"/>
        <n v="202" u="1"/>
        <n v="7990" u="1"/>
        <n v="14407" u="1"/>
        <n v="3851" u="1"/>
        <n v="2755" u="1"/>
        <n v="46" u="1"/>
        <n v="8033" u="1"/>
        <n v="14493" u="1"/>
        <n v="10109" u="1"/>
        <n v="8076" u="1"/>
        <n v="5884" u="1"/>
        <n v="10195" u="1"/>
        <n v="2798" u="1"/>
        <n v="1875" u="1"/>
        <n v="12430" u="1"/>
        <n v="5927" u="1"/>
        <n v="10281" u="1"/>
        <n v="12516" u="1"/>
        <n v="3937" u="1"/>
        <n v="12602" u="1"/>
        <n v="8218" u="1"/>
        <n v="14837" u="1"/>
        <n v="8304" u="1"/>
        <n v="14923" u="1"/>
        <n v="2884" u="1"/>
        <n v="8390" u="1"/>
        <n v="923" u="1"/>
        <n v="6099" u="1"/>
        <n v="15009" u="1"/>
        <n v="10625" u="1"/>
        <n v="6142" u="1"/>
        <n v="10711" u="1"/>
        <n v="12946" u="1"/>
        <n v="6185" u="1"/>
        <n v="13032" u="1"/>
        <n v="4066" u="1"/>
        <n v="13118" u="1"/>
        <n v="1413" u="1"/>
        <n v="8734" u="1"/>
        <n v="8820" u="1"/>
        <n v="11055" u="1"/>
        <n v="3013" u="1"/>
        <n v="8906" u="1"/>
        <n v="6357" u="1"/>
        <n v="11141" u="1"/>
        <n v="13376" u="1"/>
        <n v="6400" u="1"/>
        <n v="4208" u="1"/>
        <n v="11227" u="1"/>
        <n v="2004" u="1"/>
        <n v="13462" u="1"/>
        <n v="1456" u="1"/>
        <n v="692" u="1"/>
        <n v="4251" u="1"/>
        <n v="13548" u="1"/>
        <n v="9164" u="1"/>
        <n v="155" u="1"/>
        <n v="4294" u="1"/>
        <n v="73" u="1"/>
        <n v="3099" u="1"/>
        <n v="9250" u="1"/>
        <n v="16" u="1"/>
        <n v="11485" u="1"/>
        <n v="9336" u="1"/>
        <n v="6572" u="1"/>
        <n v="11571" u="1"/>
        <n v="3142" u="1"/>
        <n v="2047" u="1"/>
        <n v="6615" u="1"/>
        <n v="11657" u="1"/>
        <n v="13892" u="1"/>
        <n v="6658" u="1"/>
        <n v="4466" u="1"/>
        <n v="2089" u="1"/>
        <n v="13978" u="1"/>
        <n v="4509" u="1"/>
        <n v="14064" u="1"/>
        <n v="9680" u="1"/>
        <n v="4552" u="1"/>
        <n v="3228" u="1"/>
        <n v="1542" u="1"/>
        <n v="9766" u="1"/>
        <n v="1009" u="1"/>
        <n v="6787" u="1"/>
        <n v="12001" u="1"/>
        <n v="6830" u="1"/>
        <n v="12087" u="1"/>
        <n v="3271" u="1"/>
        <n v="2175" u="1"/>
        <n v="14322" u="1"/>
        <n v="6873" u="1"/>
        <n v="4681" u="1"/>
        <n v="12173" u="1"/>
        <n v="14408" u="1"/>
        <n v="4724" u="1"/>
        <n v="14494" u="1"/>
        <n v="1585" u="1"/>
        <n v="10110" u="1"/>
        <n v="4767" u="1"/>
        <n v="10196" u="1"/>
        <n v="12431" u="1"/>
        <n v="3357" u="1"/>
        <n v="10282" u="1"/>
        <n v="7045" u="1"/>
        <n v="12517" u="1"/>
        <n v="7088" u="1"/>
        <n v="12603" u="1"/>
        <n v="8219" u="1"/>
        <n v="2304" u="1"/>
        <n v="14838" u="1"/>
        <n v="7131" u="1"/>
        <n v="778" u="1"/>
        <n v="4939" u="1"/>
        <n v="8305" u="1"/>
        <n v="14924" u="1"/>
        <n v="245" u="1"/>
        <n v="118" u="1"/>
        <n v="4982" u="1"/>
        <n v="8391" u="1"/>
        <n v="15010" u="1"/>
        <n v="10626" u="1"/>
        <n v="5025" u="1"/>
        <n v="10712" u="1"/>
        <n v="7260" u="1"/>
        <n v="12947" u="1"/>
        <n v="3486" u="1"/>
        <n v="2390" u="1"/>
        <n v="1123" u="1"/>
        <n v="7303" u="1"/>
        <n v="13033" u="1"/>
        <n v="7346" u="1"/>
        <n v="5154" u="1"/>
        <n v="13119" u="1"/>
        <n v="8735" u="1"/>
        <n v="2433" u="1"/>
        <n v="5197" u="1"/>
        <n v="8821" u="1"/>
        <n v="11056" u="1"/>
        <n v="5240" u="1"/>
        <n v="3572" u="1"/>
        <n v="8907" u="1"/>
        <n v="1714" u="1"/>
        <n v="11142" u="1"/>
        <n v="1166" u="1"/>
        <n v="13377" u="1"/>
        <n v="547" u="1"/>
        <n v="11228" u="1"/>
        <n v="7518" u="1"/>
        <n v="13463" u="1"/>
        <n v="3615" u="1"/>
        <n v="2519" u="1"/>
        <n v="7561" u="1"/>
        <n v="13549" u="1"/>
        <n v="9165" u="1"/>
        <n v="7604" u="1"/>
        <n v="5412" u="1"/>
        <n v="9251" u="1"/>
        <n v="2562" u="1"/>
        <n v="1757" u="1"/>
        <n v="11486" u="1"/>
        <n v="5455" u="1"/>
        <n v="9337" u="1"/>
        <n v="11572" u="1"/>
        <n v="5498" u="1"/>
        <n v="3701" u="1"/>
        <n v="11658" u="1"/>
        <n v="7733" u="1"/>
        <n v="13893" u="1"/>
        <n v="7776" u="1"/>
        <n v="13979" u="1"/>
        <n v="2648" u="1"/>
        <n v="7819" u="1"/>
        <n v="864" u="1"/>
        <n v="5627" u="1"/>
        <n v="14065" u="1"/>
        <n v="9681" u="1"/>
        <n v="414" u="1"/>
        <n v="277" u="1"/>
        <n v="5670" u="1"/>
        <n v="9767" u="1"/>
        <n v="45" u="1"/>
        <n v="12002" u="1"/>
        <n v="5713" u="1"/>
        <n v="12088" u="1"/>
        <n v="14323" u="1"/>
        <n v="3830" u="1"/>
        <n v="12174" u="1"/>
        <n v="1295" u="1"/>
        <n v="7991" u="1"/>
        <n v="14409" u="1"/>
        <n v="8034" u="1"/>
        <n v="14495" u="1"/>
        <n v="10111" u="1"/>
        <n v="2777" u="1"/>
        <n v="8077" u="1"/>
        <n v="5885" u="1"/>
        <n v="10197" u="1"/>
        <n v="12432" u="1"/>
        <n v="5928" u="1"/>
        <n v="3916" u="1"/>
        <n v="10283" u="1"/>
        <n v="1886" u="1"/>
        <n v="12518" u="1"/>
        <n v="633" u="1"/>
        <n v="12604" u="1"/>
        <n v="8220" u="1"/>
        <n v="14839" u="1"/>
        <n v="3959" u="1"/>
        <n v="2863" u="1"/>
        <n v="8306" u="1"/>
        <n v="14925" u="1"/>
        <n v="8392" u="1"/>
        <n v="6100" u="1"/>
        <n v="10627" u="1"/>
        <n v="2906" u="1"/>
        <n v="1929" u="1"/>
        <n v="6143" u="1"/>
        <n v="10713" u="1"/>
        <n v="12948" u="1"/>
        <n v="6186" u="1"/>
        <n v="4045" u="1"/>
        <n v="13034" u="1"/>
        <n v="13120" u="1"/>
        <n v="8736" u="1"/>
        <n v="4088" u="1"/>
        <n v="2992" u="1"/>
        <n v="1424" u="1"/>
        <n v="8822" u="1"/>
        <n v="950" u="1"/>
        <n v="11057" u="1"/>
        <n v="457" u="1"/>
        <n v="320" u="1"/>
        <n v="151" u="1"/>
        <n v="6358" u="1"/>
        <n v="11143" u="1"/>
        <n v="71" u="1"/>
        <n v="3035" u="1"/>
        <n v="13378" u="1"/>
        <n v="6401" u="1"/>
        <n v="4209" u="1"/>
        <n v="11229" u="1"/>
        <n v="13464" u="1"/>
        <n v="4252" u="1"/>
        <n v="13550" u="1"/>
        <n v="1467" u="1"/>
        <n v="9166" u="1"/>
        <n v="4295" u="1"/>
        <n v="9252" u="1"/>
        <n v="11487" u="1"/>
        <n v="3121" u="1"/>
        <n v="9338" u="1"/>
        <n v="6573" u="1"/>
        <n v="11573" u="1"/>
        <n v="6616" u="1"/>
        <n v="11659" u="1"/>
        <n v="2068" u="1"/>
        <n v="13894" u="1"/>
        <n v="6659" u="1"/>
        <n v="719" u="1"/>
        <n v="4467" u="1"/>
        <n v="13980" u="1"/>
        <n v="4510" u="1"/>
        <n v="14066" u="1"/>
        <n v="9682" u="1"/>
        <n v="4553" u="1"/>
        <n v="9768" u="1"/>
        <n v="6788" u="1"/>
        <n v="12003" u="1"/>
        <n v="3250" u="1"/>
        <n v="6831" u="1"/>
        <n v="12089" u="1"/>
        <n v="14324" u="1"/>
        <n v="6874" u="1"/>
        <n v="4682" u="1"/>
        <n v="12175" u="1"/>
        <n v="2197" u="1"/>
        <n v="14410" u="1"/>
        <n v="4725" u="1"/>
        <n v="14496" u="1"/>
        <n v="10112" u="1"/>
        <n v="4768" u="1"/>
        <n v="3336" u="1"/>
        <n v="1596" u="1"/>
        <n v="10198" u="1"/>
        <n v="1048" u="1"/>
        <n v="12433" u="1"/>
        <n v="500" u="1"/>
        <n v="363" u="1"/>
        <n v="10284" u="1"/>
        <n v="7046" u="1"/>
        <n v="116" u="1"/>
        <n v="12519" u="1"/>
        <n v="3379" u="1"/>
        <n v="2283" u="1"/>
        <n v="7089" u="1"/>
        <n v="12605" u="1"/>
        <n v="8221" u="1"/>
        <n v="14840" u="1"/>
        <n v="7132" u="1"/>
        <n v="4940" u="1"/>
        <n v="8307" u="1"/>
        <n v="2326" u="1"/>
        <n v="14926" u="1"/>
        <n v="1639" u="1"/>
        <n v="4983" u="1"/>
        <n v="8393" u="1"/>
        <n v="10628" u="1"/>
        <n v="5026" u="1"/>
        <n v="3465" u="1"/>
        <n v="10714" u="1"/>
        <n v="7261" u="1"/>
        <n v="12949" u="1"/>
        <n v="7304" u="1"/>
        <n v="13035" u="1"/>
        <n v="2412" u="1"/>
        <n v="7347" u="1"/>
        <n v="805" u="1"/>
        <n v="5155" u="1"/>
        <n v="13121" u="1"/>
        <n v="8737" u="1"/>
        <n v="5198" u="1"/>
        <n v="8823" u="1"/>
        <n v="11058" u="1"/>
        <n v="5241" u="1"/>
        <n v="11144" u="1"/>
        <n v="13379" u="1"/>
        <n v="3594" u="1"/>
        <n v="11230" u="1"/>
        <n v="1177" u="1"/>
        <n v="7519" u="1"/>
        <n v="13465" u="1"/>
        <n v="7562" u="1"/>
        <n v="13551" u="1"/>
        <n v="9167" u="1"/>
        <n v="2541" u="1"/>
        <n v="7605" u="1"/>
        <n v="5413" u="1"/>
        <n v="9253" u="1"/>
        <n v="11488" u="1"/>
        <n v="5456" u="1"/>
        <n v="9339" u="1"/>
        <n v="1768" u="1"/>
        <n v="11574" u="1"/>
        <n v="574" u="1"/>
        <n v="11660" u="1"/>
        <n v="194" u="1"/>
        <n v="7734" u="1"/>
        <n v="13895" u="1"/>
        <n v="3723" u="1"/>
        <n v="2627" u="1"/>
        <n v="44" u="1"/>
        <n v="7777" u="1"/>
        <n v="13981" u="1"/>
        <n v="7820" u="1"/>
        <n v="5628" u="1"/>
        <n v="14067" u="1"/>
        <n v="9683" u="1"/>
        <n v="2670" u="1"/>
        <n v="1811" u="1"/>
        <n v="5671" u="1"/>
        <n v="9769" u="1"/>
        <n v="12004" u="1"/>
        <n v="5714" u="1"/>
        <n v="3809" u="1"/>
        <n v="12090" u="1"/>
        <n v="14325" u="1"/>
        <n v="12176" u="1"/>
        <n v="7992" u="1"/>
        <n v="14411" u="1"/>
        <n v="3852" u="1"/>
        <n v="2756" u="1"/>
        <n v="1306" u="1"/>
        <n v="8035" u="1"/>
        <n v="891" u="1"/>
        <n v="14497" u="1"/>
        <n v="10113" u="1"/>
        <n v="8078" u="1"/>
        <n v="5886" u="1"/>
        <n v="10199" u="1"/>
        <n v="2799" u="1"/>
        <n v="12434" u="1"/>
        <n v="5929" u="1"/>
        <n v="10285" u="1"/>
        <n v="12520" u="1"/>
        <n v="3938" u="1"/>
        <n v="12606" u="1"/>
        <n v="1349" u="1"/>
        <n v="8222" u="1"/>
        <n v="14841" u="1"/>
        <n v="8308" u="1"/>
        <n v="14927" u="1"/>
        <n v="10543" u="1"/>
        <n v="2885" u="1"/>
        <n v="8394" u="1"/>
        <n v="6101" u="1"/>
        <n v="10629" u="1"/>
        <n v="6144" u="1"/>
        <n v="10715" u="1"/>
        <n v="1940" u="1"/>
        <n v="12950" u="1"/>
        <n v="6187" u="1"/>
        <n v="660" u="1"/>
        <n v="13036" u="1"/>
        <n v="147" u="1"/>
        <n v="4067" u="1"/>
        <n v="69" u="1"/>
        <n v="13122" u="1"/>
        <n v="8738" u="1"/>
        <n v="8824" u="1"/>
        <n v="6316" u="1"/>
        <n v="11059" u="1"/>
        <n v="3014" u="1"/>
        <n v="6359" u="1"/>
        <n v="11145" u="1"/>
        <n v="13380" u="1"/>
        <n v="6402" u="1"/>
        <n v="4210" u="1"/>
        <n v="11231" u="1"/>
        <n v="13466" u="1"/>
        <n v="4253" u="1"/>
        <n v="13552" u="1"/>
        <n v="9168" u="1"/>
        <n v="4296" u="1"/>
        <n v="3100" u="1"/>
        <n v="1478" u="1"/>
        <n v="9254" u="1"/>
        <n v="977" u="1"/>
        <n v="11489" u="1"/>
        <n v="9340" u="1"/>
        <n v="6574" u="1"/>
        <n v="11575" u="1"/>
        <n v="3143" u="1"/>
        <n v="6617" u="1"/>
        <n v="11661" u="1"/>
        <n v="13896" u="1"/>
        <n v="6660" u="1"/>
        <n v="4468" u="1"/>
        <n v="2090" u="1"/>
        <n v="13982" u="1"/>
        <n v="1521" u="1"/>
        <n v="4511" u="1"/>
        <n v="14068" u="1"/>
        <n v="9684" u="1"/>
        <n v="4554" u="1"/>
        <n v="3229" u="1"/>
        <n v="9770" u="1"/>
        <n v="6789" u="1"/>
        <n v="12005" u="1"/>
        <n v="6832" u="1"/>
        <n v="12091" u="1"/>
        <n v="2176" u="1"/>
        <n v="14326" u="1"/>
        <n v="1020" u="1"/>
        <n v="6875" u="1"/>
        <n v="746" u="1"/>
        <n v="4683" u="1"/>
        <n v="12177" u="1"/>
        <n v="355" u="1"/>
        <n v="14412" u="1"/>
        <n v="237" u="1"/>
        <n v="114" u="1"/>
        <n v="4726" u="1"/>
        <n v="14498" u="1"/>
        <n v="10114" u="1"/>
        <n v="4769" u="1"/>
        <n v="6" u="1"/>
        <n v="10200" u="1"/>
        <n v="12435" u="1"/>
        <n v="3358" u="1"/>
        <n v="10286" u="1"/>
        <n v="1059" u="1"/>
        <n v="7047" u="1"/>
        <n v="12521" u="1"/>
        <n v="7090" u="1"/>
        <n v="12607" u="1"/>
        <n v="8223" u="1"/>
        <n v="2305" u="1"/>
        <n v="14842" u="1"/>
        <n v="7133" u="1"/>
        <n v="4941" u="1"/>
        <n v="8309" u="1"/>
        <n v="14928" u="1"/>
        <n v="10544" u="1"/>
        <n v="4984" u="1"/>
        <n v="8395" u="1"/>
        <n v="1650" u="1"/>
        <n v="10630" u="1"/>
        <n v="5027" u="1"/>
        <n v="515" u="1"/>
        <n v="10716" u="1"/>
        <n v="7262" u="1"/>
        <n v="12951" u="1"/>
        <n v="3487" u="1"/>
        <n v="2391" u="1"/>
        <n v="7305" u="1"/>
        <n v="13037" u="1"/>
        <n v="7348" u="1"/>
        <n v="5156" u="1"/>
        <n v="13123" u="1"/>
        <n v="8739" u="1"/>
        <n v="2434" u="1"/>
        <n v="1693" u="1"/>
        <n v="5199" u="1"/>
        <n v="8825" u="1"/>
        <n v="11060" u="1"/>
        <n v="5242" u="1"/>
        <n v="3573" u="1"/>
        <n v="11146" u="1"/>
        <n v="13381" u="1"/>
        <n v="11232" u="1"/>
        <n v="7520" u="1"/>
        <n v="13467" u="1"/>
        <n v="3616" u="1"/>
        <n v="2520" u="1"/>
        <n v="1188" u="1"/>
        <n v="7563" u="1"/>
        <n v="832" u="1"/>
        <n v="13553" u="1"/>
        <n v="9169" u="1"/>
        <n v="398" u="1"/>
        <n v="261" u="1"/>
        <n v="190" u="1"/>
        <n v="7606" u="1"/>
        <n v="5414" u="1"/>
        <n v="9255" u="1"/>
        <n v="2563" u="1"/>
        <n v="43" u="1"/>
        <n v="11490" u="1"/>
        <n v="5457" u="1"/>
        <n v="9341" u="1"/>
        <n v="11576" u="1"/>
        <n v="3702" u="1"/>
        <n v="1779" u="1"/>
        <n v="11662" u="1"/>
        <n v="1231" u="1"/>
        <n v="7735" u="1"/>
        <n v="13897" u="1"/>
        <n v="7778" u="1"/>
        <n v="13983" u="1"/>
        <n v="2649" u="1"/>
        <n v="7821" u="1"/>
        <n v="5629" u="1"/>
        <n v="14069" u="1"/>
        <n v="9685" u="1"/>
        <n v="5672" u="1"/>
        <n v="9771" u="1"/>
        <n v="1822" u="1"/>
        <n v="12006" u="1"/>
        <n v="5715" u="1"/>
        <n v="601" u="1"/>
        <n v="12092" u="1"/>
        <n v="14327" u="1"/>
        <n v="3831" u="1"/>
        <n v="12178" u="1"/>
        <n v="7993" u="1"/>
        <n v="14413" u="1"/>
        <n v="16912" u="1"/>
        <n v="8036" u="1"/>
        <n v="14499" u="1"/>
        <n v="10115" u="1"/>
        <n v="2778" u="1"/>
        <n v="8079" u="1"/>
        <n v="5887" u="1"/>
        <n v="10201" u="1"/>
        <n v="12436" u="1"/>
        <n v="5930" u="1"/>
        <n v="3917" u="1"/>
        <n v="10287" u="1"/>
        <n v="12522" u="1"/>
        <n v="12608" u="1"/>
        <n v="8224" u="1"/>
        <n v="14843" u="1"/>
        <n v="3960" u="1"/>
        <n v="2864" u="1"/>
        <n v="1360" u="1"/>
        <n v="8310" u="1"/>
        <n v="918" u="1"/>
        <n v="14929" u="1"/>
        <n v="10545" u="1"/>
        <n v="441" u="1"/>
        <n v="304" u="1"/>
        <n v="8396" u="1"/>
        <n v="143" u="1"/>
        <n v="6102" u="1"/>
        <n v="10631" u="1"/>
        <n v="67" u="1"/>
        <n v="2907" u="1"/>
        <n v="6145" u="1"/>
        <n v="10717" u="1"/>
        <n v="12952" u="1"/>
        <n v="6188" u="1"/>
        <n v="4046" u="1"/>
        <n v="1951" u="1"/>
        <n v="13038" u="1"/>
        <n v="1403" u="1"/>
        <n v="13124" u="1"/>
        <n v="8740" u="1"/>
        <n v="4089" u="1"/>
        <n v="2993" u="1"/>
        <n v="8826" u="1"/>
        <n v="6317" u="1"/>
        <n v="11061" u="1"/>
        <n v="6360" u="1"/>
        <n v="11147" u="1"/>
        <n v="16913" u="1"/>
        <n v="3036" u="1"/>
        <n v="1994" u="1"/>
        <n v="13382" u="1"/>
        <n v="961" u="1"/>
        <n v="6403" u="1"/>
        <n v="687" u="1"/>
        <n v="4211" u="1"/>
        <n v="11233" u="1"/>
        <n v="13468" u="1"/>
        <n v="4254" u="1"/>
        <n v="13554" u="1"/>
        <n v="9170" u="1"/>
        <n v="4297" u="1"/>
        <n v="9256" u="1"/>
        <n v="11491" u="1"/>
        <n v="3122" u="1"/>
        <n v="9342" u="1"/>
        <n v="6575" u="1"/>
        <n v="11577" u="1"/>
        <n v="6618" u="1"/>
        <n v="11663" u="1"/>
        <n v="2069" u="1"/>
        <n v="13898" u="1"/>
        <n v="6661" u="1"/>
        <n v="4469" u="1"/>
        <n v="13984" u="1"/>
        <n v="4512" u="1"/>
        <n v="14070" u="1"/>
        <n v="1532" u="1"/>
        <n v="9686" u="1"/>
        <n v="4555" u="1"/>
        <n v="484" u="1"/>
        <n v="9772" u="1"/>
        <n v="6790" u="1"/>
        <n v="112" u="1"/>
        <n v="12007" u="1"/>
        <n v="3251" u="1"/>
        <n v="2155" u="1"/>
        <n v="6833" u="1"/>
        <n v="12093" u="1"/>
        <n v="14328" u="1"/>
        <n v="6876" u="1"/>
        <n v="4684" u="1"/>
        <n v="12179" u="1"/>
        <n v="2198" u="1"/>
        <n v="14414" u="1"/>
        <n v="1575" u="1"/>
        <n v="16914" u="1"/>
        <n v="4727" u="1"/>
        <n v="14500" u="1"/>
        <n v="10116" u="1"/>
        <n v="4770" u="1"/>
        <n v="3337" u="1"/>
        <n v="10202" u="1"/>
        <n v="12437" u="1"/>
        <n v="10288" u="1"/>
        <n v="7048" u="1"/>
        <n v="12523" u="1"/>
        <n v="3380" u="1"/>
        <n v="2284" u="1"/>
        <n v="1070" u="1"/>
        <n v="7091" u="1"/>
        <n v="773" u="1"/>
        <n v="12609" u="1"/>
        <n v="8225" u="1"/>
        <n v="14844" u="1"/>
        <n v="7134" u="1"/>
        <n v="4942" u="1"/>
        <n v="8311" u="1"/>
        <n v="2327" u="1"/>
        <n v="14930" u="1"/>
        <n v="10546" u="1"/>
        <n v="4985" u="1"/>
        <n v="8397" u="1"/>
        <n v="10632" u="1"/>
        <n v="5028" u="1"/>
        <n v="3466" u="1"/>
        <n v="1661" u="1"/>
        <n v="10718" u="1"/>
        <n v="1113" u="1"/>
        <n v="7263" u="1"/>
        <n v="12953" u="1"/>
        <n v="7306" u="1"/>
        <n v="13039" u="1"/>
        <n v="2413" u="1"/>
        <n v="7349" u="1"/>
        <n v="5157" u="1"/>
        <n v="13125" u="1"/>
        <n v="8741" u="1"/>
        <n v="5200" u="1"/>
        <n v="8827" u="1"/>
        <n v="1704" u="1"/>
        <n v="11062" u="1"/>
        <n v="5243" u="1"/>
        <n v="542" u="1"/>
        <n v="11148" u="1"/>
        <n v="16915" u="1"/>
        <n v="186" u="1"/>
        <n v="13383" u="1"/>
        <n v="3595" u="1"/>
        <n v="42" u="1"/>
        <n v="11234" u="1"/>
        <n v="7521" u="1"/>
        <n v="13469" u="1"/>
        <n v="7564" u="1"/>
        <n v="13555" u="1"/>
        <n v="9171" u="1"/>
        <n v="2542" u="1"/>
        <n v="7607" u="1"/>
        <n v="5415" u="1"/>
        <n v="9257" u="1"/>
        <n v="11492" u="1"/>
        <n v="5458" u="1"/>
        <n v="3681" u="1"/>
        <n v="9343" u="1"/>
        <n v="11578" u="1"/>
        <n v="11664" u="1"/>
        <n v="7736" u="1"/>
        <n v="13899" u="1"/>
        <n v="3724" u="1"/>
        <n v="2628" u="1"/>
        <n v="1242" u="1"/>
        <n v="7779" u="1"/>
        <n v="859" u="1"/>
        <n v="13985" u="1"/>
        <n v="7822" u="1"/>
        <n v="5630" u="1"/>
        <n v="14071" u="1"/>
        <n v="9687" u="1"/>
        <n v="2671" u="1"/>
        <n v="5673" u="1"/>
        <n v="9773" u="1"/>
        <n v="12008" u="1"/>
        <n v="5716" u="1"/>
        <n v="3810" u="1"/>
        <n v="1833" u="1"/>
        <n v="12094" u="1"/>
        <n v="1285" u="1"/>
        <n v="14329" u="1"/>
        <n v="12180" u="1"/>
        <n v="7994" u="1"/>
        <n v="14415" u="1"/>
        <n v="3853" u="1"/>
        <n v="2757" u="1"/>
        <n v="8037" u="1"/>
        <n v="14501" u="1"/>
        <n v="10117" u="1"/>
        <n v="8080" u="1"/>
        <n v="5888" u="1"/>
        <n v="10203" u="1"/>
        <n v="2800" u="1"/>
        <n v="1876" u="1"/>
        <n v="12438" u="1"/>
        <n v="902" u="1"/>
        <n v="5931" u="1"/>
        <n v="628" u="1"/>
        <n v="10289" u="1"/>
        <n v="296" u="1"/>
        <n v="12524" u="1"/>
        <n v="139" u="1"/>
        <n v="3939" u="1"/>
        <n v="65" u="1"/>
        <n v="12610" u="1"/>
        <n v="8226" u="1"/>
        <n v="14845" u="1"/>
        <n v="15" u="1"/>
        <n v="8312" u="1"/>
        <n v="14931" u="1"/>
        <n v="10547" u="1"/>
        <n v="2886" u="1"/>
        <n v="8398" u="1"/>
        <n v="6103" u="1"/>
        <n v="10633" u="1"/>
        <n v="6146" u="1"/>
        <n v="10719" u="1"/>
        <n v="12954" u="1"/>
        <n v="6189" u="1"/>
        <n v="13040" u="1"/>
        <n v="4068" u="1"/>
        <n v="13126" u="1"/>
        <n v="1414" u="1"/>
        <n v="8742" u="1"/>
        <n v="8828" u="1"/>
        <n v="6318" u="1"/>
        <n v="11063" u="1"/>
        <n v="3015" u="1"/>
        <n v="6361" u="1"/>
        <n v="11149" u="1"/>
        <n v="13384" u="1"/>
        <n v="6404" u="1"/>
        <n v="4212" u="1"/>
        <n v="11235" u="1"/>
        <n v="2005" u="1"/>
        <n v="13470" u="1"/>
        <n v="1457" u="1"/>
        <n v="4255" u="1"/>
        <n v="13556" u="1"/>
        <n v="9172" u="1"/>
        <n v="4298" u="1"/>
        <n v="3101" u="1"/>
        <n v="9258" u="1"/>
        <n v="11493" u="1"/>
        <n v="9344" u="1"/>
        <n v="6576" u="1"/>
        <n v="11579" u="1"/>
        <n v="3144" u="1"/>
        <n v="2048" u="1"/>
        <n v="988" u="1"/>
        <n v="6619" u="1"/>
        <n v="714" u="1"/>
        <n v="11665" u="1"/>
        <n v="339" u="1"/>
        <n v="13900" u="1"/>
        <n v="229" u="1"/>
        <n v="6662" u="1"/>
        <n v="110" u="1"/>
        <n v="4470" u="1"/>
        <n v="2091" u="1"/>
        <n v="13986" u="1"/>
        <n v="4513" u="1"/>
        <n v="9688" u="1"/>
        <n v="4556" u="1"/>
        <n v="3230" u="1"/>
        <n v="1543" u="1"/>
        <n v="9774" u="1"/>
        <n v="6791" u="1"/>
        <n v="12009" u="1"/>
        <n v="6834" u="1"/>
        <n v="12095" u="1"/>
        <n v="2177" u="1"/>
        <n v="14330" u="1"/>
        <n v="6877" u="1"/>
        <n v="4685" u="1"/>
        <n v="12181" u="1"/>
        <n v="14416" u="1"/>
        <n v="4728" u="1"/>
        <n v="14502" u="1"/>
        <n v="1586" u="1"/>
        <n v="10118" u="1"/>
        <n v="4771" u="1"/>
        <n v="10204" u="1"/>
        <n v="12439" u="1"/>
        <n v="3359" u="1"/>
        <n v="10290" u="1"/>
        <n v="7049" u="1"/>
        <n v="12525" u="1"/>
        <n v="7092" u="1"/>
        <n v="12611" u="1"/>
        <n v="8227" u="1"/>
        <n v="2306" u="1"/>
        <n v="14846" u="1"/>
        <n v="7135" u="1"/>
        <n v="4943" u="1"/>
        <n v="8313" u="1"/>
        <n v="14932" u="1"/>
        <n v="10548" u="1"/>
        <n v="4986" u="1"/>
        <n v="8399" u="1"/>
        <n v="10634" u="1"/>
        <n v="10720" u="1"/>
        <n v="7264" u="1"/>
        <n v="12955" u="1"/>
        <n v="3488" u="1"/>
        <n v="2392" u="1"/>
        <n v="1124" u="1"/>
        <n v="7307" u="1"/>
        <n v="800" u="1"/>
        <n v="13041" u="1"/>
        <n v="382" u="1"/>
        <n v="182" u="1"/>
        <n v="7350" u="1"/>
        <n v="5158" u="1"/>
        <n v="13127" u="1"/>
        <n v="8743" u="1"/>
        <n v="2435" u="1"/>
        <n v="41" u="1"/>
        <n v="5201" u="1"/>
        <n v="8829" u="1"/>
        <n v="11064" u="1"/>
        <n v="5244" u="1"/>
        <n v="2" u="1"/>
        <n v="3574" u="1"/>
        <n v="1715" u="1"/>
        <n v="11150" u="1"/>
        <n v="1167" u="1"/>
        <n v="13385" u="1"/>
        <n v="11236" u="1"/>
        <n v="7522" u="1"/>
        <n v="13471" u="1"/>
        <n v="3617" u="1"/>
        <n v="2521" u="1"/>
        <n v="7565" u="1"/>
        <n v="13557" u="1"/>
        <n v="9173" u="1"/>
        <n v="7608" u="1"/>
        <n v="5416" u="1"/>
        <n v="9259" u="1"/>
        <n v="2564" u="1"/>
        <n v="1758" u="1"/>
        <n v="11494" u="1"/>
        <n v="843" u="1"/>
        <n v="5459" u="1"/>
        <n v="569" u="1"/>
        <n v="9345" u="1"/>
        <n v="11580" u="1"/>
        <n v="3703" u="1"/>
        <n v="11666" u="1"/>
        <n v="7737" u="1"/>
        <n v="13901" u="1"/>
        <n v="7780" u="1"/>
        <n v="13987" u="1"/>
        <n v="2650" u="1"/>
        <n v="7823" u="1"/>
        <n v="5631" u="1"/>
        <n v="9689" u="1"/>
        <n v="5674" u="1"/>
        <n v="9775" u="1"/>
        <n v="12010" u="1"/>
        <n v="5717" u="1"/>
        <n v="12096" u="1"/>
        <n v="14331" u="1"/>
        <n v="3832" u="1"/>
        <n v="12182" u="1"/>
        <n v="1296" u="1"/>
        <n v="7995" u="1"/>
        <n v="14417" u="1"/>
        <n v="425" u="1"/>
        <n v="8038" u="1"/>
        <n v="135" u="1"/>
        <n v="14503" u="1"/>
        <n v="10119" u="1"/>
        <n v="2779" u="1"/>
        <n v="5889" u="1"/>
        <n v="10205" u="1"/>
        <n v="12440" u="1"/>
        <n v="5932" u="1"/>
        <n v="3918" u="1"/>
        <n v="10291" u="1"/>
        <n v="1887" u="1"/>
        <n v="12526" u="1"/>
        <n v="1339" u="1"/>
        <n v="12612" u="1"/>
        <n v="8228" u="1"/>
        <n v="14847" u="1"/>
        <n v="3961" u="1"/>
        <n v="2865" u="1"/>
        <n v="8314" u="1"/>
        <n v="14933" u="1"/>
        <n v="10549" u="1"/>
        <n v="8400" u="1"/>
        <n v="6104" u="1"/>
        <n v="10635" u="1"/>
        <n v="2908" u="1"/>
        <n v="1930" u="1"/>
        <n v="929" u="1"/>
        <n v="6147" u="1"/>
        <n v="655" u="1"/>
        <n v="10721" u="1"/>
        <n v="12956" u="1"/>
        <n v="6190" u="1"/>
        <n v="4047" u="1"/>
        <n v="13042" u="1"/>
        <n v="13128" u="1"/>
        <n v="8744" u="1"/>
        <n v="4090" u="1"/>
        <n v="2994" u="1"/>
        <n v="1425" u="1"/>
        <n v="8830" u="1"/>
        <n v="6319" u="1"/>
        <n v="11065" u="1"/>
        <n v="6362" u="1"/>
        <n v="11151" u="1"/>
        <n v="13386" u="1"/>
        <n v="6405" u="1"/>
        <n v="4213" u="1"/>
        <n v="11237" u="1"/>
        <n v="13472" u="1"/>
        <n v="15707" u="1"/>
        <n v="4256" u="1"/>
        <n v="13558" u="1"/>
        <n v="1468" u="1"/>
        <n v="9174" u="1"/>
        <n v="4299" u="1"/>
        <n v="468" u="1"/>
        <n v="9260" u="1"/>
        <n v="108" u="1"/>
        <n v="11495" u="1"/>
        <n v="3123" u="1"/>
        <n v="9346" u="1"/>
        <n v="6577" u="1"/>
        <n v="11581" u="1"/>
        <n v="6620" u="1"/>
        <n v="11667" u="1"/>
        <n v="2070" u="1"/>
        <n v="13902" u="1"/>
        <n v="6663" u="1"/>
        <n v="4471" u="1"/>
        <n v="13988" u="1"/>
        <n v="9604" u="1"/>
        <n v="4514" u="1"/>
        <n v="9690" u="1"/>
        <n v="4557" u="1"/>
        <n v="9776" u="1"/>
        <n v="6792" u="1"/>
        <n v="12011" u="1"/>
        <n v="3252" u="1"/>
        <n v="2156" u="1"/>
        <n v="1015" u="1"/>
        <n v="6835" u="1"/>
        <n v="12097" u="1"/>
        <n v="14332" u="1"/>
        <n v="6878" u="1"/>
        <n v="4686" u="1"/>
        <n v="12183" u="1"/>
        <n v="2199" u="1"/>
        <n v="14418" u="1"/>
        <n v="4729" u="1"/>
        <n v="14504" u="1"/>
        <n v="10120" u="1"/>
        <n v="4772" u="1"/>
        <n v="3338" u="1"/>
        <n v="1597" u="1"/>
        <n v="10206" u="1"/>
        <n v="1049" u="1"/>
        <n v="12441" u="1"/>
        <n v="10292" u="1"/>
        <n v="7050" u="1"/>
        <n v="12527" u="1"/>
        <n v="3381" u="1"/>
        <n v="2285" u="1"/>
        <n v="7093" u="1"/>
        <n v="12613" u="1"/>
        <n v="8229" u="1"/>
        <n v="14848" u="1"/>
        <n v="7136" u="1"/>
        <n v="4944" u="1"/>
        <n v="8315" u="1"/>
        <n v="2328" u="1"/>
        <n v="14934" u="1"/>
        <n v="1640" u="1"/>
        <n v="10550" u="1"/>
        <n v="784" u="1"/>
        <n v="4987" u="1"/>
        <n v="511" u="1"/>
        <n v="8401" u="1"/>
        <n v="10636" u="1"/>
        <n v="178" u="1"/>
        <n v="3467" u="1"/>
        <n v="40" u="1"/>
        <n v="10722" u="1"/>
        <n v="7265" u="1"/>
        <n v="12957" u="1"/>
        <n v="7308" u="1"/>
        <n v="13043" u="1"/>
        <n v="2414" u="1"/>
        <n v="7351" u="1"/>
        <n v="5159" u="1"/>
        <n v="13129" u="1"/>
        <n v="8745" u="1"/>
        <n v="5202" u="1"/>
        <n v="8831" u="1"/>
        <n v="11066" u="1"/>
        <n v="5245" u="1"/>
        <n v="11152" u="1"/>
        <n v="13387" u="1"/>
        <n v="3596" u="1"/>
        <n v="11238" u="1"/>
        <n v="1178" u="1"/>
        <n v="7523" u="1"/>
        <n v="13473" u="1"/>
        <n v="15708" u="1"/>
        <n v="7566" u="1"/>
        <n v="13559" u="1"/>
        <n v="9175" u="1"/>
        <n v="2543" u="1"/>
        <n v="7609" u="1"/>
        <n v="5417" u="1"/>
        <n v="9261" u="1"/>
        <n v="11496" u="1"/>
        <n v="5460" u="1"/>
        <n v="3682" u="1"/>
        <n v="9347" u="1"/>
        <n v="1769" u="1"/>
        <n v="11582" u="1"/>
        <n v="1221" u="1"/>
        <n v="11668" u="1"/>
        <n v="7738" u="1"/>
        <n v="13903" u="1"/>
        <n v="3725" u="1"/>
        <n v="2629" u="1"/>
        <n v="7781" u="1"/>
        <n v="13989" u="1"/>
        <n v="9605" u="1"/>
        <n v="7824" u="1"/>
        <n v="5632" u="1"/>
        <n v="9691" u="1"/>
        <n v="2672" u="1"/>
        <n v="1812" u="1"/>
        <n v="870" u="1"/>
        <n v="5675" u="1"/>
        <n v="596" u="1"/>
        <n v="9777" u="1"/>
        <n v="280" u="1"/>
        <n v="12012" u="1"/>
        <n v="131" u="1"/>
        <n v="5718" u="1"/>
        <n v="3811" u="1"/>
        <n v="12098" u="1"/>
        <n v="14333" u="1"/>
        <n v="12184" u="1"/>
        <n v="7996" u="1"/>
        <n v="14419" u="1"/>
        <n v="3854" u="1"/>
        <n v="2758" u="1"/>
        <n v="1307" u="1"/>
        <n v="8039" u="1"/>
        <n v="5847" u="1"/>
        <n v="14505" u="1"/>
        <n v="10121" u="1"/>
        <n v="5890" u="1"/>
        <n v="10207" u="1"/>
        <n v="2801" u="1"/>
        <n v="12442" u="1"/>
        <n v="5933" u="1"/>
        <n v="10293" u="1"/>
        <n v="12528" u="1"/>
        <n v="3940" u="1"/>
        <n v="12614" u="1"/>
        <n v="1350" u="1"/>
        <n v="8230" u="1"/>
        <n v="14849" u="1"/>
        <n v="8316" u="1"/>
        <n v="14935" u="1"/>
        <n v="10551" u="1"/>
        <n v="2887" u="1"/>
        <n v="8402" u="1"/>
        <n v="6105" u="1"/>
        <n v="10637" u="1"/>
        <n v="6148" u="1"/>
        <n v="10723" u="1"/>
        <n v="1941" u="1"/>
        <n v="12958" u="1"/>
        <n v="6191" u="1"/>
        <n v="13044" u="1"/>
        <n v="4069" u="1"/>
        <n v="13130" u="1"/>
        <n v="8746" u="1"/>
        <n v="8832" u="1"/>
        <n v="6320" u="1"/>
        <n v="11067" u="1"/>
        <n v="3016" u="1"/>
        <n v="1984" u="1"/>
        <n v="956" u="1"/>
        <n v="6363" u="1"/>
        <n v="11153" u="1"/>
        <n v="323" u="1"/>
        <n v="13388" u="1"/>
        <n v="6406" u="1"/>
        <n v="106" u="1"/>
        <n v="4214" u="1"/>
        <n v="11239" u="1"/>
        <n v="13474" u="1"/>
        <n v="15709" u="1"/>
        <n v="4257" u="1"/>
        <n v="13560" u="1"/>
        <n v="9176" u="1"/>
        <n v="4300" u="1"/>
        <n v="3102" u="1"/>
        <n v="1479" u="1"/>
        <n v="9262" u="1"/>
        <n v="11497" u="1"/>
        <n v="9348" u="1"/>
        <n v="6578" u="1"/>
        <n v="11583" u="1"/>
        <n v="3145" u="1"/>
        <n v="2049" u="1"/>
        <n v="6621" u="1"/>
        <n v="11669" u="1"/>
        <n v="13904" u="1"/>
        <n v="6664" u="1"/>
        <n v="4472" u="1"/>
        <n v="2092" u="1"/>
        <n v="13990" u="1"/>
        <n v="1522" u="1"/>
        <n v="9606" u="1"/>
        <n v="725" u="1"/>
        <n v="4515" u="1"/>
        <n v="9692" u="1"/>
        <n v="4558" u="1"/>
        <n v="3231" u="1"/>
        <n v="9778" u="1"/>
        <n v="6793" u="1"/>
        <n v="12013" u="1"/>
        <n v="6836" u="1"/>
        <n v="12099" u="1"/>
        <n v="2178" u="1"/>
        <n v="14334" u="1"/>
        <n v="6879" u="1"/>
        <n v="4687" u="1"/>
        <n v="12185" u="1"/>
        <n v="14420" u="1"/>
        <n v="4730" u="1"/>
        <n v="14506" u="1"/>
        <n v="10122" u="1"/>
        <n v="4773" u="1"/>
        <n v="10208" u="1"/>
        <n v="12443" u="1"/>
        <n v="3360" u="1"/>
        <n v="10294" u="1"/>
        <n v="1060" u="1"/>
        <n v="7051" u="1"/>
        <n v="12529" u="1"/>
        <n v="366" u="1"/>
        <n v="174" u="1"/>
        <n v="7094" u="1"/>
        <n v="12615" u="1"/>
        <n v="8231" u="1"/>
        <n v="2307" u="1"/>
        <n v="14850" u="1"/>
        <n v="39" u="1"/>
        <n v="7137" u="1"/>
        <n v="4945" u="1"/>
        <n v="8317" u="1"/>
        <n v="14936" u="1"/>
        <n v="10552" u="1"/>
        <n v="4988" u="1"/>
        <n v="3446" u="1"/>
        <n v="8403" u="1"/>
        <n v="1651" u="1"/>
        <n v="10638" u="1"/>
        <n v="10724" u="1"/>
        <n v="7266" u="1"/>
        <n v="12959" u="1"/>
        <n v="3489" u="1"/>
        <n v="2393" u="1"/>
        <n v="7309" u="1"/>
        <n v="13045" u="1"/>
        <n v="7352" u="1"/>
        <n v="5160" u="1"/>
        <n v="13131" u="1"/>
        <n v="8747" u="1"/>
        <n v="2436" u="1"/>
        <n v="1694" u="1"/>
        <n v="811" u="1"/>
        <n v="5203" u="1"/>
        <n v="537" u="1"/>
        <n v="8833" u="1"/>
        <n v="11068" u="1"/>
        <n v="5246" u="1"/>
        <n v="3575" u="1"/>
        <n v="11154" u="1"/>
        <n v="13389" u="1"/>
        <n v="11240" u="1"/>
        <n v="7524" u="1"/>
        <n v="13475" u="1"/>
        <n v="3618" u="1"/>
        <n v="2522" u="1"/>
        <n v="15710" u="1"/>
        <n v="1189" u="1"/>
        <n v="7567" u="1"/>
        <n v="13561" u="1"/>
        <n v="9177" u="1"/>
        <n v="7610" u="1"/>
        <n v="5418" u="1"/>
        <n v="9263" u="1"/>
        <n v="2565" u="1"/>
        <n v="11498" u="1"/>
        <n v="5461" u="1"/>
        <n v="9349" u="1"/>
        <n v="11584" u="1"/>
        <n v="3704" u="1"/>
        <n v="11670" u="1"/>
        <n v="1232" u="1"/>
        <n v="7739" u="1"/>
        <n v="13905" u="1"/>
        <n v="580" u="1"/>
        <n v="409" u="1"/>
        <n v="7782" u="1"/>
        <n v="13991" u="1"/>
        <n v="9607" u="1"/>
        <n v="2651" u="1"/>
        <n v="7825" u="1"/>
        <n v="5633" u="1"/>
        <n v="9693" u="1"/>
        <n v="5676" u="1"/>
        <n v="9779" u="1"/>
        <n v="1823" u="1"/>
        <n v="12014" u="1"/>
        <n v="5719" u="1"/>
        <n v="12100" u="1"/>
        <n v="14335" u="1"/>
        <n v="3833" u="1"/>
        <n v="12186" u="1"/>
        <n v="7997" u="1"/>
        <n v="14421" u="1"/>
        <n v="8040" u="1"/>
        <n v="5848" u="1"/>
        <n v="14507" u="1"/>
        <n v="10123" u="1"/>
        <n v="2780" u="1"/>
        <n v="897" u="1"/>
        <n v="5891" u="1"/>
        <n v="10209" u="1"/>
        <n v="12444" u="1"/>
        <n v="5934" u="1"/>
        <n v="3919" u="1"/>
        <n v="10295" u="1"/>
        <n v="12530" u="1"/>
        <n v="12616" u="1"/>
        <n v="8232" u="1"/>
        <n v="14851" u="1"/>
        <n v="3962" u="1"/>
        <n v="2866" u="1"/>
        <n v="1361" u="1"/>
        <n v="8318" u="1"/>
        <n v="14937" u="1"/>
        <n v="10553" u="1"/>
        <n v="8404" u="1"/>
        <n v="6106" u="1"/>
        <n v="10639" u="1"/>
        <n v="2909" u="1"/>
        <n v="6149" u="1"/>
        <n v="10725" u="1"/>
        <n v="12960" u="1"/>
        <n v="6192" u="1"/>
        <n v="4048" u="1"/>
        <n v="1952" u="1"/>
        <n v="13046" u="1"/>
        <n v="1404" u="1"/>
        <n v="666" u="1"/>
        <n v="452" u="1"/>
        <n v="13132" u="1"/>
        <n v="217" u="1"/>
        <n v="8748" u="1"/>
        <n v="104" u="1"/>
        <n v="4091" u="1"/>
        <n v="2995" u="1"/>
        <n v="8834" u="1"/>
        <n v="6321" u="1"/>
        <n v="11069" u="1"/>
        <n v="6364" u="1"/>
        <n v="11155" u="1"/>
        <n v="1995" u="1"/>
        <n v="13390" u="1"/>
        <n v="6407" u="1"/>
        <n v="4215" u="1"/>
        <n v="11241" u="1"/>
        <n v="13476" u="1"/>
        <n v="4258" u="1"/>
        <n v="13562" u="1"/>
        <n v="9178" u="1"/>
        <n v="4301" u="1"/>
        <n v="9264" u="1"/>
        <n v="11499" u="1"/>
        <n v="3124" u="1"/>
        <n v="9350" u="1"/>
        <n v="983" u="1"/>
        <n v="6579" u="1"/>
        <n v="11585" u="1"/>
        <n v="6622" u="1"/>
        <n v="11671" u="1"/>
        <n v="2071" u="1"/>
        <n v="13906" u="1"/>
        <n v="6665" u="1"/>
        <n v="4473" u="1"/>
        <n v="13992" u="1"/>
        <n v="9608" u="1"/>
        <n v="4516" u="1"/>
        <n v="1533" u="1"/>
        <n v="9694" u="1"/>
        <n v="4559" u="1"/>
        <n v="9780" u="1"/>
        <n v="6794" u="1"/>
        <n v="12015" u="1"/>
        <n v="3253" u="1"/>
        <n v="2157" u="1"/>
        <n v="6837" u="1"/>
        <n v="12101" u="1"/>
        <n v="14336" u="1"/>
        <n v="6880" u="1"/>
        <n v="4688" u="1"/>
        <n v="12187" u="1"/>
        <n v="2200" u="1"/>
        <n v="14422" u="1"/>
        <n v="1576" u="1"/>
        <n v="752" u="1"/>
        <n v="4731" u="1"/>
        <n v="495" u="1"/>
        <n v="14508" u="1"/>
        <n v="10124" u="1"/>
        <n v="170" u="1"/>
        <n v="4774" u="1"/>
        <n v="3339" u="1"/>
        <n v="38" u="1"/>
        <n v="10210" u="1"/>
        <n v="12445" u="1"/>
        <n v="10296" u="1"/>
        <n v="7052" u="1"/>
        <n v="12531" u="1"/>
        <n v="3382" u="1"/>
        <n v="2286" u="1"/>
        <n v="1071" u="1"/>
        <n v="7095" u="1"/>
        <n v="12617" u="1"/>
        <n v="8233" u="1"/>
        <n v="14852" u="1"/>
        <n v="7138" u="1"/>
        <n v="4946" u="1"/>
        <n v="8319" u="1"/>
        <n v="2329" u="1"/>
        <n v="14938" u="1"/>
        <n v="10554" u="1"/>
        <n v="4989" u="1"/>
        <n v="8405" u="1"/>
        <n v="10640" u="1"/>
        <n v="3468" u="1"/>
        <n v="1662" u="1"/>
        <n v="10726" u="1"/>
        <n v="1114" u="1"/>
        <n v="7267" u="1"/>
        <n v="12961" u="1"/>
        <n v="521" u="1"/>
        <n v="7310" u="1"/>
        <n v="13047" u="1"/>
        <n v="2415" u="1"/>
        <n v="7353" u="1"/>
        <n v="5161" u="1"/>
        <n v="8749" u="1"/>
        <n v="5204" u="1"/>
        <n v="8835" u="1"/>
        <n v="1705" u="1"/>
        <n v="11070" u="1"/>
        <n v="5247" u="1"/>
        <n v="11156" u="1"/>
        <n v="13391" u="1"/>
        <n v="3597" u="1"/>
        <n v="11242" u="1"/>
        <n v="7525" u="1"/>
        <n v="13477" u="1"/>
        <n v="7568" u="1"/>
        <n v="13563" u="1"/>
        <n v="9179" u="1"/>
        <n v="2544" u="1"/>
        <n v="838" u="1"/>
        <n v="5419" u="1"/>
        <n v="9265" u="1"/>
        <n v="264" u="1"/>
        <n v="11500" u="1"/>
        <n v="5462" u="1"/>
        <n v="3683" u="1"/>
        <n v="9351" u="1"/>
        <n v="11586" u="1"/>
        <n v="14" u="1"/>
        <n v="11672" u="1"/>
        <n v="7740" u="1"/>
        <n v="13907" u="1"/>
        <n v="3726" u="1"/>
        <n v="2630" u="1"/>
        <n v="1243" u="1"/>
        <n v="7783" u="1"/>
        <n v="13993" u="1"/>
        <n v="9609" u="1"/>
        <n v="7826" u="1"/>
        <n v="5634" u="1"/>
        <n v="9695" u="1"/>
        <n v="2673" u="1"/>
        <n v="5677" u="1"/>
        <n v="9781" u="1"/>
        <n v="12016" u="1"/>
        <n v="5720" u="1"/>
        <n v="3812" u="1"/>
        <n v="1834" u="1"/>
        <n v="12102" u="1"/>
        <n v="1286" u="1"/>
        <n v="14337" u="1"/>
        <n v="607" u="1"/>
        <n v="12188" u="1"/>
        <n v="7998" u="1"/>
        <n v="14423" u="1"/>
        <n v="3855" u="1"/>
        <n v="2759" u="1"/>
        <n v="8041" u="1"/>
        <n v="5849" u="1"/>
        <n v="14509" u="1"/>
        <n v="10125" u="1"/>
        <n v="5892" u="1"/>
        <n v="10211" u="1"/>
        <n v="1877" u="1"/>
        <n v="12446" u="1"/>
        <n v="5935" u="1"/>
        <n v="10297" u="1"/>
        <n v="12532" u="1"/>
        <n v="3941" u="1"/>
        <n v="12618" u="1"/>
        <n v="8234" u="1"/>
        <n v="14853" u="1"/>
        <n v="8320" u="1"/>
        <n v="14939" u="1"/>
        <n v="10555" u="1"/>
        <n v="2888" u="1"/>
        <n v="8406" u="1"/>
        <n v="924" u="1"/>
        <n v="6107" u="1"/>
        <n v="10641" u="1"/>
        <n v="307" u="1"/>
        <n v="6150" u="1"/>
        <n v="102" u="1"/>
        <n v="10727" u="1"/>
        <n v="12962" u="1"/>
        <n v="6193" u="1"/>
        <n v="13048" u="1"/>
        <n v="4070" u="1"/>
        <n v="1415" u="1"/>
        <n v="8750" u="1"/>
        <n v="8836" u="1"/>
        <n v="6322" u="1"/>
        <n v="11071" u="1"/>
        <n v="3017" u="1"/>
        <n v="6365" u="1"/>
        <n v="11157" u="1"/>
        <n v="13392" u="1"/>
        <n v="6408" u="1"/>
        <n v="4216" u="1"/>
        <n v="11243" u="1"/>
        <n v="2006" u="1"/>
        <n v="13478" u="1"/>
        <n v="1458" u="1"/>
        <n v="693" u="1"/>
        <n v="4259" u="1"/>
        <n v="13564" u="1"/>
        <n v="9180" u="1"/>
        <n v="4302" u="1"/>
        <n v="3103" u="1"/>
        <n v="9266" u="1"/>
        <n v="11501" u="1"/>
        <n v="9352" u="1"/>
        <n v="6580" u="1"/>
        <n v="11587" u="1"/>
        <n v="3146" u="1"/>
        <n v="2050" u="1"/>
        <n v="6623" u="1"/>
        <n v="11673" u="1"/>
        <n v="13908" u="1"/>
        <n v="6666" u="1"/>
        <n v="4474" u="1"/>
        <n v="2093" u="1"/>
        <n v="13994" u="1"/>
        <n v="9610" u="1"/>
        <n v="4517" u="1"/>
        <n v="9696" u="1"/>
        <n v="3232" u="1"/>
        <n v="1544" u="1"/>
        <n v="9782" u="1"/>
        <n v="1010" u="1"/>
        <n v="6795" u="1"/>
        <n v="12017" u="1"/>
        <n v="487" u="1"/>
        <n v="350" u="1"/>
        <n v="166" u="1"/>
        <n v="6838" u="1"/>
        <n v="12103" u="1"/>
        <n v="2179" u="1"/>
        <n v="14338" u="1"/>
        <n v="37" u="1"/>
        <n v="6881" u="1"/>
        <n v="4689" u="1"/>
        <n v="12189" u="1"/>
        <n v="14424" u="1"/>
        <n v="4732" u="1"/>
        <n v="14510" u="1"/>
        <n v="1587" u="1"/>
        <n v="10126" u="1"/>
        <n v="4775" u="1"/>
        <n v="10212" u="1"/>
        <n v="12447" u="1"/>
        <n v="3361" u="1"/>
        <n v="10298" u="1"/>
        <n v="7053" u="1"/>
        <n v="12533" u="1"/>
        <n v="14768" u="1"/>
        <n v="7096" u="1"/>
        <n v="12619" u="1"/>
        <n v="8235" u="1"/>
        <n v="2308" u="1"/>
        <n v="14854" u="1"/>
        <n v="7139" u="1"/>
        <n v="779" u="1"/>
        <n v="4947" u="1"/>
        <n v="8321" u="1"/>
        <n v="14940" u="1"/>
        <n v="10556" u="1"/>
        <n v="4990" u="1"/>
        <n v="3447" u="1"/>
        <n v="8407" u="1"/>
        <n v="10642" u="1"/>
        <n v="10728" u="1"/>
        <n v="7268" u="1"/>
        <n v="12963" u="1"/>
        <n v="3490" u="1"/>
        <n v="2394" u="1"/>
        <n v="1125" u="1"/>
        <n v="7311" u="1"/>
        <n v="13049" u="1"/>
        <n v="8665" u="1"/>
        <n v="7354" u="1"/>
        <n v="5162" u="1"/>
        <n v="8751" u="1"/>
        <n v="2437" u="1"/>
        <n v="5205" u="1"/>
        <n v="8837" u="1"/>
        <n v="11072" u="1"/>
        <n v="5248" u="1"/>
        <n v="3576" u="1"/>
        <n v="1716" u="1"/>
        <n v="11158" u="1"/>
        <n v="1168" u="1"/>
        <n v="13393" u="1"/>
        <n v="548" u="1"/>
        <n v="393" u="1"/>
        <n v="11244" u="1"/>
        <n v="7526" u="1"/>
        <n v="13479" u="1"/>
        <n v="3619" u="1"/>
        <n v="2523" u="1"/>
        <n v="7569" u="1"/>
        <n v="5377" u="1"/>
        <n v="13565" u="1"/>
        <n v="9181" u="1"/>
        <n v="5420" u="1"/>
        <n v="9267" u="1"/>
        <n v="2566" u="1"/>
        <n v="1759" u="1"/>
        <n v="11502" u="1"/>
        <n v="5463" u="1"/>
        <n v="9353" u="1"/>
        <n v="11588" u="1"/>
        <n v="3705" u="1"/>
        <n v="11674" u="1"/>
        <n v="7741" u="1"/>
        <n v="13909" u="1"/>
        <n v="7784" u="1"/>
        <n v="13995" u="1"/>
        <n v="9611" u="1"/>
        <n v="2652" u="1"/>
        <n v="7827" u="1"/>
        <n v="865" u="1"/>
        <n v="5635" u="1"/>
        <n v="9697" u="1"/>
        <n v="5678" u="1"/>
        <n v="9783" u="1"/>
        <n v="12018" u="1"/>
        <n v="5721" u="1"/>
        <n v="12104" u="1"/>
        <n v="14339" u="1"/>
        <n v="3834" u="1"/>
        <n v="12190" u="1"/>
        <n v="1297" u="1"/>
        <n v="7999" u="1"/>
        <n v="14425" u="1"/>
        <n v="8042" u="1"/>
        <n v="5850" u="1"/>
        <n v="14511" u="1"/>
        <n v="10127" u="1"/>
        <n v="2781" u="1"/>
        <n v="5893" u="1"/>
        <n v="10213" u="1"/>
        <n v="12448" u="1"/>
        <n v="5936" u="1"/>
        <n v="3920" u="1"/>
        <n v="10299" u="1"/>
        <n v="1888" u="1"/>
        <n v="12534" u="1"/>
        <n v="1340" u="1"/>
        <n v="14769" u="1"/>
        <n v="634" u="1"/>
        <n v="436" u="1"/>
        <n v="12620" u="1"/>
        <n v="209" u="1"/>
        <n v="8236" u="1"/>
        <n v="14855" u="1"/>
        <n v="100" u="1"/>
        <n v="3963" u="1"/>
        <n v="2867" u="1"/>
        <n v="8322" u="1"/>
        <n v="14941" u="1"/>
        <n v="10557" u="1"/>
        <n v="8408" u="1"/>
        <n v="6108" u="1"/>
        <n v="10643" u="1"/>
        <n v="2910" u="1"/>
        <n v="1931" u="1"/>
        <n v="6151" u="1"/>
        <n v="10729" u="1"/>
        <n v="12964" u="1"/>
        <n v="6194" u="1"/>
        <n v="4049" u="1"/>
        <n v="13050" u="1"/>
        <n v="8666" u="1"/>
        <n v="8752" u="1"/>
        <n v="4092" u="1"/>
        <n v="2996" u="1"/>
        <n v="1426" u="1"/>
        <n v="8838" u="1"/>
        <n v="951" u="1"/>
        <n v="6323" u="1"/>
        <n v="11073" u="1"/>
        <n v="6366" u="1"/>
        <n v="11159" u="1"/>
        <n v="13394" u="1"/>
        <n v="6409" u="1"/>
        <n v="4217" u="1"/>
        <n v="11245" u="1"/>
        <n v="13480" u="1"/>
        <n v="4260" u="1"/>
        <n v="13566" u="1"/>
        <n v="1469" u="1"/>
        <n v="9182" u="1"/>
        <n v="4303" u="1"/>
        <n v="9268" u="1"/>
        <n v="11503" u="1"/>
        <n v="3125" u="1"/>
        <n v="9354" u="1"/>
        <n v="6581" u="1"/>
        <n v="11589" u="1"/>
        <n v="6624" u="1"/>
        <n v="11675" u="1"/>
        <n v="2072" u="1"/>
        <n v="13910" u="1"/>
        <n v="6667" u="1"/>
        <n v="720" u="1"/>
        <n v="4475" u="1"/>
        <n v="13996" u="1"/>
        <n v="9612" u="1"/>
        <n v="162" u="1"/>
        <n v="4518" u="1"/>
        <n v="3211" u="1"/>
        <n v="36" u="1"/>
        <n v="9698" u="1"/>
        <n v="9784" u="1"/>
        <n v="6796" u="1"/>
        <n v="12019" u="1"/>
        <n v="3254" u="1"/>
        <n v="2158" u="1"/>
        <n v="6839" u="1"/>
        <n v="12105" u="1"/>
        <n v="14340" u="1"/>
        <n v="6882" u="1"/>
        <n v="4690" u="1"/>
        <n v="12191" u="1"/>
        <n v="2201" u="1"/>
        <n v="14426" u="1"/>
        <n v="4733" u="1"/>
        <n v="14512" u="1"/>
        <n v="10128" u="1"/>
        <n v="4776" u="1"/>
        <n v="3340" u="1"/>
        <n v="1598" u="1"/>
        <n v="10214" u="1"/>
        <n v="1050" u="1"/>
        <n v="12449" u="1"/>
        <n v="10300" u="1"/>
        <n v="7054" u="1"/>
        <n v="12535" u="1"/>
        <n v="3383" u="1"/>
        <n v="2287" u="1"/>
        <n v="14770" u="1"/>
        <n v="7097" u="1"/>
        <n v="12621" u="1"/>
        <n v="8237" u="1"/>
        <n v="14856" u="1"/>
        <n v="7140" u="1"/>
        <n v="4948" u="1"/>
        <n v="8323" u="1"/>
        <n v="2330" u="1"/>
        <n v="14942" u="1"/>
        <n v="1641" u="1"/>
        <n v="10558" u="1"/>
        <n v="4991" u="1"/>
        <n v="8409" u="1"/>
        <n v="10644" u="1"/>
        <n v="3469" u="1"/>
        <n v="10730" u="1"/>
        <n v="7269" u="1"/>
        <n v="12965" u="1"/>
        <n v="7312" u="1"/>
        <n v="13051" u="1"/>
        <n v="8667" u="1"/>
        <n v="2416" u="1"/>
        <n v="7355" u="1"/>
        <n v="806" u="1"/>
        <n v="5163" u="1"/>
        <n v="8753" u="1"/>
        <n v="252" u="1"/>
        <n v="5206" u="1"/>
        <n v="8839" u="1"/>
        <n v="11074" u="1"/>
        <n v="5249" u="1"/>
        <n v="11160" u="1"/>
        <n v="13395" u="1"/>
        <n v="3598" u="1"/>
        <n v="11246" u="1"/>
        <n v="1179" u="1"/>
        <n v="7527" u="1"/>
        <n v="13481" u="1"/>
        <n v="7570" u="1"/>
        <n v="5378" u="1"/>
        <n v="13567" u="1"/>
        <n v="9183" u="1"/>
        <n v="2545" u="1"/>
        <n v="5421" u="1"/>
        <n v="9269" u="1"/>
        <n v="11504" u="1"/>
        <n v="5464" u="1"/>
        <n v="3684" u="1"/>
        <n v="9355" u="1"/>
        <n v="1770" u="1"/>
        <n v="11590" u="1"/>
        <n v="1222" u="1"/>
        <n v="575" u="1"/>
        <n v="11676" u="1"/>
        <n v="7742" u="1"/>
        <n v="13911" u="1"/>
        <n v="3727" u="1"/>
        <n v="2631" u="1"/>
        <n v="7785" u="1"/>
        <n v="13997" u="1"/>
        <n v="9613" u="1"/>
        <n v="7828" u="1"/>
        <n v="5636" u="1"/>
        <n v="9699" u="1"/>
        <n v="2674" u="1"/>
        <n v="1813" u="1"/>
        <n v="5679" u="1"/>
        <n v="9785" u="1"/>
        <n v="12020" u="1"/>
        <n v="5722" u="1"/>
        <n v="3813" u="1"/>
        <n v="12106" u="1"/>
        <n v="14341" u="1"/>
        <n v="12192" u="1"/>
        <n v="8000" u="1"/>
        <n v="14427" u="1"/>
        <n v="3856" u="1"/>
        <n v="2760" u="1"/>
        <n v="1308" u="1"/>
        <n v="8043" u="1"/>
        <n v="892" u="1"/>
        <n v="5851" u="1"/>
        <n v="14513" u="1"/>
        <n v="10129" u="1"/>
        <n v="428" u="1"/>
        <n v="291" u="1"/>
        <n v="5894" u="1"/>
        <n v="98" u="1"/>
        <n v="10215" u="1"/>
        <n v="12450" u="1"/>
        <n v="5937" u="1"/>
        <n v="10301" u="1"/>
        <n v="12536" u="1"/>
        <n v="5" u="1"/>
        <n v="14771" u="1"/>
        <n v="3942" u="1"/>
        <n v="12622" u="1"/>
        <n v="1351" u="1"/>
        <n v="8238" u="1"/>
        <n v="14857" u="1"/>
        <n v="8324" u="1"/>
        <n v="14943" u="1"/>
        <n v="10559" u="1"/>
        <n v="2889" u="1"/>
        <n v="8410" u="1"/>
        <n v="6109" u="1"/>
        <n v="10645" u="1"/>
        <n v="6152" u="1"/>
        <n v="10731" u="1"/>
        <n v="1942" u="1"/>
        <n v="12966" u="1"/>
        <n v="6195" u="1"/>
        <n v="661" u="1"/>
        <n v="13052" u="1"/>
        <n v="8668" u="1"/>
        <n v="4071" u="1"/>
        <n v="8754" u="1"/>
        <n v="8840" u="1"/>
        <n v="6324" u="1"/>
        <n v="11075" u="1"/>
        <n v="3018" u="1"/>
        <n v="1985" u="1"/>
        <n v="6367" u="1"/>
        <n v="11161" u="1"/>
        <n v="13396" u="1"/>
        <n v="6410" u="1"/>
        <n v="4218" u="1"/>
        <n v="11247" u="1"/>
        <n v="13482" u="1"/>
        <n v="4261" u="1"/>
        <n v="13568" u="1"/>
        <n v="9184" u="1"/>
        <n v="4304" u="1"/>
        <n v="3104" u="1"/>
        <n v="1480" u="1"/>
        <n v="9270" u="1"/>
        <n v="978" u="1"/>
        <n v="11505" u="1"/>
        <n v="471" u="1"/>
        <n v="334" u="1"/>
        <n v="9356" u="1"/>
        <n v="158" u="1"/>
        <n v="6582" u="1"/>
        <n v="11591" u="1"/>
        <n v="3147" u="1"/>
        <n v="2051" u="1"/>
        <n v="35" u="1"/>
        <n v="6625" u="1"/>
        <n v="11677" u="1"/>
        <n v="13912" u="1"/>
        <n v="6668" u="1"/>
        <n v="4476" u="1"/>
        <n v="2094" u="1"/>
        <n v="13998" u="1"/>
        <n v="1523" u="1"/>
        <n v="9614" u="1"/>
        <n v="4519" u="1"/>
        <n v="9700" u="1"/>
        <n v="3233" u="1"/>
        <n v="9786" u="1"/>
        <n v="6797" u="1"/>
        <n v="12021" u="1"/>
        <n v="6840" u="1"/>
        <n v="12107" u="1"/>
        <n v="2180" u="1"/>
        <n v="14342" u="1"/>
        <n v="6883" u="1"/>
        <n v="747" u="1"/>
        <n v="4691" u="1"/>
        <n v="12193" u="1"/>
        <n v="14428" u="1"/>
        <n v="4734" u="1"/>
        <n v="14514" u="1"/>
        <n v="10130" u="1"/>
        <n v="4777" u="1"/>
        <n v="10216" u="1"/>
        <n v="12451" u="1"/>
        <n v="3362" u="1"/>
        <n v="10302" u="1"/>
        <n v="1061" u="1"/>
        <n v="7055" u="1"/>
        <n v="12537" u="1"/>
        <n v="14772" u="1"/>
        <n v="7098" u="1"/>
        <n v="12623" u="1"/>
        <n v="8239" u="1"/>
        <n v="2309" u="1"/>
        <n v="14858" u="1"/>
        <n v="7141" u="1"/>
        <n v="4949" u="1"/>
        <n v="8325" u="1"/>
        <n v="14944" u="1"/>
        <n v="10560" u="1"/>
        <n v="4992" u="1"/>
        <n v="3448" u="1"/>
        <n v="8411" u="1"/>
        <n v="1652" u="1"/>
        <n v="10646" u="1"/>
        <n v="1104" u="1"/>
        <n v="516" u="1"/>
        <n v="10732" u="1"/>
        <n v="7270" u="1"/>
        <n v="12967" u="1"/>
        <n v="3491" u="1"/>
        <n v="2395" u="1"/>
        <n v="7313" u="1"/>
        <n v="13053" u="1"/>
        <n v="8669" u="1"/>
        <n v="7356" u="1"/>
        <n v="5164" u="1"/>
        <n v="8755" u="1"/>
        <n v="2438" u="1"/>
        <n v="1695" u="1"/>
        <n v="5207" u="1"/>
        <n v="8841" u="1"/>
        <n v="11076" u="1"/>
        <n v="5250" u="1"/>
        <n v="3577" u="1"/>
        <n v="11162" u="1"/>
        <n v="13397" u="1"/>
        <n v="11248" u="1"/>
        <n v="7528" u="1"/>
        <n v="13483" u="1"/>
        <n v="3620" u="1"/>
        <n v="2524" u="1"/>
        <n v="1190" u="1"/>
        <n v="7571" u="1"/>
        <n v="833" u="1"/>
        <n v="5379" u="1"/>
        <n v="13569" u="1"/>
        <n v="9185" u="1"/>
        <n v="5422" u="1"/>
        <n v="9271" u="1"/>
        <n v="2567" u="1"/>
        <n v="11506" u="1"/>
        <n v="5465" u="1"/>
        <n v="9357" u="1"/>
        <n v="11592" u="1"/>
        <n v="3706" u="1"/>
        <n v="11678" u="1"/>
        <n v="1233" u="1"/>
        <n v="7743" u="1"/>
        <n v="13913" u="1"/>
        <n v="7786" u="1"/>
        <n v="13999" u="1"/>
        <n v="9615" u="1"/>
        <n v="2653" u="1"/>
        <n v="7829" u="1"/>
        <n v="5637" u="1"/>
        <n v="9701" u="1"/>
        <n v="5680" u="1"/>
        <n v="9787" u="1"/>
        <n v="1824" u="1"/>
        <n v="12022" u="1"/>
        <n v="5723" u="1"/>
        <n v="602" u="1"/>
        <n v="12108" u="1"/>
        <n v="201" u="1"/>
        <n v="14343" u="1"/>
        <n v="96" u="1"/>
        <n v="3835" u="1"/>
        <n v="8001" u="1"/>
        <n v="14429" u="1"/>
        <n v="8044" u="1"/>
        <n v="5852" u="1"/>
        <n v="14515" u="1"/>
        <n v="10131" u="1"/>
        <n v="2782" u="1"/>
        <n v="1867" u="1"/>
        <n v="5895" u="1"/>
        <n v="10217" u="1"/>
        <n v="12452" u="1"/>
        <n v="5938" u="1"/>
        <n v="3921" u="1"/>
        <n v="10303" u="1"/>
        <n v="12538" u="1"/>
        <n v="14773" u="1"/>
        <n v="12624" u="1"/>
        <n v="8240" u="1"/>
        <n v="14859" u="1"/>
        <n v="3964" u="1"/>
        <n v="2868" u="1"/>
        <n v="1362" u="1"/>
        <n v="8326" u="1"/>
        <n v="919" u="1"/>
        <n v="14945" u="1"/>
        <n v="10561" u="1"/>
        <n v="8412" u="1"/>
        <n v="6110" u="1"/>
        <n v="10647" u="1"/>
        <n v="2911" u="1"/>
        <n v="6153" u="1"/>
        <n v="10733" u="1"/>
        <n v="12968" u="1"/>
        <n v="6196" u="1"/>
        <n v="4050" u="1"/>
        <n v="1953" u="1"/>
        <n v="13054" u="1"/>
        <n v="1405" u="1"/>
        <n v="8670" u="1"/>
        <n v="8756" u="1"/>
        <n v="2997" u="1"/>
        <n v="8842" u="1"/>
        <n v="6325" u="1"/>
        <n v="11077" u="1"/>
        <n v="6368" u="1"/>
        <n v="11163" u="1"/>
        <n v="1996" u="1"/>
        <n v="13398" u="1"/>
        <n v="6411" u="1"/>
        <n v="688" u="1"/>
        <n v="4219" u="1"/>
        <n v="11249" u="1"/>
        <n v="326" u="1"/>
        <n v="13484" u="1"/>
        <n v="154" u="1"/>
        <n v="4262" u="1"/>
        <n v="13570" u="1"/>
        <n v="34" u="1"/>
        <n v="9186" u="1"/>
        <n v="4305" u="1"/>
        <n v="9272" u="1"/>
        <n v="11507" u="1"/>
        <n v="3126" u="1"/>
        <n v="9358" u="1"/>
        <n v="6583" u="1"/>
        <n v="11593" u="1"/>
        <n v="6626" u="1"/>
        <n v="11679" u="1"/>
        <n v="2073" u="1"/>
        <n v="13914" u="1"/>
        <n v="6669" u="1"/>
        <n v="4477" u="1"/>
        <n v="14000" u="1"/>
        <n v="9616" u="1"/>
        <n v="4520" u="1"/>
        <n v="3212" u="1"/>
        <n v="1534" u="1"/>
        <n v="9702" u="1"/>
        <n v="9788" u="1"/>
        <n v="6798" u="1"/>
        <n v="12023" u="1"/>
        <n v="3255" u="1"/>
        <n v="2159" u="1"/>
        <n v="6841" u="1"/>
        <n v="12109" u="1"/>
        <n v="14344" u="1"/>
        <n v="6884" u="1"/>
        <n v="4692" u="1"/>
        <n v="2202" u="1"/>
        <n v="14430" u="1"/>
        <n v="23479" u="1"/>
        <n v="1577" u="1"/>
        <n v="4735" u="1"/>
        <n v="14516" u="1"/>
        <n v="10132" u="1"/>
        <n v="4778" u="1"/>
        <n v="3341" u="1"/>
        <n v="10218" u="1"/>
        <n v="12453" u="1"/>
        <n v="10304" u="1"/>
        <n v="7056" u="1"/>
        <n v="12539" u="1"/>
        <n v="3384" u="1"/>
        <n v="2288" u="1"/>
        <n v="14774" u="1"/>
        <n v="1072" u="1"/>
        <n v="7099" u="1"/>
        <n v="774" u="1"/>
        <n v="12625" u="1"/>
        <n v="8241" u="1"/>
        <n v="369" u="1"/>
        <n v="14860" u="1"/>
        <n v="244" u="1"/>
        <n v="4950" u="1"/>
        <n v="8327" u="1"/>
        <n v="2331" u="1"/>
        <n v="14946" u="1"/>
        <n v="10562" u="1"/>
        <n v="4993" u="1"/>
        <n v="13" u="1"/>
        <n v="8413" u="1"/>
        <n v="10648" u="1"/>
        <n v="3470" u="1"/>
        <n v="10734" u="1"/>
        <n v="1115" u="1"/>
        <n v="7271" u="1"/>
        <n v="12969" u="1"/>
        <n v="7314" u="1"/>
        <n v="13055" u="1"/>
        <n v="8671" u="1"/>
        <n v="2417" u="1"/>
        <n v="7357" u="1"/>
        <n v="5165" u="1"/>
        <n v="8757" u="1"/>
        <n v="5208" u="1"/>
        <n v="8843" u="1"/>
        <n v="1706" u="1"/>
        <n v="11078" u="1"/>
        <n v="5251" u="1"/>
        <n v="543" u="1"/>
        <n v="23480" u="1"/>
        <n v="11164" u="1"/>
        <n v="13399" u="1"/>
        <n v="3599" u="1"/>
        <n v="11250" u="1"/>
        <n v="7529" u="1"/>
        <n v="13485" u="1"/>
        <n v="7572" u="1"/>
        <n v="5380" u="1"/>
        <n v="13571" u="1"/>
        <n v="9187" u="1"/>
        <n v="2546" u="1"/>
        <n v="5423" u="1"/>
        <n v="9273" u="1"/>
        <n v="11508" u="1"/>
        <n v="5466" u="1"/>
        <n v="3685" u="1"/>
        <n v="9359" u="1"/>
        <n v="11594" u="1"/>
        <n v="13829" u="1"/>
        <n v="11680" u="1"/>
        <n v="7744" u="1"/>
        <n v="13915" u="1"/>
        <n v="3728" u="1"/>
        <n v="2632" u="1"/>
        <n v="1244" u="1"/>
        <n v="7787" u="1"/>
        <n v="860" u="1"/>
        <n v="14001" u="1"/>
        <n v="9617" u="1"/>
        <n v="412" u="1"/>
        <n v="275" u="1"/>
        <n v="7830" u="1"/>
        <n v="5638" u="1"/>
        <n v="94" u="1"/>
        <n v="9703" u="1"/>
        <n v="2675" u="1"/>
        <n v="5681" u="1"/>
        <n v="9789" u="1"/>
        <n v="12024" u="1"/>
        <n v="5724" u="1"/>
        <n v="3814" u="1"/>
        <n v="1835" u="1"/>
        <n v="12110" u="1"/>
        <n v="1287" u="1"/>
        <n v="7959" u="1"/>
        <n v="14345" u="1"/>
        <n v="8002" u="1"/>
        <n v="14431" u="1"/>
        <n v="23481" u="1"/>
        <n v="3857" u="1"/>
        <n v="2761" u="1"/>
        <n v="8045" u="1"/>
        <n v="5853" u="1"/>
        <n v="14517" u="1"/>
        <n v="10133" u="1"/>
        <n v="5896" u="1"/>
        <n v="10219" u="1"/>
        <n v="1878" u="1"/>
        <n v="12454" u="1"/>
        <n v="5939" u="1"/>
        <n v="629" u="1"/>
        <n v="10305" u="1"/>
        <n v="12540" u="1"/>
        <n v="14775" u="1"/>
        <n v="3943" u="1"/>
        <n v="12626" u="1"/>
        <n v="8242" u="1"/>
        <n v="14861" u="1"/>
        <n v="8328" u="1"/>
        <n v="14947" u="1"/>
        <n v="10563" u="1"/>
        <n v="2890" u="1"/>
        <n v="8414" u="1"/>
        <n v="6111" u="1"/>
        <n v="10649" u="1"/>
        <n v="6154" u="1"/>
        <n v="10735" u="1"/>
        <n v="12970" u="1"/>
        <n v="6197" u="1"/>
        <n v="13056" u="1"/>
        <n v="8672" u="1"/>
        <n v="4072" u="1"/>
        <n v="2976" u="1"/>
        <n v="1416" u="1"/>
        <n v="8758" u="1"/>
        <n v="455" u="1"/>
        <n v="8844" u="1"/>
        <n v="150" u="1"/>
        <n v="6326" u="1"/>
        <n v="11079" u="1"/>
        <n v="3019" u="1"/>
        <n v="33" u="1"/>
        <n v="23482" u="1"/>
        <n v="6369" u="1"/>
        <n v="11165" u="1"/>
        <n v="13400" u="1"/>
        <n v="6412" u="1"/>
        <n v="4220" u="1"/>
        <n v="11251" u="1"/>
        <n v="2007" u="1"/>
        <n v="13486" u="1"/>
        <n v="1459" u="1"/>
        <n v="4263" u="1"/>
        <n v="13572" u="1"/>
        <n v="9188" u="1"/>
        <n v="4306" u="1"/>
        <n v="3105" u="1"/>
        <n v="9274" u="1"/>
        <n v="11509" u="1"/>
        <n v="9360" u="1"/>
        <n v="6584" u="1"/>
        <n v="11595" u="1"/>
        <n v="3148" u="1"/>
        <n v="2052" u="1"/>
        <n v="13830" u="1"/>
        <n v="989" u="1"/>
        <n v="6627" u="1"/>
        <n v="715" u="1"/>
        <n v="11681" u="1"/>
        <n v="13916" u="1"/>
        <n v="6670" u="1"/>
        <n v="4478" u="1"/>
        <n v="2095" u="1"/>
        <n v="14002" u="1"/>
        <n v="9618" u="1"/>
        <n v="4521" u="1"/>
        <n v="9704" u="1"/>
        <n v="3234" u="1"/>
        <n v="9790" u="1"/>
        <n v="6799" u="1"/>
        <n v="12025" u="1"/>
        <n v="6842" u="1"/>
        <n v="12111" u="1"/>
        <n v="2181" u="1"/>
        <n v="14346" u="1"/>
        <n v="6885" u="1"/>
        <n v="4693" u="1"/>
        <n v="14432" u="1"/>
        <n v="23483" u="1"/>
        <n v="4736" u="1"/>
        <n v="14518" u="1"/>
        <n v="1588" u="1"/>
        <n v="10134" u="1"/>
        <n v="4779" u="1"/>
        <n v="498" u="1"/>
        <n v="10220" u="1"/>
        <n v="12455" u="1"/>
        <n v="3363" u="1"/>
        <n v="10306" u="1"/>
        <n v="7057" u="1"/>
        <n v="12541" u="1"/>
        <n v="14776" u="1"/>
        <n v="7100" u="1"/>
        <n v="4908" u="1"/>
        <n v="12627" u="1"/>
        <n v="8243" u="1"/>
        <n v="2310" u="1"/>
        <n v="14862" u="1"/>
        <n v="4951" u="1"/>
        <n v="8329" u="1"/>
        <n v="14948" u="1"/>
        <n v="10564" u="1"/>
        <n v="4994" u="1"/>
        <n v="3449" u="1"/>
        <n v="8415" u="1"/>
        <n v="10650" u="1"/>
        <n v="10736" u="1"/>
        <n v="7272" u="1"/>
        <n v="12971" u="1"/>
        <n v="3492" u="1"/>
        <n v="2396" u="1"/>
        <n v="1126" u="1"/>
        <n v="7315" u="1"/>
        <n v="801" u="1"/>
        <n v="13057" u="1"/>
        <n v="8673" u="1"/>
        <n v="7358" u="1"/>
        <n v="5166" u="1"/>
        <n v="8759" u="1"/>
        <n v="2439" u="1"/>
        <n v="5209" u="1"/>
        <n v="8845" u="1"/>
        <n v="11080" u="1"/>
        <n v="5252" u="1"/>
        <n v="3578" u="1"/>
        <n v="23484" u="1"/>
        <n v="1717" u="1"/>
        <n v="11166" u="1"/>
        <n v="1169" u="1"/>
        <n v="13401" u="1"/>
        <n v="11252" u="1"/>
        <n v="7530" u="1"/>
        <n v="13487" u="1"/>
        <n v="3621" u="1"/>
        <n v="2525" u="1"/>
        <n v="7573" u="1"/>
        <n v="5381" u="1"/>
        <n v="13573" u="1"/>
        <n v="9189" u="1"/>
        <n v="5424" u="1"/>
        <n v="9275" u="1"/>
        <n v="1760" u="1"/>
        <n v="11510" u="1"/>
        <n v="844" u="1"/>
        <n v="5467" u="1"/>
        <n v="570" u="1"/>
        <n v="9361" u="1"/>
        <n v="267" u="1"/>
        <n v="11596" u="1"/>
        <n v="193" u="1"/>
        <n v="13831" u="1"/>
        <n v="92" u="1"/>
        <n v="3707" u="1"/>
        <n v="11682" u="1"/>
        <n v="7745" u="1"/>
        <n v="13917" u="1"/>
        <n v="7788" u="1"/>
        <n v="14003" u="1"/>
        <n v="9619" u="1"/>
        <n v="2654" u="1"/>
        <n v="7831" u="1"/>
        <n v="5639" u="1"/>
        <n v="9705" u="1"/>
        <n v="5682" u="1"/>
        <n v="9791" u="1"/>
        <n v="12026" u="1"/>
        <n v="5725" u="1"/>
        <n v="12112" u="1"/>
        <n v="7960" u="1"/>
        <n v="14347" u="1"/>
        <n v="3836" u="1"/>
        <n v="1298" u="1"/>
        <n v="8003" u="1"/>
        <n v="14433" u="1"/>
        <n v="8046" u="1"/>
        <n v="5854" u="1"/>
        <n v="14519" u="1"/>
        <n v="10135" u="1"/>
        <n v="2783" u="1"/>
        <n v="5897" u="1"/>
        <n v="10221" u="1"/>
        <n v="12456" u="1"/>
        <n v="5940" u="1"/>
        <n v="3922" u="1"/>
        <n v="10307" u="1"/>
        <n v="1889" u="1"/>
        <n v="12542" u="1"/>
        <n v="1341" u="1"/>
        <n v="14777" u="1"/>
        <n v="12628" u="1"/>
        <n v="8244" u="1"/>
        <n v="14863" u="1"/>
        <n v="3965" u="1"/>
        <n v="2869" u="1"/>
        <n v="8330" u="1"/>
        <n v="14949" u="1"/>
        <n v="10565" u="1"/>
        <n v="8416" u="1"/>
        <n v="6112" u="1"/>
        <n v="10651" u="1"/>
        <n v="2912" u="1"/>
        <n v="1932" u="1"/>
        <n v="930" u="1"/>
        <n v="6155" u="1"/>
        <n v="656" u="1"/>
        <n v="10737" u="1"/>
        <n v="310" u="1"/>
        <n v="12972" u="1"/>
        <n v="146" u="1"/>
        <n v="6198" u="1"/>
        <n v="4051" u="1"/>
        <n v="13058" u="1"/>
        <n v="32" u="1"/>
        <n v="8674" u="1"/>
        <n v="8760" u="1"/>
        <n v="2998" u="1"/>
        <n v="1427" u="1"/>
        <n v="8846" u="1"/>
        <n v="6327" u="1"/>
        <n v="11081" u="1"/>
        <n v="6370" u="1"/>
        <n v="11167" u="1"/>
        <n v="13402" u="1"/>
        <n v="6413" u="1"/>
        <n v="4221" u="1"/>
        <n v="11253" u="1"/>
        <n v="13488" u="1"/>
        <n v="4264" u="1"/>
        <n v="13574" u="1"/>
        <n v="1470" u="1"/>
        <n v="9190" u="1"/>
        <n v="4307" u="1"/>
        <n v="9276" u="1"/>
        <n v="11511" u="1"/>
        <n v="3127" u="1"/>
        <n v="9362" u="1"/>
        <n v="6585" u="1"/>
        <n v="11597" u="1"/>
        <n v="13832" u="1"/>
        <n v="6628" u="1"/>
        <n v="11683" u="1"/>
        <n v="2074" u="1"/>
        <n v="13918" u="1"/>
        <n v="6671" u="1"/>
        <n v="4479" u="1"/>
        <n v="14004" u="1"/>
        <n v="9620" u="1"/>
        <n v="4522" u="1"/>
        <n v="3213" u="1"/>
        <n v="9706" u="1"/>
        <n v="9792" u="1"/>
        <n v="6800" u="1"/>
        <n v="12027" u="1"/>
        <n v="3256" u="1"/>
        <n v="2160" u="1"/>
        <n v="1016" u="1"/>
        <n v="6843" u="1"/>
        <n v="742" u="1"/>
        <n v="12113" u="1"/>
        <n v="353" u="1"/>
        <n v="14348" u="1"/>
        <n v="236" u="1"/>
        <n v="6886" u="1"/>
        <n v="4694" u="1"/>
        <n v="2203" u="1"/>
        <n v="14434" u="1"/>
        <n v="4737" u="1"/>
        <n v="14520" u="1"/>
        <n v="10136" u="1"/>
        <n v="4780" u="1"/>
        <n v="3342" u="1"/>
        <n v="1599" u="1"/>
        <n v="10222" u="1"/>
        <n v="1051" u="1"/>
        <n v="12457" u="1"/>
        <n v="10308" u="1"/>
        <n v="7058" u="1"/>
        <n v="12543" u="1"/>
        <n v="3385" u="1"/>
        <n v="2289" u="1"/>
        <n v="14778" u="1"/>
        <n v="7101" u="1"/>
        <n v="4909" u="1"/>
        <n v="12629" u="1"/>
        <n v="8245" u="1"/>
        <n v="14864" u="1"/>
        <n v="4952" u="1"/>
        <n v="8331" u="1"/>
        <n v="2332" u="1"/>
        <n v="14950" u="1"/>
        <n v="1642" u="1"/>
        <n v="10566" u="1"/>
        <n v="785" u="1"/>
        <n v="4995" u="1"/>
        <n v="8417" u="1"/>
        <n v="10652" u="1"/>
        <n v="3471" u="1"/>
        <n v="10738" u="1"/>
        <n v="7273" u="1"/>
        <n v="12973" u="1"/>
        <n v="7316" u="1"/>
        <n v="13059" u="1"/>
        <n v="8675" u="1"/>
        <n v="2418" u="1"/>
        <n v="7359" u="1"/>
        <n v="5167" u="1"/>
        <n v="8761" u="1"/>
        <n v="5210" u="1"/>
        <n v="8847" u="1"/>
        <n v="11082" u="1"/>
        <n v="5253" u="1"/>
        <n v="11168" u="1"/>
        <n v="13403" u="1"/>
        <n v="3600" u="1"/>
        <n v="11254" u="1"/>
        <n v="1180" u="1"/>
        <n v="7531" u="1"/>
        <n v="13489" u="1"/>
        <n v="396" u="1"/>
        <n v="189" u="1"/>
        <n v="7574" u="1"/>
        <n v="5382" u="1"/>
        <n v="13575" u="1"/>
        <n v="90" u="1"/>
        <n v="9191" u="1"/>
        <n v="2547" u="1"/>
        <n v="5425" u="1"/>
        <n v="9277" u="1"/>
        <n v="11512" u="1"/>
        <n v="5468" u="1"/>
        <n v="3686" u="1"/>
        <n v="9363" u="1"/>
        <n v="1771" u="1"/>
        <n v="11598" u="1"/>
        <n v="1223" u="1"/>
        <n v="13833" u="1"/>
        <n v="11684" u="1"/>
        <n v="7746" u="1"/>
        <n v="13919" u="1"/>
        <n v="3729" u="1"/>
        <n v="2633" u="1"/>
        <n v="7789" u="1"/>
        <n v="14005" u="1"/>
        <n v="9621" u="1"/>
        <n v="7832" u="1"/>
        <n v="5640" u="1"/>
        <n v="9707" u="1"/>
        <n v="2676" u="1"/>
        <n v="1814" u="1"/>
        <n v="871" u="1"/>
        <n v="5683" u="1"/>
        <n v="597" u="1"/>
        <n v="9793" u="1"/>
        <n v="12028" u="1"/>
        <n v="5726" u="1"/>
        <n v="3815" u="1"/>
        <n v="12114" u="1"/>
        <n v="7961" u="1"/>
        <n v="14349" u="1"/>
        <n v="8004" u="1"/>
        <n v="14435" u="1"/>
        <n v="3858" u="1"/>
        <n v="2762" u="1"/>
        <n v="1309" u="1"/>
        <n v="8047" u="1"/>
        <n v="5855" u="1"/>
        <n v="14521" u="1"/>
        <n v="10137" u="1"/>
        <n v="5898" u="1"/>
        <n v="10223" u="1"/>
        <n v="12458" u="1"/>
        <n v="5941" u="1"/>
        <n v="10309" u="1"/>
        <n v="12544" u="1"/>
        <n v="14779" u="1"/>
        <n v="3944" u="1"/>
        <n v="12630" u="1"/>
        <n v="1352" u="1"/>
        <n v="8246" u="1"/>
        <n v="14865" u="1"/>
        <n v="439" u="1"/>
        <n v="8332" u="1"/>
        <n v="142" u="1"/>
        <n v="14951" u="1"/>
        <n v="10567" u="1"/>
        <n v="2891" u="1"/>
        <n v="8418" u="1"/>
        <n v="6113" u="1"/>
        <n v="10653" u="1"/>
        <n v="6156" u="1"/>
        <n v="10739" u="1"/>
        <n v="1943" u="1"/>
        <n v="12974" u="1"/>
        <n v="6199" u="1"/>
        <n v="13060" u="1"/>
        <n v="8676" u="1"/>
        <n v="4073" u="1"/>
        <n v="2977" u="1"/>
        <n v="8762" u="1"/>
        <n v="8848" u="1"/>
        <n v="6328" u="1"/>
        <n v="11083" u="1"/>
        <n v="3020" u="1"/>
        <n v="1986" u="1"/>
        <n v="957" u="1"/>
        <n v="6371" u="1"/>
        <n v="683" u="1"/>
        <n v="11169" u="1"/>
        <n v="13404" u="1"/>
        <n v="6414" u="1"/>
        <n v="4222" u="1"/>
        <n v="13490" u="1"/>
        <n v="4265" u="1"/>
        <n v="13576" u="1"/>
        <n v="9192" u="1"/>
        <n v="4308" u="1"/>
        <n v="3106" u="1"/>
        <n v="1481" u="1"/>
        <n v="9278" u="1"/>
        <n v="11513" u="1"/>
        <n v="9364" u="1"/>
        <n v="6586" u="1"/>
        <n v="11599" u="1"/>
        <n v="3149" u="1"/>
        <n v="2053" u="1"/>
        <n v="13834" u="1"/>
        <n v="6629" u="1"/>
        <n v="11685" u="1"/>
        <n v="13920" u="1"/>
        <n v="4480" u="1"/>
        <n v="2096" u="1"/>
        <n v="14006" u="1"/>
        <n v="1524" u="1"/>
        <n v="9622" u="1"/>
        <n v="726" u="1"/>
        <n v="4523" u="1"/>
        <n v="482" u="1"/>
        <n v="232" u="1"/>
        <n v="9708" u="1"/>
        <n v="3235" u="1"/>
        <n v="9794" u="1"/>
        <n v="6801" u="1"/>
        <n v="12029" u="1"/>
        <n v="6844" u="1"/>
        <n v="12115" u="1"/>
        <n v="2182" u="1"/>
        <n v="14350" u="1"/>
        <n v="6887" u="1"/>
        <n v="4695" u="1"/>
        <n v="14436" u="1"/>
        <n v="4738" u="1"/>
        <n v="14522" u="1"/>
        <n v="10138" u="1"/>
        <n v="4781" u="1"/>
        <n v="10224" u="1"/>
        <n v="12459" u="1"/>
        <n v="3364" u="1"/>
        <n v="10310" u="1"/>
        <n v="1062" u="1"/>
        <n v="7059" u="1"/>
        <n v="12545" u="1"/>
        <n v="14780" u="1"/>
        <n v="7102" u="1"/>
        <n v="4910" u="1"/>
        <n v="12631" u="1"/>
        <n v="8247" u="1"/>
        <n v="2311" u="1"/>
        <n v="14866" u="1"/>
        <n v="4953" u="1"/>
        <n v="8333" u="1"/>
        <n v="14952" u="1"/>
        <n v="10568" u="1"/>
        <n v="4996" u="1"/>
        <n v="3450" u="1"/>
        <n v="8419" u="1"/>
        <n v="1653" u="1"/>
        <n v="10654" u="1"/>
        <n v="1105" u="1"/>
        <n v="10740" u="1"/>
        <n v="7274" u="1"/>
        <n v="12975" u="1"/>
        <n v="3493" u="1"/>
        <n v="2397" u="1"/>
        <n v="7317" u="1"/>
        <n v="13061" u="1"/>
        <n v="8677" u="1"/>
        <n v="7360" u="1"/>
        <n v="5168" u="1"/>
        <n v="8763" u="1"/>
        <n v="2440" u="1"/>
        <n v="1696" u="1"/>
        <n v="812" u="1"/>
        <n v="5211" u="1"/>
        <n v="538" u="1"/>
        <n v="8849" u="1"/>
        <n v="11084" u="1"/>
        <n v="185" u="1"/>
        <n v="5254" u="1"/>
        <n v="88" u="1"/>
        <n v="3579" u="1"/>
        <n v="11170" u="1"/>
        <n v="13405" u="1"/>
        <n v="7532" u="1"/>
        <n v="13491" u="1"/>
        <n v="3622" u="1"/>
        <n v="2526" u="1"/>
        <n v="1191" u="1"/>
        <n v="7575" u="1"/>
        <n v="5383" u="1"/>
        <n v="13577" u="1"/>
        <n v="9193" u="1"/>
        <n v="5426" u="1"/>
        <n v="9279" u="1"/>
        <n v="11514" u="1"/>
        <n v="5469" u="1"/>
        <n v="9365" u="1"/>
        <n v="11600" u="1"/>
        <n v="13835" u="1"/>
        <n v="3708" u="1"/>
        <n v="11686" u="1"/>
        <n v="1234" u="1"/>
        <n v="7747" u="1"/>
        <n v="13921" u="1"/>
        <n v="7790" u="1"/>
        <n v="14007" u="1"/>
        <n v="9623" u="1"/>
        <n v="2655" u="1"/>
        <n v="7833" u="1"/>
        <n v="5641" u="1"/>
        <n v="9709" u="1"/>
        <n v="5684" u="1"/>
        <n v="9795" u="1"/>
        <n v="1825" u="1"/>
        <n v="12030" u="1"/>
        <n v="5727" u="1"/>
        <n v="12116" u="1"/>
        <n v="7962" u="1"/>
        <n v="14351" u="1"/>
        <n v="3837" u="1"/>
        <n v="8005" u="1"/>
        <n v="14437" u="1"/>
        <n v="8048" u="1"/>
        <n v="5856" u="1"/>
        <n v="14523" u="1"/>
        <n v="10139" u="1"/>
        <n v="2784" u="1"/>
        <n v="1868" u="1"/>
        <n v="898" u="1"/>
        <n v="5899" u="1"/>
        <n v="624" u="1"/>
        <n v="10225" u="1"/>
        <n v="294" u="1"/>
        <n v="12460" u="1"/>
        <n v="138" u="1"/>
        <n v="5942" u="1"/>
        <n v="3923" u="1"/>
        <n v="10311" u="1"/>
        <n v="12546" u="1"/>
        <n v="31" u="1"/>
        <n v="14781" u="1"/>
        <n v="12632" u="1"/>
        <n v="8248" u="1"/>
        <n v="14867" u="1"/>
        <n v="3966" u="1"/>
        <n v="2870" u="1"/>
        <n v="1363" u="1"/>
        <n v="8334" u="1"/>
        <n v="14953" u="1"/>
        <n v="10569" u="1"/>
        <n v="8420" u="1"/>
        <n v="6114" u="1"/>
        <n v="10655" u="1"/>
        <n v="2913" u="1"/>
        <n v="12890" u="1"/>
        <n v="6157" u="1"/>
        <n v="10741" u="1"/>
        <n v="12976" u="1"/>
        <n v="6200" u="1"/>
        <n v="4052" u="1"/>
        <n v="1954" u="1"/>
        <n v="13062" u="1"/>
        <n v="1406" u="1"/>
        <n v="8678" u="1"/>
        <n v="667" u="1"/>
        <n v="8764" u="1"/>
        <n v="2999" u="1"/>
        <n v="8850" u="1"/>
        <n v="6329" u="1"/>
        <n v="11085" u="1"/>
        <n v="6372" u="1"/>
        <n v="11171" u="1"/>
        <n v="1997" u="1"/>
        <n v="13406" u="1"/>
        <n v="6415" u="1"/>
        <n v="4223" u="1"/>
        <n v="13492" u="1"/>
        <n v="4266" u="1"/>
        <n v="13578" u="1"/>
        <n v="9194" u="1"/>
        <n v="4309" u="1"/>
        <n v="9280" u="1"/>
        <n v="11515" u="1"/>
        <n v="3128" u="1"/>
        <n v="9366" u="1"/>
        <n v="984" u="1"/>
        <n v="6587" u="1"/>
        <n v="11601" u="1"/>
        <n v="337" u="1"/>
        <n v="13836" u="1"/>
        <n v="6630" u="1"/>
        <n v="4438" u="1"/>
        <n v="11687" u="1"/>
        <n v="2075" u="1"/>
        <n v="13922" u="1"/>
        <n v="4481" u="1"/>
        <n v="12" u="1"/>
        <n v="14008" u="1"/>
        <n v="9624" u="1"/>
        <n v="4524" u="1"/>
        <n v="3214" u="1"/>
        <n v="1535" u="1"/>
        <n v="9710" u="1"/>
        <n v="9796" u="1"/>
        <n v="6802" u="1"/>
        <n v="12031" u="1"/>
        <n v="3257" u="1"/>
        <n v="2161" u="1"/>
        <n v="6845" u="1"/>
        <n v="12117" u="1"/>
        <n v="14352" u="1"/>
        <n v="6888" u="1"/>
        <n v="4696" u="1"/>
        <n v="2204" u="1"/>
        <n v="14438" u="1"/>
        <n v="1578" u="1"/>
        <n v="753" u="1"/>
        <n v="4739" u="1"/>
        <n v="14524" u="1"/>
        <n v="10140" u="1"/>
        <n v="4782" u="1"/>
        <n v="3343" u="1"/>
        <n v="10226" u="1"/>
        <n v="12461" u="1"/>
        <n v="10312" u="1"/>
        <n v="7060" u="1"/>
        <n v="12547" u="1"/>
        <n v="3386" u="1"/>
        <n v="2290" u="1"/>
        <n v="14782" u="1"/>
        <n v="1073" u="1"/>
        <n v="7103" u="1"/>
        <n v="4911" u="1"/>
        <n v="12633" u="1"/>
        <n v="8249" u="1"/>
        <n v="14868" u="1"/>
        <n v="4954" u="1"/>
        <n v="8335" u="1"/>
        <n v="14954" u="1"/>
        <n v="10570" u="1"/>
        <n v="4997" u="1"/>
        <n v="8421" u="1"/>
        <n v="10656" u="1"/>
        <n v="12891" u="1"/>
        <n v="3472" u="1"/>
        <n v="10742" u="1"/>
        <n v="1116" u="1"/>
        <n v="7275" u="1"/>
        <n v="12977" u="1"/>
        <n v="380" u="1"/>
        <n v="181" u="1"/>
        <n v="7318" u="1"/>
        <n v="13063" u="1"/>
        <n v="86" u="1"/>
        <n v="8679" u="1"/>
        <n v="2419" u="1"/>
        <n v="7361" u="1"/>
        <n v="5169" u="1"/>
        <n v="8765" u="1"/>
        <n v="5212" u="1"/>
        <n v="8851" u="1"/>
        <n v="1707" u="1"/>
        <n v="11086" u="1"/>
        <n v="5255" u="1"/>
        <n v="11172" u="1"/>
        <n v="7490" u="1"/>
        <n v="13407" u="1"/>
        <n v="3601" u="1"/>
        <n v="7533" u="1"/>
        <n v="13493" u="1"/>
        <n v="7576" u="1"/>
        <n v="5384" u="1"/>
        <n v="13579" u="1"/>
        <n v="9195" u="1"/>
        <n v="2548" u="1"/>
        <n v="1750" u="1"/>
        <n v="839" u="1"/>
        <n v="5427" u="1"/>
        <n v="565" u="1"/>
        <n v="9281" u="1"/>
        <n v="11516" u="1"/>
        <n v="5470" u="1"/>
        <n v="3687" u="1"/>
        <n v="9367" u="1"/>
        <n v="11602" u="1"/>
        <n v="13837" u="1"/>
        <n v="11688" u="1"/>
        <n v="7748" u="1"/>
        <n v="13923" u="1"/>
        <n v="3730" u="1"/>
        <n v="2634" u="1"/>
        <n v="1245" u="1"/>
        <n v="7791" u="1"/>
        <n v="14009" u="1"/>
        <n v="9625" u="1"/>
        <n v="7834" u="1"/>
        <n v="5642" u="1"/>
        <n v="9711" u="1"/>
        <n v="2677" u="1"/>
        <n v="5685" u="1"/>
        <n v="9797" u="1"/>
        <n v="12032" u="1"/>
        <n v="5728" u="1"/>
        <n v="3816" u="1"/>
        <n v="1836" u="1"/>
        <n v="12118" u="1"/>
        <n v="1288" u="1"/>
        <n v="7963" u="1"/>
        <n v="14353" u="1"/>
        <n v="608" u="1"/>
        <n v="423" u="1"/>
        <n v="8006" u="1"/>
        <n v="134" u="1"/>
        <n v="14439" u="1"/>
        <n v="2763" u="1"/>
        <n v="8049" u="1"/>
        <n v="5857" u="1"/>
        <n v="14525" u="1"/>
        <n v="10141" u="1"/>
        <n v="5900" u="1"/>
        <n v="10227" u="1"/>
        <n v="1879" u="1"/>
        <n v="12462" u="1"/>
        <n v="5943" u="1"/>
        <n v="10313" u="1"/>
        <n v="12548" u="1"/>
        <n v="14783" u="1"/>
        <n v="3945" u="1"/>
        <n v="12634" u="1"/>
        <n v="8250" u="1"/>
        <n v="14869" u="1"/>
        <n v="8336" u="1"/>
        <n v="14955" u="1"/>
        <n v="10571" u="1"/>
        <n v="2892" u="1"/>
        <n v="8422" u="1"/>
        <n v="925" u="1"/>
        <n v="6115" u="1"/>
        <n v="10657" u="1"/>
        <n v="12892" u="1"/>
        <n v="6158" u="1"/>
        <n v="10743" u="1"/>
        <n v="12978" u="1"/>
        <n v="6201" u="1"/>
        <n v="13064" u="1"/>
        <n v="8680" u="1"/>
        <n v="4074" u="1"/>
        <n v="2978" u="1"/>
        <n v="1417" u="1"/>
        <n v="8766" u="1"/>
        <n v="8852" u="1"/>
        <n v="6330" u="1"/>
        <n v="11087" u="1"/>
        <n v="3021" u="1"/>
        <n v="6373" u="1"/>
        <n v="11173" u="1"/>
        <n v="13408" u="1"/>
        <n v="6416" u="1"/>
        <n v="4224" u="1"/>
        <n v="2008" u="1"/>
        <n v="13494" u="1"/>
        <n v="1460" u="1"/>
        <n v="694" u="1"/>
        <n v="4267" u="1"/>
        <n v="466" u="1"/>
        <n v="13580" u="1"/>
        <n v="224" u="1"/>
        <n v="9196" u="1"/>
        <n v="4310" u="1"/>
        <n v="3107" u="1"/>
        <n v="9282" u="1"/>
        <n v="11517" u="1"/>
        <n v="9368" u="1"/>
        <n v="6588" u="1"/>
        <n v="11603" u="1"/>
        <n v="3150" u="1"/>
        <n v="2054" u="1"/>
        <n v="13838" u="1"/>
        <n v="6631" u="1"/>
        <n v="4439" u="1"/>
        <n v="11689" u="1"/>
        <n v="13924" u="1"/>
        <n v="4482" u="1"/>
        <n v="2097" u="1"/>
        <n v="14010" u="1"/>
        <n v="9626" u="1"/>
        <n v="4525" u="1"/>
        <n v="9712" u="1"/>
        <n v="3236" u="1"/>
        <n v="9798" u="1"/>
        <n v="1011" u="1"/>
        <n v="6803" u="1"/>
        <n v="12033" u="1"/>
        <n v="6846" u="1"/>
        <n v="12119" u="1"/>
        <n v="2183" u="1"/>
        <n v="14354" u="1"/>
        <n v="6889" u="1"/>
        <n v="4697" u="1"/>
        <n v="14440" u="1"/>
        <n v="4740" u="1"/>
        <n v="14526" u="1"/>
        <n v="1589" u="1"/>
        <n v="10142" u="1"/>
        <n v="4783" u="1"/>
        <n v="21608" u="1"/>
        <n v="10228" u="1"/>
        <n v="12463" u="1"/>
        <n v="3365" u="1"/>
        <n v="10314" u="1"/>
        <n v="7061" u="1"/>
        <n v="12549" u="1"/>
        <n v="14784" u="1"/>
        <n v="7104" u="1"/>
        <n v="4912" u="1"/>
        <n v="12635" u="1"/>
        <n v="8251" u="1"/>
        <n v="2312" u="1"/>
        <n v="14870" u="1"/>
        <n v="1632" u="1"/>
        <n v="780" u="1"/>
        <n v="4955" u="1"/>
        <n v="8337" u="1"/>
        <n v="14956" u="1"/>
        <n v="10572" u="1"/>
        <n v="177" u="1"/>
        <n v="4998" u="1"/>
        <n v="84" u="1"/>
        <n v="3451" u="1"/>
        <n v="8423" u="1"/>
        <n v="10658" u="1"/>
        <n v="12893" u="1"/>
        <n v="10744" u="1"/>
        <n v="7276" u="1"/>
        <n v="12979" u="1"/>
        <n v="3494" u="1"/>
        <n v="2398" u="1"/>
        <n v="1127" u="1"/>
        <n v="7319" u="1"/>
        <n v="13065" u="1"/>
        <n v="8681" u="1"/>
        <n v="7362" u="1"/>
        <n v="5170" u="1"/>
        <n v="8767" u="1"/>
        <n v="2441" u="1"/>
        <n v="5213" u="1"/>
        <n v="8853" u="1"/>
        <n v="11088" u="1"/>
        <n v="5256" u="1"/>
        <n v="3580" u="1"/>
        <n v="1718" u="1"/>
        <n v="11174" u="1"/>
        <n v="1170" u="1"/>
        <n v="7491" u="1"/>
        <n v="13409" u="1"/>
        <n v="549" u="1"/>
        <n v="7534" u="1"/>
        <n v="13495" u="1"/>
        <n v="21609" u="1"/>
        <n v="3623" u="1"/>
        <n v="2527" u="1"/>
        <n v="7577" u="1"/>
        <n v="5385" u="1"/>
        <n v="13581" u="1"/>
        <n v="9197" u="1"/>
        <n v="5428" u="1"/>
        <n v="9283" u="1"/>
        <n v="1761" u="1"/>
        <n v="11518" u="1"/>
        <n v="5471" u="1"/>
        <n v="9369" u="1"/>
        <n v="11604" u="1"/>
        <n v="13839" u="1"/>
        <n v="3709" u="1"/>
        <n v="11690" u="1"/>
        <n v="7749" u="1"/>
        <n v="13925" u="1"/>
        <n v="7792" u="1"/>
        <n v="14011" u="1"/>
        <n v="9627" u="1"/>
        <n v="2656" u="1"/>
        <n v="7835" u="1"/>
        <n v="866" u="1"/>
        <n v="5643" u="1"/>
        <n v="9713" u="1"/>
        <n v="278" u="1"/>
        <n v="130" u="1"/>
        <n v="5686" u="1"/>
        <n v="9799" u="1"/>
        <n v="12034" u="1"/>
        <n v="30" u="1"/>
        <n v="5729" u="1"/>
        <n v="12120" u="1"/>
        <n v="7964" u="1"/>
        <n v="14355" u="1"/>
        <n v="3838" u="1"/>
        <n v="2742" u="1"/>
        <n v="1299" u="1"/>
        <n v="8007" u="1"/>
        <n v="14441" u="1"/>
        <n v="8050" u="1"/>
        <n v="5858" u="1"/>
        <n v="14527" u="1"/>
        <n v="10143" u="1"/>
        <n v="2785" u="1"/>
        <n v="21610" u="1"/>
        <n v="5901" u="1"/>
        <n v="10229" u="1"/>
        <n v="12464" u="1"/>
        <n v="5944" u="1"/>
        <n v="3924" u="1"/>
        <n v="10315" u="1"/>
        <n v="1890" u="1"/>
        <n v="12550" u="1"/>
        <n v="1342" u="1"/>
        <n v="14785" u="1"/>
        <n v="635" u="1"/>
        <n v="12636" u="1"/>
        <n v="8252" u="1"/>
        <n v="14871" u="1"/>
        <n v="3967" u="1"/>
        <n v="2871" u="1"/>
        <n v="8338" u="1"/>
        <n v="14957" u="1"/>
        <n v="10573" u="1"/>
        <n v="8424" u="1"/>
        <n v="6116" u="1"/>
        <n v="10659" u="1"/>
        <n v="2914" u="1"/>
        <n v="1933" u="1"/>
        <n v="12894" u="1"/>
        <n v="6159" u="1"/>
        <n v="10745" u="1"/>
        <n v="12980" u="1"/>
        <n v="6202" u="1"/>
        <n v="4053" u="1"/>
        <n v="13066" u="1"/>
        <n v="8682" u="1"/>
        <n v="8768" u="1"/>
        <n v="3000" u="1"/>
        <n v="8854" u="1"/>
        <n v="952" u="1"/>
        <n v="6331" u="1"/>
        <n v="11089" u="1"/>
        <n v="458" u="1"/>
        <n v="321" u="1"/>
        <n v="6374" u="1"/>
        <n v="11175" u="1"/>
        <n v="13410" u="1"/>
        <n v="6417" u="1"/>
        <n v="4225" u="1"/>
        <n v="13496" u="1"/>
        <n v="4268" u="1"/>
        <n v="13582" u="1"/>
        <n v="1471" u="1"/>
        <n v="9198" u="1"/>
        <n v="4311" u="1"/>
        <n v="9284" u="1"/>
        <n v="11519" u="1"/>
        <n v="3129" u="1"/>
        <n v="9370" u="1"/>
        <n v="6589" u="1"/>
        <n v="11605" u="1"/>
        <n v="13840" u="1"/>
        <n v="6632" u="1"/>
        <n v="4440" u="1"/>
        <n v="11691" u="1"/>
        <n v="2076" u="1"/>
        <n v="13926" u="1"/>
        <n v="721" u="1"/>
        <n v="4483" u="1"/>
        <n v="14012" u="1"/>
        <n v="9628" u="1"/>
        <n v="4526" u="1"/>
        <n v="3215" u="1"/>
        <n v="9714" u="1"/>
        <n v="9800" u="1"/>
        <n v="6804" u="1"/>
        <n v="12035" u="1"/>
        <n v="3258" u="1"/>
        <n v="2162" u="1"/>
        <n v="6847" u="1"/>
        <n v="12121" u="1"/>
        <n v="14356" u="1"/>
        <n v="6890" u="1"/>
        <n v="4698" u="1"/>
        <n v="2205" u="1"/>
        <n v="14442" u="1"/>
        <n v="4741" u="1"/>
        <n v="14528" u="1"/>
        <n v="10144" u="1"/>
        <n v="4784" u="1"/>
        <n v="3344" u="1"/>
        <n v="1600" u="1"/>
        <n v="10230" u="1"/>
        <n v="1052" u="1"/>
        <n v="12465" u="1"/>
        <n v="501" u="1"/>
        <n v="364" u="1"/>
        <n v="173" u="1"/>
        <n v="7062" u="1"/>
        <n v="12551" u="1"/>
        <n v="82" u="1"/>
        <n v="3387" u="1"/>
        <n v="2291" u="1"/>
        <n v="14786" u="1"/>
        <n v="7105" u="1"/>
        <n v="4913" u="1"/>
        <n v="12637" u="1"/>
        <n v="8253" u="1"/>
        <n v="14872" u="1"/>
        <n v="4" u="1"/>
        <n v="4956" u="1"/>
        <n v="8339" u="1"/>
        <n v="14958" u="1"/>
        <n v="1643" u="1"/>
        <n v="10574" u="1"/>
        <n v="4999" u="1"/>
        <n v="8425" u="1"/>
        <n v="10660" u="1"/>
        <n v="12895" u="1"/>
        <n v="3473" u="1"/>
        <n v="10746" u="1"/>
        <n v="7277" u="1"/>
        <n v="12981" u="1"/>
        <n v="7320" u="1"/>
        <n v="13067" u="1"/>
        <n v="8683" u="1"/>
        <n v="2420" u="1"/>
        <n v="7363" u="1"/>
        <n v="807" u="1"/>
        <n v="5171" u="1"/>
        <n v="8769" u="1"/>
        <n v="5214" u="1"/>
        <n v="8855" u="1"/>
        <n v="11090" u="1"/>
        <n v="5257" u="1"/>
        <n v="11176" u="1"/>
        <n v="7492" u="1"/>
        <n v="13411" u="1"/>
        <n v="3602" u="1"/>
        <n v="1181" u="1"/>
        <n v="7535" u="1"/>
        <n v="13497" u="1"/>
        <n v="7578" u="1"/>
        <n v="5386" u="1"/>
        <n v="13583" u="1"/>
        <n v="9199" u="1"/>
        <n v="2549" u="1"/>
        <n v="5429" u="1"/>
        <n v="9285" u="1"/>
        <n v="11520" u="1"/>
        <n v="5472" u="1"/>
        <n v="3688" u="1"/>
        <n v="9371" u="1"/>
        <n v="1772" u="1"/>
        <n v="11606" u="1"/>
        <n v="1224" u="1"/>
        <n v="13841" u="1"/>
        <n v="576" u="1"/>
        <n v="407" u="1"/>
        <n v="11692" u="1"/>
        <n v="7750" u="1"/>
        <n v="127" u="1"/>
        <n v="13927" u="1"/>
        <n v="3731" u="1"/>
        <n v="2635" u="1"/>
        <n v="7793" u="1"/>
        <n v="14013" u="1"/>
        <n v="9629" u="1"/>
        <n v="7836" u="1"/>
        <n v="5644" u="1"/>
        <n v="9715" u="1"/>
        <n v="2678" u="1"/>
        <n v="1815" u="1"/>
        <n v="5687" u="1"/>
        <n v="9801" u="1"/>
        <n v="12036" u="1"/>
        <n v="5730" u="1"/>
        <n v="3817" u="1"/>
        <n v="12122" u="1"/>
        <n v="7965" u="1"/>
        <n v="14357" u="1"/>
        <n v="8008" u="1"/>
        <n v="14443" u="1"/>
        <n v="2764" u="1"/>
        <n v="8051" u="1"/>
        <n v="893" u="1"/>
        <n v="5859" u="1"/>
        <n v="14529" u="1"/>
        <n v="10145" u="1"/>
        <n v="5902" u="1"/>
        <n v="10231" u="1"/>
        <n v="12466" u="1"/>
        <n v="5945" u="1"/>
        <n v="12552" u="1"/>
        <n v="14787" u="1"/>
        <n v="3946" u="1"/>
        <n v="12638" u="1"/>
        <n v="1353" u="1"/>
        <n v="8254" u="1"/>
        <n v="14873" u="1"/>
        <n v="8340" u="1"/>
        <n v="14959" u="1"/>
        <n v="10575" u="1"/>
        <n v="2893" u="1"/>
        <n v="8426" u="1"/>
        <n v="6117" u="1"/>
        <n v="10661" u="1"/>
        <n v="12896" u="1"/>
        <n v="6160" u="1"/>
        <n v="10747" u="1"/>
        <n v="1944" u="1"/>
        <n v="12982" u="1"/>
        <n v="662" u="1"/>
        <n v="13068" u="1"/>
        <n v="216" u="1"/>
        <n v="8684" u="1"/>
        <n v="4075" u="1"/>
        <n v="2979" u="1"/>
        <n v="8770" u="1"/>
        <n v="8856" u="1"/>
        <n v="6332" u="1"/>
        <n v="11091" u="1"/>
        <n v="3022" u="1"/>
        <n v="1987" u="1"/>
        <n v="6375" u="1"/>
        <n v="11177" u="1"/>
        <n v="13412" u="1"/>
        <n v="6418" u="1"/>
        <n v="4226" u="1"/>
        <n v="13498" u="1"/>
        <n v="4269" u="1"/>
        <n v="13584" u="1"/>
        <n v="9200" u="1"/>
        <n v="4312" u="1"/>
        <n v="3108" u="1"/>
        <n v="19724" u="1"/>
        <n v="1482" u="1"/>
        <n v="9286" u="1"/>
        <n v="979" u="1"/>
        <n v="11521" u="1"/>
        <n v="9372" u="1"/>
        <n v="6590" u="1"/>
        <n v="11607" u="1"/>
        <n v="3151" u="1"/>
        <n v="2055" u="1"/>
        <n v="13842" u="1"/>
        <n v="6633" u="1"/>
        <n v="4441" u="1"/>
        <n v="11693" u="1"/>
        <n v="13928" u="1"/>
        <n v="4484" u="1"/>
        <n v="14014" u="1"/>
        <n v="1525" u="1"/>
        <n v="9630" u="1"/>
        <n v="4527" u="1"/>
        <n v="9716" u="1"/>
        <n v="11951" u="1"/>
        <n v="3237" u="1"/>
        <n v="9802" u="1"/>
        <n v="6805" u="1"/>
        <n v="12037" u="1"/>
        <n v="6848" u="1"/>
        <n v="12123" u="1"/>
        <n v="2184" u="1"/>
        <n v="14358" u="1"/>
        <n v="6891" u="1"/>
        <n v="748" u="1"/>
        <n v="4699" u="1"/>
        <n v="14444" u="1"/>
        <n v="169" u="1"/>
        <n v="4742" u="1"/>
        <n v="80" u="1"/>
        <n v="14530" u="1"/>
        <n v="10146" u="1"/>
        <n v="4785" u="1"/>
        <n v="10232" u="1"/>
        <n v="7020" u="1"/>
        <n v="12467" u="1"/>
        <n v="3366" u="1"/>
        <n v="1063" u="1"/>
        <n v="7063" u="1"/>
        <n v="12553" u="1"/>
        <n v="19725" u="1"/>
        <n v="14788" u="1"/>
        <n v="7106" u="1"/>
        <n v="4914" u="1"/>
        <n v="12639" u="1"/>
        <n v="8255" u="1"/>
        <n v="2313" u="1"/>
        <n v="14874" u="1"/>
        <n v="4957" u="1"/>
        <n v="8341" u="1"/>
        <n v="14960" u="1"/>
        <n v="10576" u="1"/>
        <n v="5000" u="1"/>
        <n v="3452" u="1"/>
        <n v="8427" u="1"/>
        <n v="1654" u="1"/>
        <n v="10662" u="1"/>
        <n v="1106" u="1"/>
        <n v="12897" u="1"/>
        <n v="517" u="1"/>
        <n v="10748" u="1"/>
        <n v="7278" u="1"/>
        <n v="12983" u="1"/>
        <n v="3495" u="1"/>
        <n v="2399" u="1"/>
        <n v="7321" u="1"/>
        <n v="13069" u="1"/>
        <n v="8685" u="1"/>
        <n v="7364" u="1"/>
        <n v="5172" u="1"/>
        <n v="8771" u="1"/>
        <n v="2442" u="1"/>
        <n v="1697" u="1"/>
        <n v="5215" u="1"/>
        <n v="8857" u="1"/>
        <n v="11092" u="1"/>
        <n v="5258" u="1"/>
        <n v="3581" u="1"/>
        <n v="11178" u="1"/>
        <n v="7493" u="1"/>
        <n v="13413" u="1"/>
        <n v="7536" u="1"/>
        <n v="13499" u="1"/>
        <n v="2528" u="1"/>
        <n v="1192" u="1"/>
        <n v="7579" u="1"/>
        <n v="834" u="1"/>
        <n v="5387" u="1"/>
        <n v="13585" u="1"/>
        <n v="9201" u="1"/>
        <n v="399" u="1"/>
        <n v="262" u="1"/>
        <n v="19726" u="1"/>
        <n v="125" u="1"/>
        <n v="5430" u="1"/>
        <n v="9287" u="1"/>
        <n v="11522" u="1"/>
        <n v="29" u="1"/>
        <n v="5473" u="1"/>
        <n v="9373" u="1"/>
        <n v="11608" u="1"/>
        <n v="13843" u="1"/>
        <n v="3710" u="1"/>
        <n v="11694" u="1"/>
        <n v="1235" u="1"/>
        <n v="7751" u="1"/>
        <n v="13929" u="1"/>
        <n v="7794" u="1"/>
        <n v="14015" u="1"/>
        <n v="9631" u="1"/>
        <n v="2657" u="1"/>
        <n v="7837" u="1"/>
        <n v="5645" u="1"/>
        <n v="9717" u="1"/>
        <n v="11952" u="1"/>
        <n v="5688" u="1"/>
        <n v="9803" u="1"/>
        <n v="1826" u="1"/>
        <n v="12038" u="1"/>
        <n v="5731" u="1"/>
        <n v="603" u="1"/>
        <n v="12124" u="1"/>
        <n v="7966" u="1"/>
        <n v="14359" u="1"/>
        <n v="3839" u="1"/>
        <n v="2743" u="1"/>
        <n v="8009" u="1"/>
        <n v="14445" u="1"/>
        <n v="8052" u="1"/>
        <n v="5860" u="1"/>
        <n v="14531" u="1"/>
        <n v="10147" u="1"/>
        <n v="2786" u="1"/>
        <n v="1869" u="1"/>
        <n v="5903" u="1"/>
        <n v="10233" u="1"/>
        <n v="12468" u="1"/>
        <n v="5946" u="1"/>
        <n v="3925" u="1"/>
        <n v="12554" u="1"/>
        <n v="19727" u="1"/>
        <n v="14789" u="1"/>
        <n v="12640" u="1"/>
        <n v="8256" u="1"/>
        <n v="14875" u="1"/>
        <n v="3968" u="1"/>
        <n v="2872" u="1"/>
        <n v="1364" u="1"/>
        <n v="8342" u="1"/>
        <n v="920" u="1"/>
        <n v="14961" u="1"/>
        <n v="10577" u="1"/>
        <n v="442" u="1"/>
        <n v="305" u="1"/>
        <n v="8428" u="1"/>
        <n v="6118" u="1"/>
        <n v="10663" u="1"/>
        <n v="2915" u="1"/>
        <n v="12898" u="1"/>
        <n v="6161" u="1"/>
        <n v="10749" u="1"/>
        <n v="11" u="1"/>
        <n v="12984" u="1"/>
        <n v="4054" u="1"/>
        <n v="1955" u="1"/>
        <n v="13070" u="1"/>
        <n v="1407" u="1"/>
        <n v="8686" u="1"/>
        <n v="8772" u="1"/>
        <n v="3001" u="1"/>
        <n v="8858" u="1"/>
        <n v="6333" u="1"/>
        <n v="11093" u="1"/>
        <n v="6376" u="1"/>
        <n v="11179" u="1"/>
        <n v="1998" u="1"/>
        <n v="13414" u="1"/>
        <n v="6419" u="1"/>
        <n v="689" u="1"/>
        <n v="4227" u="1"/>
        <n v="13500" u="1"/>
        <n v="4270" u="1"/>
        <n v="13586" u="1"/>
        <n v="9202" u="1"/>
        <n v="4313" u="1"/>
        <n v="19728" u="1"/>
        <n v="9288" u="1"/>
        <n v="11523" u="1"/>
        <n v="3130" u="1"/>
        <n v="9374" u="1"/>
        <n v="6591" u="1"/>
        <n v="11609" u="1"/>
        <n v="13844" u="1"/>
        <n v="6634" u="1"/>
        <n v="4442" u="1"/>
        <n v="11695" u="1"/>
        <n v="2077" u="1"/>
        <n v="13930" u="1"/>
        <n v="4485" u="1"/>
        <n v="14016" u="1"/>
        <n v="9632" u="1"/>
        <n v="4528" u="1"/>
        <n v="3216" u="1"/>
        <n v="1536" u="1"/>
        <n v="9718" u="1"/>
        <n v="1006" u="1"/>
        <n v="11953" u="1"/>
        <n v="485" u="1"/>
        <n v="348" u="1"/>
        <n v="9804" u="1"/>
        <n v="165" u="1"/>
        <n v="6806" u="1"/>
        <n v="12039" u="1"/>
        <n v="78" u="1"/>
        <n v="3259" u="1"/>
        <n v="2163" u="1"/>
        <n v="6849" u="1"/>
        <n v="12125" u="1"/>
        <n v="14360" u="1"/>
        <n v="6892" u="1"/>
        <n v="4700" u="1"/>
        <n v="2206" u="1"/>
        <n v="14446" u="1"/>
        <n v="1579" u="1"/>
        <n v="4743" u="1"/>
        <n v="14532" u="1"/>
        <n v="10148" u="1"/>
        <n v="4786" u="1"/>
        <n v="3345" u="1"/>
        <n v="10234" u="1"/>
        <n v="7021" u="1"/>
        <n v="12469" u="1"/>
        <n v="7064" u="1"/>
        <n v="12555" u="1"/>
        <n v="19729" u="1"/>
        <n v="3388" u="1"/>
        <n v="2292" u="1"/>
        <n v="14790" u="1"/>
        <n v="1074" u="1"/>
        <n v="7107" u="1"/>
        <n v="775" u="1"/>
        <n v="4915" u="1"/>
        <n v="12641" u="1"/>
        <n v="8257" u="1"/>
        <n v="14876" u="1"/>
        <n v="4958" u="1"/>
        <n v="8343" u="1"/>
        <n v="14962" u="1"/>
        <n v="10578" u="1"/>
        <n v="5001" u="1"/>
        <n v="8429" u="1"/>
        <n v="10664" u="1"/>
        <n v="12899" u="1"/>
        <n v="3474" u="1"/>
        <n v="10750" u="1"/>
        <n v="1117" u="1"/>
        <n v="7279" u="1"/>
        <n v="12985" u="1"/>
        <n v="7322" u="1"/>
        <n v="13071" u="1"/>
        <n v="8687" u="1"/>
        <n v="2421" u="1"/>
        <n v="7365" u="1"/>
        <n v="5173" u="1"/>
        <n v="8773" u="1"/>
        <n v="5216" u="1"/>
        <n v="8859" u="1"/>
        <n v="1708" u="1"/>
        <n v="11094" u="1"/>
        <n v="5259" u="1"/>
        <n v="544" u="1"/>
        <n v="11180" u="1"/>
        <n v="7494" u="1"/>
        <n v="123" u="1"/>
        <n v="13415" u="1"/>
        <n v="3603" u="1"/>
        <n v="2507" u="1"/>
        <n v="7537" u="1"/>
        <n v="13501" u="1"/>
        <n v="7580" u="1"/>
        <n v="5388" u="1"/>
        <n v="13587" u="1"/>
        <n v="9203" u="1"/>
        <n v="2550" u="1"/>
        <n v="1751" u="1"/>
        <n v="19730" u="1"/>
        <n v="5431" u="1"/>
        <n v="9289" u="1"/>
        <n v="11524" u="1"/>
        <n v="5474" u="1"/>
        <n v="3689" u="1"/>
        <n v="9375" u="1"/>
        <n v="11610" u="1"/>
        <n v="13845" u="1"/>
        <n v="11696" u="1"/>
        <n v="7752" u="1"/>
        <n v="13931" u="1"/>
        <n v="3732" u="1"/>
        <n v="2636" u="1"/>
        <n v="1246" u="1"/>
        <n v="7795" u="1"/>
        <n v="861" u="1"/>
        <n v="14017" u="1"/>
        <n v="9633" u="1"/>
        <n v="7838" u="1"/>
        <n v="5646" u="1"/>
        <n v="9719" u="1"/>
        <n v="2679" u="1"/>
        <n v="11954" u="1"/>
        <n v="5689" u="1"/>
        <n v="9805" u="1"/>
        <n v="12040" u="1"/>
        <n v="5732" u="1"/>
        <n v="3818" u="1"/>
        <n v="1837" u="1"/>
        <n v="12126" u="1"/>
        <n v="1289" u="1"/>
        <n v="7967" u="1"/>
        <n v="14361" u="1"/>
        <n v="8010" u="1"/>
        <n v="14447" u="1"/>
        <n v="2765" u="1"/>
        <n v="8053" u="1"/>
        <n v="5861" u="1"/>
        <n v="14533" u="1"/>
        <n v="10149" u="1"/>
        <n v="5904" u="1"/>
        <n v="10235" u="1"/>
        <n v="1880" u="1"/>
        <n v="12470" u="1"/>
        <n v="5947" u="1"/>
        <n v="630" u="1"/>
        <n v="12556" u="1"/>
        <n v="19731" u="1"/>
        <n v="208" u="1"/>
        <n v="14791" u="1"/>
        <n v="3947" u="1"/>
        <n v="12642" u="1"/>
        <n v="8258" u="1"/>
        <n v="14877" u="1"/>
        <n v="8344" u="1"/>
        <n v="14963" u="1"/>
        <n v="10579" u="1"/>
        <n v="2894" u="1"/>
        <n v="8430" u="1"/>
        <n v="6119" u="1"/>
        <n v="10665" u="1"/>
        <n v="12900" u="1"/>
        <n v="6162" u="1"/>
        <n v="4033" u="1"/>
        <n v="10751" u="1"/>
        <n v="12986" u="1"/>
        <n v="13072" u="1"/>
        <n v="8688" u="1"/>
        <n v="4076" u="1"/>
        <n v="2980" u="1"/>
        <n v="1418" u="1"/>
        <n v="8774" u="1"/>
        <n v="947" u="1"/>
        <n v="8860" u="1"/>
        <n v="6334" u="1"/>
        <n v="11095" u="1"/>
        <n v="3023" u="1"/>
        <n v="6377" u="1"/>
        <n v="11181" u="1"/>
        <n v="13416" u="1"/>
        <n v="6420" u="1"/>
        <n v="4228" u="1"/>
        <n v="2009" u="1"/>
        <n v="13502" u="1"/>
        <n v="1461" u="1"/>
        <n v="4271" u="1"/>
        <n v="13588" u="1"/>
        <n v="9204" u="1"/>
        <n v="4314" u="1"/>
        <n v="3109" u="1"/>
        <n v="19732" u="1"/>
        <n v="9290" u="1"/>
        <n v="11525" u="1"/>
        <n v="9376" u="1"/>
        <n v="6592" u="1"/>
        <n v="11611" u="1"/>
        <n v="3152" u="1"/>
        <n v="2056" u="1"/>
        <n v="13846" u="1"/>
        <n v="990" u="1"/>
        <n v="6635" u="1"/>
        <n v="716" u="1"/>
        <n v="4443" u="1"/>
        <n v="11697" u="1"/>
        <n v="340" u="1"/>
        <n v="13932" u="1"/>
        <n v="161" u="1"/>
        <n v="4486" u="1"/>
        <n v="76" u="1"/>
        <n v="14018" u="1"/>
        <n v="9634" u="1"/>
        <n v="4529" u="1"/>
        <n v="9720" u="1"/>
        <n v="11955" u="1"/>
        <n v="3238" u="1"/>
        <n v="9806" u="1"/>
        <n v="6807" u="1"/>
        <n v="12041" u="1"/>
        <n v="6850" u="1"/>
        <n v="12127" u="1"/>
        <n v="2185" u="1"/>
        <n v="14362" u="1"/>
        <n v="6893" u="1"/>
        <n v="4701" u="1"/>
        <n v="14448" u="1"/>
        <n v="4744" u="1"/>
        <n v="14534" u="1"/>
        <n v="1590" u="1"/>
        <n v="10150" u="1"/>
        <n v="4787" u="1"/>
        <n v="10236" u="1"/>
        <n v="7022" u="1"/>
        <n v="12471" u="1"/>
        <n v="3367" u="1"/>
        <n v="7065" u="1"/>
        <n v="12557" u="1"/>
        <n v="14792" u="1"/>
        <n v="7108" u="1"/>
        <n v="4916" u="1"/>
        <n v="12643" u="1"/>
        <n v="8259" u="1"/>
        <n v="2314" u="1"/>
        <n v="14878" u="1"/>
        <n v="1633" u="1"/>
        <n v="4959" u="1"/>
        <n v="8345" u="1"/>
        <n v="14964" u="1"/>
        <n v="10580" u="1"/>
        <n v="5002" u="1"/>
        <n v="3453" u="1"/>
        <n v="8431" u="1"/>
        <n v="10666" u="1"/>
        <n v="12901" u="1"/>
        <n v="10752" u="1"/>
        <n v="7280" u="1"/>
        <n v="12987" u="1"/>
        <n v="3496" u="1"/>
        <n v="2400" u="1"/>
        <n v="1128" u="1"/>
        <n v="7323" u="1"/>
        <n v="802" u="1"/>
        <n v="13073" u="1"/>
        <n v="8689" u="1"/>
        <n v="383" u="1"/>
        <n v="251" u="1"/>
        <n v="7366" u="1"/>
        <n v="121" u="1"/>
        <n v="5174" u="1"/>
        <n v="8775" u="1"/>
        <n v="2443" u="1"/>
        <n v="28" u="1"/>
        <n v="5217" u="1"/>
        <n v="8861" u="1"/>
        <n v="11096" u="1"/>
        <n v="5260" u="1"/>
        <n v="3582" u="1"/>
        <n v="1719" u="1"/>
        <n v="11182" u="1"/>
        <n v="1171" u="1"/>
        <n v="7495" u="1"/>
        <n v="13417" u="1"/>
        <n v="7538" u="1"/>
        <n v="13503" u="1"/>
        <n v="2529" u="1"/>
        <n v="7581" u="1"/>
        <n v="5389" u="1"/>
        <n v="13589" u="1"/>
        <n v="9205" u="1"/>
        <n v="5432" u="1"/>
        <n v="9291" u="1"/>
        <n v="1762" u="1"/>
        <n v="11526" u="1"/>
        <n v="5475" u="1"/>
        <n v="571" u="1"/>
        <n v="11612" u="1"/>
        <n v="13847" u="1"/>
        <n v="3711" u="1"/>
        <n v="11698" u="1"/>
        <n v="7753" u="1"/>
        <n v="13933" u="1"/>
        <n v="7796" u="1"/>
        <n v="14019" u="1"/>
        <n v="9635" u="1"/>
        <n v="2658" u="1"/>
        <n v="7839" u="1"/>
        <n v="5647" u="1"/>
        <n v="9721" u="1"/>
        <n v="11956" u="1"/>
        <n v="5690" u="1"/>
        <n v="9807" u="1"/>
        <n v="12042" u="1"/>
        <n v="12128" u="1"/>
        <n v="7968" u="1"/>
        <n v="14363" u="1"/>
        <n v="3840" u="1"/>
        <n v="2744" u="1"/>
        <n v="1300" u="1"/>
        <n v="8011" u="1"/>
        <n v="888" u="1"/>
        <n v="14449" u="1"/>
        <n v="426" u="1"/>
        <n v="8054" u="1"/>
        <n v="5862" u="1"/>
        <n v="14535" u="1"/>
        <n v="10151" u="1"/>
        <n v="2787" u="1"/>
        <n v="5905" u="1"/>
        <n v="10237" u="1"/>
        <n v="12472" u="1"/>
        <n v="5948" u="1"/>
        <n v="3926" u="1"/>
        <n v="1891" u="1"/>
        <n v="12558" u="1"/>
        <n v="1343" u="1"/>
        <n v="14793" u="1"/>
        <n v="12644" u="1"/>
        <n v="8260" u="1"/>
        <n v="14879" u="1"/>
        <n v="3969" u="1"/>
        <n v="2873" u="1"/>
        <n v="8346" u="1"/>
        <n v="14965" u="1"/>
        <n v="10581" u="1"/>
        <n v="8432" u="1"/>
        <n v="6120" u="1"/>
        <n v="10667" u="1"/>
        <n v="2916" u="1"/>
        <n v="1934" u="1"/>
        <n v="12902" u="1"/>
        <n v="931" u="1"/>
        <n v="6163" u="1"/>
        <n v="657" u="1"/>
        <n v="10753" u="1"/>
        <n v="12988" u="1"/>
        <n v="4055" u="1"/>
        <n v="13074" u="1"/>
        <n v="8690" u="1"/>
        <n v="8776" u="1"/>
        <n v="3002" u="1"/>
        <n v="8862" u="1"/>
        <n v="6335" u="1"/>
        <n v="11097" u="1"/>
        <n v="6378" u="1"/>
        <n v="11183" u="1"/>
        <n v="13418" u="1"/>
        <n v="6421" u="1"/>
        <n v="4229" u="1"/>
        <n v="13504" u="1"/>
        <n v="4272" u="1"/>
        <n v="13590" u="1"/>
        <n v="1472" u="1"/>
        <n v="9206" u="1"/>
        <n v="4315" u="1"/>
        <n v="469" u="1"/>
        <n v="9292" u="1"/>
        <n v="157" u="1"/>
        <n v="11527" u="1"/>
        <n v="74" u="1"/>
        <n v="3131" u="1"/>
        <n v="6593" u="1"/>
        <n v="11613" u="1"/>
        <n v="13848" u="1"/>
        <n v="6636" u="1"/>
        <n v="4444" u="1"/>
        <n v="11699" u="1"/>
        <n v="2078" u="1"/>
        <n v="13934" u="1"/>
        <n v="1515" u="1"/>
        <n v="4487" u="1"/>
        <n v="14020" u="1"/>
        <n v="9636" u="1"/>
        <n v="4530" u="1"/>
        <n v="3217" u="1"/>
        <n v="9722" u="1"/>
        <n v="11957" u="1"/>
        <n v="9808" u="1"/>
        <n v="6808" u="1"/>
        <n v="12043" u="1"/>
        <n v="3260" u="1"/>
        <n v="2164" u="1"/>
        <n v="1017" u="1"/>
        <n v="6851" u="1"/>
        <n v="743" u="1"/>
        <n v="12129" u="1"/>
        <n v="14364" u="1"/>
        <n v="6894" u="1"/>
        <n v="4702" u="1"/>
        <n v="2207" u="1"/>
        <n v="14450" u="1"/>
        <n v="4745" u="1"/>
        <n v="14536" u="1"/>
        <n v="10152" u="1"/>
        <n v="4788" u="1"/>
        <n v="3346" u="1"/>
        <n v="1601" u="1"/>
        <n v="10238" u="1"/>
        <n v="1053" u="1"/>
        <n v="7023" u="1"/>
        <n v="12473" u="1"/>
        <n v="7066" u="1"/>
        <n v="12559" u="1"/>
        <n v="2293" u="1"/>
        <n v="14794" u="1"/>
        <n v="7109" u="1"/>
        <n v="4917" u="1"/>
        <n v="12645" u="1"/>
        <n v="8261" u="1"/>
        <n v="14880" u="1"/>
        <n v="4960" u="1"/>
        <n v="8347" u="1"/>
        <n v="14966" u="1"/>
        <n v="1644" u="1"/>
        <n v="10582" u="1"/>
        <n v="5003" u="1"/>
        <n v="512" u="1"/>
        <n v="8433" u="1"/>
        <n v="10668" u="1"/>
        <n v="119" u="1"/>
        <n v="12903" u="1"/>
        <n v="3475" u="1"/>
        <n v="10754" u="1"/>
        <n v="7281" u="1"/>
        <n v="12989" u="1"/>
        <n v="7324" u="1"/>
        <n v="13075" u="1"/>
        <n v="8691" u="1"/>
        <n v="2422" u="1"/>
        <n v="7367" u="1"/>
        <n v="5175" u="1"/>
        <n v="8777" u="1"/>
        <n v="11012" u="1"/>
        <n v="5218" u="1"/>
        <n v="8863" u="1"/>
        <n v="11098" u="1"/>
        <n v="5261" u="1"/>
        <n v="11184" u="1"/>
        <n v="7496" u="1"/>
        <n v="13419" u="1"/>
        <n v="3604" u="1"/>
        <n v="2508" u="1"/>
        <n v="1182" u="1"/>
        <n v="7539" u="1"/>
        <n v="13505" u="1"/>
        <n v="7582" u="1"/>
        <n v="5390" u="1"/>
        <n v="13591" u="1"/>
        <n v="9207" u="1"/>
        <n v="2551" u="1"/>
        <n v="5433" u="1"/>
        <n v="9293" u="1"/>
        <n v="11528" u="1"/>
        <n v="5476" u="1"/>
        <n v="3690" u="1"/>
        <n v="1773" u="1"/>
        <n v="11614" u="1"/>
        <n v="1225" u="1"/>
        <n v="13849" u="1"/>
        <n v="11700" u="1"/>
        <n v="7754" u="1"/>
        <n v="13935" u="1"/>
        <n v="3733" u="1"/>
        <n v="2637" u="1"/>
        <n v="7797" u="1"/>
        <n v="14021" u="1"/>
        <n v="9637" u="1"/>
        <n v="7840" u="1"/>
        <n v="5648" u="1"/>
        <n v="9723" u="1"/>
        <n v="2680" u="1"/>
        <n v="1816" u="1"/>
        <n v="11958" u="1"/>
        <n v="872" u="1"/>
        <n v="5691" u="1"/>
        <n v="598" u="1"/>
        <n v="9809" u="1"/>
        <n v="281" u="1"/>
        <n v="12044" u="1"/>
        <n v="200" u="1"/>
        <n v="3819" u="1"/>
        <n v="12130" u="1"/>
        <n v="7969" u="1"/>
        <n v="14365" u="1"/>
        <n v="8012" u="1"/>
        <n v="14451" u="1"/>
        <n v="2766" u="1"/>
        <n v="8055" u="1"/>
        <n v="5863" u="1"/>
        <n v="14537" u="1"/>
        <n v="10153" u="1"/>
        <n v="5906" u="1"/>
        <n v="10239" u="1"/>
        <n v="12474" u="1"/>
        <n v="5949" u="1"/>
        <n v="12560" u="1"/>
        <n v="14795" u="1"/>
        <n v="3948" u="1"/>
        <n v="12646" u="1"/>
        <n v="1354" u="1"/>
        <n v="8262" u="1"/>
        <n v="14881" u="1"/>
        <n v="8348" u="1"/>
        <n v="14967" u="1"/>
        <n v="10583" u="1"/>
        <n v="2895" u="1"/>
        <n v="8434" u="1"/>
        <n v="6121" u="1"/>
        <n v="10669" u="1"/>
        <n v="12904" u="1"/>
        <n v="6164" u="1"/>
        <n v="4034" u="1"/>
        <n v="10755" u="1"/>
        <n v="1945" u="1"/>
        <n v="12990" u="1"/>
        <n v="1397" u="1"/>
        <n v="13076" u="1"/>
        <n v="8692" u="1"/>
        <n v="4077" u="1"/>
        <n v="2981" u="1"/>
        <n v="8778" u="1"/>
        <n v="11013" u="1"/>
        <n v="8864" u="1"/>
        <n v="6336" u="1"/>
        <n v="11099" u="1"/>
        <n v="3024" u="1"/>
        <n v="1988" u="1"/>
        <n v="958" u="1"/>
        <n v="6379" u="1"/>
        <n v="684" u="1"/>
        <n v="11185" u="1"/>
        <n v="324" u="1"/>
        <n v="13420" u="1"/>
        <n v="153" u="1"/>
        <n v="6422" u="1"/>
        <n v="4230" u="1"/>
        <n v="72" u="1"/>
        <n v="13506" u="1"/>
        <n v="4273" u="1"/>
        <n v="13592" u="1"/>
        <n v="9208" u="1"/>
        <n v="4316" u="1"/>
        <n v="3110" u="1"/>
        <n v="1483" u="1"/>
        <n v="9294" u="1"/>
        <n v="6551" u="1"/>
        <n v="11529" u="1"/>
        <n v="6594" u="1"/>
        <n v="11615" u="1"/>
        <n v="3153" u="1"/>
        <n v="2057" u="1"/>
        <n v="13850" u="1"/>
        <n v="6637" u="1"/>
        <n v="4445" u="1"/>
        <n v="11701" u="1"/>
        <n v="13936" u="1"/>
        <n v="4488" u="1"/>
        <n v="14022" u="1"/>
        <n v="1526" u="1"/>
        <n v="9638" u="1"/>
        <n v="4531" u="1"/>
        <n v="9724" u="1"/>
        <n v="11959" u="1"/>
        <n v="3239" u="1"/>
        <n v="9810" u="1"/>
        <n v="6809" u="1"/>
        <n v="12045" u="1"/>
        <n v="6852" u="1"/>
        <n v="12131" u="1"/>
        <n v="2186" u="1"/>
        <n v="14366" u="1"/>
        <n v="6895" u="1"/>
        <n v="4703" u="1"/>
        <n v="14452" u="1"/>
        <n v="4746" u="1"/>
        <n v="14538" u="1"/>
        <n v="10154" u="1"/>
        <n v="4789" u="1"/>
        <n v="10240" u="1"/>
        <n v="7024" u="1"/>
        <n v="12475" u="1"/>
        <n v="3368" u="1"/>
        <n v="2272" u="1"/>
        <n v="1064" u="1"/>
        <n v="7067" u="1"/>
        <n v="12561" u="1"/>
        <n v="367" u="1"/>
        <n v="14796" u="1"/>
        <n v="7110" u="1"/>
        <n v="117" u="1"/>
        <n v="4918" u="1"/>
        <n v="12647" u="1"/>
        <n v="8263" u="1"/>
        <n v="2315" u="1"/>
        <n v="14882" u="1"/>
        <n v="27" u="1"/>
        <n v="4961" u="1"/>
        <n v="8349" u="1"/>
        <n v="14968" u="1"/>
        <n v="10584" u="1"/>
        <n v="5004" u="1"/>
        <n v="3454" u="1"/>
        <n v="8435" u="1"/>
        <n v="1655" u="1"/>
        <n v="10670" u="1"/>
        <n v="1107" u="1"/>
        <n v="12905" u="1"/>
        <n v="10756" u="1"/>
        <n v="7282" u="1"/>
        <n v="12991" u="1"/>
        <n v="3497" u="1"/>
        <n v="2401" u="1"/>
        <n v="7325" u="1"/>
        <n v="13077" u="1"/>
        <n v="8693" u="1"/>
        <n v="7368" u="1"/>
        <n v="5176" u="1"/>
        <n v="8779" u="1"/>
        <n v="2444" u="1"/>
        <n v="1698" u="1"/>
        <n v="11014" u="1"/>
        <n v="813" u="1"/>
        <n v="5219" u="1"/>
        <n v="539" u="1"/>
        <n v="8865" u="1"/>
        <n v="11100" u="1"/>
        <n v="5262" u="1"/>
        <n v="3583" u="1"/>
        <n v="11186" u="1"/>
        <n v="7497" u="1"/>
        <n v="13421" u="1"/>
        <n v="7540" u="1"/>
        <n v="13507" u="1"/>
        <n v="2530" u="1"/>
        <n v="7583" u="1"/>
        <n v="5391" u="1"/>
        <n v="13593" u="1"/>
        <n v="9209" u="1"/>
        <n v="5434" u="1"/>
        <n v="9295" u="1"/>
        <n v="11530" u="1"/>
        <n v="5477" u="1"/>
        <n v="11616" u="1"/>
        <n v="13851" u="1"/>
        <n v="3712" u="1"/>
        <n v="11702" u="1"/>
        <n v="1236" u="1"/>
        <n v="7755" u="1"/>
        <n v="13937" u="1"/>
        <n v="410" u="1"/>
        <n v="7798" u="1"/>
        <n v="14023" u="1"/>
        <n v="9639" u="1"/>
        <n v="2659" u="1"/>
        <n v="7841" u="1"/>
        <n v="5649" u="1"/>
        <n v="9725" u="1"/>
        <n v="10" u="1"/>
        <n v="11960" u="1"/>
        <n v="5692" u="1"/>
        <n v="3798" u="1"/>
        <n v="9811" u="1"/>
        <n v="1827" u="1"/>
        <n v="12046" u="1"/>
        <n v="12132" u="1"/>
        <n v="7970" u="1"/>
        <n v="14367" u="1"/>
        <n v="3841" u="1"/>
        <n v="2745" u="1"/>
        <n v="8013" u="1"/>
        <n v="14453" u="1"/>
        <n v="8056" u="1"/>
        <n v="5864" u="1"/>
        <n v="14539" u="1"/>
        <n v="10155" u="1"/>
        <n v="2788" u="1"/>
        <n v="1870" u="1"/>
        <n v="899" u="1"/>
        <n v="5907" u="1"/>
        <n v="625" u="1"/>
        <n v="10241" u="1"/>
        <n v="12476" u="1"/>
        <n v="5950" u="1"/>
        <n v="3927" u="1"/>
        <n v="12562" u="1"/>
        <n v="14797" u="1"/>
        <n v="12648" u="1"/>
        <n v="8264" u="1"/>
        <n v="14883" u="1"/>
        <n v="3970" u="1"/>
        <n v="2874" u="1"/>
        <n v="1365" u="1"/>
        <n v="8350" u="1"/>
        <n v="14969" u="1"/>
        <n v="10585" u="1"/>
        <n v="8436" u="1"/>
        <n v="6122" u="1"/>
        <n v="10671" u="1"/>
        <n v="2917" u="1"/>
        <n v="12906" u="1"/>
        <n v="6165" u="1"/>
        <n v="10757" u="1"/>
        <n v="12992" u="1"/>
        <n v="4056" u="1"/>
        <n v="13078" u="1"/>
        <n v="1408" u="1"/>
        <n v="8694" u="1"/>
        <n v="668" u="1"/>
        <n v="453" u="1"/>
        <n v="8780" u="1"/>
        <n v="149" u="1"/>
        <n v="11015" u="1"/>
        <n v="70" u="1"/>
        <n v="3003" u="1"/>
        <n v="8866" u="1"/>
        <n v="6337" u="1"/>
        <n v="11101" u="1"/>
        <n v="6380" u="1"/>
        <n v="11187" u="1"/>
        <n v="1999" u="1"/>
        <n v="13422" u="1"/>
        <n v="6423" u="1"/>
        <n v="4231" u="1"/>
        <n v="13508" u="1"/>
        <n v="4274" u="1"/>
        <n v="13594" u="1"/>
        <n v="9210" u="1"/>
        <n v="4317" u="1"/>
        <n v="9296" u="1"/>
        <n v="6552" u="1"/>
        <n v="11531" u="1"/>
        <n v="3132" u="1"/>
        <n v="985" u="1"/>
        <n v="6595" u="1"/>
        <n v="11617" u="1"/>
        <n v="13852" u="1"/>
        <n v="6638" u="1"/>
        <n v="4446" u="1"/>
        <n v="11703" u="1"/>
        <n v="2079" u="1"/>
        <n v="13938" u="1"/>
        <n v="4489" u="1"/>
        <n v="14024" u="1"/>
        <n v="9640" u="1"/>
        <n v="4532" u="1"/>
        <n v="3218" u="1"/>
        <n v="1537" u="1"/>
        <n v="9726" u="1"/>
        <n v="11961" u="1"/>
        <n v="9812" u="1"/>
        <n v="6810" u="1"/>
        <n v="12047" u="1"/>
        <n v="3261" u="1"/>
        <n v="2165" u="1"/>
        <n v="6853" u="1"/>
        <n v="12133" u="1"/>
        <n v="14368" u="1"/>
        <n v="6896" u="1"/>
        <n v="4704" u="1"/>
        <n v="2208" u="1"/>
        <n v="14454" u="1"/>
        <n v="1580" u="1"/>
        <n v="754" u="1"/>
        <n v="4747" u="1"/>
        <n v="496" u="1"/>
        <n v="14540" u="1"/>
        <n v="239" u="1"/>
        <n v="10156" u="1"/>
        <n v="115" u="1"/>
        <n v="4790" u="1"/>
        <n v="3347" u="1"/>
        <n v="10242" u="1"/>
        <n v="7025" u="1"/>
        <n v="12477" u="1"/>
        <n v="7068" u="1"/>
        <n v="12563" u="1"/>
        <n v="2294" u="1"/>
        <n v="14798" u="1"/>
        <n v="1075" u="1"/>
        <n v="7111" u="1"/>
        <n v="4919" u="1"/>
        <n v="12649" u="1"/>
        <n v="8265" u="1"/>
        <n v="14884" u="1"/>
        <n v="4962" u="1"/>
        <n v="8351" u="1"/>
        <n v="14970" u="1"/>
        <n v="10586" u="1"/>
        <n v="5005" u="1"/>
        <n v="8437" u="1"/>
        <n v="10672" u="1"/>
        <n v="12907" u="1"/>
        <n v="3476" u="1"/>
        <n v="10758" u="1"/>
        <n v="1118" u="1"/>
        <n v="7283" u="1"/>
        <n v="12993" u="1"/>
        <n v="7326" u="1"/>
        <n v="13079" u="1"/>
        <n v="8695" u="1"/>
        <n v="2423" u="1"/>
        <n v="7369" u="1"/>
        <n v="5177" u="1"/>
        <n v="8781" u="1"/>
        <n v="11016" u="1"/>
        <n v="5220" u="1"/>
        <n v="8867" u="1"/>
        <n v="1709" u="1"/>
        <n v="11102" u="1"/>
        <n v="5263" u="1"/>
        <n v="11188" u="1"/>
        <n v="7498" u="1"/>
        <n v="13423" u="1"/>
        <n v="3605" u="1"/>
        <n v="2509" u="1"/>
        <n v="7541" u="1"/>
        <n v="13509" u="1"/>
        <n v="7584" u="1"/>
        <n v="5392" u="1"/>
        <n v="13595" u="1"/>
        <n v="9211" u="1"/>
        <n v="2552" u="1"/>
        <n v="1752" u="1"/>
        <n v="840" u="1"/>
        <n v="5435" u="1"/>
        <n v="566" u="1"/>
        <n v="9297" u="1"/>
        <n v="265" u="1"/>
        <n v="11532" u="1"/>
        <n v="192" u="1"/>
        <n v="5478" u="1"/>
        <n v="3691" u="1"/>
        <n v="11618" u="1"/>
        <n v="13853" u="1"/>
        <n v="11704" u="1"/>
        <n v="7756" u="1"/>
        <n v="13939" u="1"/>
        <n v="3734" u="1"/>
        <n v="2638" u="1"/>
        <n v="1247" u="1"/>
        <n v="7799" u="1"/>
        <n v="14025" u="1"/>
        <n v="9641" u="1"/>
        <n v="7842" u="1"/>
        <n v="5650" u="1"/>
        <n v="9727" u="1"/>
        <n v="2681" u="1"/>
        <n v="11962" u="1"/>
        <n v="5693" u="1"/>
        <n v="9813" u="1"/>
        <n v="12048" u="1"/>
        <n v="3820" u="1"/>
        <n v="1838" u="1"/>
        <n v="12134" u="1"/>
        <n v="1290" u="1"/>
        <n v="7971" u="1"/>
        <n v="14369" u="1"/>
        <n v="609" u="1"/>
        <n v="8014" u="1"/>
        <n v="14455" u="1"/>
        <n v="2767" u="1"/>
        <n v="8057" u="1"/>
        <n v="5865" u="1"/>
        <n v="10157" u="1"/>
        <n v="5908" u="1"/>
        <n v="10243" u="1"/>
        <n v="1881" u="1"/>
        <n v="12478" u="1"/>
        <n v="5951" u="1"/>
        <n v="12564" u="1"/>
        <n v="14799" u="1"/>
        <n v="3949" u="1"/>
        <n v="12650" u="1"/>
        <n v="8266" u="1"/>
        <n v="14885" u="1"/>
        <n v="8352" u="1"/>
        <n v="14971" u="1"/>
        <n v="10587" u="1"/>
        <n v="2896" u="1"/>
        <n v="926" u="1"/>
        <n v="6123" u="1"/>
        <n v="10673" u="1"/>
        <n v="308" u="1"/>
        <n v="12908" u="1"/>
        <n v="145" u="1"/>
        <n v="6166" u="1"/>
        <n v="4035" u="1"/>
        <n v="10759" u="1"/>
        <n v="68" u="1"/>
        <n v="12994" u="1"/>
        <n v="13080" u="1"/>
        <n v="8696" u="1"/>
        <n v="4078" u="1"/>
        <n v="2982" u="1"/>
        <n v="1419" u="1"/>
        <n v="8782" u="1"/>
        <n v="11017" u="1"/>
        <n v="8868" u="1"/>
        <n v="6338" u="1"/>
        <n v="11103" u="1"/>
        <n v="3025" u="1"/>
        <n v="6381" u="1"/>
        <n v="11189" u="1"/>
        <n v="13424" u="1"/>
        <n v="6424" u="1"/>
        <n v="4232" u="1"/>
        <n v="2010" u="1"/>
        <n v="13510" u="1"/>
        <n v="1462" u="1"/>
        <n v="695" u="1"/>
        <n v="4275" u="1"/>
        <n v="13596" u="1"/>
        <n v="9212" u="1"/>
        <n v="4318" u="1"/>
        <n v="3111" u="1"/>
        <n v="9298" u="1"/>
        <n v="6553" u="1"/>
        <n v="11533" u="1"/>
        <n v="6596" u="1"/>
        <n v="11619" u="1"/>
        <n v="2058" u="1"/>
        <n v="13854" u="1"/>
        <n v="6639" u="1"/>
        <n v="4447" u="1"/>
        <n v="11705" u="1"/>
        <n v="13940" u="1"/>
        <n v="4490" u="1"/>
        <n v="14026" u="1"/>
        <n v="9642" u="1"/>
        <n v="4533" u="1"/>
        <n v="9728" u="1"/>
        <n v="11963" u="1"/>
        <n v="3240" u="1"/>
        <n v="9814" u="1"/>
        <n v="1012" u="1"/>
        <n v="6811" u="1"/>
        <n v="12049" u="1"/>
        <n v="351" u="1"/>
        <n v="6854" u="1"/>
        <n v="113" u="1"/>
        <n v="12135" u="1"/>
        <n v="2187" u="1"/>
        <n v="14370" u="1"/>
        <n v="26" u="1"/>
        <n v="6897" u="1"/>
        <n v="4705" u="1"/>
        <n v="14456" u="1"/>
        <n v="4748" u="1"/>
        <n v="1591" u="1"/>
        <n v="10158" u="1"/>
        <n v="4791" u="1"/>
        <n v="10244" u="1"/>
        <n v="7026" u="1"/>
        <n v="12479" u="1"/>
        <n v="3369" u="1"/>
        <n v="2273" u="1"/>
        <n v="7069" u="1"/>
        <n v="12565" u="1"/>
        <n v="14800" u="1"/>
        <n v="7112" u="1"/>
        <n v="4920" u="1"/>
        <n v="12651" u="1"/>
        <n v="8267" u="1"/>
        <n v="2316" u="1"/>
        <n v="14886" u="1"/>
        <n v="1634" u="1"/>
        <n v="781" u="1"/>
        <n v="4963" u="1"/>
        <n v="8353" u="1"/>
        <n v="14972" u="1"/>
        <n v="10588" u="1"/>
        <n v="5006" u="1"/>
        <n v="3455" u="1"/>
        <n v="10674" u="1"/>
        <n v="12909" u="1"/>
        <n v="10760" u="1"/>
        <n v="7284" u="1"/>
        <n v="12995" u="1"/>
        <n v="3498" u="1"/>
        <n v="2402" u="1"/>
        <n v="1129" u="1"/>
        <n v="7327" u="1"/>
        <n v="13081" u="1"/>
        <n v="8697" u="1"/>
        <n v="7370" u="1"/>
        <n v="5178" u="1"/>
        <n v="8783" u="1"/>
        <n v="2445" u="1"/>
        <n v="11018" u="1"/>
        <n v="5221" u="1"/>
        <n v="8869" u="1"/>
        <n v="11104" u="1"/>
        <n v="3584" u="1"/>
        <n v="1720" u="1"/>
        <n v="11190" u="1"/>
        <n v="1172" u="1"/>
        <n v="7499" u="1"/>
        <n v="13425" u="1"/>
        <n v="550" u="1"/>
        <n v="394" u="1"/>
        <n v="188" u="1"/>
        <n v="7542" u="1"/>
        <n v="13511" u="1"/>
        <n v="2531" u="1"/>
        <n v="7585" u="1"/>
        <n v="5393" u="1"/>
        <n v="13597" u="1"/>
        <n v="9213" u="1"/>
        <n v="5436" u="1"/>
        <n v="9299" u="1"/>
        <n v="1763" u="1"/>
        <n v="11534" u="1"/>
        <n v="5479" u="1"/>
        <n v="11620" u="1"/>
        <n v="13855" u="1"/>
        <n v="3713" u="1"/>
        <n v="11706" u="1"/>
        <n v="7757" u="1"/>
        <n v="13941" u="1"/>
        <n v="16176" u="1"/>
        <n v="7800" u="1"/>
        <n v="14027" u="1"/>
        <n v="9643" u="1"/>
        <n v="2660" u="1"/>
        <n v="7843" u="1"/>
        <n v="867" u="1"/>
        <n v="5651" u="1"/>
        <n v="9729" u="1"/>
        <n v="11964" u="1"/>
        <n v="5694" u="1"/>
        <n v="3799" u="1"/>
        <n v="9815" u="1"/>
        <n v="12050" u="1"/>
        <n v="12136" u="1"/>
        <n v="7972" u="1"/>
        <n v="14371" u="1"/>
        <n v="3842" u="1"/>
        <n v="2746" u="1"/>
        <n v="1301" u="1"/>
        <n v="8015" u="1"/>
        <n v="14457" u="1"/>
        <n v="10073" u="1"/>
        <n v="8058" u="1"/>
        <n v="5866" u="1"/>
        <n v="10159" u="1"/>
        <n v="2789" u="1"/>
        <n v="5909" u="1"/>
        <n v="10245" u="1"/>
        <n v="12480" u="1"/>
        <n v="5952" u="1"/>
        <n v="3928" u="1"/>
        <n v="1892" u="1"/>
        <n v="12566" u="1"/>
        <n v="1344" u="1"/>
        <n v="14801" u="1"/>
        <n v="636" u="1"/>
        <n v="437" u="1"/>
        <n v="12652" u="1"/>
        <n v="8268" u="1"/>
        <n v="141" u="1"/>
        <n v="14887" u="1"/>
        <n v="3971" u="1"/>
        <n v="66" u="1"/>
        <n v="2875" u="1"/>
        <n v="8354" u="1"/>
        <n v="6081" u="1"/>
        <n v="14973" u="1"/>
        <n v="10589" u="1"/>
        <n v="6124" u="1"/>
        <n v="10675" u="1"/>
        <n v="2918" u="1"/>
        <n v="1935" u="1"/>
        <n v="12910" u="1"/>
        <n v="6167" u="1"/>
        <n v="10761" u="1"/>
        <n v="12996" u="1"/>
        <n v="4057" u="1"/>
        <n v="13082" u="1"/>
        <n v="8698" u="1"/>
        <n v="8784" u="1"/>
        <n v="11019" u="1"/>
        <n v="3004" u="1"/>
        <n v="8870" u="1"/>
        <n v="953" u="1"/>
        <n v="6339" u="1"/>
        <n v="11105" u="1"/>
        <n v="6382" u="1"/>
        <n v="11191" u="1"/>
        <n v="13426" u="1"/>
        <n v="6425" u="1"/>
        <n v="4233" u="1"/>
        <n v="13512" u="1"/>
        <n v="4276" u="1"/>
        <n v="13598" u="1"/>
        <n v="1473" u="1"/>
        <n v="9214" u="1"/>
        <n v="4319" u="1"/>
        <n v="9300" u="1"/>
        <n v="6554" u="1"/>
        <n v="11535" u="1"/>
        <n v="3133" u="1"/>
        <n v="6597" u="1"/>
        <n v="11621" u="1"/>
        <n v="13856" u="1"/>
        <n v="6640" u="1"/>
        <n v="4448" u="1"/>
        <n v="11707" u="1"/>
        <n v="2080" u="1"/>
        <n v="13942" u="1"/>
        <n v="1516" u="1"/>
        <n v="16177" u="1"/>
        <n v="722" u="1"/>
        <n v="4491" u="1"/>
        <n v="480" u="1"/>
        <n v="14028" u="1"/>
        <n v="231" u="1"/>
        <n v="9644" u="1"/>
        <n v="111" u="1"/>
        <n v="4534" u="1"/>
        <n v="3219" u="1"/>
        <n v="9730" u="1"/>
        <n v="11965" u="1"/>
        <n v="9816" u="1"/>
        <n v="6812" u="1"/>
        <n v="12051" u="1"/>
        <n v="3262" u="1"/>
        <n v="2166" u="1"/>
        <n v="6855" u="1"/>
        <n v="12137" u="1"/>
        <n v="14372" u="1"/>
        <n v="6898" u="1"/>
        <n v="4706" u="1"/>
        <n v="2209" u="1"/>
        <n v="14458" u="1"/>
        <n v="10074" u="1"/>
        <n v="4749" u="1"/>
        <n v="10160" u="1"/>
        <n v="4792" u="1"/>
        <n v="3348" u="1"/>
        <n v="1602" u="1"/>
        <n v="10246" u="1"/>
        <n v="1054" u="1"/>
        <n v="7027" u="1"/>
        <n v="12481" u="1"/>
        <n v="7070" u="1"/>
        <n v="12567" u="1"/>
        <n v="2295" u="1"/>
        <n v="14802" u="1"/>
        <n v="7113" u="1"/>
        <n v="4921" u="1"/>
        <n v="12653" u="1"/>
        <n v="8269" u="1"/>
        <n v="14888" u="1"/>
        <n v="4964" u="1"/>
        <n v="8355" u="1"/>
        <n v="14974" u="1"/>
        <n v="1645" u="1"/>
        <n v="10590" u="1"/>
        <n v="5007" u="1"/>
        <n v="10676" u="1"/>
        <n v="12911" u="1"/>
        <n v="3477" u="1"/>
        <n v="10762" u="1"/>
        <n v="7285" u="1"/>
        <n v="12997" u="1"/>
        <n v="7328" u="1"/>
        <n v="13083" u="1"/>
        <n v="8699" u="1"/>
        <n v="2424" u="1"/>
        <n v="7371" u="1"/>
        <n v="808" u="1"/>
        <n v="5179" u="1"/>
        <n v="8785" u="1"/>
        <n v="11020" u="1"/>
        <n v="184" u="1"/>
        <n v="5222" u="1"/>
        <n v="3563" u="1"/>
        <n v="8871" u="1"/>
        <n v="11106" u="1"/>
        <n v="11192" u="1"/>
        <n v="7500" u="1"/>
        <n v="13427" u="1"/>
        <n v="3606" u="1"/>
        <n v="2510" u="1"/>
        <n v="1183" u="1"/>
        <n v="7543" u="1"/>
        <n v="13513" u="1"/>
        <n v="7586" u="1"/>
        <n v="5394" u="1"/>
        <n v="13599" u="1"/>
        <n v="9215" u="1"/>
        <n v="2553" u="1"/>
        <n v="5437" u="1"/>
        <n v="9301" u="1"/>
        <n v="11536" u="1"/>
        <n v="5480" u="1"/>
        <n v="3692" u="1"/>
        <n v="1774" u="1"/>
        <n v="11622" u="1"/>
        <n v="1226" u="1"/>
        <n v="13857" u="1"/>
        <n v="577" u="1"/>
        <n v="11708" u="1"/>
        <n v="7758" u="1"/>
        <n v="13943" u="1"/>
        <n v="3735" u="1"/>
        <n v="2639" u="1"/>
        <n v="16178" u="1"/>
        <n v="7801" u="1"/>
        <n v="14029" u="1"/>
        <n v="9645" u="1"/>
        <n v="7844" u="1"/>
        <n v="5652" u="1"/>
        <n v="9731" u="1"/>
        <n v="2682" u="1"/>
        <n v="1817" u="1"/>
        <n v="11966" u="1"/>
        <n v="5695" u="1"/>
        <n v="9817" u="1"/>
        <n v="12052" u="1"/>
        <n v="3821" u="1"/>
        <n v="12138" u="1"/>
        <n v="7973" u="1"/>
        <n v="14373" u="1"/>
        <n v="8016" u="1"/>
        <n v="14459" u="1"/>
        <n v="10075" u="1"/>
        <n v="2768" u="1"/>
        <n v="8059" u="1"/>
        <n v="894" u="1"/>
        <n v="5867" u="1"/>
        <n v="10161" u="1"/>
        <n v="292" u="1"/>
        <n v="137" u="1"/>
        <n v="5910" u="1"/>
        <n v="10247" u="1"/>
        <n v="64" u="1"/>
        <n v="12482" u="1"/>
        <n v="5953" u="1"/>
        <n v="12568" u="1"/>
        <n v="14803" u="1"/>
        <n v="3950" u="1"/>
        <n v="12654" u="1"/>
        <n v="1355" u="1"/>
        <n v="8270" u="1"/>
        <n v="14889" u="1"/>
        <n v="8356" u="1"/>
        <n v="6082" u="1"/>
        <n v="14975" u="1"/>
        <n v="10591" u="1"/>
        <n v="2897" u="1"/>
        <n v="6125" u="1"/>
        <n v="10677" u="1"/>
        <n v="12912" u="1"/>
        <n v="6168" u="1"/>
        <n v="4036" u="1"/>
        <n v="10763" u="1"/>
        <n v="1946" u="1"/>
        <n v="12998" u="1"/>
        <n v="1398" u="1"/>
        <n v="663" u="1"/>
        <n v="13084" u="1"/>
        <n v="8700" u="1"/>
        <n v="4079" u="1"/>
        <n v="2983" u="1"/>
        <n v="8786" u="1"/>
        <n v="11021" u="1"/>
        <n v="8872" u="1"/>
        <n v="6340" u="1"/>
        <n v="11107" u="1"/>
        <n v="3026" u="1"/>
        <n v="1989" u="1"/>
        <n v="6383" u="1"/>
        <n v="11193" u="1"/>
        <n v="13428" u="1"/>
        <n v="6426" u="1"/>
        <n v="4234" u="1"/>
        <n v="13514" u="1"/>
        <n v="4277" u="1"/>
        <n v="13600" u="1"/>
        <n v="9216" u="1"/>
        <n v="4320" u="1"/>
        <n v="3112" u="1"/>
        <n v="1484" u="1"/>
        <n v="9302" u="1"/>
        <n v="980" u="1"/>
        <n v="6555" u="1"/>
        <n v="11537" u="1"/>
        <n v="472" u="1"/>
        <n v="335" u="1"/>
        <n v="6598" u="1"/>
        <n v="109" u="1"/>
        <n v="11623" u="1"/>
        <n v="2059" u="1"/>
        <n v="13858" u="1"/>
        <n v="25" u="1"/>
        <n v="6641" u="1"/>
        <n v="4449" u="1"/>
        <n v="11709" u="1"/>
        <n v="13944" u="1"/>
        <n v="16179" u="1"/>
        <n v="4492" u="1"/>
        <n v="14030" u="1"/>
        <n v="1527" u="1"/>
        <n v="9646" u="1"/>
        <n v="4535" u="1"/>
        <n v="9732" u="1"/>
        <n v="11967" u="1"/>
        <n v="3241" u="1"/>
        <n v="9818" u="1"/>
        <n v="6813" u="1"/>
        <n v="12053" u="1"/>
        <n v="6856" u="1"/>
        <n v="12139" u="1"/>
        <n v="2188" u="1"/>
        <n v="14374" u="1"/>
        <n v="6899" u="1"/>
        <n v="749" u="1"/>
        <n v="4707" u="1"/>
        <n v="14460" u="1"/>
        <n v="10076" u="1"/>
        <n v="4750" u="1"/>
        <n v="10162" u="1"/>
        <n v="4793" u="1"/>
        <n v="10248" u="1"/>
        <n v="7028" u="1"/>
        <n v="12483" u="1"/>
        <n v="3370" u="1"/>
        <n v="2274" u="1"/>
        <n v="1065" u="1"/>
        <n v="7071" u="1"/>
        <n v="12569" u="1"/>
        <n v="14804" u="1"/>
        <n v="7114" u="1"/>
        <n v="4922" u="1"/>
        <n v="12655" u="1"/>
        <n v="8271" u="1"/>
        <n v="2317" u="1"/>
        <n v="14890" u="1"/>
        <n v="4965" u="1"/>
        <n v="8357" u="1"/>
        <n v="14976" u="1"/>
        <n v="10592" u="1"/>
        <n v="5008" u="1"/>
        <n v="3456" u="1"/>
        <n v="1656" u="1"/>
        <n v="10678" u="1"/>
        <n v="1108" u="1"/>
        <n v="12913" u="1"/>
        <n v="518" u="1"/>
        <n v="378" u="1"/>
        <n v="10764" u="1"/>
        <n v="180" u="1"/>
        <n v="7286" u="1"/>
        <n v="12999" u="1"/>
        <n v="3499" u="1"/>
        <n v="2403" u="1"/>
        <n v="7329" u="1"/>
        <n v="13085" u="1"/>
        <n v="8701" u="1"/>
        <n v="9" u="1"/>
        <n v="7372" u="1"/>
        <n v="5180" u="1"/>
        <n v="8787" u="1"/>
        <n v="2446" u="1"/>
        <n v="1699" u="1"/>
        <n v="11022" u="1"/>
        <n v="5223" u="1"/>
        <n v="8873" u="1"/>
        <n v="11108" u="1"/>
        <n v="3585" u="1"/>
        <n v="11194" u="1"/>
        <n v="7501" u="1"/>
        <n v="13429" u="1"/>
        <n v="7544" u="1"/>
        <n v="13515" u="1"/>
        <n v="2532" u="1"/>
        <n v="7587" u="1"/>
        <n v="835" u="1"/>
        <n v="5395" u="1"/>
        <n v="13601" u="1"/>
        <n v="9217" u="1"/>
        <n v="5438" u="1"/>
        <n v="9303" u="1"/>
        <n v="11538" u="1"/>
        <n v="5481" u="1"/>
        <n v="11624" u="1"/>
        <n v="13859" u="1"/>
        <n v="3714" u="1"/>
        <n v="11710" u="1"/>
        <n v="1237" u="1"/>
        <n v="7759" u="1"/>
        <n v="13945" u="1"/>
        <n v="16180" u="1"/>
        <n v="7802" u="1"/>
        <n v="14031" u="1"/>
        <n v="9647" u="1"/>
        <n v="2661" u="1"/>
        <n v="7845" u="1"/>
        <n v="5653" u="1"/>
        <n v="9733" u="1"/>
        <n v="11968" u="1"/>
        <n v="5696" u="1"/>
        <n v="3800" u="1"/>
        <n v="9819" u="1"/>
        <n v="1828" u="1"/>
        <n v="12054" u="1"/>
        <n v="1280" u="1"/>
        <n v="604" u="1"/>
        <n v="12140" u="1"/>
        <n v="7974" u="1"/>
        <n v="133" u="1"/>
        <n v="14375" u="1"/>
        <n v="3843" u="1"/>
        <n v="63" u="1"/>
        <n v="2747" u="1"/>
        <n v="8017" u="1"/>
        <n v="14461" u="1"/>
        <n v="10077" u="1"/>
        <n v="8060" u="1"/>
        <n v="5868" u="1"/>
        <n v="10163" u="1"/>
        <n v="2790" u="1"/>
        <n v="1871" u="1"/>
        <n v="5911" u="1"/>
        <n v="10249" u="1"/>
        <n v="12484" u="1"/>
        <n v="5954" u="1"/>
        <n v="3929" u="1"/>
        <n v="12570" u="1"/>
        <n v="14805" u="1"/>
        <n v="12656" u="1"/>
        <n v="8272" u="1"/>
        <n v="14891" u="1"/>
        <n v="3972" u="1"/>
        <n v="2876" u="1"/>
        <n v="1366" u="1"/>
        <n v="8358" u="1"/>
        <n v="921" u="1"/>
        <n v="6083" u="1"/>
        <n v="14977" u="1"/>
        <n v="10593" u="1"/>
        <n v="6126" u="1"/>
        <n v="10679" u="1"/>
        <n v="2919" u="1"/>
        <n v="12914" u="1"/>
        <n v="6169" u="1"/>
        <n v="10765" u="1"/>
        <n v="13000" u="1"/>
        <n v="4058" u="1"/>
        <n v="13086" u="1"/>
        <n v="1409" u="1"/>
        <n v="8702" u="1"/>
        <n v="8788" u="1"/>
        <n v="11023" u="1"/>
        <n v="3005" u="1"/>
        <n v="8874" u="1"/>
        <n v="6341" u="1"/>
        <n v="11109" u="1"/>
        <n v="6384" u="1"/>
        <n v="11195" u="1"/>
        <n v="2000" u="1"/>
        <n v="13430" u="1"/>
        <n v="6427" u="1"/>
        <n v="690" u="1"/>
        <n v="4235" u="1"/>
        <n v="13516" u="1"/>
        <n v="223" u="1"/>
        <n v="107" u="1"/>
        <n v="4278" u="1"/>
        <n v="9218" u="1"/>
        <n v="4321" u="1"/>
        <n v="9304" u="1"/>
        <n v="6556" u="1"/>
        <n v="11539" u="1"/>
        <n v="3134" u="1"/>
        <n v="2043" u="1"/>
        <n v="6599" u="1"/>
        <n v="11625" u="1"/>
        <n v="13860" u="1"/>
        <n v="6642" u="1"/>
        <n v="4450" u="1"/>
        <n v="11711" u="1"/>
        <n v="2081" u="1"/>
        <n v="13946" u="1"/>
        <n v="4493" u="1"/>
        <n v="14032" u="1"/>
        <n v="9648" u="1"/>
        <n v="4536" u="1"/>
        <n v="3220" u="1"/>
        <n v="1538" u="1"/>
        <n v="9734" u="1"/>
        <n v="1007" u="1"/>
        <n v="11969" u="1"/>
        <n v="9820" u="1"/>
        <n v="6814" u="1"/>
        <n v="12055" u="1"/>
        <n v="3263" u="1"/>
        <n v="2167" u="1"/>
        <n v="6857" u="1"/>
        <n v="12141" u="1"/>
        <n v="14376" u="1"/>
        <n v="6900" u="1"/>
        <n v="4708" u="1"/>
        <n v="2210" u="1"/>
        <n v="14462" u="1"/>
        <n v="1581" u="1"/>
        <n v="10078" u="1"/>
        <n v="4751" u="1"/>
        <n v="10164" u="1"/>
        <n v="4794" u="1"/>
        <n v="3349" u="1"/>
        <n v="10250" u="1"/>
        <n v="7029" u="1"/>
        <n v="12485" u="1"/>
        <n v="7072" u="1"/>
        <n v="12571" u="1"/>
        <n v="2296" u="1"/>
        <n v="14806" u="1"/>
        <n v="7115" u="1"/>
        <n v="776" u="1"/>
        <n v="4923" u="1"/>
        <n v="12657" u="1"/>
        <n v="8273" u="1"/>
        <n v="370" u="1"/>
        <n v="14892" u="1"/>
        <n v="176" u="1"/>
        <n v="4966" u="1"/>
        <n v="8359" u="1"/>
        <n v="14978" u="1"/>
        <n v="10594" u="1"/>
        <n v="5009" u="1"/>
        <n v="10680" u="1"/>
        <n v="12915" u="1"/>
        <n v="3478" u="1"/>
        <n v="10766" u="1"/>
        <n v="1119" u="1"/>
        <n v="7287" u="1"/>
        <n v="13001" u="1"/>
        <n v="7330" u="1"/>
        <n v="13087" u="1"/>
        <n v="8703" u="1"/>
        <n v="2425" u="1"/>
        <n v="7373" u="1"/>
        <n v="5181" u="1"/>
        <n v="8789" u="1"/>
        <n v="11024" u="1"/>
        <n v="5224" u="1"/>
        <n v="3564" u="1"/>
        <n v="8875" u="1"/>
        <n v="1710" u="1"/>
        <n v="11110" u="1"/>
        <n v="545" u="1"/>
        <n v="11196" u="1"/>
        <n v="7502" u="1"/>
        <n v="13431" u="1"/>
        <n v="3607" u="1"/>
        <n v="2511" u="1"/>
        <n v="7545" u="1"/>
        <n v="13517" u="1"/>
        <n v="7588" u="1"/>
        <n v="5396" u="1"/>
        <n v="9219" u="1"/>
        <n v="2554" u="1"/>
        <n v="1753" u="1"/>
        <n v="5439" u="1"/>
        <n v="9305" u="1"/>
        <n v="11540" u="1"/>
        <n v="5482" u="1"/>
        <n v="3693" u="1"/>
        <n v="11626" u="1"/>
        <n v="13861" u="1"/>
        <n v="11712" u="1"/>
        <n v="7760" u="1"/>
        <n v="13947" u="1"/>
        <n v="3736" u="1"/>
        <n v="2640" u="1"/>
        <n v="1248" u="1"/>
        <n v="7803" u="1"/>
        <n v="862" u="1"/>
        <n v="14033" u="1"/>
        <n v="9649" u="1"/>
        <n v="413" u="1"/>
        <n v="276" u="1"/>
        <n v="129" u="1"/>
        <n v="5654" u="1"/>
        <n v="9735" u="1"/>
        <n v="62" u="1"/>
        <n v="2683" u="1"/>
        <n v="11970" u="1"/>
        <n v="5697" u="1"/>
        <n v="9821" u="1"/>
        <n v="12056" u="1"/>
        <n v="3822" u="1"/>
        <n v="12142" u="1"/>
        <n v="1291" u="1"/>
        <n v="7975" u="1"/>
        <n v="14377" u="1"/>
        <n v="8018" u="1"/>
        <n v="14463" u="1"/>
        <n v="10079" u="1"/>
        <n v="2769" u="1"/>
        <n v="8061" u="1"/>
        <n v="5869" u="1"/>
        <n v="10165" u="1"/>
        <n v="5912" u="1"/>
        <n v="10251" u="1"/>
        <n v="1882" u="1"/>
        <n v="12486" u="1"/>
        <n v="5955" u="1"/>
        <n v="631" u="1"/>
        <n v="12572" u="1"/>
        <n v="14807" u="1"/>
        <n v="3951" u="1"/>
        <n v="12658" u="1"/>
        <n v="8274" u="1"/>
        <n v="14893" u="1"/>
        <n v="8360" u="1"/>
        <n v="6084" u="1"/>
        <n v="14979" u="1"/>
        <n v="10595" u="1"/>
        <n v="2898" u="1"/>
        <n v="6127" u="1"/>
        <n v="10681" u="1"/>
        <n v="12916" u="1"/>
        <n v="6170" u="1"/>
        <n v="4037" u="1"/>
        <n v="10767" u="1"/>
        <n v="13002" u="1"/>
        <n v="15237" u="1"/>
        <n v="13088" u="1"/>
        <n v="8704" u="1"/>
        <n v="4080" u="1"/>
        <n v="2984" u="1"/>
        <n v="1420" u="1"/>
        <n v="8790" u="1"/>
        <n v="948" u="1"/>
        <n v="11025" u="1"/>
        <n v="456" u="1"/>
        <n v="319" u="1"/>
        <n v="8876" u="1"/>
        <n v="6342" u="1"/>
        <n v="105" u="1"/>
        <n v="11111" u="1"/>
        <n v="3027" u="1"/>
        <n v="24" u="1"/>
        <n v="6385" u="1"/>
        <n v="11197" u="1"/>
        <n v="13432" u="1"/>
        <n v="6428" u="1"/>
        <n v="4236" u="1"/>
        <n v="2011" u="1"/>
        <n v="13518" u="1"/>
        <n v="1463" u="1"/>
        <n v="9134" u="1"/>
        <n v="4279" u="1"/>
        <n v="9220" u="1"/>
        <n v="4322" u="1"/>
        <n v="3113" u="1"/>
        <n v="9306" u="1"/>
        <n v="6557" u="1"/>
        <n v="11541" u="1"/>
        <n v="6600" u="1"/>
        <n v="11627" u="1"/>
        <n v="2060" u="1"/>
        <n v="13862" u="1"/>
        <n v="6643" u="1"/>
        <n v="717" u="1"/>
        <n v="4451" u="1"/>
        <n v="11713" u="1"/>
        <n v="13948" u="1"/>
        <n v="4494" u="1"/>
        <n v="14034" u="1"/>
        <n v="9650" u="1"/>
        <n v="4537" u="1"/>
        <n v="9736" u="1"/>
        <n v="11971" u="1"/>
        <n v="3242" u="1"/>
        <n v="9822" u="1"/>
        <n v="6815" u="1"/>
        <n v="12057" u="1"/>
        <n v="6858" u="1"/>
        <n v="12143" u="1"/>
        <n v="2189" u="1"/>
        <n v="14378" u="1"/>
        <n v="6901" u="1"/>
        <n v="4709" u="1"/>
        <n v="14464" u="1"/>
        <n v="10080" u="1"/>
        <n v="4752" u="1"/>
        <n v="3328" u="1"/>
        <n v="1592" u="1"/>
        <n v="10166" u="1"/>
        <n v="499" u="1"/>
        <n v="10252" u="1"/>
        <n v="172" u="1"/>
        <n v="7030" u="1"/>
        <n v="12487" u="1"/>
        <n v="3371" u="1"/>
        <n v="2275" u="1"/>
        <n v="7073" u="1"/>
        <n v="12573" u="1"/>
        <n v="14808" u="1"/>
        <n v="7116" u="1"/>
        <n v="4924" u="1"/>
        <n v="12659" u="1"/>
        <n v="8275" u="1"/>
        <n v="2318" u="1"/>
        <n v="14894" u="1"/>
        <n v="1635" u="1"/>
        <n v="4967" u="1"/>
        <n v="8361" u="1"/>
        <n v="14980" u="1"/>
        <n v="10596" u="1"/>
        <n v="5010" u="1"/>
        <n v="3457" u="1"/>
        <n v="10682" u="1"/>
        <n v="12917" u="1"/>
        <n v="10768" u="1"/>
        <n v="7288" u="1"/>
        <n v="13003" u="1"/>
        <n v="3500" u="1"/>
        <n v="2404" u="1"/>
        <n v="15238" u="1"/>
        <n v="1130" u="1"/>
        <n v="7331" u="1"/>
        <n v="803" u="1"/>
        <n v="13089" u="1"/>
        <n v="8705" u="1"/>
        <n v="7374" u="1"/>
        <n v="5182" u="1"/>
        <n v="8791" u="1"/>
        <n v="2447" u="1"/>
        <n v="11026" u="1"/>
        <n v="5225" u="1"/>
        <n v="8877" u="1"/>
        <n v="11112" u="1"/>
        <n v="3586" u="1"/>
        <n v="11198" u="1"/>
        <n v="1173" u="1"/>
        <n v="7503" u="1"/>
        <n v="13433" u="1"/>
        <n v="7546" u="1"/>
        <n v="13519" u="1"/>
        <n v="9135" u="1"/>
        <n v="2533" u="1"/>
        <n v="7589" u="1"/>
        <n v="5397" u="1"/>
        <n v="9221" u="1"/>
        <n v="5440" u="1"/>
        <n v="9307" u="1"/>
        <n v="1764" u="1"/>
        <n v="11542" u="1"/>
        <n v="5483" u="1"/>
        <n v="572" u="1"/>
        <n v="11628" u="1"/>
        <n v="13863" u="1"/>
        <n v="3715" u="1"/>
        <n v="61" u="1"/>
        <n v="11714" u="1"/>
        <n v="7761" u="1"/>
        <n v="13949" u="1"/>
        <n v="7804" u="1"/>
        <n v="5612" u="1"/>
        <n v="14035" u="1"/>
        <n v="9651" u="1"/>
        <n v="2662" u="1"/>
        <n v="5655" u="1"/>
        <n v="9737" u="1"/>
        <n v="11972" u="1"/>
        <n v="5698" u="1"/>
        <n v="3801" u="1"/>
        <n v="9823" u="1"/>
        <n v="12058" u="1"/>
        <n v="12144" u="1"/>
        <n v="7976" u="1"/>
        <n v="14379" u="1"/>
        <n v="3844" u="1"/>
        <n v="2748" u="1"/>
        <n v="1302" u="1"/>
        <n v="8019" u="1"/>
        <n v="889" u="1"/>
        <n v="14465" u="1"/>
        <n v="10081" u="1"/>
        <n v="8062" u="1"/>
        <n v="5870" u="1"/>
        <n v="10167" u="1"/>
        <n v="2791" u="1"/>
        <n v="5913" u="1"/>
        <n v="10253" u="1"/>
        <n v="12488" u="1"/>
        <n v="5956" u="1"/>
        <n v="3930" u="1"/>
        <n v="1893" u="1"/>
        <n v="12574" u="1"/>
        <n v="1345" u="1"/>
        <n v="14809" u="1"/>
        <n v="12660" u="1"/>
        <n v="8276" u="1"/>
        <n v="14895" u="1"/>
        <n v="3973" u="1"/>
        <n v="2877" u="1"/>
        <n v="8362" u="1"/>
        <n v="6085" u="1"/>
        <n v="14981" u="1"/>
        <n v="10597" u="1"/>
        <n v="6128" u="1"/>
        <n v="10683" u="1"/>
        <n v="1936" u="1"/>
        <n v="12918" u="1"/>
        <n v="932" u="1"/>
        <n v="6171" u="1"/>
        <n v="658" u="1"/>
        <n v="10769" u="1"/>
        <n v="311" u="1"/>
        <n v="13004" u="1"/>
        <n v="215" u="1"/>
        <n v="103" u="1"/>
        <n v="4059" u="1"/>
        <n v="13090" u="1"/>
        <n v="8706" u="1"/>
        <n v="8792" u="1"/>
        <n v="11027" u="1"/>
        <n v="3006" u="1"/>
        <n v="8878" u="1"/>
        <n v="6343" u="1"/>
        <n v="11113" u="1"/>
        <n v="6386" u="1"/>
        <n v="11199" u="1"/>
        <n v="13434" u="1"/>
        <n v="6429" u="1"/>
        <n v="4237" u="1"/>
        <n v="13520" u="1"/>
        <n v="9136" u="1"/>
        <n v="4280" u="1"/>
        <n v="1474" u="1"/>
        <n v="9222" u="1"/>
        <n v="4323" u="1"/>
        <n v="9308" u="1"/>
        <n v="6558" u="1"/>
        <n v="11543" u="1"/>
        <n v="3135" u="1"/>
        <n v="6601" u="1"/>
        <n v="11629" u="1"/>
        <n v="13864" u="1"/>
        <n v="6644" u="1"/>
        <n v="4452" u="1"/>
        <n v="11715" u="1"/>
        <n v="2082" u="1"/>
        <n v="13950" u="1"/>
        <n v="1517" u="1"/>
        <n v="4495" u="1"/>
        <n v="14036" u="1"/>
        <n v="9652" u="1"/>
        <n v="4538" u="1"/>
        <n v="3221" u="1"/>
        <n v="9738" u="1"/>
        <n v="11973" u="1"/>
        <n v="9824" u="1"/>
        <n v="6816" u="1"/>
        <n v="12059" u="1"/>
        <n v="3264" u="1"/>
        <n v="2168" u="1"/>
        <n v="1018" u="1"/>
        <n v="6859" u="1"/>
        <n v="744" u="1"/>
        <n v="12145" u="1"/>
        <n v="354" u="1"/>
        <n v="14380" u="1"/>
        <n v="168" u="1"/>
        <n v="6902" u="1"/>
        <n v="4710" u="1"/>
        <n v="2211" u="1"/>
        <n v="14466" u="1"/>
        <n v="10082" u="1"/>
        <n v="4753" u="1"/>
        <n v="10168" u="1"/>
        <n v="3350" u="1"/>
        <n v="1603" u="1"/>
        <n v="10254" u="1"/>
        <n v="1055" u="1"/>
        <n v="7031" u="1"/>
        <n v="12489" u="1"/>
        <n v="7074" u="1"/>
        <n v="12575" u="1"/>
        <n v="2297" u="1"/>
        <n v="14810" u="1"/>
        <n v="7117" u="1"/>
        <n v="4925" u="1"/>
        <n v="12661" u="1"/>
        <n v="8277" u="1"/>
        <n v="14896" u="1"/>
        <n v="4968" u="1"/>
        <n v="8363" u="1"/>
        <n v="14982" u="1"/>
        <n v="1646" u="1"/>
        <n v="10598" u="1"/>
        <n v="5011" u="1"/>
        <n v="513" u="1"/>
        <n v="10684" u="1"/>
        <n v="12919" u="1"/>
        <n v="3479" u="1"/>
        <n v="10770" u="1"/>
        <n v="7289" u="1"/>
        <n v="13005" u="1"/>
        <n v="7332" u="1"/>
        <n v="13091" u="1"/>
        <n v="8707" u="1"/>
        <n v="2426" u="1"/>
        <n v="7375" u="1"/>
        <n v="5183" u="1"/>
        <n v="8793" u="1"/>
        <n v="11028" u="1"/>
        <n v="5226" u="1"/>
        <n v="3565" u="1"/>
        <n v="8879" u="1"/>
        <n v="11114" u="1"/>
        <n v="11200" u="1"/>
        <n v="7504" u="1"/>
        <n v="13435" u="1"/>
        <n v="3608" u="1"/>
        <n v="2512" u="1"/>
        <n v="1184" u="1"/>
        <n v="7547" u="1"/>
        <n v="830" u="1"/>
        <n v="13521" u="1"/>
        <n v="9137" u="1"/>
        <n v="397" u="1"/>
        <n v="260" u="1"/>
        <n v="7590" u="1"/>
        <n v="5398" u="1"/>
        <n v="9223" u="1"/>
        <n v="60" u="1"/>
        <n v="2555" u="1"/>
        <n v="5441" u="1"/>
        <n v="9309" u="1"/>
        <n v="11544" u="1"/>
        <n v="5484" u="1"/>
        <n v="3694" u="1"/>
        <n v="1775" u="1"/>
        <n v="11630" u="1"/>
        <n v="1227" u="1"/>
        <n v="13865" u="1"/>
        <n v="11716" u="1"/>
        <n v="7762" u="1"/>
        <n v="13951" u="1"/>
        <n v="3737" u="1"/>
        <n v="2641" u="1"/>
        <n v="7805" u="1"/>
        <n v="5613" u="1"/>
        <n v="14037" u="1"/>
        <n v="9653" u="1"/>
        <n v="5656" u="1"/>
        <n v="9739" u="1"/>
        <n v="2684" u="1"/>
        <n v="1818" u="1"/>
        <n v="11974" u="1"/>
        <n v="873" u="1"/>
        <n v="5699" u="1"/>
        <n v="599" u="1"/>
        <n v="9825" u="1"/>
        <n v="12060" u="1"/>
        <n v="3823" u="1"/>
        <n v="12146" u="1"/>
        <n v="7977" u="1"/>
        <n v="14381" u="1"/>
        <n v="8020" u="1"/>
        <n v="14467" u="1"/>
        <n v="10083" u="1"/>
        <n v="2770" u="1"/>
        <n v="8063" u="1"/>
        <n v="5871" u="1"/>
        <n v="10169" u="1"/>
        <n v="5914" u="1"/>
        <n v="10255" u="1"/>
        <n v="12490" u="1"/>
        <n v="5957" u="1"/>
        <n v="12576" u="1"/>
        <n v="14811" u="1"/>
        <n v="3952" u="1"/>
        <n v="12662" u="1"/>
        <n v="1356" u="1"/>
        <n v="8278" u="1"/>
        <n v="14897" u="1"/>
        <n v="440" u="1"/>
        <n v="8364" u="1"/>
        <n v="6086" u="1"/>
        <n v="14983" u="1"/>
        <n v="101" u="1"/>
        <n v="10599" u="1"/>
        <n v="2899" u="1"/>
        <n v="23" u="1"/>
        <n v="6129" u="1"/>
        <n v="10685" u="1"/>
        <n v="12920" u="1"/>
        <n v="6172" u="1"/>
        <n v="4038" u="1"/>
        <n v="10771" u="1"/>
        <n v="1947" u="1"/>
        <n v="13006" u="1"/>
        <n v="1399" u="1"/>
        <n v="13092" u="1"/>
        <n v="8708" u="1"/>
        <n v="4081" u="1"/>
        <n v="2985" u="1"/>
        <n v="8794" u="1"/>
        <n v="11029" u="1"/>
        <n v="8880" u="1"/>
        <n v="6344" u="1"/>
        <n v="11115" u="1"/>
        <n v="3028" u="1"/>
        <n v="1990" u="1"/>
        <n v="959" u="1"/>
        <n v="6387" u="1"/>
        <n v="685" u="1"/>
        <n v="11201" u="1"/>
        <n v="13436" u="1"/>
        <n v="6430" u="1"/>
        <n v="4238" u="1"/>
        <n v="13522" u="1"/>
        <n v="9138" u="1"/>
        <n v="4281" u="1"/>
        <n v="9224" u="1"/>
        <n v="4324" u="1"/>
        <n v="3114" u="1"/>
        <n v="1485" u="1"/>
        <n v="9310" u="1"/>
        <n v="6559" u="1"/>
        <n v="11545" u="1"/>
        <n v="6602" u="1"/>
        <n v="11631" u="1"/>
        <n v="2061" u="1"/>
        <n v="13866" u="1"/>
        <n v="6645" u="1"/>
        <n v="4453" u="1"/>
        <n v="11717" u="1"/>
        <n v="13952" u="1"/>
        <n v="4496" u="1"/>
        <n v="14038" u="1"/>
        <n v="1528" u="1"/>
        <n v="9654" u="1"/>
        <n v="4539" u="1"/>
        <n v="483" u="1"/>
        <n v="9740" u="1"/>
        <n v="164" u="1"/>
        <n v="11975" u="1"/>
        <n v="3243" u="1"/>
        <n v="9826" u="1"/>
        <n v="6817" u="1"/>
        <n v="12061" u="1"/>
        <n v="8" u="1"/>
        <n v="6860" u="1"/>
        <n v="12147" u="1"/>
        <n v="2190" u="1"/>
        <n v="14382" u="1"/>
        <n v="6903" u="1"/>
        <n v="4711" u="1"/>
        <n v="14468" u="1"/>
        <n v="10084" u="1"/>
        <n v="4754" u="1"/>
        <n v="3329" u="1"/>
        <n v="10170" u="1"/>
        <n v="10256" u="1"/>
        <n v="7032" u="1"/>
        <n v="12491" u="1"/>
        <n v="3372" u="1"/>
        <n v="2276" u="1"/>
        <n v="1066" u="1"/>
        <n v="7075" u="1"/>
        <n v="771" u="1"/>
        <n v="12577" u="1"/>
        <n v="14812" u="1"/>
        <n v="7118" u="1"/>
        <n v="4926" u="1"/>
        <n v="12663" u="1"/>
        <n v="8279" u="1"/>
        <n v="2319" u="1"/>
        <n v="14898" u="1"/>
        <n v="4969" u="1"/>
        <n v="8365" u="1"/>
        <n v="14984" u="1"/>
        <n v="10600" u="1"/>
        <n v="5012" u="1"/>
        <n v="3458" u="1"/>
        <n v="1657" u="1"/>
        <n v="10686" u="1"/>
        <n v="1109" u="1"/>
        <n v="12921" u="1"/>
        <n v="10772" u="1"/>
        <n v="7290" u="1"/>
        <n v="13007" u="1"/>
        <n v="3501" u="1"/>
        <n v="2405" u="1"/>
        <n v="7333" u="1"/>
        <n v="13093" u="1"/>
        <n v="8709" u="1"/>
        <n v="7376" u="1"/>
        <n v="5184" u="1"/>
        <n v="8795" u="1"/>
        <n v="2448" u="1"/>
        <n v="1700" u="1"/>
        <n v="11030" u="1"/>
        <n v="814" u="1"/>
        <n v="5227" u="1"/>
        <n v="540" u="1"/>
        <n v="8881" u="1"/>
        <n v="254" u="1"/>
        <n v="11116" u="1"/>
        <n v="3587" u="1"/>
        <n v="59" u="1"/>
        <n v="11202" u="1"/>
        <n v="7505" u="1"/>
        <n v="13437" u="1"/>
        <n v="7548" u="1"/>
        <n v="13523" u="1"/>
        <n v="9139" u="1"/>
        <n v="2534" u="1"/>
        <n v="7591" u="1"/>
        <n v="5399" u="1"/>
        <n v="9225" u="1"/>
        <n v="5442" u="1"/>
        <n v="9311" u="1"/>
        <n v="11546" u="1"/>
        <n v="5485" u="1"/>
        <n v="11632" u="1"/>
        <n v="13867" u="1"/>
        <n v="3716" u="1"/>
        <n v="11718" u="1"/>
        <n v="1238" u="1"/>
        <n v="7763" u="1"/>
        <n v="13953" u="1"/>
        <n v="7806" u="1"/>
        <n v="5614" u="1"/>
        <n v="14039" u="1"/>
        <n v="9655" u="1"/>
        <n v="2663" u="1"/>
        <n v="5657" u="1"/>
        <n v="9741" u="1"/>
        <n v="11976" u="1"/>
        <n v="5700" u="1"/>
        <n v="3802" u="1"/>
        <n v="9827" u="1"/>
        <n v="1829" u="1"/>
        <n v="12062" u="1"/>
        <n v="1281" u="1"/>
        <n v="12148" u="1"/>
        <n v="7978" u="1"/>
        <n v="14383" u="1"/>
        <n v="3845" u="1"/>
        <n v="2749" u="1"/>
        <n v="8021" u="1"/>
        <n v="14469" u="1"/>
        <n v="10085" u="1"/>
        <n v="8064" u="1"/>
        <n v="5872" u="1"/>
        <n v="10171" u="1"/>
        <n v="2792" u="1"/>
        <n v="1872" u="1"/>
        <n v="900" u="1"/>
        <n v="5915" u="1"/>
        <n v="626" u="1"/>
        <n v="10257" u="1"/>
        <n v="295" u="1"/>
        <n v="12492" u="1"/>
        <n v="207" u="1"/>
        <n v="5958" u="1"/>
        <n v="99" u="1"/>
        <n v="3931" u="1"/>
        <n v="12578" u="1"/>
        <n v="14813" u="1"/>
        <n v="8280" u="1"/>
        <n v="14899" u="1"/>
        <n v="3974" u="1"/>
        <n v="2878" u="1"/>
        <n v="1367" u="1"/>
        <n v="8366" u="1"/>
        <n v="6087" u="1"/>
        <n v="14985" u="1"/>
        <n v="10601" u="1"/>
        <n v="6130" u="1"/>
        <n v="10687" u="1"/>
        <n v="12922" u="1"/>
        <n v="6173" u="1"/>
        <n v="10773" u="1"/>
        <n v="13008" u="1"/>
        <n v="4060" u="1"/>
        <n v="13094" u="1"/>
        <n v="1410" u="1"/>
        <n v="8710" u="1"/>
        <n v="8796" u="1"/>
        <n v="11031" u="1"/>
        <n v="3007" u="1"/>
        <n v="8882" u="1"/>
        <n v="6345" u="1"/>
        <n v="11117" u="1"/>
        <n v="6388" u="1"/>
        <n v="11203" u="1"/>
        <n v="2001" u="1"/>
        <n v="13438" u="1"/>
        <n v="6431" u="1"/>
        <n v="4239" u="1"/>
        <n v="13524" u="1"/>
        <n v="9140" u="1"/>
        <n v="4282" u="1"/>
        <n v="9226" u="1"/>
        <n v="9312" u="1"/>
        <n v="6560" u="1"/>
        <n v="11547" u="1"/>
        <n v="3136" u="1"/>
        <n v="2044" u="1"/>
        <n v="24418" u="1"/>
        <n v="986" u="1"/>
        <n v="6603" u="1"/>
        <n v="712" u="1"/>
        <n v="11633" u="1"/>
        <n v="338" u="1"/>
        <n v="13868" u="1"/>
        <n v="160" u="1"/>
        <n v="6646" u="1"/>
        <n v="4454" u="1"/>
        <n v="11719" u="1"/>
        <n v="2083" u="1"/>
        <n v="13954" u="1"/>
        <n v="4497" u="1"/>
        <n v="14040" u="1"/>
        <n v="9656" u="1"/>
        <n v="4540" u="1"/>
        <n v="3222" u="1"/>
        <n v="1539" u="1"/>
        <n v="9742" u="1"/>
        <n v="11977" u="1"/>
        <n v="9828" u="1"/>
        <n v="6818" u="1"/>
        <n v="12063" u="1"/>
        <n v="3265" u="1"/>
        <n v="2169" u="1"/>
        <n v="14298" u="1"/>
        <n v="6861" u="1"/>
        <n v="12149" u="1"/>
        <n v="14384" u="1"/>
        <n v="6904" u="1"/>
        <n v="4712" u="1"/>
        <n v="2212" u="1"/>
        <n v="14470" u="1"/>
        <n v="1582" u="1"/>
        <n v="10086" u="1"/>
        <n v="755" u="1"/>
        <n v="4755" u="1"/>
        <n v="10172" u="1"/>
        <n v="3351" u="1"/>
        <n v="10258" u="1"/>
        <n v="7033" u="1"/>
        <n v="12493" u="1"/>
        <n v="7076" u="1"/>
        <n v="12579" u="1"/>
        <n v="8195" u="1"/>
        <n v="2298" u="1"/>
        <n v="14814" u="1"/>
        <n v="7119" u="1"/>
        <n v="4927" u="1"/>
        <n v="8281" u="1"/>
        <n v="14900" u="1"/>
        <n v="24419" u="1"/>
        <n v="4970" u="1"/>
        <n v="8367" u="1"/>
        <n v="14986" u="1"/>
        <n v="10602" u="1"/>
        <n v="5013" u="1"/>
        <n v="10688" u="1"/>
        <n v="12923" u="1"/>
        <n v="3480" u="1"/>
        <n v="10774" u="1"/>
        <n v="1120" u="1"/>
        <n v="7291" u="1"/>
        <n v="13009" u="1"/>
        <n v="381" u="1"/>
        <n v="7334" u="1"/>
        <n v="5142" u="1"/>
        <n v="13095" u="1"/>
        <n v="8711" u="1"/>
        <n v="58" u="1"/>
        <n v="2427" u="1"/>
        <n v="5185" u="1"/>
        <n v="8797" u="1"/>
        <n v="11032" u="1"/>
        <n v="5228" u="1"/>
        <n v="3566" u="1"/>
        <n v="8883" u="1"/>
        <n v="1711" u="1"/>
        <n v="11118" u="1"/>
        <n v="1163" u="1"/>
        <n v="11204" u="1"/>
        <n v="7506" u="1"/>
        <n v="13439" u="1"/>
        <n v="3609" u="1"/>
        <n v="2513" u="1"/>
        <n v="7549" u="1"/>
        <n v="13525" u="1"/>
        <n v="9141" u="1"/>
        <n v="7592" u="1"/>
        <n v="5400" u="1"/>
        <n v="9227" u="1"/>
        <n v="2556" u="1"/>
        <n v="1754" u="1"/>
        <n v="841" u="1"/>
        <n v="5443" u="1"/>
        <n v="567" u="1"/>
        <n v="9313" u="1"/>
        <n v="11548" u="1"/>
        <n v="5486" u="1"/>
        <n v="3695" u="1"/>
        <n v="24420" u="1"/>
        <n v="11634" u="1"/>
        <n v="13869" u="1"/>
        <n v="11720" u="1"/>
        <n v="7764" u="1"/>
        <n v="13955" u="1"/>
        <n v="3738" u="1"/>
        <n v="2642" u="1"/>
        <n v="1249" u="1"/>
        <n v="7807" u="1"/>
        <n v="5615" u="1"/>
        <n v="14041" u="1"/>
        <n v="9657" u="1"/>
        <n v="5658" u="1"/>
        <n v="9743" u="1"/>
        <n v="11978" u="1"/>
        <n v="5701" u="1"/>
        <n v="9829" u="1"/>
        <n v="12064" u="1"/>
        <n v="14299" u="1"/>
        <n v="3824" u="1"/>
        <n v="12150" u="1"/>
        <n v="1292" u="1"/>
        <n v="7979" u="1"/>
        <n v="14385" u="1"/>
        <n v="424" u="1"/>
        <n v="8022" u="1"/>
        <n v="14471" u="1"/>
        <n v="97" u="1"/>
        <n v="10087" u="1"/>
        <n v="2771" u="1"/>
        <n v="8065" u="1"/>
        <n v="22" u="1"/>
        <n v="5873" u="1"/>
        <n v="10173" u="1"/>
        <n v="5916" u="1"/>
        <n v="10259" u="1"/>
        <n v="1883" u="1"/>
        <n v="12494" u="1"/>
        <n v="5959" u="1"/>
        <n v="12580" u="1"/>
        <n v="8196" u="1"/>
        <n v="14815" u="1"/>
        <n v="3953" u="1"/>
        <n v="8282" u="1"/>
        <n v="14901" u="1"/>
        <n v="24421" u="1"/>
        <n v="8368" u="1"/>
        <n v="6088" u="1"/>
        <n v="14987" u="1"/>
        <n v="10603" u="1"/>
        <n v="2900" u="1"/>
        <n v="1926" u="1"/>
        <n v="927" u="1"/>
        <n v="6131" u="1"/>
        <n v="653" u="1"/>
        <n v="10689" u="1"/>
        <n v="12924" u="1"/>
        <n v="6174" u="1"/>
        <n v="4039" u="1"/>
        <n v="10775" u="1"/>
        <n v="13010" u="1"/>
        <n v="13096" u="1"/>
        <n v="8712" u="1"/>
        <n v="4082" u="1"/>
        <n v="2986" u="1"/>
        <n v="1421" u="1"/>
        <n v="8798" u="1"/>
        <n v="11033" u="1"/>
        <n v="8884" u="1"/>
        <n v="6346" u="1"/>
        <n v="11119" u="1"/>
        <n v="3029" u="1"/>
        <n v="6389" u="1"/>
        <n v="11205" u="1"/>
        <n v="13440" u="1"/>
        <n v="6432" u="1"/>
        <n v="4240" u="1"/>
        <n v="2012" u="1"/>
        <n v="13526" u="1"/>
        <n v="1464" u="1"/>
        <n v="9142" u="1"/>
        <n v="696" u="1"/>
        <n v="4283" u="1"/>
        <n v="467" u="1"/>
        <n v="9228" u="1"/>
        <n v="156" u="1"/>
        <n v="3115" u="1"/>
        <n v="9314" u="1"/>
        <n v="6561" u="1"/>
        <n v="11549" u="1"/>
        <n v="24422" u="1"/>
        <n v="6604" u="1"/>
        <n v="11635" u="1"/>
        <n v="2062" u="1"/>
        <n v="13870" u="1"/>
        <n v="6647" u="1"/>
        <n v="4455" u="1"/>
        <n v="11721" u="1"/>
        <n v="13956" u="1"/>
        <n v="4498" u="1"/>
        <n v="14042" u="1"/>
        <n v="9658" u="1"/>
        <n v="4541" u="1"/>
        <n v="9744" u="1"/>
        <n v="11979" u="1"/>
        <n v="3244" u="1"/>
        <n v="9830" u="1"/>
        <n v="1013" u="1"/>
        <n v="6819" u="1"/>
        <n v="12065" u="1"/>
        <n v="14300" u="1"/>
        <n v="6862" u="1"/>
        <n v="12151" u="1"/>
        <n v="2191" u="1"/>
        <n v="14386" u="1"/>
        <n v="6905" u="1"/>
        <n v="4713" u="1"/>
        <n v="14472" u="1"/>
        <n v="10088" u="1"/>
        <n v="4756" u="1"/>
        <n v="3330" u="1"/>
        <n v="1593" u="1"/>
        <n v="10174" u="1"/>
        <n v="1045" u="1"/>
        <n v="10260" u="1"/>
        <n v="7034" u="1"/>
        <n v="12495" u="1"/>
        <n v="3373" u="1"/>
        <n v="2277" u="1"/>
        <n v="7077" u="1"/>
        <n v="12581" u="1"/>
        <n v="8197" u="1"/>
        <n v="14816" u="1"/>
        <n v="7120" u="1"/>
        <n v="4928" u="1"/>
        <n v="8283" u="1"/>
        <n v="2320" u="1"/>
        <n v="14902" u="1"/>
        <n v="24423" u="1"/>
        <n v="1636" u="1"/>
        <n v="782" u="1"/>
        <n v="4971" u="1"/>
        <n v="510" u="1"/>
        <n v="8369" u="1"/>
        <n v="14988" u="1"/>
        <n v="246" u="1"/>
        <n v="10604" u="1"/>
        <n v="5014" u="1"/>
        <n v="3459" u="1"/>
        <n v="57" u="1"/>
        <n v="10690" u="1"/>
        <n v="12925" u="1"/>
        <n v="10776" u="1"/>
        <n v="7292" u="1"/>
        <n v="3" u="1"/>
        <n v="13011" u="1"/>
        <n v="3502" u="1"/>
        <n v="2406" u="1"/>
        <n v="1131" u="1"/>
        <n v="7335" u="1"/>
        <n v="5143" u="1"/>
        <n v="13097" u="1"/>
        <n v="8713" u="1"/>
        <n v="5186" u="1"/>
        <n v="8799" u="1"/>
        <n v="2449" u="1"/>
        <n v="11034" u="1"/>
        <n v="5229" u="1"/>
        <n v="8885" u="1"/>
        <n v="11120" u="1"/>
        <n v="3588" u="1"/>
        <n v="11206" u="1"/>
        <n v="1174" u="1"/>
        <n v="7507" u="1"/>
        <n v="13441" u="1"/>
        <n v="7550" u="1"/>
        <n v="13527" u="1"/>
        <n v="9143" u="1"/>
        <n v="2535" u="1"/>
        <n v="7593" u="1"/>
        <n v="5401" u="1"/>
        <n v="9229" u="1"/>
        <n v="5444" u="1"/>
        <n v="9315" u="1"/>
        <n v="1765" u="1"/>
        <n v="11550" u="1"/>
        <n v="5487" u="1"/>
        <n v="24424" u="1"/>
        <n v="11636" u="1"/>
        <n v="13871" u="1"/>
        <n v="3717" u="1"/>
        <n v="11722" u="1"/>
        <n v="7765" u="1"/>
        <n v="13957" u="1"/>
        <n v="7808" u="1"/>
        <n v="5616" u="1"/>
        <n v="14043" u="1"/>
        <n v="9659" u="1"/>
        <n v="2664" u="1"/>
        <n v="1808" u="1"/>
        <n v="868" u="1"/>
        <n v="5659" u="1"/>
        <n v="9745" u="1"/>
        <n v="279" u="1"/>
        <n v="11980" u="1"/>
        <n v="5702" u="1"/>
        <n v="95" u="1"/>
        <n v="3803" u="1"/>
        <n v="9831" u="1"/>
        <n v="12066" u="1"/>
        <n v="14301" u="1"/>
        <n v="12152" u="1"/>
        <n v="7980" u="1"/>
        <n v="14387" u="1"/>
        <n v="3846" u="1"/>
        <n v="2750" u="1"/>
        <n v="1303" u="1"/>
        <n v="8023" u="1"/>
        <n v="14473" u="1"/>
        <n v="10089" u="1"/>
        <n v="8066" u="1"/>
        <n v="5874" u="1"/>
        <n v="10175" u="1"/>
        <n v="2793" u="1"/>
        <n v="5917" u="1"/>
        <n v="10261" u="1"/>
        <n v="12496" u="1"/>
        <n v="5960" u="1"/>
        <n v="3932" u="1"/>
        <n v="1894" u="1"/>
        <n v="12582" u="1"/>
        <n v="1346" u="1"/>
        <n v="8198" u="1"/>
        <n v="14817" u="1"/>
        <n v="637" u="1"/>
        <n v="8284" u="1"/>
        <n v="14903" u="1"/>
        <n v="24425" u="1"/>
        <n v="3975" u="1"/>
        <n v="2879" u="1"/>
        <n v="8370" u="1"/>
        <n v="6089" u="1"/>
        <n v="14989" u="1"/>
        <n v="10605" u="1"/>
        <n v="6132" u="1"/>
        <n v="10691" u="1"/>
        <n v="1937" u="1"/>
        <n v="12926" u="1"/>
        <n v="6175" u="1"/>
        <n v="10777" u="1"/>
        <n v="13012" u="1"/>
        <n v="4061" u="1"/>
        <n v="13098" u="1"/>
        <n v="8714" u="1"/>
        <n v="8800" u="1"/>
        <n v="11035" u="1"/>
        <n v="3008" u="1"/>
        <n v="8886" u="1"/>
        <n v="954" u="1"/>
        <n v="6347" u="1"/>
        <n v="11121" u="1"/>
        <n v="322" u="1"/>
        <n v="152" u="1"/>
        <n v="6390" u="1"/>
        <n v="11207" u="1"/>
        <n v="13442" u="1"/>
        <n v="6433" u="1"/>
        <n v="4241" u="1"/>
        <n v="13528" u="1"/>
        <n v="9144" u="1"/>
        <n v="4284" u="1"/>
        <n v="3094" u="1"/>
        <n v="1475" u="1"/>
        <n v="9230" u="1"/>
        <n v="9316" u="1"/>
        <n v="6562" u="1"/>
        <n v="11551" u="1"/>
        <n v="3137" u="1"/>
        <n v="24426" u="1"/>
        <n v="6605" u="1"/>
        <n v="11637" u="1"/>
        <n v="13872" u="1"/>
        <n v="6648" u="1"/>
        <n v="4456" u="1"/>
        <n v="11723" u="1"/>
        <n v="2084" u="1"/>
        <n v="13958" u="1"/>
        <n v="1518" u="1"/>
        <n v="723" u="1"/>
        <n v="4499" u="1"/>
        <n v="14044" u="1"/>
        <n v="9660" u="1"/>
        <n v="4542" u="1"/>
        <n v="3223" u="1"/>
        <n v="9746" u="1"/>
        <n v="11981" u="1"/>
        <n v="9832" u="1"/>
        <n v="6820" u="1"/>
        <n v="12067" u="1"/>
        <n v="3266" u="1"/>
        <n v="2170" u="1"/>
        <n v="14302" u="1"/>
        <n v="6863" u="1"/>
        <n v="12153" u="1"/>
        <n v="14388" u="1"/>
        <n v="6906" u="1"/>
        <n v="4714" u="1"/>
        <n v="2213" u="1"/>
        <n v="14474" u="1"/>
        <n v="10090" u="1"/>
        <n v="4757" u="1"/>
        <n v="10176" u="1"/>
        <n v="3352" u="1"/>
        <n v="10262" u="1"/>
        <n v="1056" u="1"/>
        <n v="7035" u="1"/>
        <n v="12497" u="1"/>
        <n v="502" u="1"/>
        <n v="365" u="1"/>
        <n v="7078" u="1"/>
        <n v="12583" u="1"/>
        <n v="8199" u="1"/>
        <n v="56" u="1"/>
        <n v="2299" u="1"/>
        <n v="14818" u="1"/>
        <n v="7121" u="1"/>
        <n v="4929" u="1"/>
        <n v="8285" u="1"/>
        <n v="14904" u="1"/>
        <n v="24427" u="1"/>
        <n v="4972" u="1"/>
        <n v="8371" u="1"/>
        <n v="14990" u="1"/>
        <n v="1647" u="1"/>
        <n v="10606" u="1"/>
        <n v="5015" u="1"/>
        <n v="10692" u="1"/>
        <n v="12927" u="1"/>
        <n v="3481" u="1"/>
        <n v="10778" u="1"/>
        <n v="7293" u="1"/>
        <n v="13013" u="1"/>
        <n v="7336" u="1"/>
        <n v="5144" u="1"/>
        <n v="13099" u="1"/>
        <n v="8715" u="1"/>
        <n v="2428" u="1"/>
        <n v="809" u="1"/>
        <n v="5187" u="1"/>
        <n v="8801" u="1"/>
        <n v="11036" u="1"/>
        <n v="5230" u="1"/>
        <n v="3567" u="1"/>
        <n v="8887" u="1"/>
        <n v="11122" u="1"/>
        <n v="11208" u="1"/>
        <n v="7508" u="1"/>
        <n v="13443" u="1"/>
        <n v="3610" u="1"/>
        <n v="2514" u="1"/>
        <n v="1185" u="1"/>
        <n v="7551" u="1"/>
        <n v="13529" u="1"/>
        <n v="9145" u="1"/>
        <n v="7594" u="1"/>
        <n v="5402" u="1"/>
        <n v="9231" u="1"/>
        <n v="2557" u="1"/>
        <n v="5445" u="1"/>
        <n v="9317" u="1"/>
        <n v="11552" u="1"/>
        <n v="5488" u="1"/>
        <n v="3696" u="1"/>
        <n v="1776" u="1"/>
        <n v="11638" u="1"/>
        <n v="1228" u="1"/>
        <n v="13873" u="1"/>
        <n v="578" u="1"/>
        <n v="408" u="1"/>
        <n v="11724" u="1"/>
        <n v="195" u="1"/>
        <n v="7766" u="1"/>
        <n v="13959" u="1"/>
        <n v="93" u="1"/>
        <n v="3739" u="1"/>
        <n v="2643" u="1"/>
        <n v="7809" u="1"/>
        <n v="21" u="1"/>
        <n v="5617" u="1"/>
        <n v="14045" u="1"/>
        <n v="9661" u="1"/>
        <n v="5660" u="1"/>
        <n v="9747" u="1"/>
        <n v="1819" u="1"/>
        <n v="11982" u="1"/>
        <n v="5703" u="1"/>
        <n v="9833" u="1"/>
        <n v="12068" u="1"/>
        <n v="14303" u="1"/>
        <n v="3825" u="1"/>
        <n v="12154" u="1"/>
        <n v="7981" u="1"/>
        <n v="14389" u="1"/>
        <n v="8024" u="1"/>
        <n v="14475" u="1"/>
        <n v="10091" u="1"/>
        <n v="2772" u="1"/>
        <n v="8067" u="1"/>
        <n v="895" u="1"/>
        <n v="5875" u="1"/>
        <n v="10177" u="1"/>
        <n v="5918" u="1"/>
        <n v="10263" u="1"/>
        <n v="12498" u="1"/>
        <n v="5961" u="1"/>
        <n v="12584" u="1"/>
        <n v="8200" u="1"/>
        <n v="14819" u="1"/>
        <n v="3954" u="1"/>
        <n v="1357" u="1"/>
        <n v="8286" u="1"/>
        <n v="14905" u="1"/>
        <n v="8372" u="1"/>
        <n v="6090" u="1"/>
        <n v="14991" u="1"/>
        <n v="10607" u="1"/>
        <n v="2901" u="1"/>
        <n v="6133" u="1"/>
        <n v="10693" u="1"/>
        <n v="12928" u="1"/>
        <n v="6176" u="1"/>
        <n v="4040" u="1"/>
        <n v="10779" u="1"/>
        <n v="1948" u="1"/>
        <n v="13014" u="1"/>
        <n v="1400" u="1"/>
        <n v="664" u="1"/>
        <n v="451" u="1"/>
        <n v="13100" u="1"/>
        <n v="8716" u="1"/>
        <n v="148" u="1"/>
        <n v="4083" u="1"/>
        <n v="2987" u="1"/>
        <n v="8802" u="1"/>
        <n v="11037" u="1"/>
        <n v="8888" u="1"/>
        <n v="6348" u="1"/>
        <n v="11123" u="1"/>
        <n v="3030" u="1"/>
        <n v="1991" u="1"/>
        <n v="6391" u="1"/>
        <n v="11209" u="1"/>
        <n v="13444" u="1"/>
        <n v="6434" u="1"/>
        <n v="4242" u="1"/>
        <n v="13530" u="1"/>
        <n v="9146" u="1"/>
        <n v="4285" u="1"/>
        <n v="9232" u="1"/>
        <n v="3116" u="1"/>
        <n v="1486" u="1"/>
        <n v="9318" u="1"/>
        <n v="981" u="1"/>
        <n v="6563" u="1"/>
        <n v="11553" u="1"/>
        <n v="6606" u="1"/>
        <n v="11639" u="1"/>
        <n v="2063" u="1"/>
        <n v="13874" u="1"/>
        <n v="6649" u="1"/>
        <n v="4457" u="1"/>
        <n v="13960" u="1"/>
        <n v="4500" u="1"/>
        <n v="14046" u="1"/>
        <n v="1529" u="1"/>
        <n v="9662" u="1"/>
        <n v="4543" u="1"/>
        <n v="9748" u="1"/>
        <n v="11983" u="1"/>
        <n v="3245" u="1"/>
        <n v="9834" u="1"/>
        <n v="6821" u="1"/>
        <n v="12069" u="1"/>
        <n v="14304" u="1"/>
        <n v="6864" u="1"/>
        <n v="12155" u="1"/>
        <n v="2192" u="1"/>
        <n v="14390" u="1"/>
        <n v="750" u="1"/>
        <n v="4715" u="1"/>
        <n v="14476" u="1"/>
        <n v="238" u="1"/>
        <n v="10092" u="1"/>
        <n v="4758" u="1"/>
        <n v="3331" u="1"/>
        <n v="55" u="1"/>
        <n v="10178" u="1"/>
        <n v="10264" u="1"/>
        <n v="7036" u="1"/>
        <n v="12499" u="1"/>
        <n v="3374" u="1"/>
        <n v="2278" u="1"/>
        <n v="1067" u="1"/>
        <n v="7079" u="1"/>
        <n v="12585" u="1"/>
        <n v="8201" u="1"/>
        <n v="14820" u="1"/>
        <n v="7122" u="1"/>
        <n v="4930" u="1"/>
        <n v="8287" u="1"/>
        <n v="2321" u="1"/>
        <n v="14906" u="1"/>
        <n v="4973" u="1"/>
        <n v="8373" u="1"/>
        <n v="14992" u="1"/>
        <n v="10608" u="1"/>
        <n v="5016" u="1"/>
        <n v="3460" u="1"/>
        <n v="1658" u="1"/>
        <n v="10694" u="1"/>
        <n v="1110" u="1"/>
        <n v="12929" u="1"/>
        <n v="519" u="1"/>
        <n v="10780" u="1"/>
        <n v="7294" u="1"/>
        <n v="13015" u="1"/>
        <n v="3503" u="1"/>
        <n v="2407" u="1"/>
        <n v="7337" u="1"/>
        <n v="5145" u="1"/>
        <n v="13101" u="1"/>
        <n v="8717" u="1"/>
        <n v="5188" u="1"/>
        <n v="8803" u="1"/>
        <n v="1701" u="1"/>
        <n v="11038" u="1"/>
        <n v="5231" u="1"/>
        <n v="8889" u="1"/>
        <n v="11124" u="1"/>
        <n v="13359" u="1"/>
        <n v="3589" u="1"/>
        <n v="11210" u="1"/>
        <n v="7509" u="1"/>
        <n v="13445" u="1"/>
        <n v="7552" u="1"/>
        <n v="13531" u="1"/>
        <n v="9147" u="1"/>
        <n v="2536" u="1"/>
        <n v="7595" u="1"/>
        <n v="836" u="1"/>
        <n v="5403" u="1"/>
        <n v="9233" u="1"/>
        <n v="263" u="1"/>
        <n v="191" u="1"/>
        <n v="5446" u="1"/>
        <n v="91" u="1"/>
        <n v="9319" u="1"/>
        <n v="11554" u="1"/>
        <n v="5489" u="1"/>
        <n v="11640" u="1"/>
        <n v="7724" u="1"/>
        <n v="13875" u="1"/>
        <n v="3718" u="1"/>
        <n v="1" u="1"/>
        <n v="1239" u="1"/>
        <n v="7767" u="1"/>
        <n v="13961" u="1"/>
        <n v="7810" u="1"/>
        <n v="5618" u="1"/>
        <n v="14047" u="1"/>
        <n v="9663" u="1"/>
        <n v="2665" u="1"/>
        <n v="5661" u="1"/>
        <n v="9749" u="1"/>
        <n v="11984" u="1"/>
        <n v="5704" u="1"/>
        <n v="3804" u="1"/>
        <n v="9835" u="1"/>
        <n v="1830" u="1"/>
        <n v="12070" u="1"/>
        <n v="1282" u="1"/>
        <n v="14305" u="1"/>
        <n v="605" u="1"/>
        <n v="12156" u="1"/>
        <n v="7982" u="1"/>
        <n v="14391" u="1"/>
        <n v="3847" u="1"/>
        <n v="2751" u="1"/>
        <n v="8025" u="1"/>
        <n v="14477" u="1"/>
        <n v="10093" u="1"/>
        <n v="8068" u="1"/>
        <n v="5876" u="1"/>
        <n v="10179" u="1"/>
        <n v="2794" u="1"/>
        <n v="1873" u="1"/>
        <n v="5919" u="1"/>
        <n v="10265" u="1"/>
        <n v="12500" u="1"/>
        <n v="5962" u="1"/>
        <n v="3933" u="1"/>
        <n v="12586" u="1"/>
        <n v="8202" u="1"/>
        <n v="14821" u="1"/>
        <n v="8288" u="1"/>
        <n v="14907" u="1"/>
        <n v="2880" u="1"/>
        <n v="1368" u="1"/>
        <n v="8374" u="1"/>
        <n v="922" u="1"/>
        <n v="6091" u="1"/>
        <n v="14993" u="1"/>
        <n v="10609" u="1"/>
        <n v="443" u="1"/>
        <n v="306" u="1"/>
        <n v="144" u="1"/>
        <n v="6134" u="1"/>
        <n v="10695" u="1"/>
        <n v="12930" u="1"/>
        <n v="6177" u="1"/>
        <n v="10781" u="1"/>
        <n v="13016" u="1"/>
        <n v="4062" u="1"/>
        <n v="13102" u="1"/>
        <n v="1411" u="1"/>
        <n v="8718" u="1"/>
        <n v="8804" u="1"/>
        <n v="11039" u="1"/>
        <n v="3009" u="1"/>
        <n v="8890" u="1"/>
        <n v="6349" u="1"/>
        <n v="11125" u="1"/>
        <n v="13360" u="1"/>
        <n v="6392" u="1"/>
        <n v="11211" u="1"/>
        <n v="2002" u="1"/>
        <n v="13446" u="1"/>
        <n v="6435" u="1"/>
        <n v="691" u="1"/>
        <n v="4243" u="1"/>
        <n v="13532" u="1"/>
        <n v="9148" u="1"/>
        <n v="4286" u="1"/>
        <n v="3095" u="1"/>
        <n v="9234" u="1"/>
        <n v="9320" u="1"/>
        <n v="6564" u="1"/>
        <n v="11555" u="1"/>
        <n v="3138" u="1"/>
        <n v="2045" u="1"/>
        <n v="6607" u="1"/>
        <n v="11641" u="1"/>
        <n v="13876" u="1"/>
        <n v="6650" u="1"/>
        <n v="4458" u="1"/>
        <n v="2085" u="1"/>
        <n v="13962" u="1"/>
        <n v="4501" u="1"/>
        <n v="14048" u="1"/>
        <n v="9664" u="1"/>
        <n v="4544" u="1"/>
        <n v="3224" u="1"/>
        <n v="1540" u="1"/>
        <n v="9750" u="1"/>
        <n v="1008" u="1"/>
        <n v="11985" u="1"/>
        <n v="486" u="1"/>
        <n v="349" u="1"/>
        <n v="9836" u="1"/>
        <n v="6822" u="1"/>
        <n v="12071" u="1"/>
        <n v="3267" u="1"/>
        <n v="54" u="1"/>
        <n v="2171" u="1"/>
        <n v="14306" u="1"/>
        <n v="6865" u="1"/>
        <n v="4673" u="1"/>
        <n v="12157" u="1"/>
        <n v="14392" u="1"/>
        <n v="4716" u="1"/>
        <n v="2214" u="1"/>
        <n v="14478" u="1"/>
        <n v="1583" u="1"/>
        <n v="10094" u="1"/>
        <n v="4759" u="1"/>
        <n v="10180" u="1"/>
        <n v="3353" u="1"/>
        <n v="10266" u="1"/>
        <n v="7037" u="1"/>
        <n v="12501" u="1"/>
        <n v="7080" u="1"/>
        <n v="12587" u="1"/>
        <n v="8203" u="1"/>
        <n v="2300" u="1"/>
        <n v="14822" u="1"/>
        <n v="7123" u="1"/>
        <n v="777" u="1"/>
        <n v="4931" u="1"/>
        <n v="8289" u="1"/>
        <n v="14908" u="1"/>
        <n v="4974" u="1"/>
        <n v="8375" u="1"/>
        <n v="14994" u="1"/>
        <n v="10610" u="1"/>
        <n v="5017" u="1"/>
        <n v="10696" u="1"/>
        <n v="12931" u="1"/>
        <n v="3482" u="1"/>
        <n v="10782" u="1"/>
        <n v="1121" u="1"/>
        <n v="7295" u="1"/>
        <n v="13017" u="1"/>
        <n v="7338" u="1"/>
        <n v="5146" u="1"/>
        <n v="13103" u="1"/>
        <n v="8719" u="1"/>
        <n v="2429" u="1"/>
        <n v="5189" u="1"/>
        <n v="8805" u="1"/>
        <n v="11040" u="1"/>
        <n v="5232" u="1"/>
        <n v="3568" u="1"/>
        <n v="8891" u="1"/>
        <n v="1712" u="1"/>
        <n v="11126" u="1"/>
        <n v="1164" u="1"/>
        <n v="13361" u="1"/>
        <n v="546" u="1"/>
      </sharedItems>
    </cacheField>
    <cacheField name="POSLABEL" numFmtId="0" sqlType="12">
      <sharedItems containsBlank="1" count="8000">
        <m u="1"/>
        <s v="2016-02-10-03:00" u="1"/>
        <s v="2017-03-13-16:00" u="1"/>
        <s v="2017-07-07-07:00" u="1"/>
        <s v="2017-07-27-06:00" u="1"/>
        <s v="2016-03-10-03:00" u="1"/>
        <s v="2016-03-30-02:00" u="1"/>
        <s v="2016-10-04-14:00" u="1"/>
        <s v="2016-10-24-13:00" u="1"/>
        <s v="2017-04-13-16:00" u="1"/>
        <s v="2017-08-07-07:00" u="1"/>
        <s v="9018-07-26-05:00" u="1"/>
        <s v="2016-11-04-14:00" u="1"/>
        <s v="2016-11-24-13:00" u="1"/>
        <s v="2017-09-07-07:00" u="1"/>
        <s v="2017-09-27-06:00" u="1"/>
        <s v="2016-05-10-03:00" u="1"/>
        <s v="2016-05-30-02:00" u="1"/>
        <s v="2017-06-13-16:00" u="1"/>
        <s v="2016-06-10-03:00" u="1"/>
        <s v="2016-06-30-02:00" u="1"/>
        <s v="9018-06-26-19:00" u="1"/>
        <s v="2017-07-13-16:00" u="1"/>
        <s v="9018-07-26-19:00" u="1"/>
        <s v="2016-10-10-23:00" u="1"/>
        <s v="2016-08-10-03:00" u="1"/>
        <s v="2016-08-30-02:00" u="1"/>
        <s v="2016-11-10-23:00" u="1"/>
        <s v="2016-11-30-22:00" u="1"/>
        <s v="2017-09-13-16:00" u="1"/>
        <s v="2016-09-30-02:00" u="1"/>
        <s v="2016-12-30-22:00" u="1"/>
        <s v="2018-02-07-07:00" u="1"/>
        <s v="2018-02-27-06:00" u="1"/>
        <s v="2018-03-07-07:00" u="1"/>
        <s v="2018-03-27-06:00" u="1"/>
        <s v="2018-04-27-06:00" u="1"/>
        <s v="2018-05-07-07:00" u="1"/>
        <s v="2017-01-10-03:00" u="1"/>
        <s v="2017-01-30-02:00" u="1"/>
        <s v="2018-02-13-16:00" u="1"/>
        <s v="2018-06-27-06:00" u="1"/>
        <s v="2017-02-10-03:00" u="1"/>
        <s v="2018-03-13-16:00" u="1"/>
        <s v="2018-07-27-06:00" u="1"/>
        <s v="2017-03-10-03:00" u="1"/>
        <s v="2017-03-30-02:00" u="1"/>
        <s v="2017-10-04-14:00" u="1"/>
        <s v="2017-10-24-13:00" u="1"/>
        <s v="2018-04-13-16:00" u="1"/>
        <s v="2016-10-21-00:00" u="1"/>
        <s v="2017-04-10-03:00" u="1"/>
        <s v="2017-11-24-13:00" u="1"/>
        <s v="2016-01-21-08:00" u="1"/>
        <s v="2016-11-01-01:00" u="1"/>
        <s v="2016-11-21-00:00" u="1"/>
        <s v="2017-05-10-03:00" u="1"/>
        <s v="2017-05-30-02:00" u="1"/>
        <s v="2017-12-04-14:00" u="1"/>
        <s v="2016-02-01-09:00" u="1"/>
        <s v="2016-12-01-01:00" u="1"/>
        <s v="2016-12-21-00:00" u="1"/>
        <s v="2017-06-30-02:00" u="1"/>
        <s v="2016-03-01-09:00" u="1"/>
        <s v="2016-03-21-08:00" u="1"/>
        <s v="2017-07-10-03:00" u="1"/>
        <s v="2017-10-10-23:00" u="1"/>
        <s v="2017-10-30-22:00" u="1"/>
        <s v="2016-04-01-09:00" u="1"/>
        <s v="2016-04-21-08:00" u="1"/>
        <s v="2017-08-10-03:00" u="1"/>
        <s v="2017-08-30-02:00" u="1"/>
        <s v="2016-11-15-19:00" u="1"/>
        <s v="2017-11-10-23:00" u="1"/>
        <s v="2017-11-30-22:00" u="1"/>
        <s v="2016-02-16-11:00" u="1"/>
        <s v="2016-12-15-19:00" u="1"/>
        <s v="2016-06-01-09:00" u="1"/>
        <s v="2016-06-21-08:00" u="1"/>
        <s v="2016-03-16-11:00" u="1"/>
        <s v="2016-07-01-09:00" u="1"/>
        <s v="2016-07-21-08:00" u="1"/>
        <s v="2016-08-01-09:00" u="1"/>
        <s v="2016-01-22-20:00" u="1"/>
        <s v="2016-05-16-11:00" u="1"/>
        <s v="2016-09-01-09:00" u="1"/>
        <s v="2016-09-21-08:00" u="1"/>
        <s v="2016-02-02-21:00" u="1"/>
        <s v="2016-02-22-20:00" u="1"/>
        <s v="2016-06-16-11:00" u="1"/>
        <s v="2016-03-02-21:00" u="1"/>
        <s v="2016-03-22-20:00" u="1"/>
        <s v="2016-04-22-20:00" u="1"/>
        <s v="2016-08-16-11:00" u="1"/>
        <s v="2016-05-02-21:00" u="1"/>
        <s v="2016-09-16-11:00" u="1"/>
        <s v="2018-01-10-03:00" u="1"/>
        <s v="2018-01-30-02:00" u="1"/>
        <s v="2016-06-02-21:00" u="1"/>
        <s v="2016-06-22-20:00" u="1"/>
        <s v="2016-07-22-20:00" u="1"/>
        <s v="2018-03-30-02:00" u="1"/>
        <s v="2016-08-02-21:00" u="1"/>
        <s v="2016-08-22-20:00" u="1"/>
        <s v="2018-04-10-03:00" u="1"/>
        <s v="2018-04-30-02:00" u="1"/>
        <s v="2016-09-02-21:00" u="1"/>
        <s v="2016-09-22-20:00" u="1"/>
        <s v="2017-11-01-01:00" u="1"/>
        <s v="2017-11-21-00:00" u="1"/>
        <s v="2018-05-10-03:00" u="1"/>
        <s v="2017-02-01-09:00" u="1"/>
        <s v="2017-02-21-08:00" u="1"/>
        <s v="2017-12-01-01:00" u="1"/>
        <s v="2017-12-21-00:00" u="1"/>
        <s v="2018-07-24-07:00" u="1"/>
        <s v="2017-03-01-09:00" u="1"/>
        <s v="2017-03-21-08:00" u="1"/>
        <s v="2016-10-12-06:00" u="1"/>
        <s v="2017-04-21-08:00" u="1"/>
        <s v="2017-01-16-11:00" u="1"/>
        <s v="2017-11-15-19:00" u="1"/>
        <s v="2016-01-07-03:00" u="1"/>
        <s v="2016-01-27-02:00" u="1"/>
        <s v="2017-05-01-09:00" u="1"/>
        <s v="2017-02-16-11:00" u="1"/>
        <s v="2017-12-15-19:00" u="1"/>
        <s v="2016-12-12-06:00" u="1"/>
        <s v="2017-06-01-09:00" u="1"/>
        <s v="2017-06-21-08:00" u="1"/>
        <s v="2017-03-16-11:00" u="1"/>
        <s v="9018-06-29-00:00" u="1"/>
        <s v="2016-03-07-03:00" u="1"/>
        <s v="2017-07-21-08:00" u="1"/>
        <s v="2016-04-07-03:00" u="1"/>
        <s v="2016-04-27-02:00" u="1"/>
        <s v="2017-08-01-09:00" u="1"/>
        <s v="2017-08-21-08:00" u="1"/>
        <s v="2016-01-07-17:00" u="1"/>
        <s v="2016-01-27-16:00" u="1"/>
        <s v="2017-01-02-21:00" u="1"/>
        <s v="2017-05-16-11:00" u="1"/>
        <s v="2016-05-27-02:00" u="1"/>
        <s v="2017-09-01-09:00" u="1"/>
        <s v="2017-09-21-08:00" u="1"/>
        <s v="2016-02-07-17:00" u="1"/>
        <s v="2017-02-02-21:00" u="1"/>
        <s v="2017-02-22-20:00" u="1"/>
        <s v="2017-06-16-11:00" u="1"/>
        <s v="2016-06-07-03:00" u="1"/>
        <s v="2016-06-27-02:00" u="1"/>
        <s v="9018-06-29-14:00" u="1"/>
        <s v="2016-03-07-17:00" u="1"/>
        <s v="2017-03-02-21:00" u="1"/>
        <s v="2017-03-22-20:00" u="1"/>
        <s v="2016-07-07-03:00" u="1"/>
        <s v="2016-07-27-02:00" u="1"/>
        <s v="2016-04-07-17:00" u="1"/>
        <s v="2016-04-27-16:00" u="1"/>
        <s v="2017-08-16-11:00" u="1"/>
        <s v="2016-05-27-16:00" u="1"/>
        <s v="2017-05-02-21:00" u="1"/>
        <s v="2017-05-22-20:00" u="1"/>
        <s v="2016-09-07-03:00" u="1"/>
        <s v="2016-09-27-02:00" u="1"/>
        <s v="2016-06-07-17:00" u="1"/>
        <s v="2016-06-27-16:00" u="1"/>
        <s v="2017-06-02-21:00" u="1"/>
        <s v="2017-06-22-20:00" u="1"/>
        <s v="2016-07-07-17:00" u="1"/>
        <s v="2016-07-27-16:00" u="1"/>
        <s v="2016-08-07-17:00" u="1"/>
        <s v="2017-08-02-21:00" u="1"/>
        <s v="2017-08-22-20:00" u="1"/>
        <s v="2016-09-07-17:00" u="1"/>
        <s v="2016-09-27-16:00" u="1"/>
        <s v="2017-09-22-20:00" u="1"/>
        <s v="2018-02-01-09:00" u="1"/>
        <s v="2018-02-21-08:00" u="1"/>
        <s v="2018-03-01-09:00" u="1"/>
        <s v="2018-03-21-08:00" u="1"/>
        <s v="2017-10-12-06:00" u="1"/>
        <s v="2018-01-16-11:00" u="1"/>
        <s v="2017-01-27-02:00" u="1"/>
        <s v="2018-05-01-09:00" u="1"/>
        <s v="2018-05-21-08:00" u="1"/>
        <s v="2018-02-16-11:00" u="1"/>
        <s v="2017-02-07-03:00" u="1"/>
        <s v="2017-02-27-02:00" u="1"/>
        <s v="2017-12-12-06:00" u="1"/>
        <s v="2018-03-16-11:00" u="1"/>
        <s v="2017-03-07-03:00" u="1"/>
        <s v="2017-03-27-02:00" u="1"/>
        <s v="2018-04-16-11:00" u="1"/>
        <s v="2016-10-18-00:00" u="1"/>
        <s v="2017-04-07-03:00" u="1"/>
        <s v="2017-04-27-02:00" u="1"/>
        <s v="2017-01-27-16:00" u="1"/>
        <s v="2018-01-02-21:00" u="1"/>
        <s v="2018-01-22-20:00" u="1"/>
        <s v="2018-05-16-11:00" u="1"/>
        <s v="2016-01-18-08:00" u="1"/>
        <s v="2016-11-18-00:00" u="1"/>
        <s v="2016-01-04-04:00" u="1"/>
        <s v="2017-02-07-17:00" u="1"/>
        <s v="2017-02-27-16:00" u="1"/>
        <s v="2018-02-02-21:00" u="1"/>
        <s v="2018-02-22-20:00" u="1"/>
        <s v="2016-02-18-08:00" u="1"/>
        <s v="2017-06-07-03:00" u="1"/>
        <s v="2017-06-27-02:00" u="1"/>
        <s v="2016-02-04-04:00" u="1"/>
        <s v="2016-02-24-03:00" u="1"/>
        <s v="2017-03-07-17:00" u="1"/>
        <s v="2017-03-27-16:00" u="1"/>
        <s v="2018-03-02-21:00" u="1"/>
        <s v="2018-03-22-20:00" u="1"/>
        <s v="2016-03-18-08:00" u="1"/>
        <s v="2017-07-07-03:00" u="1"/>
        <s v="2017-07-27-02:00" u="1"/>
        <s v="2016-03-04-04:00" u="1"/>
        <s v="2016-03-24-03:00" u="1"/>
        <s v="2017-04-07-17:00" u="1"/>
        <s v="2017-04-27-16:00" u="1"/>
        <s v="2018-04-02-21:00" u="1"/>
        <s v="2016-04-18-08:00" u="1"/>
        <s v="2017-08-07-03:00" u="1"/>
        <s v="9018-07-26-01:00" u="1"/>
        <s v="2016-04-04-04:00" u="1"/>
        <s v="2017-05-07-17:00" u="1"/>
        <s v="2018-05-02-21:00" u="1"/>
        <s v="2018-05-22-20:00" u="1"/>
        <s v="2016-05-18-08:00" u="1"/>
        <s v="2017-09-07-03:00" u="1"/>
        <s v="2017-09-27-02:00" u="1"/>
        <s v="2016-05-04-04:00" u="1"/>
        <s v="2016-05-24-03:00" u="1"/>
        <s v="2017-06-07-17:00" u="1"/>
        <s v="2017-06-27-16:00" u="1"/>
        <s v="2016-02-10-13:00" u="1"/>
        <s v="2016-06-24-03:00" u="1"/>
        <s v="2017-07-07-17:00" u="1"/>
        <s v="2017-07-27-16:00" u="1"/>
        <s v="9018-06-26-15:00" u="1"/>
        <s v="2016-07-18-08:00" u="1"/>
        <s v="2016-03-10-13:00" u="1"/>
        <s v="2016-03-30-12:00" u="1"/>
        <s v="2016-07-04-04:00" u="1"/>
        <s v="2016-10-24-23:00" u="1"/>
        <s v="2017-08-07-17:00" u="1"/>
        <s v="9018-07-26-15:00" u="1"/>
        <s v="2016-08-18-08:00" u="1"/>
        <s v="2016-08-04-04:00" u="1"/>
        <s v="2016-08-24-03:00" u="1"/>
        <s v="2016-11-24-23:00" u="1"/>
        <s v="2017-09-07-17:00" u="1"/>
        <s v="2017-09-27-16:00" u="1"/>
        <s v="2016-05-10-13:00" u="1"/>
        <s v="2016-05-30-12:00" u="1"/>
        <s v="2016-06-10-13:00" u="1"/>
        <s v="2016-06-30-12:00" u="1"/>
        <s v="2016-08-10-13:00" u="1"/>
        <s v="2016-08-30-12:00" u="1"/>
        <s v="2016-09-30-12:00" u="1"/>
        <s v="2018-02-07-03:00" u="1"/>
        <s v="2018-02-27-02:00" u="1"/>
        <s v="2018-03-07-03:00" u="1"/>
        <s v="2018-03-27-02:00" u="1"/>
        <s v="2017-10-18-00:00" u="1"/>
        <s v="2018-04-27-02:00" u="1"/>
        <s v="2018-01-07-17:00" u="1"/>
        <s v="2017-01-18-08:00" u="1"/>
        <s v="2018-05-07-03:00" u="1"/>
        <s v="2017-01-04-04:00" u="1"/>
        <s v="2017-01-24-03:00" u="1"/>
        <s v="2018-02-07-17:00" u="1"/>
        <s v="2018-02-27-16:00" u="1"/>
        <s v="2017-12-18-00:00" u="1"/>
        <s v="2018-06-27-02:00" u="1"/>
        <s v="2017-02-24-03:00" u="1"/>
        <s v="2018-03-07-17:00" u="1"/>
        <s v="2018-03-27-16:00" u="1"/>
        <s v="2018-07-27-02:00" u="1"/>
        <s v="2017-03-24-03:00" u="1"/>
        <s v="2018-04-27-16:00" u="1"/>
        <s v="2017-04-18-08:00" u="1"/>
        <s v="2017-04-04-04:00" u="1"/>
        <s v="2017-04-24-03:00" u="1"/>
        <s v="2018-05-07-17:00" u="1"/>
        <s v="2016-11-09-06:00" u="1"/>
        <s v="2016-11-29-05:00" u="1"/>
        <s v="2017-05-18-08:00" u="1"/>
        <s v="2017-01-10-13:00" u="1"/>
        <s v="2017-01-30-12:00" u="1"/>
        <s v="2017-05-04-04:00" u="1"/>
        <s v="2017-05-24-03:00" u="1"/>
        <s v="2018-06-27-16:00" u="1"/>
        <s v="2016-12-09-06:00" u="1"/>
        <s v="2016-12-29-05:00" u="1"/>
        <s v="2017-02-10-13:00" u="1"/>
        <s v="2018-07-27-16:00" u="1"/>
        <s v="2017-07-18-08:00" u="1"/>
        <s v="2017-03-10-13:00" u="1"/>
        <s v="2017-03-30-12:00" u="1"/>
        <s v="2017-07-04-04:00" u="1"/>
        <s v="2017-07-24-03:00" u="1"/>
        <s v="2017-10-24-23:00" u="1"/>
        <s v="2017-08-18-08:00" u="1"/>
        <s v="2016-10-21-10:00" u="1"/>
        <s v="2017-04-10-13:00" u="1"/>
        <s v="2017-08-04-04:00" u="1"/>
        <s v="2017-08-24-03:00" u="1"/>
        <s v="2017-11-24-23:00" u="1"/>
        <s v="2017-09-18-08:00" u="1"/>
        <s v="2016-01-21-18:00" u="1"/>
        <s v="2016-11-01-11:00" u="1"/>
        <s v="2016-11-21-10:00" u="1"/>
        <s v="2017-05-10-13:00" u="1"/>
        <s v="2017-05-30-12:00" u="1"/>
        <s v="2017-09-04-04:00" u="1"/>
        <s v="2016-02-01-19:00" u="1"/>
        <s v="2016-12-01-11:00" u="1"/>
        <s v="2016-12-21-10:00" u="1"/>
        <s v="2017-06-30-12:00" u="1"/>
        <s v="2016-03-01-19:00" u="1"/>
        <s v="2016-03-21-18:00" u="1"/>
        <s v="2017-07-10-13:00" u="1"/>
        <s v="2016-04-01-19:00" u="1"/>
        <s v="2016-04-21-18:00" u="1"/>
        <s v="2017-08-10-13:00" u="1"/>
        <s v="2017-08-30-12:00" u="1"/>
        <s v="2016-02-16-21:00" u="1"/>
        <s v="2016-06-01-19:00" u="1"/>
        <s v="2016-06-21-18:00" u="1"/>
        <s v="2016-03-16-21:00" u="1"/>
        <s v="2016-07-01-19:00" u="1"/>
        <s v="2016-07-21-18:00" u="1"/>
        <s v="2016-08-01-19:00" u="1"/>
        <s v="2016-05-16-21:00" u="1"/>
        <s v="2018-01-18-08:00" u="1"/>
        <s v="2016-09-01-19:00" u="1"/>
        <s v="2016-09-21-18:00" u="1"/>
        <s v="2018-01-04-04:00" u="1"/>
        <s v="2018-01-24-03:00" u="1"/>
        <s v="2016-06-16-21:00" u="1"/>
        <s v="2016-08-16-21:00" u="1"/>
        <s v="2017-10-09-06:00" u="1"/>
        <s v="2018-04-18-08:00" u="1"/>
        <s v="2018-04-04-04:00" u="1"/>
        <s v="2018-04-24-03:00" u="1"/>
        <s v="2016-09-16-21:00" u="1"/>
        <s v="2017-11-09-06:00" u="1"/>
        <s v="2017-11-29-05:00" u="1"/>
        <s v="2018-05-18-08:00" u="1"/>
        <s v="2018-01-10-13:00" u="1"/>
        <s v="2018-01-30-12:00" u="1"/>
        <s v="2018-05-04-04:00" u="1"/>
        <s v="2018-05-24-03:00" u="1"/>
        <s v="2017-12-29-05:00" u="1"/>
        <s v="2018-03-30-12:00" u="1"/>
        <s v="2018-07-24-03:00" u="1"/>
        <s v="2018-04-10-13:00" u="1"/>
        <s v="2018-04-30-12:00" u="1"/>
        <s v="2017-11-01-11:00" u="1"/>
        <s v="2017-11-21-10:00" u="1"/>
        <s v="2018-05-10-13:00" u="1"/>
        <s v="2017-02-01-19:00" u="1"/>
        <s v="2017-02-21-18:00" u="1"/>
        <s v="2017-12-01-11:00" u="1"/>
        <s v="2017-12-21-10:00" u="1"/>
        <s v="2018-07-24-17:00" u="1"/>
        <s v="2017-03-01-19:00" u="1"/>
        <s v="2017-03-21-18:00" u="1"/>
        <s v="2016-10-12-16:00" u="1"/>
        <s v="2017-04-21-18:00" u="1"/>
        <s v="2017-01-16-21:00" u="1"/>
        <s v="2016-01-07-13:00" u="1"/>
        <s v="2016-01-27-12:00" u="1"/>
        <s v="2017-05-01-19:00" u="1"/>
        <s v="2017-02-16-21:00" u="1"/>
        <s v="2016-12-12-16:00" u="1"/>
        <s v="2017-06-01-19:00" u="1"/>
        <s v="2017-06-21-18:00" u="1"/>
        <s v="2017-03-16-21:00" u="1"/>
        <s v="9018-06-29-10:00" u="1"/>
        <s v="2016-03-07-13:00" u="1"/>
        <s v="2017-07-21-18:00" u="1"/>
        <s v="2016-04-07-13:00" u="1"/>
        <s v="2016-04-27-12:00" u="1"/>
        <s v="2017-08-01-19:00" u="1"/>
        <s v="2017-08-21-18:00" u="1"/>
        <s v="2017-05-16-21:00" u="1"/>
        <s v="2016-05-27-12:00" u="1"/>
        <s v="2017-09-01-19:00" u="1"/>
        <s v="2017-09-21-18:00" u="1"/>
        <s v="2017-06-16-21:00" u="1"/>
        <s v="2016-06-07-13:00" u="1"/>
        <s v="2016-06-27-12:00" u="1"/>
        <s v="2016-07-07-13:00" u="1"/>
        <s v="2016-07-27-12:00" u="1"/>
        <s v="2017-08-16-21:00" u="1"/>
        <s v="2016-09-07-13:00" u="1"/>
        <s v="2016-09-27-12:00" u="1"/>
        <s v="2018-02-01-19:00" u="1"/>
        <s v="2018-02-21-18:00" u="1"/>
        <s v="2018-03-01-19:00" u="1"/>
        <s v="2018-03-21-18:00" u="1"/>
        <s v="2017-10-12-16:00" u="1"/>
        <s v="2018-01-16-21:00" u="1"/>
        <s v="2017-01-27-12:00" u="1"/>
        <s v="2018-05-01-19:00" u="1"/>
        <s v="2018-05-21-18:00" u="1"/>
        <s v="2018-02-16-21:00" u="1"/>
        <s v="2017-02-07-13:00" u="1"/>
        <s v="2017-02-27-12:00" u="1"/>
        <s v="2017-12-12-16:00" u="1"/>
        <s v="2018-03-16-21:00" u="1"/>
        <s v="2017-03-07-13:00" u="1"/>
        <s v="2017-03-27-12:00" u="1"/>
        <s v="2018-04-16-21:00" u="1"/>
        <s v="2016-10-18-10:00" u="1"/>
        <s v="2017-04-07-13:00" u="1"/>
        <s v="2017-04-27-12:00" u="1"/>
        <s v="2018-05-16-21:00" u="1"/>
        <s v="2016-01-18-18:00" u="1"/>
        <s v="2016-11-18-10:00" u="1"/>
        <s v="2016-01-04-14:00" u="1"/>
        <s v="2016-02-18-18:00" u="1"/>
        <s v="2017-06-07-13:00" u="1"/>
        <s v="2017-06-27-12:00" u="1"/>
        <s v="2016-02-04-14:00" u="1"/>
        <s v="2016-02-24-13:00" u="1"/>
        <s v="2016-03-18-18:00" u="1"/>
        <s v="2017-07-07-13:00" u="1"/>
        <s v="2017-07-27-12:00" u="1"/>
        <s v="9018-06-26-11:00" u="1"/>
        <s v="2016-03-04-14:00" u="1"/>
        <s v="2016-03-24-13:00" u="1"/>
        <s v="2016-04-18-18:00" u="1"/>
        <s v="2017-08-07-13:00" u="1"/>
        <s v="9018-07-26-11:00" u="1"/>
        <s v="2016-04-04-14:00" u="1"/>
        <s v="2016-05-18-18:00" u="1"/>
        <s v="2017-09-07-13:00" u="1"/>
        <s v="2017-09-27-12:00" u="1"/>
        <s v="2016-05-04-14:00" u="1"/>
        <s v="2016-05-24-13:00" u="1"/>
        <s v="2016-02-10-23:00" u="1"/>
        <s v="2016-06-24-13:00" u="1"/>
        <s v="2016-07-18-18:00" u="1"/>
        <s v="2016-03-10-23:00" u="1"/>
        <s v="2016-03-30-22:00" u="1"/>
        <s v="2016-07-04-14:00" u="1"/>
        <s v="2016-08-18-18:00" u="1"/>
        <s v="2016-08-04-14:00" u="1"/>
        <s v="2016-08-24-13:00" u="1"/>
        <s v="2016-05-10-23:00" u="1"/>
        <s v="2016-05-30-22:00" u="1"/>
        <s v="2016-06-10-23:00" u="1"/>
        <s v="2016-06-30-22:00" u="1"/>
        <s v="2016-08-10-23:00" u="1"/>
        <s v="2016-08-30-22:00" u="1"/>
        <s v="2016-09-30-22:00" u="1"/>
        <s v="2018-02-07-13:00" u="1"/>
        <s v="2018-02-27-12:00" u="1"/>
        <s v="2018-03-07-13:00" u="1"/>
        <s v="2018-03-27-12:00" u="1"/>
        <s v="2017-10-18-10:00" u="1"/>
        <s v="2018-04-27-12:00" u="1"/>
        <s v="2016-10-20-08:00" u="1"/>
        <s v="2017-01-18-18:00" u="1"/>
        <s v="2018-05-07-13:00" u="1"/>
        <s v="2017-01-04-14:00" u="1"/>
        <s v="2017-01-24-13:00" u="1"/>
        <s v="2016-01-15-05:00" u="1"/>
        <s v="2016-01-21-00:00" u="1"/>
        <s v="2017-12-18-10:00" u="1"/>
        <s v="2018-06-27-12:00" u="1"/>
        <s v="2017-02-24-13:00" u="1"/>
        <s v="2016-02-15-05:00" u="1"/>
        <s v="2016-02-01-01:00" u="1"/>
        <s v="2016-12-20-08:00" u="1"/>
        <s v="2018-07-27-12:00" u="1"/>
        <s v="2017-03-24-13:00" u="1"/>
        <s v="2016-03-15-05:00" u="1"/>
        <s v="2016-03-01-01:00" u="1"/>
        <s v="2016-03-21-00:00" u="1"/>
        <s v="2017-04-18-18:00" u="1"/>
        <s v="2017-04-04-14:00" u="1"/>
        <s v="2017-04-24-13:00" u="1"/>
        <s v="2016-04-15-05:00" u="1"/>
        <s v="2016-04-01-01:00" u="1"/>
        <s v="2016-04-21-00:00" u="1"/>
        <s v="2016-11-09-16:00" u="1"/>
        <s v="2016-11-29-15:00" u="1"/>
        <s v="2017-05-18-18:00" u="1"/>
        <s v="2017-01-10-23:00" u="1"/>
        <s v="2017-01-30-22:00" u="1"/>
        <s v="2017-05-04-14:00" u="1"/>
        <s v="2017-05-24-13:00" u="1"/>
        <s v="2016-12-09-16:00" u="1"/>
        <s v="2016-12-29-15:00" u="1"/>
        <s v="2017-02-10-23:00" u="1"/>
        <s v="2016-06-15-05:00" u="1"/>
        <s v="2016-06-01-01:00" u="1"/>
        <s v="2016-06-21-00:00" u="1"/>
        <s v="2017-07-18-18:00" u="1"/>
        <s v="2017-03-10-23:00" u="1"/>
        <s v="2017-03-30-22:00" u="1"/>
        <s v="2017-07-04-14:00" u="1"/>
        <s v="2017-07-24-13:00" u="1"/>
        <s v="2016-07-15-05:00" u="1"/>
        <s v="2016-07-01-01:00" u="1"/>
        <s v="2016-07-21-00:00" u="1"/>
        <s v="2017-08-18-18:00" u="1"/>
        <s v="2016-10-21-20:00" u="1"/>
        <s v="2017-04-10-23:00" u="1"/>
        <s v="2017-08-04-14:00" u="1"/>
        <s v="2017-08-24-13:00" u="1"/>
        <s v="2016-08-15-05:00" u="1"/>
        <s v="2016-08-01-01:00" u="1"/>
        <s v="2017-09-18-18:00" u="1"/>
        <s v="2016-11-01-21:00" u="1"/>
        <s v="2016-11-21-20:00" u="1"/>
        <s v="2017-05-10-23:00" u="1"/>
        <s v="2017-05-30-22:00" u="1"/>
        <s v="2017-09-04-14:00" u="1"/>
        <s v="2016-09-15-05:00" u="1"/>
        <s v="2016-09-01-01:00" u="1"/>
        <s v="2016-09-21-00:00" u="1"/>
        <s v="2016-12-01-21:00" u="1"/>
        <s v="2016-12-21-20:00" u="1"/>
        <s v="2017-06-30-22:00" u="1"/>
        <s v="2017-07-10-23:00" u="1"/>
        <s v="2017-08-10-23:00" u="1"/>
        <s v="2017-08-30-22:00" u="1"/>
        <s v="2017-10-20-08:00" u="1"/>
        <s v="2018-01-18-18:00" u="1"/>
        <s v="2018-01-04-14:00" u="1"/>
        <s v="2018-01-24-13:00" u="1"/>
        <s v="2017-11-20-08:00" u="1"/>
        <s v="2017-02-15-05:00" u="1"/>
        <s v="2017-02-01-01:00" u="1"/>
        <s v="2017-02-21-00:00" u="1"/>
        <s v="2017-12-20-08:00" u="1"/>
        <s v="2017-03-15-05:00" u="1"/>
        <s v="2017-03-01-01:00" u="1"/>
        <s v="2017-03-21-00:00" u="1"/>
        <s v="2017-10-09-16:00" u="1"/>
        <s v="2018-04-18-18:00" u="1"/>
        <s v="2018-04-04-14:00" u="1"/>
        <s v="2018-04-24-13:00" u="1"/>
        <s v="2016-10-06-03:00" u="1"/>
        <s v="2016-10-26-02:00" u="1"/>
        <s v="2017-04-21-00:00" u="1"/>
        <s v="2017-11-09-16:00" u="1"/>
        <s v="2017-11-29-15:00" u="1"/>
        <s v="2018-05-18-18:00" u="1"/>
        <s v="2018-01-10-23:00" u="1"/>
        <s v="2018-01-30-22:00" u="1"/>
        <s v="2018-05-04-14:00" u="1"/>
        <s v="2018-05-24-13:00" u="1"/>
        <s v="2017-05-15-05:00" u="1"/>
        <s v="2016-01-12-06:00" u="1"/>
        <s v="2017-05-01-01:00" u="1"/>
        <s v="2017-12-29-15:00" u="1"/>
        <s v="2016-12-06-03:00" u="1"/>
        <s v="2017-06-15-05:00" u="1"/>
        <s v="2016-02-12-06:00" u="1"/>
        <s v="2017-06-01-01:00" u="1"/>
        <s v="2017-06-21-00:00" u="1"/>
        <s v="2018-03-30-22:00" u="1"/>
        <s v="2018-07-24-13:00" u="1"/>
        <s v="9018-06-28-08:00" u="1"/>
        <s v="2017-07-21-00:00" u="1"/>
        <s v="2018-04-10-23:00" u="1"/>
        <s v="2018-04-30-22:00" u="1"/>
        <s v="2017-08-15-05:00" u="1"/>
        <s v="2016-04-12-06:00" u="1"/>
        <s v="2017-08-01-01:00" u="1"/>
        <s v="2017-08-21-00:00" u="1"/>
        <s v="2017-11-01-21:00" u="1"/>
        <s v="2017-11-21-20:00" u="1"/>
        <s v="2018-05-10-23:00" u="1"/>
        <s v="2017-09-15-05:00" u="1"/>
        <s v="2016-05-12-06:00" u="1"/>
        <s v="2017-09-01-01:00" u="1"/>
        <s v="2017-09-21-00:00" u="1"/>
        <s v="2017-12-01-21:00" u="1"/>
        <s v="2017-12-21-20:00" u="1"/>
        <s v="2016-07-12-06:00" u="1"/>
        <s v="2016-08-12-06:00" u="1"/>
        <s v="2016-01-07-23:00" u="1"/>
        <s v="2016-01-27-22:00" u="1"/>
        <s v="2016-09-12-06:00" u="1"/>
        <s v="9018-06-29-20:00" u="1"/>
        <s v="2016-03-07-23:00" u="1"/>
        <s v="2016-04-07-23:00" u="1"/>
        <s v="2016-04-27-22:00" u="1"/>
        <s v="2016-05-27-22:00" u="1"/>
        <s v="2018-01-15-05:00" u="1"/>
        <s v="2016-06-07-23:00" u="1"/>
        <s v="2016-06-27-22:00" u="1"/>
        <s v="2018-02-15-05:00" u="1"/>
        <s v="2018-02-01-01:00" u="1"/>
        <s v="2018-02-21-00:00" u="1"/>
        <s v="2016-07-07-23:00" u="1"/>
        <s v="2016-07-27-22:00" u="1"/>
        <s v="2018-03-15-05:00" u="1"/>
        <s v="2018-03-01-01:00" u="1"/>
        <s v="2018-03-21-00:00" u="1"/>
        <s v="2017-10-06-03:00" u="1"/>
        <s v="2017-10-26-02:00" u="1"/>
        <s v="2016-09-07-23:00" u="1"/>
        <s v="2016-09-27-22:00" u="1"/>
        <s v="2017-11-06-03:00" u="1"/>
        <s v="2018-05-15-05:00" u="1"/>
        <s v="2017-01-12-06:00" u="1"/>
        <s v="2018-05-01-01:00" u="1"/>
        <s v="2018-05-21-00:00" u="1"/>
        <s v="2018-06-29-09:00" u="1"/>
        <s v="2017-12-06-03:00" u="1"/>
        <s v="2016-10-17-08:00" u="1"/>
        <s v="2017-04-12-06:00" u="1"/>
        <s v="2016-01-18-00:00" u="1"/>
        <s v="2016-11-17-08:00" u="1"/>
        <s v="2017-05-12-06:00" u="1"/>
        <s v="2016-02-18-00:00" u="1"/>
        <s v="2017-06-12-06:00" u="1"/>
        <s v="2016-03-18-00:00" u="1"/>
        <s v="2017-07-12-06:00" u="1"/>
        <s v="2016-04-18-00:00" u="1"/>
        <s v="9018-07-25-09:00" u="1"/>
        <s v="2017-01-27-22:00" u="1"/>
        <s v="2016-05-18-00:00" u="1"/>
        <s v="2017-09-12-06:00" u="1"/>
        <s v="2017-02-07-23:00" u="1"/>
        <s v="2017-02-27-22:00" u="1"/>
        <s v="2017-03-07-23:00" u="1"/>
        <s v="2017-03-27-22:00" u="1"/>
        <s v="2016-07-18-00:00" u="1"/>
        <s v="2016-10-18-20:00" u="1"/>
        <s v="2017-04-07-23:00" u="1"/>
        <s v="2017-04-27-22:00" u="1"/>
        <s v="2016-08-18-00:00" u="1"/>
        <s v="2016-11-18-20:00" u="1"/>
        <s v="2017-06-07-23:00" u="1"/>
        <s v="2017-06-27-22:00" u="1"/>
        <s v="2016-02-24-23:00" u="1"/>
        <s v="2017-07-07-23:00" u="1"/>
        <s v="2017-07-27-22:00" u="1"/>
        <s v="9018-06-26-21:00" u="1"/>
        <s v="2016-03-24-23:00" u="1"/>
        <s v="2017-08-07-23:00" u="1"/>
        <s v="9018-07-26-21:00" u="1"/>
        <s v="2017-09-07-23:00" u="1"/>
        <s v="2017-09-27-22:00" u="1"/>
        <s v="2016-05-24-23:00" u="1"/>
        <s v="2018-01-12-06:00" u="1"/>
        <s v="2016-06-24-23:00" u="1"/>
        <s v="2018-02-12-06:00" u="1"/>
        <s v="2018-03-12-06:00" u="1"/>
        <s v="2016-08-24-23:00" u="1"/>
        <s v="2017-10-17-08:00" u="1"/>
        <s v="2018-04-12-06:00" u="1"/>
        <s v="2017-01-18-00:00" u="1"/>
        <s v="2017-11-17-08:00" u="1"/>
        <s v="2017-04-18-00:00" u="1"/>
        <s v="2016-01-29-05:00" u="1"/>
        <s v="2017-05-18-00:00" u="1"/>
        <s v="2018-02-07-23:00" u="1"/>
        <s v="2018-02-27-22:00" u="1"/>
        <s v="2016-02-09-06:00" u="1"/>
        <s v="2016-02-29-05:00" u="1"/>
        <s v="2018-03-07-23:00" u="1"/>
        <s v="2018-03-27-22:00" u="1"/>
        <s v="2016-03-09-06:00" u="1"/>
        <s v="2016-03-29-05:00" u="1"/>
        <s v="2017-07-18-00:00" u="1"/>
        <s v="2017-10-18-20:00" u="1"/>
        <s v="2018-04-27-22:00" u="1"/>
        <s v="2016-04-29-05:00" u="1"/>
        <s v="2017-08-18-00:00" u="1"/>
        <s v="2016-10-20-18:00" u="1"/>
        <s v="2018-05-07-23:00" u="1"/>
        <s v="2017-01-24-23:00" u="1"/>
        <s v="2016-01-15-15:00" u="1"/>
        <s v="2016-05-09-06:00" u="1"/>
        <s v="2017-09-18-00:00" u="1"/>
        <s v="2016-01-21-10:00" u="1"/>
        <s v="2017-12-18-20:00" u="1"/>
        <s v="2018-06-27-22:00" u="1"/>
        <s v="2017-02-24-23:00" u="1"/>
        <s v="2016-02-15-15:00" u="1"/>
        <s v="2016-06-09-06:00" u="1"/>
        <s v="2016-06-29-05:00" u="1"/>
        <s v="2016-02-01-11:00" u="1"/>
        <s v="2016-12-20-18:00" u="1"/>
        <s v="2018-07-27-22:00" u="1"/>
        <s v="2016-03-15-15:00" u="1"/>
        <s v="2016-07-29-05:00" u="1"/>
        <s v="2016-03-01-11:00" u="1"/>
        <s v="2016-03-21-10:00" u="1"/>
        <s v="2017-04-24-23:00" u="1"/>
        <s v="2016-04-15-15:00" u="1"/>
        <s v="2016-08-09-06:00" u="1"/>
        <s v="2016-08-29-05:00" u="1"/>
        <s v="2016-04-01-11:00" u="1"/>
        <s v="2016-04-21-10:00" u="1"/>
        <s v="2017-05-24-23:00" u="1"/>
        <s v="2016-09-09-06:00" u="1"/>
        <s v="2016-09-29-05:00" u="1"/>
        <s v="2016-06-15-15:00" u="1"/>
        <s v="2016-06-01-11:00" u="1"/>
        <s v="2016-06-21-10:00" u="1"/>
        <s v="2017-07-24-23:00" u="1"/>
        <s v="2016-07-15-15:00" u="1"/>
        <s v="2016-07-01-11:00" u="1"/>
        <s v="2016-07-21-10:00" u="1"/>
        <s v="2017-08-24-23:00" u="1"/>
        <s v="2016-08-15-15:00" u="1"/>
        <s v="2016-08-01-11:00" u="1"/>
        <s v="2016-09-15-15:00" u="1"/>
        <s v="2018-01-18-00:00" u="1"/>
        <s v="2016-09-01-11:00" u="1"/>
        <s v="2016-09-21-10:00" u="1"/>
        <s v="2018-04-18-00:00" u="1"/>
        <s v="2017-01-09-06:00" u="1"/>
        <s v="2018-05-18-00:00" u="1"/>
        <s v="2017-02-09-06:00" u="1"/>
        <s v="2017-03-09-06:00" u="1"/>
        <s v="2017-03-29-05:00" u="1"/>
        <s v="2017-10-20-18:00" u="1"/>
        <s v="2018-01-24-23:00" u="1"/>
        <s v="2017-05-09-06:00" u="1"/>
        <s v="2017-05-29-05:00" u="1"/>
        <s v="2017-11-20-18:00" u="1"/>
        <s v="2017-02-15-15:00" u="1"/>
        <s v="2017-06-09-06:00" u="1"/>
        <s v="2017-06-29-05:00" u="1"/>
        <s v="2017-02-01-11:00" u="1"/>
        <s v="2017-02-21-10:00" u="1"/>
        <s v="2017-12-20-18:00" u="1"/>
        <s v="2017-03-15-15:00" u="1"/>
        <s v="9018-06-28-04:00" u="1"/>
        <s v="2017-03-01-11:00" u="1"/>
        <s v="2017-03-21-10:00" u="1"/>
        <s v="2018-04-24-23:00" u="1"/>
        <s v="2016-10-06-13:00" u="1"/>
        <s v="2016-10-26-12:00" u="1"/>
        <s v="2017-08-09-06:00" u="1"/>
        <s v="2017-08-29-05:00" u="1"/>
        <s v="2017-04-21-10:00" u="1"/>
        <s v="2018-05-24-23:00" u="1"/>
        <s v="2017-05-15-15:00" u="1"/>
        <s v="2017-09-29-05:00" u="1"/>
        <s v="2016-01-12-16:00" u="1"/>
        <s v="2017-05-01-11:00" u="1"/>
        <s v="2016-12-06-13:00" u="1"/>
        <s v="2016-12-26-12:00" u="1"/>
        <s v="2017-06-15-15:00" u="1"/>
        <s v="2016-02-12-16:00" u="1"/>
        <s v="2017-06-01-11:00" u="1"/>
        <s v="2017-06-21-10:00" u="1"/>
        <s v="2018-07-24-23:00" u="1"/>
        <s v="9018-06-28-18:00" u="1"/>
        <s v="2017-07-21-10:00" u="1"/>
        <s v="2017-08-15-15:00" u="1"/>
        <s v="2016-04-12-16:00" u="1"/>
        <s v="2017-08-01-11:00" u="1"/>
        <s v="2017-08-21-10:00" u="1"/>
        <s v="2014-10-20-00:00" u="1"/>
        <s v="2017-09-15-15:00" u="1"/>
        <s v="2016-05-12-16:00" u="1"/>
        <s v="2017-09-01-11:00" u="1"/>
        <s v="2017-09-21-10:00" u="1"/>
        <s v="2014-11-20-00:00" u="1"/>
        <s v="2016-07-12-16:00" u="1"/>
        <s v="2016-08-12-16:00" u="1"/>
        <s v="2018-01-09-06:00" u="1"/>
        <s v="2018-01-29-05:00" u="1"/>
        <s v="2016-09-12-16:00" u="1"/>
        <s v="2018-02-09-06:00" u="1"/>
        <s v="2018-03-09-06:00" u="1"/>
        <s v="2018-03-29-05:00" u="1"/>
        <s v="2018-04-09-06:00" u="1"/>
        <s v="2018-01-15-15:00" u="1"/>
        <s v="2018-05-09-06:00" u="1"/>
        <s v="2018-05-29-05:00" u="1"/>
        <s v="2018-02-15-15:00" u="1"/>
        <s v="2018-06-29-05:00" u="1"/>
        <s v="2018-02-01-11:00" u="1"/>
        <s v="2018-02-21-10:00" u="1"/>
        <s v="2018-03-15-15:00" u="1"/>
        <s v="2018-03-01-11:00" u="1"/>
        <s v="2018-03-21-10:00" u="1"/>
        <s v="2017-10-06-13:00" u="1"/>
        <s v="2017-10-26-12:00" u="1"/>
        <s v="2016-10-03-00:00" u="1"/>
        <s v="2017-11-06-13:00" u="1"/>
        <s v="2018-05-15-15:00" u="1"/>
        <s v="2017-01-12-16:00" u="1"/>
        <s v="2018-05-01-11:00" u="1"/>
        <s v="2018-05-21-10:00" u="1"/>
        <s v="2016-11-03-00:00" u="1"/>
        <s v="2018-06-29-19:00" u="1"/>
        <s v="2017-12-06-13:00" u="1"/>
        <s v="2017-12-26-12:00" u="1"/>
        <s v="2016-02-03-08:00" u="1"/>
        <s v="2016-02-23-07:00" u="1"/>
        <s v="2016-03-03-08:00" u="1"/>
        <s v="2016-03-23-07:00" u="1"/>
        <s v="2016-10-17-18:00" u="1"/>
        <s v="2017-04-12-16:00" u="1"/>
        <s v="9018-07-25-05:00" u="1"/>
        <s v="2016-01-18-10:00" u="1"/>
        <s v="2016-11-17-18:00" u="1"/>
        <s v="2017-05-12-16:00" u="1"/>
        <s v="2016-05-03-08:00" u="1"/>
        <s v="2016-05-23-07:00" u="1"/>
        <s v="2016-02-18-10:00" u="1"/>
        <s v="2017-06-12-16:00" u="1"/>
        <s v="2016-06-03-08:00" u="1"/>
        <s v="2016-06-23-07:00" u="1"/>
        <s v="2016-03-18-10:00" u="1"/>
        <s v="2017-07-12-16:00" u="1"/>
        <s v="2016-04-18-10:00" u="1"/>
        <s v="9018-07-25-19:00" u="1"/>
        <s v="2016-08-03-08:00" u="1"/>
        <s v="2016-08-23-07:00" u="1"/>
        <s v="2016-05-18-10:00" u="1"/>
        <s v="2017-09-12-16:00" u="1"/>
        <s v="2016-09-23-07:00" u="1"/>
        <s v="2016-07-18-10:00" u="1"/>
        <s v="2016-08-18-10:00" u="1"/>
        <s v="2017-10-03-00:00" u="1"/>
        <s v="2018-01-12-16:00" u="1"/>
        <s v="2017-01-03-08:00" u="1"/>
        <s v="2017-01-23-07:00" u="1"/>
        <s v="2017-11-03-00:00" u="1"/>
        <s v="2018-02-12-16:00" u="1"/>
        <s v="2018-06-26-06:00" u="1"/>
        <s v="2017-02-03-08:00" u="1"/>
        <s v="2017-02-23-07:00" u="1"/>
        <s v="2018-03-12-16:00" u="1"/>
        <s v="2018-07-26-06:00" u="1"/>
        <s v="2017-03-03-08:00" u="1"/>
        <s v="2017-03-23-07:00" u="1"/>
        <s v="2017-10-17-18:00" u="1"/>
        <s v="2018-04-12-16:00" u="1"/>
        <s v="2016-10-14-05:00" u="1"/>
        <s v="2017-04-03-08:00" u="1"/>
        <s v="2016-10-20-00:00" u="1"/>
        <s v="2017-01-18-10:00" u="1"/>
        <s v="2017-11-17-18:00" u="1"/>
        <s v="2016-11-14-05:00" u="1"/>
        <s v="2017-05-03-08:00" u="1"/>
        <s v="2017-05-23-07:00" u="1"/>
        <s v="2016-01-20-08:00" u="1"/>
        <s v="2016-12-14-05:00" u="1"/>
        <s v="2017-06-23-07:00" u="1"/>
        <s v="2016-12-20-00:00" u="1"/>
        <s v="2017-07-03-08:00" u="1"/>
        <s v="2017-04-18-10:00" u="1"/>
        <s v="2017-08-03-08:00" u="1"/>
        <s v="2017-08-23-07:00" u="1"/>
        <s v="2016-04-20-08:00" u="1"/>
        <s v="2016-01-29-15:00" u="1"/>
        <s v="2017-05-18-10:00" u="1"/>
        <s v="2016-05-20-08:00" u="1"/>
        <s v="2016-02-09-16:00" u="1"/>
        <s v="2016-02-29-15:00" u="1"/>
        <s v="2016-06-20-08:00" u="1"/>
        <s v="2016-03-09-16:00" u="1"/>
        <s v="2016-03-29-15:00" u="1"/>
        <s v="2017-07-18-10:00" u="1"/>
        <s v="2016-07-20-08:00" u="1"/>
        <s v="2016-04-29-15:00" u="1"/>
        <s v="2017-08-18-10:00" u="1"/>
        <s v="2016-05-09-16:00" u="1"/>
        <s v="2017-09-18-10:00" u="1"/>
        <s v="2016-01-21-20:00" u="1"/>
        <s v="2016-09-20-08:00" u="1"/>
        <s v="2016-06-09-16:00" u="1"/>
        <s v="2016-06-29-15:00" u="1"/>
        <s v="2016-02-01-21:00" u="1"/>
        <s v="2016-07-29-15:00" u="1"/>
        <s v="2016-03-01-21:00" u="1"/>
        <s v="2016-03-21-20:00" u="1"/>
        <s v="2016-08-09-16:00" u="1"/>
        <s v="2016-08-29-15:00" u="1"/>
        <s v="2016-04-01-21:00" u="1"/>
        <s v="2016-04-21-20:00" u="1"/>
        <s v="2016-09-09-16:00" u="1"/>
        <s v="2016-09-29-15:00" u="1"/>
        <s v="2018-01-03-08:00" u="1"/>
        <s v="2018-01-23-07:00" u="1"/>
        <s v="2016-06-01-21:00" u="1"/>
        <s v="2016-06-21-20:00" u="1"/>
        <s v="2018-02-23-07:00" u="1"/>
        <s v="2016-07-01-21:00" u="1"/>
        <s v="2016-07-21-20:00" u="1"/>
        <s v="2018-03-23-07:00" u="1"/>
        <s v="2016-08-01-21:00" u="1"/>
        <s v="2018-04-03-08:00" u="1"/>
        <s v="2018-04-23-07:00" u="1"/>
        <s v="2017-10-20-00:00" u="1"/>
        <s v="2018-01-18-10:00" u="1"/>
        <s v="2016-09-01-21:00" u="1"/>
        <s v="2016-09-21-20:00" u="1"/>
        <s v="2017-11-14-05:00" u="1"/>
        <s v="2018-05-03-08:00" u="1"/>
        <s v="2018-05-23-07:00" u="1"/>
        <s v="2017-01-20-08:00" u="1"/>
        <s v="2017-11-20-00:00" u="1"/>
        <s v="2017-12-14-05:00" u="1"/>
        <s v="2017-02-20-08:00" u="1"/>
        <s v="2017-12-20-00:00" u="1"/>
        <s v="2018-07-23-07:00" u="1"/>
        <s v="2017-03-20-08:00" u="1"/>
        <s v="2018-04-18-10:00" u="1"/>
        <s v="2017-04-20-08:00" u="1"/>
        <s v="2017-01-09-16:00" u="1"/>
        <s v="2018-05-18-10:00" u="1"/>
        <s v="2016-01-06-03:00" u="1"/>
        <s v="2016-01-26-02:00" u="1"/>
        <s v="2017-02-09-16:00" u="1"/>
        <s v="2016-02-26-02:00" u="1"/>
        <s v="2017-06-20-08:00" u="1"/>
        <s v="2017-03-09-16:00" u="1"/>
        <s v="2017-03-29-15:00" u="1"/>
        <s v="9018-06-28-00:00" u="1"/>
        <s v="2017-07-20-08:00" u="1"/>
        <s v="2016-04-06-03:00" u="1"/>
        <s v="2016-04-26-02:00" u="1"/>
        <s v="2017-05-09-16:00" u="1"/>
        <s v="2017-05-29-15:00" u="1"/>
        <s v="2016-05-06-03:00" u="1"/>
        <s v="2016-05-26-02:00" u="1"/>
        <s v="2017-09-20-08:00" u="1"/>
        <s v="2017-06-09-16:00" u="1"/>
        <s v="2017-06-29-15:00" u="1"/>
        <s v="2017-02-01-21:00" u="1"/>
        <s v="2017-02-21-20:00" u="1"/>
        <s v="2016-06-06-03:00" u="1"/>
        <s v="9018-06-28-14:00" u="1"/>
        <s v="2017-03-01-21:00" u="1"/>
        <s v="2017-03-21-20:00" u="1"/>
        <s v="2016-07-06-03:00" u="1"/>
        <s v="2016-07-26-02:00" u="1"/>
        <s v="2016-10-06-23:00" u="1"/>
        <s v="2016-10-26-22:00" u="1"/>
        <s v="2017-08-09-16:00" u="1"/>
        <s v="2017-08-29-15:00" u="1"/>
        <s v="2017-04-21-20:00" u="1"/>
        <s v="2016-08-26-02:00" u="1"/>
        <s v="2017-09-29-15:00" u="1"/>
        <s v="2017-05-01-21:00" u="1"/>
        <s v="2016-09-06-03:00" u="1"/>
        <s v="2016-09-26-02:00" u="1"/>
        <s v="2016-12-06-23:00" u="1"/>
        <s v="2016-12-26-22:00" u="1"/>
        <s v="2017-06-01-21:00" u="1"/>
        <s v="2017-06-21-20:00" u="1"/>
        <s v="2017-07-21-20:00" u="1"/>
        <s v="2017-08-01-21:00" u="1"/>
        <s v="2017-08-21-20:00" u="1"/>
        <s v="2017-09-01-21:00" u="1"/>
        <s v="2017-09-21-20:00" u="1"/>
        <s v="2018-02-20-08:00" u="1"/>
        <s v="2018-03-20-08:00" u="1"/>
        <s v="2018-04-20-08:00" u="1"/>
        <s v="2018-01-09-16:00" u="1"/>
        <s v="2018-01-29-15:00" u="1"/>
        <s v="2017-01-06-03:00" u="1"/>
        <s v="2017-01-26-02:00" u="1"/>
        <s v="2018-02-09-16:00" u="1"/>
        <s v="2018-06-29-01:00" u="1"/>
        <s v="2017-02-06-03:00" u="1"/>
        <s v="2018-03-09-16:00" u="1"/>
        <s v="2018-03-29-15:00" u="1"/>
        <s v="2017-03-06-03:00" u="1"/>
        <s v="2018-07-20-08:00" u="1"/>
        <s v="2018-04-09-16:00" u="1"/>
        <s v="2016-10-17-00:00" u="1"/>
        <s v="2017-04-06-03:00" u="1"/>
        <s v="2017-04-26-02:00" u="1"/>
        <s v="2018-05-09-16:00" u="1"/>
        <s v="2018-05-29-15:00" u="1"/>
        <s v="2016-11-17-00:00" u="1"/>
        <s v="2017-05-26-02:00" u="1"/>
        <s v="2018-06-29-15:00" u="1"/>
        <s v="2018-02-01-21:00" u="1"/>
        <s v="2018-02-21-20:00" u="1"/>
        <s v="2016-02-17-08:00" u="1"/>
        <s v="2017-06-06-03:00" u="1"/>
        <s v="2017-06-26-02:00" u="1"/>
        <s v="2018-03-01-21:00" u="1"/>
        <s v="2018-03-21-20:00" u="1"/>
        <s v="2016-03-17-08:00" u="1"/>
        <s v="2017-07-06-03:00" u="1"/>
        <s v="2017-07-26-02:00" u="1"/>
        <s v="2017-10-06-23:00" u="1"/>
        <s v="2017-10-26-22:00" u="1"/>
        <s v="2016-10-03-10:00" u="1"/>
        <s v="9018-07-25-01:00" u="1"/>
        <s v="2017-11-06-23:00" u="1"/>
        <s v="2018-05-01-21:00" u="1"/>
        <s v="2018-05-21-20:00" u="1"/>
        <s v="2016-05-17-08:00" u="1"/>
        <s v="2016-11-03-10:00" u="1"/>
        <s v="2017-09-06-03:00" u="1"/>
        <s v="2017-09-26-02:00" u="1"/>
        <s v="2017-12-06-23:00" u="1"/>
        <s v="2017-12-26-22:00" u="1"/>
        <s v="2016-02-03-18:00" u="1"/>
        <s v="2016-02-23-17:00" u="1"/>
        <s v="2016-06-17-08:00" u="1"/>
        <s v="2016-03-03-18:00" u="1"/>
        <s v="2016-03-23-17:00" u="1"/>
        <s v="9018-07-25-15:00" u="1"/>
        <s v="2016-08-17-08:00" u="1"/>
        <s v="2016-01-18-20:00" u="1"/>
        <s v="2016-05-03-18:00" u="1"/>
        <s v="2016-05-23-17:00" u="1"/>
        <s v="2016-02-18-20:00" u="1"/>
        <s v="2016-06-03-18:00" u="1"/>
        <s v="2016-06-23-17:00" u="1"/>
        <s v="2016-03-18-20:00" u="1"/>
        <s v="2016-04-18-20:00" u="1"/>
        <s v="2016-08-03-18:00" u="1"/>
        <s v="2016-08-23-17:00" u="1"/>
        <s v="2016-05-18-20:00" u="1"/>
        <s v="2016-09-23-17:00" u="1"/>
        <s v="2018-01-26-02:00" u="1"/>
        <s v="2018-02-06-03:00" u="1"/>
        <s v="2018-02-26-02:00" u="1"/>
        <s v="2016-07-18-20:00" u="1"/>
        <s v="2018-03-06-03:00" u="1"/>
        <s v="2018-03-26-02:00" u="1"/>
        <s v="2016-08-18-20:00" u="1"/>
        <s v="2017-10-17-00:00" u="1"/>
        <s v="2018-04-06-03:00" u="1"/>
        <s v="2018-04-26-02:00" u="1"/>
        <s v="2017-01-17-08:00" u="1"/>
        <s v="2017-11-17-00:00" u="1"/>
        <s v="2017-02-17-08:00" u="1"/>
        <s v="2018-06-26-02:00" u="1"/>
        <s v="2017-03-17-08:00" u="1"/>
        <s v="2018-07-26-02:00" u="1"/>
        <s v="2016-10-28-05:00" u="1"/>
        <s v="2017-04-17-08:00" u="1"/>
        <s v="2017-10-03-10:00" u="1"/>
        <s v="2016-11-08-06:00" u="1"/>
        <s v="2016-11-28-05:00" u="1"/>
        <s v="2017-01-03-18:00" u="1"/>
        <s v="2017-01-23-17:00" u="1"/>
        <s v="2017-05-17-08:00" u="1"/>
        <s v="2017-11-03-10:00" u="1"/>
        <s v="2016-01-20-04:00" u="1"/>
        <s v="2018-06-26-16:00" u="1"/>
        <s v="2016-12-08-06:00" u="1"/>
        <s v="2016-12-28-05:00" u="1"/>
        <s v="2017-02-03-18:00" u="1"/>
        <s v="2017-02-23-17:00" u="1"/>
        <s v="2018-07-26-16:00" u="1"/>
        <s v="2017-03-03-18:00" u="1"/>
        <s v="2017-03-23-17:00" u="1"/>
        <s v="2017-07-17-08:00" u="1"/>
        <s v="2016-10-14-15:00" u="1"/>
        <s v="2017-04-03-18:00" u="1"/>
        <s v="2017-08-17-08:00" u="1"/>
        <s v="2016-10-20-10:00" u="1"/>
        <s v="9018-07-02-03:00" u="1"/>
        <s v="2016-04-20-04:00" u="1"/>
        <s v="2017-01-18-20:00" u="1"/>
        <s v="2016-11-14-15:00" u="1"/>
        <s v="2017-05-03-18:00" u="1"/>
        <s v="2017-05-23-17:00" u="1"/>
        <s v="2016-01-20-18:00" u="1"/>
        <s v="2016-05-20-04:00" u="1"/>
        <s v="2016-12-14-15:00" u="1"/>
        <s v="2017-06-23-17:00" u="1"/>
        <s v="2016-12-20-10:00" u="1"/>
        <s v="2015-12-31-01:00" u="1"/>
        <s v="2016-06-20-04:00" u="1"/>
        <s v="2017-07-03-18:00" u="1"/>
        <s v="2016-03-20-18:00" u="1"/>
        <s v="2016-07-20-04:00" u="1"/>
        <s v="2017-04-18-20:00" u="1"/>
        <s v="2017-08-03-18:00" u="1"/>
        <s v="2017-08-23-17:00" u="1"/>
        <s v="2016-04-20-18:00" u="1"/>
        <s v="2017-05-18-20:00" u="1"/>
        <s v="2016-05-20-18:00" u="1"/>
        <s v="2016-09-20-04:00" u="1"/>
        <s v="2016-06-20-18:00" u="1"/>
        <s v="2017-07-18-20:00" u="1"/>
        <s v="2016-07-20-18:00" u="1"/>
        <s v="2017-08-18-20:00" u="1"/>
        <s v="2017-09-18-20:00" u="1"/>
        <s v="2018-01-17-08:00" u="1"/>
        <s v="2016-09-20-18:00" u="1"/>
        <s v="2018-04-17-08:00" u="1"/>
        <s v="2017-11-08-06:00" u="1"/>
        <s v="2017-11-28-05:00" u="1"/>
        <s v="2018-01-03-18:00" u="1"/>
        <s v="2018-01-23-17:00" u="1"/>
        <s v="2018-05-17-08:00" u="1"/>
        <s v="2017-01-20-04:00" u="1"/>
        <s v="2017-12-08-06:00" u="1"/>
        <s v="2017-12-28-05:00" u="1"/>
        <s v="2018-02-23-17:00" u="1"/>
        <s v="2017-02-20-04:00" u="1"/>
        <s v="2018-03-23-17:00" u="1"/>
        <s v="2017-03-20-04:00" u="1"/>
        <s v="2018-04-03-18:00" u="1"/>
        <s v="2018-04-23-17:00" u="1"/>
        <s v="2017-10-20-10:00" u="1"/>
        <s v="2016-10-11-02:00" u="1"/>
        <s v="2016-10-31-01:00" u="1"/>
        <s v="2017-04-20-04:00" u="1"/>
        <s v="2018-01-18-20:00" u="1"/>
        <s v="2017-11-14-15:00" u="1"/>
        <s v="2018-05-03-18:00" u="1"/>
        <s v="2018-05-23-17:00" u="1"/>
        <s v="2017-01-20-18:00" u="1"/>
        <s v="2017-11-20-10:00" u="1"/>
        <s v="2016-11-11-02:00" u="1"/>
        <s v="2017-12-14-15:00" u="1"/>
        <s v="2017-02-20-18:00" u="1"/>
        <s v="2017-12-20-10:00" u="1"/>
        <s v="2017-06-20-04:00" u="1"/>
        <s v="2018-07-23-17:00" u="1"/>
        <s v="2017-03-20-18:00" u="1"/>
        <s v="2016-03-31-09:00" u="1"/>
        <s v="2017-07-20-04:00" u="1"/>
        <s v="2018-04-18-20:00" u="1"/>
        <s v="2017-04-20-18:00" u="1"/>
        <s v="2018-05-18-20:00" u="1"/>
        <s v="2016-01-06-13:00" u="1"/>
        <s v="2016-01-26-12:00" u="1"/>
        <s v="2016-05-31-09:00" u="1"/>
        <s v="2017-09-20-04:00" u="1"/>
        <s v="2016-02-26-12:00" u="1"/>
        <s v="2017-06-20-18:00" u="1"/>
        <s v="9018-06-28-10:00" u="1"/>
        <s v="2017-07-20-18:00" u="1"/>
        <s v="2016-04-06-13:00" u="1"/>
        <s v="2016-04-26-12:00" u="1"/>
        <s v="2017-08-20-18:00" u="1"/>
        <s v="2016-08-31-09:00" u="1"/>
        <s v="2016-05-06-13:00" u="1"/>
        <s v="2016-05-26-12:00" u="1"/>
        <s v="2017-09-20-18:00" u="1"/>
        <s v="2016-06-06-13:00" u="1"/>
        <s v="2016-07-06-13:00" u="1"/>
        <s v="2016-07-26-12:00" u="1"/>
        <s v="2016-08-26-12:00" u="1"/>
        <s v="2016-09-06-13:00" u="1"/>
        <s v="2016-09-26-12:00" u="1"/>
        <s v="2018-02-20-04:00" u="1"/>
        <s v="2018-03-20-04:00" u="1"/>
        <s v="2017-10-11-02:00" u="1"/>
        <s v="2017-10-31-01:00" u="1"/>
        <s v="2018-04-20-04:00" u="1"/>
        <s v="2017-01-31-09:00" u="1"/>
        <s v="2018-02-20-18:00" u="1"/>
        <s v="2017-12-11-02:00" u="1"/>
        <s v="2018-03-20-18:00" u="1"/>
        <s v="2017-03-31-09:00" u="1"/>
        <s v="2018-07-20-04:00" u="1"/>
        <s v="2018-04-20-18:00" u="1"/>
        <s v="2017-01-06-13:00" u="1"/>
        <s v="2017-01-26-12:00" u="1"/>
        <s v="2018-05-20-18:00" u="1"/>
        <s v="2016-11-02-08:00" u="1"/>
        <s v="2016-11-22-07:00" u="1"/>
        <s v="2017-05-31-09:00" u="1"/>
        <s v="2018-06-29-11:00" u="1"/>
        <s v="2017-02-06-13:00" u="1"/>
        <s v="2016-02-03-00:00" u="1"/>
        <s v="2016-12-02-08:00" u="1"/>
        <s v="2016-12-22-07:00" u="1"/>
        <s v="2017-03-06-13:00" u="1"/>
        <s v="2018-07-20-18:00" u="1"/>
        <s v="2016-03-03-00:00" u="1"/>
        <s v="2017-07-31-09:00" u="1"/>
        <s v="2016-10-17-10:00" u="1"/>
        <s v="2017-04-06-13:00" u="1"/>
        <s v="2017-04-26-12:00" u="1"/>
        <s v="2017-08-31-09:00" u="1"/>
        <s v="2016-11-17-10:00" u="1"/>
        <s v="2017-05-26-12:00" u="1"/>
        <s v="2016-05-03-00:00" u="1"/>
        <s v="2016-02-17-18:00" u="1"/>
        <s v="2017-06-06-13:00" u="1"/>
        <s v="2017-06-26-12:00" u="1"/>
        <s v="2016-06-03-00:00" u="1"/>
        <s v="2016-03-17-18:00" u="1"/>
        <s v="2017-07-06-13:00" u="1"/>
        <s v="2017-07-26-12:00" u="1"/>
        <s v="2016-10-03-20:00" u="1"/>
        <s v="9018-07-25-11:00" u="1"/>
        <s v="2016-08-03-00:00" u="1"/>
        <s v="2016-05-17-18:00" u="1"/>
        <s v="2016-11-03-20:00" u="1"/>
        <s v="2017-09-06-13:00" u="1"/>
        <s v="2017-09-26-12:00" u="1"/>
        <s v="2016-06-17-18:00" u="1"/>
        <s v="2016-08-17-18:00" u="1"/>
        <s v="2018-01-31-09:00" u="1"/>
        <s v="2017-10-02-08:00" u="1"/>
        <s v="2018-01-26-12:00" u="1"/>
        <s v="2017-01-03-00:00" u="1"/>
        <s v="2017-11-02-08:00" u="1"/>
        <s v="2017-11-22-07:00" u="1"/>
        <s v="2018-02-06-13:00" u="1"/>
        <s v="2018-02-26-12:00" u="1"/>
        <s v="2017-02-03-00:00" u="1"/>
        <s v="2017-12-22-07:00" u="1"/>
        <s v="2018-03-06-13:00" u="1"/>
        <s v="2018-03-26-12:00" u="1"/>
        <s v="2017-03-03-00:00" u="1"/>
        <s v="2017-10-17-10:00" u="1"/>
        <s v="2018-04-06-13:00" u="1"/>
        <s v="2018-04-26-12:00" u="1"/>
        <s v="2017-04-03-00:00" u="1"/>
        <s v="2017-01-17-18:00" u="1"/>
        <s v="2017-11-17-10:00" u="1"/>
        <s v="2016-01-14-05:00" u="1"/>
        <s v="2017-05-03-00:00" u="1"/>
        <s v="2017-02-17-18:00" u="1"/>
        <s v="2018-06-26-12:00" u="1"/>
        <s v="2017-03-17-18:00" u="1"/>
        <s v="2018-07-26-12:00" u="1"/>
        <s v="2016-03-14-05:00" u="1"/>
        <s v="2017-07-03-00:00" u="1"/>
        <s v="2016-10-28-15:00" u="1"/>
        <s v="2017-04-17-18:00" u="1"/>
        <s v="2017-10-03-20:00" u="1"/>
        <s v="2016-04-14-05:00" u="1"/>
        <s v="2017-08-03-00:00" u="1"/>
        <s v="2016-11-08-16:00" u="1"/>
        <s v="2016-11-28-15:00" u="1"/>
        <s v="2017-05-17-18:00" u="1"/>
        <s v="2017-11-03-20:00" u="1"/>
        <s v="2016-01-20-14:00" u="1"/>
        <s v="2016-12-08-16:00" u="1"/>
        <s v="2016-12-28-15:00" u="1"/>
        <s v="2016-06-14-05:00" u="1"/>
        <s v="2017-07-17-18:00" u="1"/>
        <s v="2016-07-14-05:00" u="1"/>
        <s v="2017-08-17-18:00" u="1"/>
        <s v="2016-10-20-20:00" u="1"/>
        <s v="2016-04-20-14:00" u="1"/>
        <s v="2016-11-20-20:00" u="1"/>
        <s v="2016-05-20-14:00" u="1"/>
        <s v="2016-09-14-05:00" u="1"/>
        <s v="2016-12-20-20:00" u="1"/>
        <s v="2015-12-31-11:00" u="1"/>
        <s v="2016-06-20-14:00" u="1"/>
        <s v="2016-07-20-14:00" u="1"/>
        <s v="2016-09-20-14:00" u="1"/>
        <s v="2018-01-03-00:00" u="1"/>
        <s v="2018-04-03-00:00" u="1"/>
        <s v="2018-01-17-18:00" u="1"/>
        <s v="2018-05-03-00:00" u="1"/>
        <s v="2017-02-14-05:00" u="1"/>
        <s v="2017-03-14-05:00" u="1"/>
        <s v="2018-04-17-18:00" u="1"/>
        <s v="2016-10-05-03:00" u="1"/>
        <s v="2016-10-25-02:00" u="1"/>
        <s v="2017-04-14-05:00" u="1"/>
        <s v="2017-11-08-16:00" u="1"/>
        <s v="2017-11-28-15:00" u="1"/>
        <s v="2018-05-17-18:00" u="1"/>
        <s v="2016-11-25-02:00" u="1"/>
        <s v="2017-01-20-14:00" u="1"/>
        <s v="2017-12-08-16:00" u="1"/>
        <s v="2017-12-28-15:00" u="1"/>
        <s v="2016-12-05-03:00" u="1"/>
        <s v="2017-02-20-14:00" u="1"/>
        <s v="2017-06-14-05:00" u="1"/>
        <s v="9018-06-27-08:00" u="1"/>
        <s v="2017-03-20-14:00" u="1"/>
        <s v="2017-07-14-05:00" u="1"/>
        <s v="2017-10-20-20:00" u="1"/>
        <s v="9018-07-27-08:00" u="1"/>
        <s v="2016-10-11-12:00" u="1"/>
        <s v="2016-10-31-11:00" u="1"/>
        <s v="2017-04-20-14:00" u="1"/>
        <s v="2017-08-14-05:00" u="1"/>
        <s v="2017-11-20-20:00" u="1"/>
        <s v="2016-11-11-12:00" u="1"/>
        <s v="2017-09-14-05:00" u="1"/>
        <s v="2017-12-20-20:00" u="1"/>
        <s v="2017-06-20-14:00" u="1"/>
        <s v="2016-03-31-19:00" u="1"/>
        <s v="2017-07-20-14:00" u="1"/>
        <s v="2016-01-06-23:00" u="1"/>
        <s v="2016-01-26-22:00" u="1"/>
        <s v="2016-05-31-19:00" u="1"/>
        <s v="2017-09-20-14:00" u="1"/>
        <s v="2016-02-26-22:00" u="1"/>
        <s v="9018-06-28-20:00" u="1"/>
        <s v="2016-04-06-23:00" u="1"/>
        <s v="2016-04-26-22:00" u="1"/>
        <s v="2016-08-31-19:00" u="1"/>
        <s v="2016-05-06-23:00" u="1"/>
        <s v="2016-05-26-22:00" u="1"/>
        <s v="2016-06-06-23:00" u="1"/>
        <s v="2018-02-14-05:00" u="1"/>
        <s v="2016-07-06-23:00" u="1"/>
        <s v="2016-07-26-22:00" u="1"/>
        <s v="2018-03-14-05:00" u="1"/>
        <s v="2016-08-26-22:00" u="1"/>
        <s v="2017-10-05-03:00" u="1"/>
        <s v="2017-10-25-02:00" u="1"/>
        <s v="2016-09-06-23:00" u="1"/>
        <s v="2016-09-26-22:00" u="1"/>
        <s v="2018-05-14-05:00" u="1"/>
        <s v="2018-06-28-09:00" u="1"/>
        <s v="2017-12-05-03:00" u="1"/>
        <s v="2018-02-20-14:00" u="1"/>
        <s v="2018-03-20-14:00" u="1"/>
        <s v="2017-10-11-12:00" u="1"/>
        <s v="2017-10-31-11:00" u="1"/>
        <s v="2018-04-20-14:00" u="1"/>
        <s v="2016-11-16-08:00" u="1"/>
        <s v="2017-01-31-19:00" u="1"/>
        <s v="2016-02-17-00:00" u="1"/>
        <s v="2016-12-16-08:00" u="1"/>
        <s v="2017-12-11-12:00" u="1"/>
        <s v="2016-03-17-00:00" u="1"/>
        <s v="2017-03-31-19:00" u="1"/>
        <s v="2018-07-20-14:00" u="1"/>
        <s v="9018-07-24-09:00" u="1"/>
        <s v="2017-01-06-23:00" u="1"/>
        <s v="2017-01-26-22:00" u="1"/>
        <s v="2016-05-17-00:00" u="1"/>
        <s v="2016-11-02-18:00" u="1"/>
        <s v="2016-11-22-17:00" u="1"/>
        <s v="2017-05-31-19:00" u="1"/>
        <s v="2018-06-29-21:00" u="1"/>
        <s v="2017-02-06-23:00" u="1"/>
        <s v="2016-02-03-10:00" u="1"/>
        <s v="2016-06-17-00:00" u="1"/>
        <s v="2016-12-02-18:00" u="1"/>
        <s v="2016-12-22-17:00" u="1"/>
        <s v="2017-03-06-23:00" u="1"/>
        <s v="2016-03-03-10:00" u="1"/>
        <s v="2017-07-31-19:00" u="1"/>
        <s v="2016-10-17-20:00" u="1"/>
        <s v="2017-04-06-23:00" u="1"/>
        <s v="2017-04-26-22:00" u="1"/>
        <s v="2016-08-17-00:00" u="1"/>
        <s v="2017-08-31-19:00" u="1"/>
        <s v="2016-11-17-20:00" u="1"/>
        <s v="2017-05-26-22:00" u="1"/>
        <s v="2016-05-03-10:00" u="1"/>
        <s v="2017-06-06-23:00" u="1"/>
        <s v="2017-06-26-22:00" u="1"/>
        <s v="2016-06-03-10:00" u="1"/>
        <s v="2017-07-06-23:00" u="1"/>
        <s v="2017-07-26-22:00" u="1"/>
        <s v="9018-07-25-21:00" u="1"/>
        <s v="2016-08-03-10:00" u="1"/>
        <s v="2017-09-06-23:00" u="1"/>
        <s v="2017-09-26-22:00" u="1"/>
        <s v="2017-10-16-08:00" u="1"/>
        <s v="2017-01-17-00:00" u="1"/>
        <s v="2017-11-16-08:00" u="1"/>
        <s v="2018-01-31-19:00" u="1"/>
        <s v="2017-02-17-00:00" u="1"/>
        <s v="2017-03-17-00:00" u="1"/>
        <s v="2017-04-17-00:00" u="1"/>
        <s v="2017-10-02-18:00" u="1"/>
        <s v="2018-01-26-22:00" u="1"/>
        <s v="2016-01-08-06:00" u="1"/>
        <s v="2016-01-28-05:00" u="1"/>
        <s v="2017-01-03-10:00" u="1"/>
        <s v="2017-05-17-00:00" u="1"/>
        <s v="2017-11-02-18:00" u="1"/>
        <s v="2017-11-22-17:00" u="1"/>
        <s v="2018-02-06-23:00" u="1"/>
        <s v="2018-02-26-22:00" u="1"/>
        <s v="2016-02-08-06:00" u="1"/>
        <s v="2017-02-03-10:00" u="1"/>
        <s v="2017-12-22-17:00" u="1"/>
        <s v="2018-03-06-23:00" u="1"/>
        <s v="2018-03-26-22:00" u="1"/>
        <s v="2016-03-08-06:00" u="1"/>
        <s v="2016-03-28-05:00" u="1"/>
        <s v="2017-03-03-10:00" u="1"/>
        <s v="2017-07-17-00:00" u="1"/>
        <s v="2017-10-17-20:00" u="1"/>
        <s v="2018-04-06-23:00" u="1"/>
        <s v="2018-04-26-22:00" u="1"/>
        <s v="2016-04-08-06:00" u="1"/>
        <s v="2016-04-28-05:00" u="1"/>
        <s v="2017-04-03-10:00" u="1"/>
        <s v="2017-08-17-00:00" u="1"/>
        <s v="2017-11-17-20:00" u="1"/>
        <s v="2016-01-14-15:00" u="1"/>
        <s v="2017-05-03-10:00" u="1"/>
        <s v="2018-06-26-22:00" u="1"/>
        <s v="2016-06-08-06:00" u="1"/>
        <s v="2016-06-28-05:00" u="1"/>
        <s v="2015-12-30-09:00" u="1"/>
        <s v="2018-07-26-22:00" u="1"/>
        <s v="2016-03-14-15:00" u="1"/>
        <s v="2016-07-08-06:00" u="1"/>
        <s v="2016-07-28-05:00" u="1"/>
        <s v="2017-07-03-10:00" u="1"/>
        <s v="2016-04-14-15:00" u="1"/>
        <s v="2016-08-08-06:00" u="1"/>
        <s v="2017-08-03-10:00" u="1"/>
        <s v="2016-09-08-06:00" u="1"/>
        <s v="2016-09-28-05:00" u="1"/>
        <s v="2016-06-14-15:00" u="1"/>
        <s v="2016-07-14-15:00" u="1"/>
        <s v="2016-09-14-15:00" u="1"/>
        <s v="2018-01-17-00:00" u="1"/>
        <s v="2018-04-17-00:00" u="1"/>
        <s v="2018-01-03-10:00" u="1"/>
        <s v="2018-05-17-00:00" u="1"/>
        <s v="2017-02-08-06:00" u="1"/>
        <s v="2017-02-28-05:00" u="1"/>
        <s v="2017-03-08-06:00" u="1"/>
        <s v="2017-03-28-05:00" u="1"/>
        <s v="2017-04-28-05:00" u="1"/>
        <s v="2018-04-03-10:00" u="1"/>
        <s v="2017-05-08-06:00" u="1"/>
        <s v="2018-05-03-10:00" u="1"/>
        <s v="2016-01-11-02:00" u="1"/>
        <s v="2016-11-30-09:00" u="1"/>
        <s v="2017-02-14-15:00" u="1"/>
        <s v="2017-06-08-06:00" u="1"/>
        <s v="2017-06-28-05:00" u="1"/>
        <s v="2016-02-11-02:00" u="1"/>
        <s v="2016-12-30-09:00" u="1"/>
        <s v="2017-03-14-15:00" u="1"/>
        <s v="2017-07-28-05:00" u="1"/>
        <s v="9018-06-27-04:00" u="1"/>
        <s v="2016-03-11-02:00" u="1"/>
        <s v="2016-03-31-01:00" u="1"/>
        <s v="2016-10-05-13:00" u="1"/>
        <s v="2016-10-25-12:00" u="1"/>
        <s v="2017-04-14-15:00" u="1"/>
        <s v="2017-08-08-06:00" u="1"/>
        <s v="2017-08-28-05:00" u="1"/>
        <s v="9018-07-27-04:00" u="1"/>
        <s v="2016-04-11-02:00" u="1"/>
        <s v="2016-11-25-12:00" u="1"/>
        <s v="2017-09-08-06:00" u="1"/>
        <s v="2017-09-28-05:00" u="1"/>
        <s v="2016-05-11-02:00" u="1"/>
        <s v="2016-05-31-01:00" u="1"/>
        <s v="2016-12-05-13:00" u="1"/>
        <s v="2017-06-14-15:00" u="1"/>
        <s v="9018-06-27-18:00" u="1"/>
        <s v="2017-07-14-15:00" u="1"/>
        <s v="2016-07-11-02:00" u="1"/>
        <s v="9018-07-27-18:00" u="1"/>
        <s v="2016-10-11-22:00" u="1"/>
        <s v="2016-10-31-21:00" u="1"/>
        <s v="2017-08-14-15:00" u="1"/>
        <s v="2016-08-11-02:00" u="1"/>
        <s v="2016-08-31-01:00" u="1"/>
        <s v="2016-11-11-22:00" u="1"/>
        <s v="2017-09-14-15:00" u="1"/>
        <s v="2018-01-08-06:00" u="1"/>
        <s v="2018-02-08-06:00" u="1"/>
        <s v="2018-02-28-05:00" u="1"/>
        <s v="2018-03-08-06:00" u="1"/>
        <s v="2018-03-28-05:00" u="1"/>
        <s v="2017-10-30-09:00" u="1"/>
        <s v="2018-05-08-06:00" u="1"/>
        <s v="2018-05-28-05:00" u="1"/>
        <s v="2017-01-11-02:00" u="1"/>
        <s v="2017-01-31-01:00" u="1"/>
        <s v="2017-11-30-09:00" u="1"/>
        <s v="2018-02-14-15:00" u="1"/>
        <s v="2018-06-28-05:00" u="1"/>
        <s v="2018-03-14-15:00" u="1"/>
        <s v="2017-03-31-01:00" u="1"/>
        <s v="2017-10-05-13:00" u="1"/>
        <s v="2017-10-25-12:00" u="1"/>
        <s v="2017-04-11-02:00" u="1"/>
        <s v="2018-05-14-15:00" u="1"/>
        <s v="2016-01-22-07:00" u="1"/>
        <s v="2016-11-02-00:00" u="1"/>
        <s v="2017-05-11-02:00" u="1"/>
        <s v="2017-05-31-01:00" u="1"/>
        <s v="2018-06-28-19:00" u="1"/>
        <s v="2017-12-05-13:00" u="1"/>
        <s v="2016-02-02-08:00" u="1"/>
        <s v="2016-02-22-07:00" u="1"/>
        <s v="2016-12-02-00:00" u="1"/>
        <s v="2016-03-02-08:00" u="1"/>
        <s v="2016-03-22-07:00" u="1"/>
        <s v="2017-07-11-02:00" u="1"/>
        <s v="2017-07-31-01:00" u="1"/>
        <s v="2017-10-11-22:00" u="1"/>
        <s v="2017-10-31-21:00" u="1"/>
        <s v="9018-07-24-05:00" u="1"/>
        <s v="2016-04-22-07:00" u="1"/>
        <s v="2017-08-11-02:00" u="1"/>
        <s v="2017-08-31-01:00" u="1"/>
        <s v="9018-07-30-00:00" u="1"/>
        <s v="2016-11-16-18:00" u="1"/>
        <s v="2016-05-02-08:00" u="1"/>
        <s v="2017-09-11-02:00" u="1"/>
        <s v="2016-02-17-10:00" u="1"/>
        <s v="2016-12-16-18:00" u="1"/>
        <s v="2017-12-11-22:00" u="1"/>
        <s v="2016-06-02-08:00" u="1"/>
        <s v="2016-06-22-07:00" u="1"/>
        <s v="2016-03-17-10:00" u="1"/>
        <s v="2016-07-22-07:00" u="1"/>
        <s v="9018-07-24-19:00" u="1"/>
        <s v="2016-08-02-08:00" u="1"/>
        <s v="2016-08-22-07:00" u="1"/>
        <s v="2016-05-17-10:00" u="1"/>
        <s v="2016-09-02-08:00" u="1"/>
        <s v="2016-09-22-07:00" u="1"/>
        <s v="2016-02-03-20:00" u="1"/>
        <s v="2016-06-17-10:00" u="1"/>
        <s v="2016-03-03-20:00" u="1"/>
        <s v="2016-08-17-10:00" u="1"/>
        <s v="2016-05-03-20:00" u="1"/>
        <s v="2018-01-11-02:00" u="1"/>
        <s v="2018-01-31-01:00" u="1"/>
        <s v="2016-06-03-20:00" u="1"/>
        <s v="2016-08-03-20:00" u="1"/>
        <s v="2017-10-02-00:00" u="1"/>
        <s v="2018-04-11-02:00" u="1"/>
        <s v="2017-11-02-00:00" u="1"/>
        <s v="2018-05-11-02:00" u="1"/>
        <s v="2017-02-02-08:00" u="1"/>
        <s v="2017-02-22-07:00" u="1"/>
        <s v="2018-07-25-06:00" u="1"/>
        <s v="2017-03-02-08:00" u="1"/>
        <s v="2017-03-22-07:00" u="1"/>
        <s v="2017-10-16-18:00" u="1"/>
        <s v="2016-10-13-05:00" u="1"/>
        <s v="2017-01-17-10:00" u="1"/>
        <s v="2017-11-16-18:00" u="1"/>
        <s v="2017-05-02-08:00" u="1"/>
        <s v="2017-05-22-07:00" u="1"/>
        <s v="2017-02-17-10:00" u="1"/>
        <s v="2016-12-13-05:00" u="1"/>
        <s v="2017-06-02-08:00" u="1"/>
        <s v="2017-06-22-07:00" u="1"/>
        <s v="2017-03-17-10:00" u="1"/>
        <s v="2017-04-17-10:00" u="1"/>
        <s v="2017-08-02-08:00" u="1"/>
        <s v="2017-08-22-07:00" u="1"/>
        <s v="E018-07-31-00:00" u="1"/>
        <s v="2016-01-08-16:00" u="1"/>
        <s v="2016-01-28-15:00" u="1"/>
        <s v="2017-01-03-20:00" u="1"/>
        <s v="2017-05-17-10:00" u="1"/>
        <s v="2017-09-22-07:00" u="1"/>
        <s v="2016-02-08-16:00" u="1"/>
        <s v="2017-02-03-20:00" u="1"/>
        <s v="2016-03-08-16:00" u="1"/>
        <s v="2016-03-28-15:00" u="1"/>
        <s v="2017-03-03-20:00" u="1"/>
        <s v="2017-07-17-10:00" u="1"/>
        <s v="2016-04-08-16:00" u="1"/>
        <s v="2016-04-28-15:00" u="1"/>
        <s v="2017-04-03-20:00" u="1"/>
        <s v="2017-08-17-10:00" u="1"/>
        <s v="2017-05-03-20:00" u="1"/>
        <s v="2016-06-08-16:00" u="1"/>
        <s v="2016-06-28-15:00" u="1"/>
        <s v="2015-12-30-19:00" u="1"/>
        <s v="2016-07-08-16:00" u="1"/>
        <s v="2016-07-28-15:00" u="1"/>
        <s v="2017-07-03-20:00" u="1"/>
        <s v="2016-08-08-16:00" u="1"/>
        <s v="2017-08-03-20:00" u="1"/>
        <s v="2016-09-08-16:00" u="1"/>
        <s v="2016-09-28-15:00" u="1"/>
        <s v="2018-01-22-07:00" u="1"/>
        <s v="2018-02-02-08:00" u="1"/>
        <s v="2018-02-22-07:00" u="1"/>
        <s v="2018-03-02-08:00" u="1"/>
        <s v="2018-03-22-07:00" u="1"/>
        <s v="2017-10-13-05:00" u="1"/>
        <s v="2018-04-02-08:00" u="1"/>
        <s v="2018-01-17-10:00" u="1"/>
        <s v="2017-11-13-05:00" u="1"/>
        <s v="2018-05-02-08:00" u="1"/>
        <s v="2018-05-22-07:00" u="1"/>
        <s v="2017-12-13-05:00" u="1"/>
        <s v="2018-04-17-10:00" u="1"/>
        <s v="2018-01-03-20:00" u="1"/>
        <s v="2018-05-17-10:00" u="1"/>
        <s v="2016-01-19-07:00" u="1"/>
        <s v="2016-01-05-03:00" u="1"/>
        <s v="2016-01-25-02:00" u="1"/>
        <s v="2017-02-08-16:00" u="1"/>
        <s v="2017-02-28-15:00" u="1"/>
        <s v="2016-02-19-07:00" u="1"/>
        <s v="2016-02-05-03:00" u="1"/>
        <s v="2016-02-25-02:00" u="1"/>
        <s v="2017-03-08-16:00" u="1"/>
        <s v="2017-03-28-15:00" u="1"/>
        <s v="9018-06-27-00:00" u="1"/>
        <s v="2016-03-25-02:00" u="1"/>
        <s v="2017-04-28-15:00" u="1"/>
        <s v="2018-04-03-20:00" u="1"/>
        <s v="2016-04-19-07:00" u="1"/>
        <s v="9018-07-27-00:00" u="1"/>
        <s v="2016-04-05-03:00" u="1"/>
        <s v="2016-04-25-02:00" u="1"/>
        <s v="2017-05-08-16:00" u="1"/>
        <s v="2018-05-03-20:00" u="1"/>
        <s v="2016-05-19-07:00" u="1"/>
        <s v="2016-01-11-12:00" u="1"/>
        <s v="2016-05-05-03:00" u="1"/>
        <s v="2016-05-25-02:00" u="1"/>
        <s v="2016-11-30-19:00" u="1"/>
        <s v="2017-06-08-16:00" u="1"/>
        <s v="2017-06-28-15:00" u="1"/>
        <s v="2016-02-11-12:00" u="1"/>
        <s v="2016-12-30-19:00" u="1"/>
        <s v="2017-07-28-15:00" u="1"/>
        <s v="9018-06-27-14:00" u="1"/>
        <s v="2016-07-19-07:00" u="1"/>
        <s v="2016-03-11-12:00" u="1"/>
        <s v="2016-03-31-11:00" u="1"/>
        <s v="2016-07-05-03:00" u="1"/>
        <s v="2016-07-25-02:00" u="1"/>
        <s v="2016-10-05-23:00" u="1"/>
        <s v="2016-10-25-22:00" u="1"/>
        <s v="2017-08-08-16:00" u="1"/>
        <s v="2017-08-28-15:00" u="1"/>
        <s v="9018-07-27-14:00" u="1"/>
        <s v="2016-08-19-07:00" u="1"/>
        <s v="2016-04-11-12:00" u="1"/>
        <s v="2016-08-05-03:00" u="1"/>
        <s v="2016-08-25-02:00" u="1"/>
        <s v="2016-11-25-22:00" u="1"/>
        <s v="2017-09-08-16:00" u="1"/>
        <s v="2017-09-28-15:00" u="1"/>
        <s v="2016-09-19-07:00" u="1"/>
        <s v="2016-05-11-12:00" u="1"/>
        <s v="2016-05-31-11:00" u="1"/>
        <s v="2016-09-05-03:00" u="1"/>
        <s v="2016-12-05-23:00" u="1"/>
        <s v="2016-07-11-12:00" u="1"/>
        <s v="2016-08-11-12:00" u="1"/>
        <s v="2016-08-31-11:00" u="1"/>
        <s v="2018-01-08-16:00" u="1"/>
        <s v="2017-01-19-07:00" u="1"/>
        <s v="2017-01-05-03:00" u="1"/>
        <s v="2017-01-25-02:00" u="1"/>
        <s v="2018-02-08-16:00" u="1"/>
        <s v="2018-02-28-15:00" u="1"/>
        <s v="2018-06-28-01:00" u="1"/>
        <s v="2018-03-08-16:00" u="1"/>
        <s v="2018-03-28-15:00" u="1"/>
        <s v="2017-04-19-07:00" u="1"/>
        <s v="2017-04-05-03:00" u="1"/>
        <s v="2017-04-25-02:00" u="1"/>
        <s v="2017-10-30-19:00" u="1"/>
        <s v="2018-05-08-16:00" u="1"/>
        <s v="2018-05-28-15:00" u="1"/>
        <s v="2017-05-19-07:00" u="1"/>
        <s v="2016-11-16-00:00" u="1"/>
        <s v="2017-01-11-12:00" u="1"/>
        <s v="2017-01-31-11:00" u="1"/>
        <s v="2017-05-05-03:00" u="1"/>
        <s v="2017-05-25-02:00" u="1"/>
        <s v="2017-11-30-19:00" u="1"/>
        <s v="2018-06-28-15:00" u="1"/>
        <s v="2017-06-19-07:00" u="1"/>
        <s v="2016-02-16-08:00" u="1"/>
        <s v="2016-12-16-00:00" u="1"/>
        <s v="2017-06-05-03:00" u="1"/>
        <s v="2017-07-19-07:00" u="1"/>
        <s v="2016-03-16-08:00" u="1"/>
        <s v="2017-03-31-11:00" u="1"/>
        <s v="2017-07-05-03:00" u="1"/>
        <s v="2017-07-25-02:00" u="1"/>
        <s v="2017-10-05-23:00" u="1"/>
        <s v="2017-10-25-22:00" u="1"/>
        <s v="2017-04-11-12:00" u="1"/>
        <s v="2017-08-25-02:00" u="1"/>
        <s v="2017-09-19-07:00" u="1"/>
        <s v="2016-01-22-17:00" u="1"/>
        <s v="2016-05-16-08:00" u="1"/>
        <s v="2016-11-02-10:00" u="1"/>
        <s v="2017-05-11-12:00" u="1"/>
        <s v="2017-05-31-11:00" u="1"/>
        <s v="2017-09-05-03:00" u="1"/>
        <s v="2017-09-25-02:00" u="1"/>
        <s v="2017-12-05-23:00" u="1"/>
        <s v="2016-02-02-18:00" u="1"/>
        <s v="2016-02-22-17:00" u="1"/>
        <s v="2016-06-16-08:00" u="1"/>
        <s v="2016-12-02-10:00" u="1"/>
        <s v="2016-03-02-18:00" u="1"/>
        <s v="2016-03-22-17:00" u="1"/>
        <s v="2017-07-11-12:00" u="1"/>
        <s v="2017-07-31-11:00" u="1"/>
        <s v="9018-07-24-15:00" u="1"/>
        <s v="2016-04-22-17:00" u="1"/>
        <s v="2016-08-16-08:00" u="1"/>
        <s v="2017-08-11-12:00" u="1"/>
        <s v="2017-08-31-11:00" u="1"/>
        <s v="2016-05-02-18:00" u="1"/>
        <s v="2016-09-16-08:00" u="1"/>
        <s v="2017-09-11-12:00" u="1"/>
        <s v="2016-02-17-20:00" u="1"/>
        <s v="2016-06-02-18:00" u="1"/>
        <s v="2016-06-22-17:00" u="1"/>
        <s v="2016-03-17-20:00" u="1"/>
        <s v="2016-07-22-17:00" u="1"/>
        <s v="2016-08-02-18:00" u="1"/>
        <s v="2016-08-22-17:00" u="1"/>
        <s v="2016-05-17-20:00" u="1"/>
        <s v="2018-01-19-07:00" u="1"/>
        <s v="2016-09-02-18:00" u="1"/>
        <s v="2016-09-22-17:00" u="1"/>
        <s v="2018-01-05-03:00" u="1"/>
        <s v="2018-01-25-02:00" u="1"/>
        <s v="2016-06-17-20:00" u="1"/>
        <s v="2018-02-19-07:00" u="1"/>
        <s v="2018-02-05-03:00" u="1"/>
        <s v="2018-03-19-07:00" u="1"/>
        <s v="2018-03-05-03:00" u="1"/>
        <s v="2016-08-17-20:00" u="1"/>
        <s v="2018-04-19-07:00" u="1"/>
        <s v="2017-10-16-00:00" u="1"/>
        <s v="2018-04-05-03:00" u="1"/>
        <s v="2018-04-25-02:00" u="1"/>
        <s v="2017-01-16-08:00" u="1"/>
        <s v="2017-11-16-00:00" u="1"/>
        <s v="2018-01-11-12:00" u="1"/>
        <s v="2018-01-31-11:00" u="1"/>
        <s v="2018-05-25-02:00" u="1"/>
        <s v="2017-02-16-08:00" u="1"/>
        <s v="2017-03-16-08:00" u="1"/>
        <s v="2018-07-25-02:00" u="1"/>
        <s v="2017-10-02-10:00" u="1"/>
        <s v="2018-04-11-12:00" u="1"/>
        <s v="2017-01-02-18:00" u="1"/>
        <s v="2017-05-16-08:00" u="1"/>
        <s v="2017-11-02-10:00" u="1"/>
        <s v="2018-05-11-12:00" u="1"/>
        <s v="2017-02-02-18:00" u="1"/>
        <s v="2017-02-22-17:00" u="1"/>
        <s v="2017-06-16-08:00" u="1"/>
        <s v="2018-07-25-16:00" u="1"/>
        <s v="2017-03-02-18:00" u="1"/>
        <s v="2017-03-22-17:00" u="1"/>
        <s v="2016-10-13-15:00" u="1"/>
        <s v="2017-08-16-08:00" u="1"/>
        <s v="2017-01-17-20:00" u="1"/>
        <s v="2017-05-02-18:00" u="1"/>
        <s v="2017-05-22-17:00" u="1"/>
        <s v="2017-02-17-20:00" u="1"/>
        <s v="2016-12-13-15:00" u="1"/>
        <s v="2017-06-02-18:00" u="1"/>
        <s v="2017-06-22-17:00" u="1"/>
        <s v="2017-03-17-20:00" u="1"/>
        <s v="2017-04-17-20:00" u="1"/>
        <s v="2017-08-02-18:00" u="1"/>
        <s v="2017-08-22-17:00" u="1"/>
        <s v="2017-05-17-20:00" u="1"/>
        <s v="2017-09-22-17:00" u="1"/>
        <s v="2017-07-17-20:00" u="1"/>
        <s v="2017-08-17-20:00" u="1"/>
        <s v="2018-01-16-08:00" u="1"/>
        <s v="2018-02-16-08:00" u="1"/>
        <s v="2018-03-16-08:00" u="1"/>
        <s v="2018-04-16-08:00" u="1"/>
        <s v="2018-01-02-18:00" u="1"/>
        <s v="2018-01-22-17:00" u="1"/>
        <s v="2018-05-16-08:00" u="1"/>
        <s v="2018-02-02-18:00" u="1"/>
        <s v="2018-02-22-17:00" u="1"/>
        <s v="2018-03-02-18:00" u="1"/>
        <s v="2018-03-22-17:00" u="1"/>
        <s v="2018-07-02-04:00" u="1"/>
        <s v="2017-10-13-15:00" u="1"/>
        <s v="2018-04-02-18:00" u="1"/>
        <s v="2016-10-10-02:00" u="1"/>
        <s v="2018-01-17-20:00" u="1"/>
        <s v="2017-11-13-15:00" u="1"/>
        <s v="2018-05-02-18:00" u="1"/>
        <s v="2018-05-22-17:00" u="1"/>
        <s v="2016-11-10-02:00" u="1"/>
        <s v="2016-11-30-01:00" u="1"/>
        <s v="2017-12-13-15:00" u="1"/>
        <s v="2016-12-30-01:00" u="1"/>
        <s v="2016-03-30-09:00" u="1"/>
        <s v="2018-04-17-20:00" u="1"/>
        <s v="2018-05-17-20:00" u="1"/>
        <s v="2016-01-19-17:00" u="1"/>
        <s v="2016-01-05-13:00" u="1"/>
        <s v="2016-01-25-12:00" u="1"/>
        <s v="2016-05-30-09:00" u="1"/>
        <s v="2016-02-19-17:00" u="1"/>
        <s v="2016-02-05-13:00" u="1"/>
        <s v="2016-02-25-12:00" u="1"/>
        <s v="2016-06-30-09:00" u="1"/>
        <s v="9018-06-27-10:00" u="1"/>
        <s v="2016-03-25-12:00" u="1"/>
        <s v="2016-04-19-17:00" u="1"/>
        <s v="9018-07-27-10:00" u="1"/>
        <s v="2016-04-05-13:00" u="1"/>
        <s v="2016-04-25-12:00" u="1"/>
        <s v="2016-08-30-09:00" u="1"/>
        <s v="2016-05-19-17:00" u="1"/>
        <s v="2016-01-11-22:00" u="1"/>
        <s v="2016-05-05-13:00" u="1"/>
        <s v="2016-05-25-12:00" u="1"/>
        <s v="2016-09-30-09:00" u="1"/>
        <s v="2016-02-11-22:00" u="1"/>
        <s v="2016-07-19-17:00" u="1"/>
        <s v="2016-03-11-22:00" u="1"/>
        <s v="2016-03-31-21:00" u="1"/>
        <s v="2016-07-05-13:00" u="1"/>
        <s v="2016-07-25-12:00" u="1"/>
        <s v="2016-08-19-17:00" u="1"/>
        <s v="2016-04-11-22:00" u="1"/>
        <s v="2016-08-05-13:00" u="1"/>
        <s v="2016-08-25-12:00" u="1"/>
        <s v="2016-09-19-17:00" u="1"/>
        <s v="2016-05-11-22:00" u="1"/>
        <s v="2016-05-31-21:00" u="1"/>
        <s v="2016-09-05-13:00" u="1"/>
        <s v="2016-07-11-22:00" u="1"/>
        <s v="2016-08-11-22:00" u="1"/>
        <s v="2016-08-31-21:00" u="1"/>
        <s v="2017-10-10-02:00" u="1"/>
        <s v="2017-10-30-01:00" u="1"/>
        <s v="2017-01-30-09:00" u="1"/>
        <s v="2017-11-10-02:00" u="1"/>
        <s v="2017-11-30-01:00" u="1"/>
        <s v="2017-03-30-09:00" u="1"/>
        <s v="2016-10-21-07:00" u="1"/>
        <s v="2017-01-19-17:00" u="1"/>
        <s v="2017-01-05-13:00" u="1"/>
        <s v="2017-01-25-12:00" u="1"/>
        <s v="2016-11-01-08:00" u="1"/>
        <s v="2016-11-21-07:00" u="1"/>
        <s v="2017-05-30-09:00" u="1"/>
        <s v="2018-06-28-11:00" u="1"/>
        <s v="2016-02-02-00:00" u="1"/>
        <s v="2016-12-01-08:00" u="1"/>
        <s v="2016-12-21-07:00" u="1"/>
        <s v="2017-06-30-09:00" u="1"/>
        <s v="2016-03-02-00:00" u="1"/>
        <s v="2017-04-19-17:00" u="1"/>
        <s v="2017-04-05-13:00" u="1"/>
        <s v="2017-04-25-12:00" u="1"/>
        <s v="2017-08-30-09:00" u="1"/>
        <s v="2017-05-19-17:00" u="1"/>
        <s v="2016-11-16-10:00" u="1"/>
        <s v="2017-01-11-22:00" u="1"/>
        <s v="2017-01-31-21:00" u="1"/>
        <s v="2017-05-05-13:00" u="1"/>
        <s v="2017-05-25-12:00" u="1"/>
        <s v="2016-05-02-00:00" u="1"/>
        <s v="2017-06-19-17:00" u="1"/>
        <s v="2016-02-16-18:00" u="1"/>
        <s v="2016-12-16-10:00" u="1"/>
        <s v="2017-06-05-13:00" u="1"/>
        <s v="2016-06-02-00:00" u="1"/>
        <s v="2017-07-19-17:00" u="1"/>
        <s v="2016-03-16-18:00" u="1"/>
        <s v="2017-03-31-21:00" u="1"/>
        <s v="2017-07-05-13:00" u="1"/>
        <s v="2017-07-25-12:00" u="1"/>
        <s v="2017-04-11-22:00" u="1"/>
        <s v="2017-08-25-12:00" u="1"/>
        <s v="9018-07-24-11:00" u="1"/>
        <s v="2014-10-24-02:00" u="1"/>
        <s v="2016-08-02-00:00" u="1"/>
        <s v="2017-09-19-17:00" u="1"/>
        <s v="2016-05-16-18:00" u="1"/>
        <s v="2016-11-02-20:00" u="1"/>
        <s v="2017-05-11-22:00" u="1"/>
        <s v="2017-05-31-21:00" u="1"/>
        <s v="2017-09-05-13:00" u="1"/>
        <s v="2017-09-25-12:00" u="1"/>
        <s v="2014-11-04-03:00" u="1"/>
        <s v="2014-11-24-02:00" u="1"/>
        <s v="2016-09-02-00:00" u="1"/>
        <s v="2016-06-16-18:00" u="1"/>
        <s v="2016-12-02-20:00" u="1"/>
        <s v="2014-12-04-03:00" u="1"/>
        <s v="2014-12-24-02:00" u="1"/>
        <s v="2017-07-11-22:00" u="1"/>
        <s v="2017-07-31-21:00" u="1"/>
        <s v="2016-08-16-18:00" u="1"/>
        <s v="2017-08-11-22:00" u="1"/>
        <s v="2017-08-31-21:00" u="1"/>
        <s v="2016-09-16-18:00" u="1"/>
        <s v="2017-09-11-22:00" u="1"/>
        <s v="2018-01-30-09:00" u="1"/>
        <s v="2018-03-30-09:00" u="1"/>
        <s v="2018-04-30-09:00" u="1"/>
        <s v="2018-01-19-17:00" u="1"/>
        <s v="2018-01-05-13:00" u="1"/>
        <s v="2018-01-25-12:00" u="1"/>
        <s v="2017-11-01-08:00" u="1"/>
        <s v="2017-11-21-07:00" u="1"/>
        <s v="2018-02-19-17:00" u="1"/>
        <s v="2018-02-05-13:00" u="1"/>
        <s v="2017-02-02-00:00" u="1"/>
        <s v="2017-12-01-08:00" u="1"/>
        <s v="2017-12-21-07:00" u="1"/>
        <s v="2018-03-19-17:00" u="1"/>
        <s v="2018-03-05-13:00" u="1"/>
        <s v="2017-03-02-00:00" u="1"/>
        <s v="2018-04-19-17:00" u="1"/>
        <s v="2017-10-16-10:00" u="1"/>
        <s v="2018-04-05-13:00" u="1"/>
        <s v="2018-04-25-12:00" u="1"/>
        <s v="2016-10-07-02:00" u="1"/>
        <s v="2016-10-27-01:00" u="1"/>
        <s v="2017-01-16-18:00" u="1"/>
        <s v="2017-11-16-10:00" u="1"/>
        <s v="2018-01-11-22:00" u="1"/>
        <s v="2018-01-31-21:00" u="1"/>
        <s v="2018-05-25-12:00" u="1"/>
        <s v="2016-01-27-09:00" u="1"/>
        <s v="2016-11-07-02:00" u="1"/>
        <s v="2016-01-13-05:00" u="1"/>
        <s v="2017-05-02-00:00" u="1"/>
        <s v="2017-02-16-18:00" u="1"/>
        <s v="2016-12-07-02:00" u="1"/>
        <s v="2016-12-27-01:00" u="1"/>
        <s v="2017-06-02-00:00" u="1"/>
        <s v="2017-03-16-18:00" u="1"/>
        <s v="2018-07-25-12:00" u="1"/>
        <s v="9018-06-29-07:00" u="1"/>
        <s v="2017-04-16-18:00" u="1"/>
        <s v="2017-10-02-20:00" u="1"/>
        <s v="2018-04-11-22:00" u="1"/>
        <s v="2016-04-27-09:00" u="1"/>
        <s v="2016-04-13-05:00" u="1"/>
        <s v="2017-08-02-00:00" u="1"/>
        <s v="2017-05-16-18:00" u="1"/>
        <s v="2017-11-02-20:00" u="1"/>
        <s v="2018-05-11-22:00" u="1"/>
        <s v="2016-05-27-09:00" u="1"/>
        <s v="2016-05-13-05:00" u="1"/>
        <s v="2017-06-16-18:00" u="1"/>
        <s v="2016-06-27-09:00" u="1"/>
        <s v="2016-06-13-05:00" u="1"/>
        <s v="2017-07-16-18:00" u="1"/>
        <s v="2016-07-27-09:00" u="1"/>
        <s v="2016-07-13-05:00" u="1"/>
        <s v="2017-08-16-18:00" u="1"/>
        <s v="2016-09-27-09:00" u="1"/>
        <s v="2016-09-13-05:00" u="1"/>
        <s v="2015-12-30-11:00" u="1"/>
        <s v="2018-02-02-00:00" u="1"/>
        <s v="2018-03-02-00:00" u="1"/>
        <s v="2017-10-27-01:00" u="1"/>
        <s v="2018-04-02-00:00" u="1"/>
        <s v="2018-01-16-18:00" u="1"/>
        <s v="2017-01-27-09:00" u="1"/>
        <s v="2017-11-07-02:00" u="1"/>
        <s v="2017-11-27-01:00" u="1"/>
        <s v="2017-01-13-05:00" u="1"/>
        <s v="2018-05-02-00:00" u="1"/>
        <s v="2018-02-16-18:00" u="1"/>
        <s v="2017-02-27-09:00" u="1"/>
        <s v="2017-12-07-02:00" u="1"/>
        <s v="2017-12-27-01:00" u="1"/>
        <s v="2017-02-13-05:00" u="1"/>
        <s v="2018-03-16-18:00" u="1"/>
        <s v="2017-03-27-09:00" u="1"/>
        <s v="2017-03-13-05:00" u="1"/>
        <s v="2018-07-02-00:00" u="1"/>
        <s v="2018-04-16-18:00" u="1"/>
        <s v="2016-10-18-07:00" u="1"/>
        <s v="2017-04-27-09:00" u="1"/>
        <s v="2016-10-04-03:00" u="1"/>
        <s v="2016-10-24-02:00" u="1"/>
        <s v="2017-04-13-05:00" u="1"/>
        <s v="2018-05-16-18:00" u="1"/>
        <s v="2016-11-18-07:00" u="1"/>
        <s v="2016-11-04-03:00" u="1"/>
        <s v="2016-11-24-02:00" u="1"/>
        <s v="2017-06-27-09:00" u="1"/>
        <s v="2017-06-13-05:00" u="1"/>
        <s v="2017-07-27-09:00" u="1"/>
        <s v="9018-06-26-08:00" u="1"/>
        <s v="2017-07-13-05:00" u="1"/>
        <s v="9018-07-26-08:00" u="1"/>
        <s v="2016-10-10-12:00" u="1"/>
        <s v="2017-09-27-09:00" u="1"/>
        <s v="2016-11-10-12:00" u="1"/>
        <s v="2016-11-30-11:00" u="1"/>
        <s v="2017-09-13-05:00" u="1"/>
        <s v="2016-12-30-11:00" u="1"/>
        <s v="2016-03-30-19:00" u="1"/>
        <s v="2016-01-05-23:00" u="1"/>
        <s v="2016-01-25-22:00" u="1"/>
        <s v="2016-05-30-19:00" u="1"/>
        <s v="2016-02-05-23:00" u="1"/>
        <s v="2016-02-25-22:00" u="1"/>
        <s v="2016-06-30-19:00" u="1"/>
        <s v="9018-06-27-20:00" u="1"/>
        <s v="2016-03-25-22:00" u="1"/>
        <s v="9018-07-27-20:00" u="1"/>
        <s v="2016-04-05-23:00" u="1"/>
        <s v="2016-04-25-22:00" u="1"/>
        <s v="2016-08-30-19:00" u="1"/>
        <s v="2016-05-05-23:00" u="1"/>
        <s v="2016-05-25-22:00" u="1"/>
        <s v="2016-09-30-19:00" u="1"/>
        <s v="2018-02-27-09:00" u="1"/>
        <s v="2018-02-13-05:00" u="1"/>
        <s v="2016-07-05-23:00" u="1"/>
        <s v="2016-07-25-22:00" u="1"/>
        <s v="2018-03-27-09:00" u="1"/>
        <s v="2018-03-13-05:00" u="1"/>
        <s v="2016-08-05-23:00" u="1"/>
        <s v="2016-08-25-22:00" u="1"/>
        <s v="2017-10-18-07:00" u="1"/>
        <s v="2018-04-27-09:00" u="1"/>
        <s v="2017-10-04-03:00" u="1"/>
        <s v="2017-10-24-02:00" u="1"/>
        <s v="2018-04-13-05:00" u="1"/>
        <s v="2016-09-05-23:00" u="1"/>
        <s v="2017-11-24-02:00" u="1"/>
        <s v="2017-12-18-07:00" u="1"/>
        <s v="2018-06-27-09:00" u="1"/>
        <s v="2017-12-04-03:00" u="1"/>
        <s v="2018-07-27-09:00" u="1"/>
        <s v="2017-10-10-12:00" u="1"/>
        <s v="2017-10-30-11:00" u="1"/>
        <s v="2017-01-30-19:00" u="1"/>
        <s v="2017-11-10-12:00" u="1"/>
        <s v="2017-11-30-11:00" u="1"/>
        <s v="2017-03-30-19:00" u="1"/>
        <s v="2016-10-21-17:00" u="1"/>
        <s v="2017-01-05-23:00" u="1"/>
        <s v="2017-01-25-22:00" u="1"/>
        <s v="2016-11-01-18:00" u="1"/>
        <s v="2016-11-21-17:00" u="1"/>
        <s v="2017-05-30-19:00" u="1"/>
        <s v="2018-06-28-21:00" u="1"/>
        <s v="2016-02-02-10:00" u="1"/>
        <s v="2016-12-01-18:00" u="1"/>
        <s v="2016-12-21-17:00" u="1"/>
        <s v="2017-06-30-19:00" u="1"/>
        <s v="2016-03-02-10:00" u="1"/>
        <s v="2016-10-16-20:00" u="1"/>
        <s v="2017-04-05-23:00" u="1"/>
        <s v="2017-04-25-22:00" u="1"/>
        <s v="2017-08-30-19:00" u="1"/>
        <s v="2016-11-16-20:00" u="1"/>
        <s v="2017-05-05-23:00" u="1"/>
        <s v="2017-05-25-22:00" u="1"/>
        <s v="2016-05-02-10:00" u="1"/>
        <s v="2016-12-16-20:00" u="1"/>
        <s v="2017-06-05-23:00" u="1"/>
        <s v="2016-06-02-10:00" u="1"/>
        <s v="2017-07-05-23:00" u="1"/>
        <s v="2017-07-25-22:00" u="1"/>
        <s v="2017-08-25-22:00" u="1"/>
        <s v="9018-07-24-21:00" u="1"/>
        <s v="2016-08-02-10:00" u="1"/>
        <s v="2017-09-05-23:00" u="1"/>
        <s v="2017-09-25-22:00" u="1"/>
        <s v="2016-09-02-10:00" u="1"/>
        <s v="2018-01-30-19:00" u="1"/>
        <s v="2018-03-30-19:00" u="1"/>
        <s v="2018-04-30-19:00" u="1"/>
        <s v="2018-01-05-23:00" u="1"/>
        <s v="2018-01-25-22:00" u="1"/>
        <s v="2017-01-02-10:00" u="1"/>
        <s v="2017-11-01-18:00" u="1"/>
        <s v="2017-11-21-17:00" u="1"/>
        <s v="2018-02-05-23:00" u="1"/>
        <s v="2017-02-02-10:00" u="1"/>
        <s v="2017-12-01-18:00" u="1"/>
        <s v="2017-12-21-17:00" u="1"/>
        <s v="2018-03-05-23:00" u="1"/>
        <s v="9018-06-29-03:00" u="1"/>
        <s v="2017-03-02-10:00" u="1"/>
        <s v="2017-10-16-20:00" u="1"/>
        <s v="2018-04-05-23:00" u="1"/>
        <s v="2018-04-25-22:00" u="1"/>
        <s v="2016-10-07-12:00" u="1"/>
        <s v="2016-10-27-11:00" u="1"/>
        <s v="2017-11-16-20:00" u="1"/>
        <s v="2018-05-25-22:00" u="1"/>
        <s v="2016-01-27-19:00" u="1"/>
        <s v="2016-11-07-12:00" u="1"/>
        <s v="2016-01-13-15:00" u="1"/>
        <s v="2017-05-02-10:00" u="1"/>
        <s v="2016-12-07-12:00" u="1"/>
        <s v="2016-12-27-11:00" u="1"/>
        <s v="2017-06-02-10:00" u="1"/>
        <s v="2018-07-25-22:00" u="1"/>
        <s v="9018-06-29-17:00" u="1"/>
        <s v="2016-04-27-19:00" u="1"/>
        <s v="2016-04-13-15:00" u="1"/>
        <s v="2017-08-02-10:00" u="1"/>
        <s v="2016-05-27-19:00" u="1"/>
        <s v="2016-05-13-15:00" u="1"/>
        <s v="2016-06-27-19:00" u="1"/>
        <s v="2016-06-13-15:00" u="1"/>
        <s v="2016-07-27-19:00" u="1"/>
        <s v="2016-07-13-15:00" u="1"/>
        <s v="2016-09-27-19:00" u="1"/>
        <s v="2016-09-13-15:00" u="1"/>
        <s v="2015-12-30-21:00" u="1"/>
        <s v="2018-01-02-10:00" u="1"/>
        <s v="2018-02-02-10:00" u="1"/>
        <s v="2018-03-02-10:00" u="1"/>
        <s v="2017-10-27-11:00" u="1"/>
        <s v="2018-04-02-10:00" u="1"/>
        <s v="2017-01-27-19:00" u="1"/>
        <s v="2017-11-07-12:00" u="1"/>
        <s v="2017-11-27-11:00" u="1"/>
        <s v="2017-01-13-15:00" u="1"/>
        <s v="2018-05-02-10:00" u="1"/>
        <s v="2016-01-04-07:00" u="1"/>
        <s v="2017-02-27-19:00" u="1"/>
        <s v="2017-12-07-12:00" u="1"/>
        <s v="2017-12-27-11:00" u="1"/>
        <s v="2017-02-13-15:00" u="1"/>
        <s v="2016-02-04-07:00" u="1"/>
        <s v="2016-02-24-06:00" u="1"/>
        <s v="2016-02-10-02:00" u="1"/>
        <s v="2017-03-27-19:00" u="1"/>
        <s v="2017-03-13-15:00" u="1"/>
        <s v="2016-03-04-07:00" u="1"/>
        <s v="2016-03-24-06:00" u="1"/>
        <s v="2016-03-10-02:00" u="1"/>
        <s v="2016-03-30-01:00" u="1"/>
        <s v="2016-10-18-17:00" u="1"/>
        <s v="2017-04-27-19:00" u="1"/>
        <s v="2016-10-04-13:00" u="1"/>
        <s v="2016-10-24-12:00" u="1"/>
        <s v="2017-04-13-15:00" u="1"/>
        <s v="9018-07-26-04:00" u="1"/>
        <s v="2016-04-04-07:00" u="1"/>
        <s v="2016-11-18-17:00" u="1"/>
        <s v="2016-11-04-13:00" u="1"/>
        <s v="2016-11-24-12:00" u="1"/>
        <s v="2016-05-04-07:00" u="1"/>
        <s v="2016-05-24-06:00" u="1"/>
        <s v="2016-05-10-02:00" u="1"/>
        <s v="2016-05-30-01:00" u="1"/>
        <s v="2017-06-27-19:00" u="1"/>
        <s v="2017-06-13-15:00" u="1"/>
        <s v="2016-06-24-06:00" u="1"/>
        <s v="2016-06-10-02:00" u="1"/>
        <s v="2016-06-30-01:00" u="1"/>
        <s v="2017-07-27-19:00" u="1"/>
        <s v="9018-06-26-18:00" u="1"/>
        <s v="2017-07-13-15:00" u="1"/>
        <s v="2016-07-04-07:00" u="1"/>
        <s v="9018-07-26-18:00" u="1"/>
        <s v="2016-10-10-22:00" u="1"/>
        <s v="2016-08-04-07:00" u="1"/>
        <s v="2016-08-24-06:00" u="1"/>
        <s v="2016-08-10-02:00" u="1"/>
        <s v="2016-08-30-01:00" u="1"/>
        <s v="2017-09-27-19:00" u="1"/>
        <s v="2016-11-10-22:00" u="1"/>
        <s v="2016-11-30-21:00" u="1"/>
        <s v="2017-09-13-15:00" u="1"/>
        <s v="2016-09-30-01:00" u="1"/>
        <s v="2016-12-30-21:00" u="1"/>
        <s v="2017-01-04-07:00" u="1"/>
        <s v="2017-01-24-06:00" u="1"/>
        <s v="2017-01-10-02:00" u="1"/>
        <s v="2017-01-30-01:00" u="1"/>
        <s v="2018-02-27-19:00" u="1"/>
        <s v="2018-02-13-15:00" u="1"/>
        <s v="2018-06-27-05:00" u="1"/>
        <s v="2017-02-24-06:00" u="1"/>
        <s v="2017-02-10-02:00" u="1"/>
        <s v="2018-03-27-19:00" u="1"/>
        <s v="2018-03-13-15:00" u="1"/>
        <s v="2018-07-27-05:00" u="1"/>
        <s v="2017-03-24-06:00" u="1"/>
        <s v="2017-03-10-02:00" u="1"/>
        <s v="2017-03-30-01:00" u="1"/>
        <s v="2017-10-18-17:00" u="1"/>
        <s v="2018-04-27-19:00" u="1"/>
        <s v="2017-10-04-13:00" u="1"/>
        <s v="2017-10-24-12:00" u="1"/>
        <s v="2018-04-13-15:00" u="1"/>
        <s v="2017-04-04-07:00" u="1"/>
        <s v="2017-04-24-06:00" u="1"/>
        <s v="2017-04-10-02:00" u="1"/>
        <s v="2017-11-24-12:00" u="1"/>
        <s v="2016-11-15-04:00" u="1"/>
        <s v="2017-05-04-07:00" u="1"/>
        <s v="2017-05-24-06:00" u="1"/>
        <s v="2016-01-21-07:00" u="1"/>
        <s v="2016-11-01-00:00" u="1"/>
        <s v="2017-05-10-02:00" u="1"/>
        <s v="2017-05-30-01:00" u="1"/>
        <s v="2017-12-18-17:00" u="1"/>
        <s v="2018-06-27-19:00" u="1"/>
        <s v="2017-12-04-13:00" u="1"/>
        <s v="2016-12-15-04:00" u="1"/>
        <s v="2016-02-01-08:00" u="1"/>
        <s v="2016-12-01-00:00" u="1"/>
        <s v="2017-06-30-01:00" u="1"/>
        <s v="2018-07-27-19:00" u="1"/>
        <s v="2017-07-04-07:00" u="1"/>
        <s v="2017-07-24-06:00" u="1"/>
        <s v="2016-03-01-08:00" u="1"/>
        <s v="2016-03-21-07:00" u="1"/>
        <s v="2017-07-10-02:00" u="1"/>
        <s v="2017-10-10-22:00" u="1"/>
        <s v="2017-10-30-21:00" u="1"/>
        <s v="2017-08-04-07:00" u="1"/>
        <s v="2017-08-24-06:00" u="1"/>
        <s v="2016-04-01-08:00" u="1"/>
        <s v="2016-04-21-07:00" u="1"/>
        <s v="2017-08-10-02:00" u="1"/>
        <s v="2017-08-30-01:00" u="1"/>
        <s v="2017-11-10-22:00" u="1"/>
        <s v="2017-11-30-21:00" u="1"/>
        <s v="2017-09-04-07:00" u="1"/>
        <s v="2016-06-01-08:00" u="1"/>
        <s v="2016-06-21-07:00" u="1"/>
        <s v="2016-07-01-08:00" u="1"/>
        <s v="2016-07-21-07:00" u="1"/>
        <s v="2016-08-01-08:00" u="1"/>
        <s v="2016-09-01-08:00" u="1"/>
        <s v="2016-09-21-07:00" u="1"/>
        <s v="2016-02-02-20:00" u="1"/>
        <s v="2016-03-02-20:00" u="1"/>
        <s v="2016-05-02-20:00" u="1"/>
        <s v="2018-01-04-07:00" u="1"/>
        <s v="2018-01-24-06:00" u="1"/>
        <s v="2018-01-10-02:00" u="1"/>
        <s v="2018-01-30-01:00" u="1"/>
        <s v="2016-06-02-20:00" u="1"/>
        <s v="2018-03-30-01:00" u="1"/>
        <s v="2016-08-02-20:00" u="1"/>
        <s v="2018-04-04-07:00" u="1"/>
        <s v="2018-04-24-06:00" u="1"/>
        <s v="2018-04-10-02:00" u="1"/>
        <s v="2018-04-30-01:00" u="1"/>
        <s v="2016-09-02-20:00" u="1"/>
        <s v="2017-11-15-04:00" u="1"/>
        <s v="2018-05-04-07:00" u="1"/>
        <s v="2018-05-24-06:00" u="1"/>
        <s v="2017-11-01-00:00" u="1"/>
        <s v="2018-05-10-02:00" u="1"/>
        <s v="2017-12-15-04:00" u="1"/>
        <s v="2017-02-01-08:00" u="1"/>
        <s v="2017-02-21-07:00" u="1"/>
        <s v="2017-12-01-00:00" u="1"/>
        <s v="2018-07-24-06:00" u="1"/>
        <s v="2017-03-01-08:00" u="1"/>
        <s v="2017-03-21-07:00" u="1"/>
        <s v="2018-07-30-01:00" u="1"/>
        <s v="2016-10-26-09:00" u="1"/>
        <s v="2017-04-21-07:00" u="1"/>
        <s v="2016-01-07-02:00" u="1"/>
        <s v="2016-01-27-01:00" u="1"/>
        <s v="2017-05-01-08:00" u="1"/>
        <s v="2016-12-26-09:00" u="1"/>
        <s v="2017-06-01-08:00" u="1"/>
        <s v="2017-06-21-07:00" u="1"/>
        <s v="2016-03-07-02:00" u="1"/>
        <s v="2017-07-21-07:00" u="1"/>
        <s v="2016-04-07-02:00" u="1"/>
        <s v="2016-04-27-01:00" u="1"/>
        <s v="2017-08-01-08:00" u="1"/>
        <s v="2017-08-21-07:00" u="1"/>
        <s v="2017-01-02-20:00" u="1"/>
        <s v="2016-05-27-01:00" u="1"/>
        <s v="2017-09-01-08:00" u="1"/>
        <s v="2017-09-21-07:00" u="1"/>
        <s v="2017-02-02-20:00" u="1"/>
        <s v="2016-06-07-02:00" u="1"/>
        <s v="2016-06-27-01:00" u="1"/>
        <s v="9018-06-29-13:00" u="1"/>
        <s v="2017-03-02-20:00" u="1"/>
        <s v="2016-07-07-02:00" u="1"/>
        <s v="2016-07-27-01:00" u="1"/>
        <s v="2016-10-07-22:00" u="1"/>
        <s v="2016-10-27-21:00" u="1"/>
        <s v="2016-11-07-22:00" u="1"/>
        <s v="2017-05-02-20:00" u="1"/>
        <s v="2016-09-07-02:00" u="1"/>
        <s v="2016-09-27-01:00" u="1"/>
        <s v="2016-12-07-22:00" u="1"/>
        <s v="2016-12-27-21:00" u="1"/>
        <s v="2017-06-02-20:00" u="1"/>
        <s v="2017-08-02-20:00" u="1"/>
        <s v="2018-02-01-08:00" u="1"/>
        <s v="2018-02-21-07:00" u="1"/>
        <s v="2018-03-01-08:00" u="1"/>
        <s v="2018-03-21-07:00" u="1"/>
        <s v="2017-10-26-09:00" u="1"/>
        <s v="2017-01-27-01:00" u="1"/>
        <s v="2018-05-01-08:00" u="1"/>
        <s v="2018-05-21-07:00" u="1"/>
        <s v="2017-02-07-02:00" u="1"/>
        <s v="2017-02-27-01:00" u="1"/>
        <s v="2017-12-26-09:00" u="1"/>
        <s v="2017-03-07-02:00" u="1"/>
        <s v="2017-03-27-01:00" u="1"/>
        <s v="2017-04-07-02:00" u="1"/>
        <s v="2017-04-27-01:00" u="1"/>
        <s v="2018-01-02-20:00" u="1"/>
        <s v="2016-01-18-07:00" u="1"/>
        <s v="2018-02-02-20:00" u="1"/>
        <s v="2016-02-18-07:00" u="1"/>
        <s v="2017-06-07-02:00" u="1"/>
        <s v="2017-06-27-01:00" u="1"/>
        <s v="2018-03-02-20:00" u="1"/>
        <s v="2016-03-18-07:00" u="1"/>
        <s v="2017-07-07-02:00" u="1"/>
        <s v="2017-07-27-01:00" u="1"/>
        <s v="2017-10-27-21:00" u="1"/>
        <s v="2018-04-02-20:00" u="1"/>
        <s v="2016-04-18-07:00" u="1"/>
        <s v="2017-08-07-02:00" u="1"/>
        <s v="9018-07-26-00:00" u="1"/>
        <s v="2017-11-07-22:00" u="1"/>
        <s v="2017-11-27-21:00" u="1"/>
        <s v="2018-05-02-20:00" u="1"/>
        <s v="2016-01-04-17:00" u="1"/>
        <s v="2016-05-18-07:00" u="1"/>
        <s v="2017-09-07-02:00" u="1"/>
        <s v="2017-09-27-01:00" u="1"/>
        <s v="2017-12-07-22:00" u="1"/>
        <s v="2017-12-27-21:00" u="1"/>
        <s v="2016-02-04-17:00" u="1"/>
        <s v="2016-02-24-16:00" u="1"/>
        <s v="2016-02-10-12:00" u="1"/>
        <s v="9018-06-26-14:00" u="1"/>
        <s v="2016-03-04-17:00" u="1"/>
        <s v="2016-03-24-16:00" u="1"/>
        <s v="2016-07-18-07:00" u="1"/>
        <s v="2016-03-10-12:00" u="1"/>
        <s v="2016-03-30-11:00" u="1"/>
        <s v="2016-10-04-23:00" u="1"/>
        <s v="2016-10-24-22:00" u="1"/>
        <s v="9018-07-26-14:00" u="1"/>
        <s v="2016-04-04-17:00" u="1"/>
        <s v="2016-08-18-07:00" u="1"/>
        <s v="2016-11-24-22:00" u="1"/>
        <s v="2016-05-04-17:00" u="1"/>
        <s v="2016-05-24-16:00" u="1"/>
        <s v="2016-05-10-12:00" u="1"/>
        <s v="2016-05-30-11:00" u="1"/>
        <s v="2016-12-04-23:00" u="1"/>
        <s v="2016-06-24-16:00" u="1"/>
        <s v="2016-06-10-12:00" u="1"/>
        <s v="2016-06-30-11:00" u="1"/>
        <s v="2016-07-04-17:00" u="1"/>
        <s v="2016-08-04-17:00" u="1"/>
        <s v="2016-08-24-16:00" u="1"/>
        <s v="2016-08-10-12:00" u="1"/>
        <s v="2016-08-30-11:00" u="1"/>
        <s v="2016-09-30-11:00" u="1"/>
        <s v="2018-02-07-02:00" u="1"/>
        <s v="2018-02-27-01:00" u="1"/>
        <s v="2018-03-07-02:00" u="1"/>
        <s v="2018-03-27-01:00" u="1"/>
        <s v="2018-04-27-01:00" u="1"/>
        <s v="2017-01-18-07:00" u="1"/>
        <s v="2018-05-07-02:00" u="1"/>
        <s v="2018-06-27-01:00" u="1"/>
        <s v="2018-07-27-01:00" u="1"/>
        <s v="2017-04-18-07:00" u="1"/>
        <s v="2016-11-09-05:00" u="1"/>
        <s v="2016-11-29-04:00" u="1"/>
        <s v="2017-01-04-17:00" u="1"/>
        <s v="2017-01-24-16:00" u="1"/>
        <s v="2017-05-18-07:00" u="1"/>
        <s v="2017-01-10-12:00" u="1"/>
        <s v="2017-01-30-11:00" u="1"/>
        <s v="2018-06-27-15:00" u="1"/>
        <s v="2016-12-09-05:00" u="1"/>
        <s v="2016-12-29-04:00" u="1"/>
        <s v="2017-02-24-16:00" u="1"/>
        <s v="2017-02-10-12:00" u="1"/>
        <s v="2018-07-27-15:00" u="1"/>
        <s v="2017-03-24-16:00" u="1"/>
        <s v="2017-07-18-07:00" u="1"/>
        <s v="2017-03-10-12:00" u="1"/>
        <s v="2017-03-30-11:00" u="1"/>
        <s v="2017-10-04-23:00" u="1"/>
        <s v="2017-10-24-22:00" u="1"/>
        <s v="2017-04-04-17:00" u="1"/>
        <s v="2017-04-24-16:00" u="1"/>
        <s v="2017-08-18-07:00" u="1"/>
        <s v="2017-04-10-12:00" u="1"/>
        <s v="2017-11-24-22:00" u="1"/>
        <s v="2016-11-15-14:00" u="1"/>
        <s v="2017-05-04-17:00" u="1"/>
        <s v="2017-05-24-16:00" u="1"/>
        <s v="2017-09-18-07:00" u="1"/>
        <s v="2016-01-21-17:00" u="1"/>
        <s v="2016-11-01-10:00" u="1"/>
        <s v="2017-05-10-12:00" u="1"/>
        <s v="2017-05-30-11:00" u="1"/>
        <s v="2017-12-04-23:00" u="1"/>
        <s v="2016-12-15-14:00" u="1"/>
        <s v="2016-02-01-18:00" u="1"/>
        <s v="2016-02-21-17:00" u="1"/>
        <s v="2016-12-01-10:00" u="1"/>
        <s v="2017-06-30-11:00" u="1"/>
        <s v="2017-07-04-17:00" u="1"/>
        <s v="2017-07-24-16:00" u="1"/>
        <s v="2016-03-01-18:00" u="1"/>
        <s v="2016-03-21-17:00" u="1"/>
        <s v="2017-07-10-12:00" u="1"/>
        <s v="2017-08-04-17:00" u="1"/>
        <s v="2017-08-24-16:00" u="1"/>
        <s v="2016-04-01-18:00" u="1"/>
        <s v="2016-04-21-17:00" u="1"/>
        <s v="2017-08-10-12:00" u="1"/>
        <s v="2017-08-30-11:00" u="1"/>
        <s v="2017-09-04-17:00" u="1"/>
        <s v="2016-05-01-18:00" u="1"/>
        <s v="2016-06-01-18:00" u="1"/>
        <s v="2016-06-21-17:00" u="1"/>
        <s v="2016-07-01-18:00" u="1"/>
        <s v="2016-07-21-17:00" u="1"/>
        <s v="2016-08-01-18:00" u="1"/>
        <s v="2016-08-21-17:00" u="1"/>
        <s v="2018-01-18-07:00" u="1"/>
        <s v="2016-09-01-18:00" u="1"/>
        <s v="2016-09-21-17:00" u="1"/>
        <s v="2017-10-09-05:00" u="1"/>
        <s v="2018-04-18-07:00" u="1"/>
        <s v="2017-11-09-05:00" u="1"/>
        <s v="2017-11-29-04:00" u="1"/>
        <s v="2018-01-04-17:00" u="1"/>
        <s v="2018-01-24-16:00" u="1"/>
        <s v="2018-05-18-07:00" u="1"/>
        <s v="2018-01-10-12:00" u="1"/>
        <s v="2018-01-30-11:00" u="1"/>
        <s v="2017-12-29-04:00" u="1"/>
        <s v="2018-03-30-11:00" u="1"/>
        <s v="2018-07-24-02:00" u="1"/>
        <s v="2018-04-04-17:00" u="1"/>
        <s v="2018-04-24-16:00" u="1"/>
        <s v="2018-04-10-12:00" u="1"/>
        <s v="2018-04-30-11:00" u="1"/>
        <s v="2016-10-12-01:00" u="1"/>
        <s v="2017-11-15-14:00" u="1"/>
        <s v="2018-05-04-17:00" u="1"/>
        <s v="2018-05-24-16:00" u="1"/>
        <s v="2017-11-01-10:00" u="1"/>
        <s v="2018-05-10-12:00" u="1"/>
        <s v="2016-01-12-09:00" u="1"/>
        <s v="2017-12-15-14:00" u="1"/>
        <s v="2017-02-01-18:00" u="1"/>
        <s v="2017-02-21-17:00" u="1"/>
        <s v="2017-12-01-10:00" u="1"/>
        <s v="2016-02-12-09:00" u="1"/>
        <s v="2016-12-12-01:00" u="1"/>
        <s v="2018-07-24-16:00" u="1"/>
        <s v="2017-03-01-18:00" u="1"/>
        <s v="2017-03-21-17:00" u="1"/>
        <s v="2016-10-26-19:00" u="1"/>
        <s v="2017-04-21-17:00" u="1"/>
        <s v="2016-04-12-09:00" u="1"/>
        <s v="2016-01-07-12:00" u="1"/>
        <s v="2016-01-27-11:00" u="1"/>
        <s v="2017-05-01-18:00" u="1"/>
        <s v="2017-05-21-17:00" u="1"/>
        <s v="2016-05-12-09:00" u="1"/>
        <s v="2016-12-26-19:00" u="1"/>
        <s v="2017-06-01-18:00" u="1"/>
        <s v="2017-06-21-17:00" u="1"/>
        <s v="2016-03-07-12:00" u="1"/>
        <s v="2017-07-21-17:00" u="1"/>
        <s v="2016-07-12-09:00" u="1"/>
        <s v="2016-04-07-12:00" u="1"/>
        <s v="2016-04-27-11:00" u="1"/>
        <s v="2017-08-01-18:00" u="1"/>
        <s v="2017-08-21-17:00" u="1"/>
        <s v="2016-08-12-09:00" u="1"/>
        <s v="2016-05-27-11:00" u="1"/>
        <s v="2017-09-01-18:00" u="1"/>
        <s v="2017-09-21-17:00" u="1"/>
        <s v="2016-09-12-09:00" u="1"/>
        <s v="2016-06-07-12:00" u="1"/>
        <s v="2016-06-27-11:00" u="1"/>
        <s v="9018-06-29-23:00" u="1"/>
        <s v="2016-07-07-12:00" u="1"/>
        <s v="2016-07-27-11:00" u="1"/>
        <s v="2016-09-07-12:00" u="1"/>
        <s v="2016-09-27-11:00" u="1"/>
        <s v="2017-10-12-01:00" u="1"/>
        <s v="2018-01-01-18:00" u="1"/>
        <s v="2018-01-21-17:00" u="1"/>
        <s v="2017-01-12-09:00" u="1"/>
        <s v="2018-02-01-18:00" u="1"/>
        <s v="2018-02-21-17:00" u="1"/>
        <s v="2017-12-12-01:00" u="1"/>
        <s v="2018-03-01-18:00" u="1"/>
        <s v="2018-03-21-17:00" u="1"/>
        <s v="2017-10-26-19:00" u="1"/>
        <s v="2016-10-03-07:00" u="1"/>
        <s v="2017-04-12-09:00" u="1"/>
        <s v="2017-01-27-11:00" u="1"/>
        <s v="2018-05-01-18:00" u="1"/>
        <s v="2018-05-21-17:00" u="1"/>
        <s v="2016-11-03-07:00" u="1"/>
        <s v="2016-11-23-06:00" u="1"/>
        <s v="2017-05-12-09:00" u="1"/>
        <s v="2017-02-07-12:00" u="1"/>
        <s v="2017-02-27-11:00" u="1"/>
        <s v="2017-12-26-19:00" u="1"/>
        <s v="2016-12-23-06:00" u="1"/>
        <s v="2017-06-12-09:00" u="1"/>
        <s v="2017-03-07-12:00" u="1"/>
        <s v="2017-03-27-11:00" u="1"/>
        <s v="2017-07-12-09:00" u="1"/>
        <s v="2017-04-07-12:00" u="1"/>
        <s v="2017-04-27-11:00" u="1"/>
        <s v="2016-01-18-17:00" u="1"/>
        <s v="2017-09-12-09:00" u="1"/>
        <s v="2016-02-18-17:00" u="1"/>
        <s v="2017-06-07-12:00" u="1"/>
        <s v="2017-06-27-11:00" u="1"/>
        <s v="2016-03-18-17:00" u="1"/>
        <s v="2017-07-07-12:00" u="1"/>
        <s v="2017-07-27-11:00" u="1"/>
        <s v="9018-06-26-10:00" u="1"/>
        <s v="2016-04-18-17:00" u="1"/>
        <s v="2017-08-07-12:00" u="1"/>
        <s v="9018-07-26-10:00" u="1"/>
        <s v="2016-05-18-17:00" u="1"/>
        <s v="2017-09-07-12:00" u="1"/>
        <s v="2017-09-27-11:00" u="1"/>
        <s v="2016-02-10-22:00" u="1"/>
        <s v="2016-07-18-17:00" u="1"/>
        <s v="2016-03-10-22:00" u="1"/>
        <s v="2016-03-30-21:00" u="1"/>
        <s v="2016-08-18-17:00" u="1"/>
        <s v="2016-05-10-22:00" u="1"/>
        <s v="2016-05-30-21:00" u="1"/>
        <s v="2018-01-12-09:00" u="1"/>
        <s v="2016-06-10-22:00" u="1"/>
        <s v="2016-06-30-21:00" u="1"/>
        <s v="2018-02-12-09:00" u="1"/>
        <s v="2018-03-12-09:00" u="1"/>
        <s v="2016-08-10-22:00" u="1"/>
        <s v="2016-08-30-21:00" u="1"/>
        <s v="2017-10-03-07:00" u="1"/>
        <s v="2017-10-23-06:00" u="1"/>
        <s v="2018-04-12-09:00" u="1"/>
        <s v="2016-09-30-21:00" u="1"/>
        <s v="2017-11-03-07:00" u="1"/>
        <s v="2017-11-23-06:00" u="1"/>
        <s v="2018-02-07-12:00" u="1"/>
        <s v="2018-02-27-11:00" u="1"/>
        <s v="2018-03-07-12:00" u="1"/>
        <s v="2018-03-27-11:00" u="1"/>
        <s v="2018-04-27-11:00" u="1"/>
        <s v="2017-01-18-17:00" u="1"/>
        <s v="2018-05-07-12:00" u="1"/>
        <s v="2016-01-15-04:00" u="1"/>
        <s v="2018-06-27-11:00" u="1"/>
        <s v="2016-02-15-04:00" u="1"/>
        <s v="2018-07-27-11:00" u="1"/>
        <s v="2016-03-15-04:00" u="1"/>
        <s v="2017-04-18-17:00" u="1"/>
        <s v="2016-04-15-04:00" u="1"/>
        <s v="2016-11-09-15:00" u="1"/>
        <s v="2016-11-29-14:00" u="1"/>
        <s v="2017-05-18-17:00" u="1"/>
        <s v="2017-01-10-22:00" u="1"/>
        <s v="2017-01-30-21:00" u="1"/>
        <s v="2016-12-09-15:00" u="1"/>
        <s v="2016-12-29-14:00" u="1"/>
        <s v="2017-02-10-22:00" u="1"/>
        <s v="2016-06-15-04:00" u="1"/>
        <s v="2017-07-18-17:00" u="1"/>
        <s v="2017-03-10-22:00" u="1"/>
        <s v="2017-03-30-21:00" u="1"/>
        <s v="2016-07-15-04:00" u="1"/>
        <s v="2017-08-18-17:00" u="1"/>
        <s v="2017-04-10-22:00" u="1"/>
        <s v="2016-08-15-04:00" u="1"/>
        <s v="2017-09-18-17:00" u="1"/>
        <s v="2016-11-01-20:00" u="1"/>
        <s v="2017-05-10-22:00" u="1"/>
        <s v="2017-05-30-21:00" u="1"/>
        <s v="2016-09-15-04:00" u="1"/>
        <s v="2016-12-01-20:00" u="1"/>
        <s v="2017-06-30-21:00" u="1"/>
        <s v="2017-07-10-22:00" u="1"/>
        <s v="2017-08-10-22:00" u="1"/>
        <s v="2017-08-30-21:00" u="1"/>
        <s v="2018-01-18-17:00" u="1"/>
        <s v="2017-02-15-04:00" u="1"/>
        <s v="2017-03-15-04:00" u="1"/>
        <s v="2017-10-09-15:00" u="1"/>
        <s v="2018-04-18-17:00" u="1"/>
        <s v="2016-10-06-02:00" u="1"/>
        <s v="2016-10-26-01:00" u="1"/>
        <s v="2017-11-09-15:00" u="1"/>
        <s v="2017-11-29-14:00" u="1"/>
        <s v="2018-05-18-17:00" u="1"/>
        <s v="2018-01-10-22:00" u="1"/>
        <s v="2018-01-30-21:00" u="1"/>
        <s v="2016-01-26-09:00" u="1"/>
        <s v="2017-05-15-04:00" u="1"/>
        <s v="2017-12-29-14:00" u="1"/>
        <s v="2016-02-26-09:00" u="1"/>
        <s v="2016-12-06-02:00" u="1"/>
        <s v="2017-06-15-04:00" u="1"/>
        <s v="2018-03-30-21:00" u="1"/>
        <s v="2018-07-24-12:00" u="1"/>
        <s v="9018-06-28-07:00" u="1"/>
        <s v="2018-04-10-22:00" u="1"/>
        <s v="2018-04-30-21:00" u="1"/>
        <s v="2016-04-26-09:00" u="1"/>
        <s v="2016-10-12-11:00" u="1"/>
        <s v="2017-08-15-04:00" u="1"/>
        <s v="2017-11-01-20:00" u="1"/>
        <s v="2018-05-10-22:00" u="1"/>
        <s v="2016-01-12-19:00" u="1"/>
        <s v="2016-05-26-09:00" u="1"/>
        <s v="2017-09-15-04:00" u="1"/>
        <s v="2017-12-01-20:00" u="1"/>
        <s v="2016-02-12-19:00" u="1"/>
        <s v="2016-12-12-11:00" u="1"/>
        <s v="2016-07-26-09:00" u="1"/>
        <s v="2016-04-12-19:00" u="1"/>
        <s v="2016-08-26-09:00" u="1"/>
        <s v="2016-01-07-22:00" u="1"/>
        <s v="2016-01-27-21:00" u="1"/>
        <s v="2016-05-12-19:00" u="1"/>
        <s v="2016-09-26-09:00" u="1"/>
        <s v="2016-03-07-22:00" u="1"/>
        <s v="2016-07-12-19:00" u="1"/>
        <s v="2016-04-07-22:00" u="1"/>
        <s v="2016-04-27-21:00" u="1"/>
        <s v="2016-08-12-19:00" u="1"/>
        <s v="2016-05-27-21:00" u="1"/>
        <s v="2016-09-12-19:00" u="1"/>
        <s v="2018-01-15-04:00" u="1"/>
        <s v="2016-06-07-22:00" u="1"/>
        <s v="2016-06-27-21:00" u="1"/>
        <s v="2018-02-15-04:00" u="1"/>
        <s v="2016-07-07-22:00" u="1"/>
        <s v="2016-07-27-21:00" u="1"/>
        <s v="2018-03-15-04:00" u="1"/>
        <s v="2017-10-06-02:00" u="1"/>
        <s v="2017-10-26-01:00" u="1"/>
        <s v="2016-09-07-22:00" u="1"/>
        <s v="2016-09-27-21:00" u="1"/>
        <s v="2017-01-26-09:00" u="1"/>
        <s v="2017-11-06-02:00" u="1"/>
        <s v="2018-05-15-04:00" u="1"/>
        <s v="2018-06-29-08:00" u="1"/>
        <s v="2017-12-06-02:00" u="1"/>
        <s v="2016-10-17-07:00" u="1"/>
        <s v="2017-04-26-09:00" u="1"/>
        <s v="2017-10-12-11:00" u="1"/>
        <s v="2016-11-17-07:00" u="1"/>
        <s v="2017-01-12-19:00" u="1"/>
        <s v="2017-05-26-09:00" u="1"/>
        <s v="2017-06-26-09:00" u="1"/>
        <s v="2017-12-12-11:00" u="1"/>
        <s v="2017-07-26-09:00" u="1"/>
        <s v="2016-10-03-17:00" u="1"/>
        <s v="2017-04-12-19:00" u="1"/>
        <s v="9018-07-25-08:00" u="1"/>
        <s v="2017-01-27-21:00" u="1"/>
        <s v="2016-11-03-17:00" u="1"/>
        <s v="2016-11-23-16:00" u="1"/>
        <s v="2017-05-12-19:00" u="1"/>
        <s v="2017-09-26-09:00" u="1"/>
        <s v="2017-02-07-22:00" u="1"/>
        <s v="2017-02-27-21:00" u="1"/>
        <s v="2016-12-23-16:00" u="1"/>
        <s v="2017-06-12-19:00" u="1"/>
        <s v="2017-03-07-22:00" u="1"/>
        <s v="2017-03-27-21:00" u="1"/>
        <s v="2017-07-12-19:00" u="1"/>
        <s v="2017-04-07-22:00" u="1"/>
        <s v="2017-04-27-21:00" u="1"/>
        <s v="2017-09-12-19:00" u="1"/>
        <s v="2017-06-07-22:00" u="1"/>
        <s v="2017-06-27-21:00" u="1"/>
        <s v="2017-07-07-22:00" u="1"/>
        <s v="2017-07-27-21:00" u="1"/>
        <s v="9018-06-26-20:00" u="1"/>
        <s v="2017-08-07-22:00" u="1"/>
        <s v="9018-07-26-20:00" u="1"/>
        <s v="2017-09-07-22:00" u="1"/>
        <s v="2017-09-27-21:00" u="1"/>
        <s v="2018-01-26-09:00" u="1"/>
        <s v="2018-02-26-09:00" u="1"/>
        <s v="2018-03-26-09:00" u="1"/>
        <s v="2017-10-17-07:00" u="1"/>
        <s v="2018-04-26-09:00" u="1"/>
        <s v="2017-11-17-07:00" u="1"/>
        <s v="2018-01-12-19:00" u="1"/>
        <s v="2018-02-12-19:00" u="1"/>
        <s v="2018-06-26-09:00" u="1"/>
        <s v="2018-03-12-19:00" u="1"/>
        <s v="2018-07-26-09:00" u="1"/>
        <s v="2017-10-03-17:00" u="1"/>
        <s v="2017-10-23-16:00" u="1"/>
        <s v="2018-04-12-19:00" u="1"/>
        <s v="2016-10-20-03:00" u="1"/>
        <s v="2016-01-29-04:00" u="1"/>
        <s v="2017-11-03-17:00" u="1"/>
        <s v="2017-11-23-16:00" u="1"/>
        <s v="2018-02-07-22:00" u="1"/>
        <s v="2018-02-27-21:00" u="1"/>
        <s v="2016-02-09-05:00" u="1"/>
        <s v="2016-02-29-04:00" u="1"/>
        <s v="2016-12-20-03:00" u="1"/>
        <s v="2018-03-07-22:00" u="1"/>
        <s v="2018-03-27-21:00" u="1"/>
        <s v="2016-03-09-05:00" u="1"/>
        <s v="2016-03-29-04:00" u="1"/>
        <s v="2018-04-27-21:00" u="1"/>
        <s v="2016-04-29-04:00" u="1"/>
        <s v="2018-05-07-22:00" u="1"/>
        <s v="2016-01-15-14:00" u="1"/>
        <s v="2016-05-09-05:00" u="1"/>
        <s v="2018-06-27-21:00" u="1"/>
        <s v="2016-02-15-14:00" u="1"/>
        <s v="2016-06-09-05:00" u="1"/>
        <s v="2016-06-29-04:00" u="1"/>
        <s v="2015-12-31-08:00" u="1"/>
        <s v="2018-07-27-21:00" u="1"/>
        <s v="2016-03-15-14:00" u="1"/>
        <s v="2016-07-29-04:00" u="1"/>
        <s v="2016-04-15-14:00" u="1"/>
        <s v="2016-08-09-05:00" u="1"/>
        <s v="2016-08-29-04:00" u="1"/>
        <s v="2016-09-09-05:00" u="1"/>
        <s v="2016-09-29-04:00" u="1"/>
        <s v="2016-06-15-14:00" u="1"/>
        <s v="2016-07-15-14:00" u="1"/>
        <s v="2016-08-15-14:00" u="1"/>
        <s v="2016-09-15-14:00" u="1"/>
        <s v="2017-10-20-03:00" u="1"/>
        <s v="2017-01-09-05:00" u="1"/>
        <s v="2017-11-20-03:00" u="1"/>
        <s v="2017-02-09-05:00" u="1"/>
        <s v="2017-12-20-03:00" u="1"/>
        <s v="2017-03-09-05:00" u="1"/>
        <s v="2017-03-29-04:00" u="1"/>
        <s v="2016-10-11-09:00" u="1"/>
        <s v="2016-10-31-08:00" u="1"/>
        <s v="2017-05-09-05:00" u="1"/>
        <s v="2017-05-29-04:00" u="1"/>
        <s v="2016-01-12-01:00" u="1"/>
        <s v="2016-11-11-09:00" u="1"/>
        <s v="2017-02-15-14:00" u="1"/>
        <s v="2017-06-09-05:00" u="1"/>
        <s v="2017-06-29-04:00" u="1"/>
        <s v="2016-02-12-01:00" u="1"/>
        <s v="2017-03-15-14:00" u="1"/>
        <s v="9018-06-28-03:00" u="1"/>
        <s v="2016-10-06-12:00" u="1"/>
        <s v="2016-10-26-11:00" u="1"/>
        <s v="2017-08-09-05:00" u="1"/>
        <s v="2017-08-29-04:00" u="1"/>
        <s v="2016-04-12-01:00" u="1"/>
        <s v="2016-01-26-19:00" u="1"/>
        <s v="2017-05-15-14:00" u="1"/>
        <s v="2017-09-29-04:00" u="1"/>
        <s v="2016-05-12-01:00" u="1"/>
        <s v="2016-02-26-19:00" u="1"/>
        <s v="2016-12-06-12:00" u="1"/>
        <s v="2016-12-26-11:00" u="1"/>
        <s v="2017-06-15-14:00" u="1"/>
        <s v="2018-07-24-22:00" u="1"/>
        <s v="9018-06-28-17:00" u="1"/>
        <s v="2016-07-12-01:00" u="1"/>
        <s v="2016-04-26-19:00" u="1"/>
        <s v="2016-10-12-21:00" u="1"/>
        <s v="2017-08-15-14:00" u="1"/>
        <s v="2016-08-12-01:00" u="1"/>
        <s v="2016-05-26-19:00" u="1"/>
        <s v="2017-09-15-14:00" u="1"/>
        <s v="2016-09-12-01:00" u="1"/>
        <s v="2016-12-12-21:00" u="1"/>
        <s v="2016-07-26-19:00" u="1"/>
        <s v="2016-08-26-19:00" u="1"/>
        <s v="2016-09-26-19:00" u="1"/>
        <s v="2018-01-09-05:00" u="1"/>
        <s v="2018-01-29-04:00" u="1"/>
        <s v="2018-02-09-05:00" u="1"/>
        <s v="2018-03-09-05:00" u="1"/>
        <s v="2018-03-29-04:00" u="1"/>
        <s v="2018-04-09-05:00" u="1"/>
        <s v="2017-10-11-09:00" u="1"/>
        <s v="2017-10-31-08:00" u="1"/>
        <s v="2018-01-15-14:00" u="1"/>
        <s v="2018-05-09-05:00" u="1"/>
        <s v="2018-05-29-04:00" u="1"/>
        <s v="2017-01-12-01:00" u="1"/>
        <s v="2018-02-15-14:00" u="1"/>
        <s v="2018-06-29-04:00" u="1"/>
        <s v="2017-12-11-09:00" u="1"/>
        <s v="2018-03-15-14:00" u="1"/>
        <s v="2017-10-06-12:00" u="1"/>
        <s v="2017-10-26-11:00" u="1"/>
        <s v="2017-04-12-01:00" u="1"/>
        <s v="2017-01-26-19:00" u="1"/>
        <s v="2017-11-06-12:00" u="1"/>
        <s v="2018-05-15-14:00" u="1"/>
        <s v="2017-05-12-01:00" u="1"/>
        <s v="2018-06-29-18:00" u="1"/>
        <s v="2017-12-06-12:00" u="1"/>
        <s v="2017-12-26-11:00" u="1"/>
        <s v="2016-02-03-07:00" u="1"/>
        <s v="2016-02-23-06:00" u="1"/>
        <s v="2017-06-12-01:00" u="1"/>
        <s v="2016-03-03-07:00" u="1"/>
        <s v="2016-03-23-06:00" u="1"/>
        <s v="2017-07-12-01:00" u="1"/>
        <s v="2016-10-17-17:00" u="1"/>
        <s v="2017-04-26-19:00" u="1"/>
        <s v="2017-10-12-21:00" u="1"/>
        <s v="9018-07-25-04:00" u="1"/>
        <s v="2016-11-17-17:00" u="1"/>
        <s v="2017-05-26-19:00" u="1"/>
        <s v="2016-05-03-07:00" u="1"/>
        <s v="2016-05-23-06:00" u="1"/>
        <s v="2017-09-12-01:00" u="1"/>
        <s v="2017-06-26-19:00" u="1"/>
        <s v="2017-12-12-21:00" u="1"/>
        <s v="2016-06-03-07:00" u="1"/>
        <s v="2016-06-23-06:00" u="1"/>
        <s v="2017-07-26-19:00" u="1"/>
        <s v="9018-07-25-18:00" u="1"/>
        <s v="2016-08-03-07:00" u="1"/>
        <s v="2016-08-23-06:00" u="1"/>
        <s v="2017-09-26-19:00" u="1"/>
        <s v="2016-09-23-06:00" u="1"/>
        <s v="2018-01-12-01:00" u="1"/>
        <s v="2018-02-12-01:00" u="1"/>
        <s v="2018-03-12-01:00" u="1"/>
        <s v="2018-04-12-01:00" u="1"/>
        <s v="2018-01-26-19:00" u="1"/>
        <s v="2017-01-03-07:00" u="1"/>
        <s v="2017-01-23-06:00" u="1"/>
        <s v="2018-02-26-19:00" u="1"/>
        <s v="2018-06-26-05:00" u="1"/>
        <s v="2017-02-03-07:00" u="1"/>
        <s v="2017-02-23-06:00" u="1"/>
        <s v="2018-03-26-19:00" u="1"/>
        <s v="2018-07-26-05:00" u="1"/>
        <s v="2017-03-03-07:00" u="1"/>
        <s v="2017-03-23-06:00" u="1"/>
        <s v="2017-10-17-17:00" u="1"/>
        <s v="2018-04-26-19:00" u="1"/>
        <s v="2016-10-14-04:00" u="1"/>
        <s v="2017-04-03-07:00" u="1"/>
        <s v="2017-11-17-17:00" u="1"/>
        <s v="2016-11-14-04:00" u="1"/>
        <s v="2017-05-03-07:00" u="1"/>
        <s v="2017-05-23-06:00" u="1"/>
        <s v="2018-06-26-19:00" u="1"/>
        <s v="2016-12-14-04:00" u="1"/>
        <s v="2017-06-23-06:00" u="1"/>
        <s v="2018-07-26-19:00" u="1"/>
        <s v="2017-07-03-07:00" u="1"/>
        <s v="2016-10-20-13:00" u="1"/>
        <s v="2017-08-03-07:00" u="1"/>
        <s v="2017-08-23-06:00" u="1"/>
        <s v="9018-07-02-06:00" u="1"/>
        <s v="2016-01-29-14:00" u="1"/>
        <s v="2016-02-09-15:00" u="1"/>
        <s v="2016-02-29-14:00" u="1"/>
        <s v="2016-12-20-13:00" u="1"/>
        <s v="2016-03-09-15:00" u="1"/>
        <s v="2016-03-29-14:00" u="1"/>
        <s v="2016-04-29-14:00" u="1"/>
        <s v="2016-05-09-15:00" u="1"/>
        <s v="2016-06-09-15:00" u="1"/>
        <s v="2016-06-29-14:00" u="1"/>
        <s v="2015-12-31-18:00" u="1"/>
        <s v="2016-07-29-14:00" u="1"/>
        <s v="2016-08-09-15:00" u="1"/>
        <s v="2016-08-29-14:00" u="1"/>
        <s v="2016-09-09-15:00" u="1"/>
        <s v="2016-09-29-14:00" u="1"/>
        <s v="2018-01-03-07:00" u="1"/>
        <s v="2018-01-23-06:00" u="1"/>
        <s v="2018-02-23-06:00" u="1"/>
        <s v="2018-03-23-06:00" u="1"/>
        <s v="2018-04-03-07:00" u="1"/>
        <s v="2018-04-23-06:00" u="1"/>
        <s v="2017-11-14-04:00" u="1"/>
        <s v="2018-05-03-07:00" u="1"/>
        <s v="2018-05-23-06:00" u="1"/>
        <s v="2017-12-14-04:00" u="1"/>
        <s v="2018-07-23-06:00" u="1"/>
        <s v="2016-10-25-09:00" u="1"/>
        <s v="2017-10-20-13:00" u="1"/>
        <s v="2017-01-09-15:00" u="1"/>
        <s v="2016-01-06-02:00" u="1"/>
        <s v="2016-01-26-01:00" u="1"/>
        <s v="2016-11-25-09:00" u="1"/>
        <s v="2017-11-20-13:00" u="1"/>
        <s v="2017-02-09-15:00" u="1"/>
        <s v="2016-02-26-01:00" u="1"/>
        <s v="2017-12-20-13:00" u="1"/>
        <s v="2017-03-09-15:00" u="1"/>
        <s v="2017-03-29-14:00" u="1"/>
        <s v="2016-04-06-02:00" u="1"/>
        <s v="2016-04-26-01:00" u="1"/>
        <s v="2016-10-11-19:00" u="1"/>
        <s v="2016-10-31-18:00" u="1"/>
        <s v="2017-05-09-15:00" u="1"/>
        <s v="2017-05-29-14:00" u="1"/>
        <s v="2016-01-12-11:00" u="1"/>
        <s v="2016-05-06-02:00" u="1"/>
        <s v="2016-05-26-01:00" u="1"/>
        <s v="2016-11-11-19:00" u="1"/>
        <s v="2017-06-09-15:00" u="1"/>
        <s v="2017-06-29-14:00" u="1"/>
        <s v="2016-02-12-11:00" u="1"/>
        <s v="2016-06-06-02:00" u="1"/>
        <s v="9018-06-28-13:00" u="1"/>
        <s v="2016-07-06-02:00" u="1"/>
        <s v="2016-07-26-01:00" u="1"/>
        <s v="2016-10-06-22:00" u="1"/>
        <s v="2016-10-26-21:00" u="1"/>
        <s v="2017-08-09-15:00" u="1"/>
        <s v="2017-08-29-14:00" u="1"/>
        <s v="2016-04-12-11:00" u="1"/>
        <s v="2016-08-26-01:00" u="1"/>
        <s v="2017-09-29-14:00" u="1"/>
        <s v="2016-05-12-11:00" u="1"/>
        <s v="2016-09-06-02:00" u="1"/>
        <s v="2016-09-26-01:00" u="1"/>
        <s v="2016-12-06-22:00" u="1"/>
        <s v="2016-12-26-21:00" u="1"/>
        <s v="2016-07-12-11:00" u="1"/>
        <s v="2016-08-12-11:00" u="1"/>
        <s v="2016-09-12-11:00" u="1"/>
        <s v="2017-10-25-09:00" u="1"/>
        <s v="2018-01-09-15:00" u="1"/>
        <s v="2018-01-29-14:00" u="1"/>
        <s v="2017-01-06-02:00" u="1"/>
        <s v="2017-01-26-01:00" u="1"/>
        <s v="2018-02-09-15:00" u="1"/>
        <s v="2018-06-29-00:00" u="1"/>
        <s v="2017-02-06-02:00" u="1"/>
        <s v="2018-03-09-15:00" u="1"/>
        <s v="2018-03-29-14:00" u="1"/>
        <s v="2017-03-06-02:00" u="1"/>
        <s v="2018-04-09-15:00" u="1"/>
        <s v="2017-04-06-02:00" u="1"/>
        <s v="2017-04-26-01:00" u="1"/>
        <s v="2017-10-11-19:00" u="1"/>
        <s v="2017-10-31-18:00" u="1"/>
        <s v="2018-05-09-15:00" u="1"/>
        <s v="2018-05-29-14:00" u="1"/>
        <s v="2017-01-12-11:00" u="1"/>
        <s v="2017-05-26-01:00" u="1"/>
        <s v="2018-06-29-14:00" u="1"/>
        <s v="2016-02-17-07:00" u="1"/>
        <s v="2017-06-06-02:00" u="1"/>
        <s v="2017-06-26-01:00" u="1"/>
        <s v="2017-12-11-19:00" u="1"/>
        <s v="2016-03-17-07:00" u="1"/>
        <s v="2017-07-06-02:00" u="1"/>
        <s v="2017-07-26-01:00" u="1"/>
        <s v="2017-10-06-22:00" u="1"/>
        <s v="2017-10-26-21:00" u="1"/>
        <s v="2017-04-12-11:00" u="1"/>
        <s v="9018-07-25-00:00" u="1"/>
        <s v="2017-11-06-22:00" u="1"/>
        <s v="2016-05-17-07:00" u="1"/>
        <s v="2017-05-12-11:00" u="1"/>
        <s v="2017-09-06-02:00" u="1"/>
        <s v="2017-09-26-01:00" u="1"/>
        <s v="2017-12-06-22:00" u="1"/>
        <s v="2017-12-26-21:00" u="1"/>
        <s v="2016-02-03-17:00" u="1"/>
        <s v="2016-02-23-16:00" u="1"/>
        <s v="2016-06-17-07:00" u="1"/>
        <s v="2017-06-12-11:00" u="1"/>
        <s v="2016-03-03-17:00" u="1"/>
        <s v="2016-03-23-16:00" u="1"/>
        <s v="2017-07-12-11:00" u="1"/>
        <s v="9018-07-25-14:00" u="1"/>
        <s v="2016-08-17-07:00" u="1"/>
        <s v="2016-05-03-17:00" u="1"/>
        <s v="2016-05-23-16:00" u="1"/>
        <s v="2017-09-12-11:00" u="1"/>
        <s v="2016-06-03-17:00" u="1"/>
        <s v="2016-06-23-16:00" u="1"/>
        <s v="2016-08-03-17:00" u="1"/>
        <s v="2016-08-23-16:00" u="1"/>
        <s v="2016-09-23-16:00" u="1"/>
        <s v="2018-01-26-01:00" u="1"/>
        <s v="2018-02-06-02:00" u="1"/>
        <s v="2018-02-26-01:00" u="1"/>
        <s v="2018-03-06-02:00" u="1"/>
        <s v="2018-03-26-01:00" u="1"/>
        <s v="2018-04-06-02:00" u="1"/>
        <s v="2018-04-26-01:00" u="1"/>
        <s v="2017-01-17-07:00" u="1"/>
        <s v="2018-01-12-11:00" u="1"/>
        <s v="2017-02-17-07:00" u="1"/>
        <s v="2018-02-12-11:00" u="1"/>
        <s v="2017-03-17-07:00" u="1"/>
        <s v="2018-03-12-11:00" u="1"/>
        <s v="2018-07-26-01:00" u="1"/>
        <s v="2016-10-28-04:00" u="1"/>
        <s v="2017-04-17-07:00" u="1"/>
        <s v="2018-04-12-11:00" u="1"/>
        <s v="2016-11-08-05:00" u="1"/>
        <s v="2016-11-28-04:00" u="1"/>
        <s v="2017-01-03-17:00" u="1"/>
        <s v="2017-01-23-16:00" u="1"/>
        <s v="2017-05-17-07:00" u="1"/>
        <s v="2016-01-20-03:00" u="1"/>
        <s v="2018-06-26-15:00" u="1"/>
        <s v="2016-12-08-05:00" u="1"/>
        <s v="2016-12-28-04:00" u="1"/>
        <s v="2017-02-03-17:00" u="1"/>
        <s v="2017-02-23-16:00" u="1"/>
        <s v="2018-07-26-15:00" u="1"/>
        <s v="2017-03-03-17:00" u="1"/>
        <s v="2017-03-23-16:00" u="1"/>
        <s v="2017-07-17-07:00" u="1"/>
        <s v="2016-10-14-14:00" u="1"/>
        <s v="2017-04-03-17:00" u="1"/>
        <s v="2017-08-17-07:00" u="1"/>
        <s v="9018-07-02-02:00" u="1"/>
        <s v="2016-04-20-03:00" u="1"/>
        <s v="2016-11-14-14:00" u="1"/>
        <s v="2017-05-03-17:00" u="1"/>
        <s v="2017-05-23-16:00" u="1"/>
        <s v="2016-05-20-03:00" u="1"/>
        <s v="2016-12-14-14:00" u="1"/>
        <s v="2017-06-23-16:00" u="1"/>
        <s v="2015-12-31-00:00" u="1"/>
        <s v="2016-06-20-03:00" u="1"/>
        <s v="2017-07-03-17:00" u="1"/>
        <s v="2016-07-20-03:00" u="1"/>
        <s v="2016-10-20-23:00" u="1"/>
        <s v="2017-08-03-17:00" u="1"/>
        <s v="2017-08-23-16:00" u="1"/>
        <s v="2016-09-20-03:00" u="1"/>
        <s v="2016-12-20-23:00" u="1"/>
        <s v="2018-01-17-07:00" u="1"/>
        <s v="2018-04-17-07:00" u="1"/>
        <s v="2017-11-08-05:00" u="1"/>
        <s v="2017-11-28-04:00" u="1"/>
        <s v="2018-01-03-17:00" u="1"/>
        <s v="2018-01-23-16:00" u="1"/>
        <s v="2018-05-17-07:00" u="1"/>
        <s v="2017-01-20-03:00" u="1"/>
        <s v="2017-12-08-05:00" u="1"/>
        <s v="2017-12-28-04:00" u="1"/>
        <s v="2018-02-23-16:00" u="1"/>
        <s v="2017-02-20-03:00" u="1"/>
        <s v="2018-03-23-16:00" u="1"/>
        <s v="2017-03-20-03:00" u="1"/>
        <s v="2018-04-03-17:00" u="1"/>
        <s v="2018-04-23-16:00" u="1"/>
        <s v="2016-10-11-01:00" u="1"/>
        <s v="2016-10-31-00:00" u="1"/>
        <s v="2017-04-20-03:00" u="1"/>
        <s v="2017-11-14-14:00" u="1"/>
        <s v="2018-05-03-17:00" u="1"/>
        <s v="2018-05-23-16:00" u="1"/>
        <s v="2016-01-11-09:00" u="1"/>
        <s v="2016-11-11-01:00" u="1"/>
        <s v="2017-12-14-14:00" u="1"/>
        <s v="2016-02-11-09:00" u="1"/>
        <s v="2017-06-20-03:00" u="1"/>
        <s v="2018-07-23-16:00" u="1"/>
        <s v="2016-03-11-09:00" u="1"/>
        <s v="2016-03-31-08:00" u="1"/>
        <s v="2017-07-20-03:00" u="1"/>
        <s v="2016-10-25-19:00" u="1"/>
        <s v="2017-10-20-23:00" u="1"/>
        <s v="2016-04-11-09:00" u="1"/>
        <s v="2016-01-06-12:00" u="1"/>
        <s v="2016-01-26-11:00" u="1"/>
        <s v="2016-11-25-19:00" u="1"/>
        <s v="2017-11-20-23:00" u="1"/>
        <s v="2016-05-11-09:00" u="1"/>
        <s v="2016-05-31-08:00" u="1"/>
        <s v="2017-09-20-03:00" u="1"/>
        <s v="2016-02-26-11:00" u="1"/>
        <s v="2017-12-20-23:00" u="1"/>
        <s v="2016-07-11-09:00" u="1"/>
        <s v="2016-04-06-12:00" u="1"/>
        <s v="2016-04-26-11:00" u="1"/>
        <s v="2016-08-11-09:00" u="1"/>
        <s v="2016-08-31-08:00" u="1"/>
        <s v="2016-01-12-21:00" u="1"/>
        <s v="2016-05-06-12:00" u="1"/>
        <s v="2016-05-26-11:00" u="1"/>
        <s v="2016-02-12-21:00" u="1"/>
        <s v="2016-06-06-12:00" u="1"/>
        <s v="9018-06-28-23:00" u="1"/>
        <s v="2016-07-06-12:00" u="1"/>
        <s v="2016-07-26-11:00" u="1"/>
        <s v="2016-04-12-21:00" u="1"/>
        <s v="2016-08-26-11:00" u="1"/>
        <s v="2016-05-12-21:00" u="1"/>
        <s v="2016-09-06-12:00" u="1"/>
        <s v="2016-09-26-11:00" u="1"/>
        <s v="2018-02-20-03:00" u="1"/>
        <s v="2016-07-12-21:00" u="1"/>
        <s v="2018-03-20-03:00" u="1"/>
        <s v="2016-08-12-21:00" u="1"/>
        <s v="2017-10-11-01:00" u="1"/>
        <s v="2017-10-31-00:00" u="1"/>
        <s v="2018-04-20-03:00" u="1"/>
        <s v="2016-09-12-21:00" u="1"/>
        <s v="2017-01-11-09:00" u="1"/>
        <s v="2017-01-31-08:00" u="1"/>
        <s v="2017-12-11-01:00" u="1"/>
        <s v="2017-03-31-08:00" u="1"/>
        <s v="2018-07-20-03:00" u="1"/>
        <s v="2017-10-25-19:00" u="1"/>
        <s v="2017-04-11-09:00" u="1"/>
        <s v="2017-01-06-12:00" u="1"/>
        <s v="2017-01-26-11:00" u="1"/>
        <s v="2016-11-02-07:00" u="1"/>
        <s v="2016-11-22-06:00" u="1"/>
        <s v="2017-05-11-09:00" u="1"/>
        <s v="2017-05-31-08:00" u="1"/>
        <s v="2018-06-29-10:00" u="1"/>
        <s v="2017-02-06-12:00" u="1"/>
        <s v="2016-12-02-07:00" u="1"/>
        <s v="2016-12-22-06:00" u="1"/>
        <s v="2017-03-06-12:00" u="1"/>
        <s v="2017-07-11-09:00" u="1"/>
        <s v="2017-07-31-08:00" u="1"/>
        <s v="2017-04-06-12:00" u="1"/>
        <s v="2017-04-26-11:00" u="1"/>
        <s v="2017-08-11-09:00" u="1"/>
        <s v="2017-08-31-08:00" u="1"/>
        <s v="2017-01-12-21:00" u="1"/>
        <s v="2017-05-26-11:00" u="1"/>
        <s v="2017-09-11-09:00" u="1"/>
        <s v="2016-02-17-17:00" u="1"/>
        <s v="2017-06-06-12:00" u="1"/>
        <s v="2017-06-26-11:00" u="1"/>
        <s v="2016-03-17-17:00" u="1"/>
        <s v="2017-07-06-12:00" u="1"/>
        <s v="2017-07-26-11:00" u="1"/>
        <s v="2017-04-12-21:00" u="1"/>
        <s v="9018-07-25-10:00" u="1"/>
        <s v="2016-05-17-17:00" u="1"/>
        <s v="2017-05-12-21:00" u="1"/>
        <s v="2017-09-06-12:00" u="1"/>
        <s v="2017-09-26-11:00" u="1"/>
        <s v="2016-06-17-17:00" u="1"/>
        <s v="2017-06-12-21:00" u="1"/>
        <s v="2017-07-12-21:00" u="1"/>
        <s v="2016-08-17-17:00" u="1"/>
        <s v="2017-09-12-21:00" u="1"/>
        <s v="2018-01-11-09:00" u="1"/>
        <s v="2018-01-31-08:00" u="1"/>
        <s v="2017-10-02-07:00" u="1"/>
        <s v="2018-04-11-09:00" u="1"/>
        <s v="2018-01-26-11:00" u="1"/>
        <s v="2017-11-02-07:00" u="1"/>
        <s v="2017-11-22-06:00" u="1"/>
        <s v="2018-05-11-09:00" u="1"/>
        <s v="2018-02-06-12:00" u="1"/>
        <s v="2018-02-26-11:00" u="1"/>
        <s v="2017-12-22-06:00" u="1"/>
        <s v="2018-03-06-12:00" u="1"/>
        <s v="2018-03-26-11:00" u="1"/>
        <s v="2018-04-06-12:00" u="1"/>
        <s v="2018-04-26-11:00" u="1"/>
        <s v="2016-10-28-00:00" u="1"/>
        <s v="2017-01-17-17:00" u="1"/>
        <s v="2018-01-12-21:00" u="1"/>
        <s v="2016-01-08-09:00" u="1"/>
        <s v="2016-01-28-08:00" u="1"/>
        <s v="2016-11-08-01:00" u="1"/>
        <s v="2016-11-28-00:00" u="1"/>
        <s v="2016-01-14-04:00" u="1"/>
        <s v="2017-02-17-17:00" u="1"/>
        <s v="2018-02-12-21:00" u="1"/>
        <s v="2018-06-26-11:00" u="1"/>
        <s v="2016-02-08-09:00" u="1"/>
        <s v="2016-12-08-01:00" u="1"/>
        <s v="2016-12-28-00:00" u="1"/>
        <s v="2017-03-17-17:00" u="1"/>
        <s v="2018-03-12-21:00" u="1"/>
        <s v="2018-07-26-11:00" u="1"/>
        <s v="2016-03-08-09:00" u="1"/>
        <s v="2016-03-28-08:00" u="1"/>
        <s v="2016-03-14-04:00" u="1"/>
        <s v="2016-10-28-14:00" u="1"/>
        <s v="2017-04-17-17:00" u="1"/>
        <s v="2018-04-12-21:00" u="1"/>
        <s v="2016-04-08-09:00" u="1"/>
        <s v="2016-04-28-08:00" u="1"/>
        <s v="2016-04-14-04:00" u="1"/>
        <s v="2016-11-08-15:00" u="1"/>
        <s v="2016-11-28-14:00" u="1"/>
        <s v="2017-05-17-17:00" u="1"/>
        <s v="2016-01-20-13:00" u="1"/>
        <s v="2016-12-08-15:00" u="1"/>
        <s v="2016-12-28-14:00" u="1"/>
        <s v="2016-06-08-09:00" u="1"/>
        <s v="2016-06-28-08:00" u="1"/>
        <s v="2016-06-14-04:00" u="1"/>
        <s v="2017-07-17-17:00" u="1"/>
        <s v="2016-07-08-09:00" u="1"/>
        <s v="2016-07-28-08:00" u="1"/>
        <s v="2016-07-14-04:00" u="1"/>
        <s v="2017-08-17-17:00" u="1"/>
        <s v="2016-08-08-09:00" u="1"/>
        <s v="2016-04-20-13:00" u="1"/>
        <s v="2016-09-08-09:00" u="1"/>
        <s v="2016-09-28-08:00" u="1"/>
        <s v="2016-05-20-13:00" u="1"/>
        <s v="2016-09-14-04:00" u="1"/>
        <s v="2015-12-31-10:00" u="1"/>
        <s v="2016-06-20-13:00" u="1"/>
        <s v="2016-07-20-13:00" u="1"/>
        <s v="2016-09-20-13:00" u="1"/>
        <s v="2018-01-17-17:00" u="1"/>
        <s v="2017-11-08-01:00" u="1"/>
        <s v="2017-11-28-00:00" u="1"/>
        <s v="2017-02-08-09:00" u="1"/>
        <s v="2017-02-28-08:00" u="1"/>
        <s v="2017-12-08-01:00" u="1"/>
        <s v="2017-12-28-00:00" u="1"/>
        <s v="2017-02-14-04:00" u="1"/>
        <s v="2017-03-08-09:00" u="1"/>
        <s v="2017-03-28-08:00" u="1"/>
        <s v="2017-03-14-04:00" u="1"/>
        <s v="2018-04-17-17:00" u="1"/>
        <s v="2016-10-19-06:00" u="1"/>
        <s v="2017-04-28-08:00" u="1"/>
        <s v="2016-10-05-02:00" u="1"/>
        <s v="2016-10-25-01:00" u="1"/>
        <s v="2017-04-14-04:00" u="1"/>
        <s v="2017-11-08-15:00" u="1"/>
        <s v="2017-11-28-14:00" u="1"/>
        <s v="2018-05-17-17:00" u="1"/>
        <s v="2017-05-08-09:00" u="1"/>
        <s v="2016-01-25-09:00" u="1"/>
        <s v="2016-11-25-01:00" u="1"/>
        <s v="2017-01-20-13:00" u="1"/>
        <s v="2017-12-08-15:00" u="1"/>
        <s v="2017-12-28-14:00" u="1"/>
        <s v="2016-12-19-06:00" u="1"/>
        <s v="2017-06-08-09:00" u="1"/>
        <s v="2017-06-28-08:00" u="1"/>
        <s v="2016-02-25-09:00" u="1"/>
        <s v="2016-12-05-02:00" u="1"/>
        <s v="2017-02-20-13:00" u="1"/>
        <s v="2017-06-14-04:00" u="1"/>
        <s v="2017-07-28-08:00" u="1"/>
        <s v="9018-06-27-07:00" u="1"/>
        <s v="2016-03-25-09:00" u="1"/>
        <s v="2017-03-20-13:00" u="1"/>
        <s v="2017-07-14-04:00" u="1"/>
        <s v="2017-08-08-09:00" u="1"/>
        <s v="2017-08-28-08:00" u="1"/>
        <s v="9018-07-27-07:00" u="1"/>
        <s v="2016-04-25-09:00" u="1"/>
        <s v="2016-10-11-11:00" u="1"/>
        <s v="2016-10-31-10:00" u="1"/>
        <s v="2017-04-20-13:00" u="1"/>
        <s v="2017-08-14-04:00" u="1"/>
        <s v="2017-09-08-09:00" u="1"/>
        <s v="2017-09-28-08:00" u="1"/>
        <s v="2016-01-11-19:00" u="1"/>
        <s v="2016-05-25-09:00" u="1"/>
        <s v="2016-11-11-11:00" u="1"/>
        <s v="2017-09-14-04:00" u="1"/>
        <s v="2016-02-11-19:00" u="1"/>
        <s v="2017-06-20-13:00" u="1"/>
        <s v="2016-03-11-19:00" u="1"/>
        <s v="2016-03-31-18:00" u="1"/>
        <s v="2016-07-25-09:00" u="1"/>
        <s v="2017-07-20-13:00" u="1"/>
        <s v="2016-04-11-19:00" u="1"/>
        <s v="2016-08-25-09:00" u="1"/>
        <s v="2016-01-06-22:00" u="1"/>
        <s v="2016-01-26-21:00" u="1"/>
        <s v="2016-05-11-19:00" u="1"/>
        <s v="2016-05-31-18:00" u="1"/>
        <s v="2017-09-20-13:00" u="1"/>
        <s v="2016-02-26-21:00" u="1"/>
        <s v="2016-07-11-19:00" u="1"/>
        <s v="2016-04-06-22:00" u="1"/>
        <s v="2016-04-26-21:00" u="1"/>
        <s v="2016-08-11-19:00" u="1"/>
        <s v="2016-08-31-18:00" u="1"/>
        <s v="2016-05-06-22:00" u="1"/>
        <s v="2016-05-26-21:00" u="1"/>
        <s v="2018-01-08-09:00" u="1"/>
        <s v="2016-06-06-22:00" u="1"/>
        <s v="2018-02-08-09:00" u="1"/>
        <s v="2018-02-28-08:00" u="1"/>
        <s v="2018-02-14-04:00" u="1"/>
        <s v="2016-07-06-22:00" u="1"/>
        <s v="2016-07-26-21:00" u="1"/>
        <s v="2018-03-08-09:00" u="1"/>
        <s v="2018-03-28-08:00" u="1"/>
        <s v="2018-03-14-04:00" u="1"/>
        <s v="2016-08-26-21:00" u="1"/>
        <s v="2017-10-19-06:00" u="1"/>
        <s v="2017-10-05-02:00" u="1"/>
        <s v="2017-10-25-01:00" u="1"/>
        <s v="2016-09-06-22:00" u="1"/>
        <s v="2016-09-26-21:00" u="1"/>
        <s v="2018-05-08-09:00" u="1"/>
        <s v="2018-05-28-08:00" u="1"/>
        <s v="2017-01-25-09:00" u="1"/>
        <s v="2018-05-14-04:00" u="1"/>
        <s v="2017-12-19-06:00" u="1"/>
        <s v="2018-06-28-08:00" u="1"/>
        <s v="2017-12-05-02:00" u="1"/>
        <s v="2018-02-20-13:00" u="1"/>
        <s v="2018-03-20-13:00" u="1"/>
        <s v="2017-04-25-09:00" u="1"/>
        <s v="2017-10-11-11:00" u="1"/>
        <s v="2017-10-31-10:00" u="1"/>
        <s v="2018-04-20-13:00" u="1"/>
        <s v="2017-01-11-19:00" u="1"/>
        <s v="2017-01-31-18:00" u="1"/>
        <s v="2017-05-25-09:00" u="1"/>
        <s v="2017-12-11-11:00" u="1"/>
        <s v="2017-03-31-18:00" u="1"/>
        <s v="2017-07-25-09:00" u="1"/>
        <s v="2018-07-20-13:00" u="1"/>
        <s v="2017-04-11-19:00" u="1"/>
        <s v="2017-08-25-09:00" u="1"/>
        <s v="9018-07-24-08:00" u="1"/>
        <s v="2017-01-06-22:00" u="1"/>
        <s v="2017-01-26-21:00" u="1"/>
        <s v="2016-11-02-17:00" u="1"/>
        <s v="2016-11-22-16:00" u="1"/>
        <s v="2017-05-11-19:00" u="1"/>
        <s v="2017-05-31-18:00" u="1"/>
        <s v="2017-09-25-09:00" u="1"/>
        <s v="2018-06-29-20:00" u="1"/>
        <s v="2017-02-06-22:00" u="1"/>
        <s v="2016-12-02-17:00" u="1"/>
        <s v="2016-12-22-16:00" u="1"/>
        <s v="2017-03-06-22:00" u="1"/>
        <s v="2017-07-11-19:00" u="1"/>
        <s v="2017-07-31-18:00" u="1"/>
        <s v="2017-04-06-22:00" u="1"/>
        <s v="2017-04-26-21:00" u="1"/>
        <s v="2017-08-11-19:00" u="1"/>
        <s v="2017-08-31-18:00" u="1"/>
        <s v="2017-05-26-21:00" u="1"/>
        <s v="2017-09-11-19:00" u="1"/>
        <s v="2017-06-06-22:00" u="1"/>
        <s v="2017-06-26-21:00" u="1"/>
        <s v="2017-07-06-22:00" u="1"/>
        <s v="2017-07-26-21:00" u="1"/>
        <s v="9018-07-25-20:00" u="1"/>
        <s v="2017-09-06-22:00" u="1"/>
        <s v="2017-09-26-21:00" u="1"/>
        <s v="2018-01-25-09:00" u="1"/>
        <s v="2018-04-25-09:00" u="1"/>
        <s v="2018-01-11-19:00" u="1"/>
        <s v="2018-01-31-18:00" u="1"/>
        <s v="2018-05-25-09:00" u="1"/>
        <s v="2018-06-25-09:00" u="1"/>
        <s v="2018-07-25-09:00" u="1"/>
        <s v="2017-10-02-17:00" u="1"/>
        <s v="2018-04-11-19:00" u="1"/>
        <s v="2018-01-26-21:00" u="1"/>
        <s v="2017-11-02-17:00" u="1"/>
        <s v="2017-11-22-16:00" u="1"/>
        <s v="2018-05-11-19:00" u="1"/>
        <s v="2018-02-06-22:00" u="1"/>
        <s v="2018-02-26-21:00" u="1"/>
        <s v="2017-12-22-16:00" u="1"/>
        <s v="2018-03-06-22:00" u="1"/>
        <s v="2018-03-26-21:00" u="1"/>
        <s v="2018-04-06-22:00" u="1"/>
        <s v="2018-04-26-21:00" u="1"/>
        <s v="2016-10-28-10:00" u="1"/>
        <s v="2016-01-08-19:00" u="1"/>
        <s v="2016-01-28-18:00" u="1"/>
        <s v="2016-11-08-11:00" u="1"/>
        <s v="2016-11-28-10:00" u="1"/>
        <s v="2016-01-14-14:00" u="1"/>
        <s v="2018-06-26-21:00" u="1"/>
        <s v="2016-02-08-19:00" u="1"/>
        <s v="2016-12-08-11:00" u="1"/>
        <s v="2016-12-28-10:00" u="1"/>
        <s v="2015-12-30-08:00" u="1"/>
        <s v="2018-07-26-21:00" u="1"/>
        <s v="2016-03-08-19:00" u="1"/>
        <s v="2016-03-28-18:00" u="1"/>
        <s v="2016-03-14-14:00" u="1"/>
        <s v="2016-04-08-19:00" u="1"/>
        <s v="2016-04-28-18:00" u="1"/>
        <s v="2016-04-14-14:00" u="1"/>
        <s v="2016-01-20-23:00" u="1"/>
        <s v="2016-06-08-19:00" u="1"/>
        <s v="2016-06-28-18:00" u="1"/>
        <s v="2016-06-14-14:00" u="1"/>
        <s v="2016-07-08-19:00" u="1"/>
        <s v="2016-07-28-18:00" u="1"/>
        <s v="2016-07-14-14:00" u="1"/>
        <s v="2016-08-08-19:00" u="1"/>
        <s v="2016-04-20-23:00" u="1"/>
        <s v="2016-09-08-19:00" u="1"/>
        <s v="2016-09-28-18:00" u="1"/>
        <s v="2016-05-20-23:00" u="1"/>
        <s v="2016-09-14-14:00" u="1"/>
        <s v="2016-06-20-23:00" u="1"/>
        <s v="2016-07-20-23:00" u="1"/>
        <s v="2016-09-20-23:00" u="1"/>
        <s v="2016-10-10-09:00" u="1"/>
        <s v="2017-11-08-11:00" u="1"/>
        <s v="2017-11-28-10:00" u="1"/>
        <s v="2016-01-11-01:00" u="1"/>
        <s v="2016-11-10-09:00" u="1"/>
        <s v="2016-11-30-08:00" u="1"/>
        <s v="2017-02-08-19:00" u="1"/>
        <s v="2017-02-28-18:00" u="1"/>
        <s v="2017-12-08-11:00" u="1"/>
        <s v="2017-12-28-10:00" u="1"/>
        <s v="2017-02-14-14:00" u="1"/>
        <s v="2016-02-11-01:00" u="1"/>
        <s v="2016-12-30-08:00" u="1"/>
        <s v="2017-03-08-19:00" u="1"/>
        <s v="2017-03-28-18:00" u="1"/>
        <s v="2017-03-14-14:00" u="1"/>
        <s v="9018-06-27-03:00" u="1"/>
        <s v="2016-03-11-01:00" u="1"/>
        <s v="2016-03-31-00:00" u="1"/>
        <s v="2016-10-19-16:00" u="1"/>
        <s v="2017-04-28-18:00" u="1"/>
        <s v="2016-10-05-12:00" u="1"/>
        <s v="2016-10-25-11:00" u="1"/>
        <s v="2017-04-14-14:00" u="1"/>
        <s v="9018-07-27-03:00" u="1"/>
        <s v="2016-04-11-01:00" u="1"/>
        <s v="2017-05-08-19:00" u="1"/>
        <s v="2016-01-25-19:00" u="1"/>
        <s v="2016-11-25-11:00" u="1"/>
        <s v="2017-01-20-23:00" u="1"/>
        <s v="2016-05-11-01:00" u="1"/>
        <s v="2016-05-31-00:00" u="1"/>
        <s v="2016-12-19-16:00" u="1"/>
        <s v="2017-06-08-19:00" u="1"/>
        <s v="2017-06-28-18:00" u="1"/>
        <s v="2016-02-25-19:00" u="1"/>
        <s v="2016-12-05-12:00" u="1"/>
        <s v="2017-02-20-23:00" u="1"/>
        <s v="2017-06-14-14:00" u="1"/>
        <s v="2017-07-28-18:00" u="1"/>
        <s v="9018-06-27-17:00" u="1"/>
        <s v="2016-03-25-19:00" u="1"/>
        <s v="2017-03-20-23:00" u="1"/>
        <s v="2017-07-14-14:00" u="1"/>
        <s v="2016-07-11-01:00" u="1"/>
        <s v="2017-08-08-19:00" u="1"/>
        <s v="2017-08-28-18:00" u="1"/>
        <s v="9018-07-27-17:00" u="1"/>
        <s v="2016-04-25-19:00" u="1"/>
        <s v="2016-10-11-21:00" u="1"/>
        <s v="2016-10-31-20:00" u="1"/>
        <s v="2017-04-20-23:00" u="1"/>
        <s v="2017-08-14-14:00" u="1"/>
        <s v="2016-08-11-01:00" u="1"/>
        <s v="2016-08-31-00:00" u="1"/>
        <s v="2017-09-08-19:00" u="1"/>
        <s v="2017-09-28-18:00" u="1"/>
        <s v="2016-05-25-19:00" u="1"/>
        <s v="2016-11-11-21:00" u="1"/>
        <s v="2017-09-14-14:00" u="1"/>
        <s v="2017-06-20-23:00" u="1"/>
        <s v="2016-07-25-19:00" u="1"/>
        <s v="2017-07-20-23:00" u="1"/>
        <s v="2016-08-25-19:00" u="1"/>
        <s v="2016-09-25-19:00" u="1"/>
        <s v="2017-09-20-23:00" u="1"/>
        <s v="2017-10-10-09:00" u="1"/>
        <s v="2017-10-30-08:00" u="1"/>
        <s v="2018-01-08-19:00" u="1"/>
        <s v="2017-01-11-01:00" u="1"/>
        <s v="2017-01-31-00:00" u="1"/>
        <s v="2017-11-10-09:00" u="1"/>
        <s v="2017-11-30-08:00" u="1"/>
        <s v="2018-02-08-19:00" u="1"/>
        <s v="2018-02-28-18:00" u="1"/>
        <s v="2018-02-14-14:00" u="1"/>
        <s v="2018-06-28-04:00" u="1"/>
        <s v="2018-03-08-19:00" u="1"/>
        <s v="2018-03-28-18:00" u="1"/>
        <s v="2018-03-14-14:00" u="1"/>
        <s v="2017-03-31-00:00" u="1"/>
        <s v="2017-10-19-16:00" u="1"/>
        <s v="2017-10-05-12:00" u="1"/>
        <s v="2017-10-25-11:00" u="1"/>
        <s v="2017-04-11-01:00" u="1"/>
        <s v="2018-05-08-19:00" u="1"/>
        <s v="2018-05-28-18:00" u="1"/>
        <s v="2017-01-25-19:00" u="1"/>
        <s v="2018-05-14-14:00" u="1"/>
        <s v="2016-11-16-03:00" u="1"/>
        <s v="2016-01-22-06:00" u="1"/>
        <s v="2017-05-11-01:00" u="1"/>
        <s v="2017-05-31-00:00" u="1"/>
        <s v="2017-12-19-16:00" u="1"/>
        <s v="2018-06-28-18:00" u="1"/>
        <s v="2017-12-05-12:00" u="1"/>
        <s v="2018-02-20-23:00" u="1"/>
        <s v="2016-12-16-03:00" u="1"/>
        <s v="2016-02-02-07:00" u="1"/>
        <s v="2016-02-22-06:00" u="1"/>
        <s v="2018-03-20-23:00" u="1"/>
        <s v="2016-03-02-07:00" u="1"/>
        <s v="2016-03-22-06:00" u="1"/>
        <s v="2017-07-11-01:00" u="1"/>
        <s v="2017-07-31-00:00" u="1"/>
        <s v="2017-04-25-19:00" u="1"/>
        <s v="2017-10-11-21:00" u="1"/>
        <s v="2017-10-31-20:00" u="1"/>
        <s v="2018-04-20-23:00" u="1"/>
        <s v="9018-07-24-04:00" u="1"/>
        <s v="2016-04-22-06:00" u="1"/>
        <s v="2017-08-11-01:00" u="1"/>
        <s v="2017-08-31-00:00" u="1"/>
        <s v="2017-05-25-19:00" u="1"/>
        <s v="2016-05-02-07:00" u="1"/>
        <s v="2017-09-11-01:00" u="1"/>
        <s v="2017-06-25-19:00" u="1"/>
        <s v="2017-12-11-21:00" u="1"/>
        <s v="2016-06-02-07:00" u="1"/>
        <s v="2016-06-22-06:00" u="1"/>
        <s v="2017-07-25-19:00" u="1"/>
        <s v="2018-07-20-23:00" u="1"/>
        <s v="2016-07-22-06:00" u="1"/>
        <s v="2017-08-25-19:00" u="1"/>
        <s v="9018-07-24-18:00" u="1"/>
        <s v="2016-08-02-07:00" u="1"/>
        <s v="2016-08-22-06:00" u="1"/>
        <s v="2017-09-25-19:00" u="1"/>
        <s v="2016-09-02-07:00" u="1"/>
        <s v="2016-09-22-06:00" u="1"/>
        <s v="2018-01-11-01:00" u="1"/>
        <s v="2018-01-31-00:00" u="1"/>
        <s v="2017-10-16-03:00" u="1"/>
        <s v="2018-04-11-01:00" u="1"/>
        <s v="2018-01-25-19:00" u="1"/>
        <s v="2017-11-16-03:00" u="1"/>
        <s v="2018-05-11-01:00" u="1"/>
        <s v="2018-02-25-19:00" u="1"/>
        <s v="2017-02-02-07:00" u="1"/>
        <s v="2017-02-22-06:00" u="1"/>
        <s v="2018-03-25-19:00" u="1"/>
        <s v="2018-07-25-05:00" u="1"/>
        <s v="2017-03-02-07:00" u="1"/>
        <s v="2017-03-22-06:00" u="1"/>
        <s v="2018-04-25-19:00" u="1"/>
        <s v="2016-10-07-09:00" u="1"/>
        <s v="2016-10-27-08:00" u="1"/>
        <s v="2016-10-13-04:00" u="1"/>
        <s v="2018-05-25-19:00" u="1"/>
        <s v="2016-01-08-01:00" u="1"/>
        <s v="2016-01-28-00:00" u="1"/>
        <s v="2016-11-07-09:00" u="1"/>
        <s v="2017-05-02-07:00" u="1"/>
        <s v="2017-05-22-06:00" u="1"/>
        <s v="2018-06-25-19:00" u="1"/>
        <s v="2016-02-08-01:00" u="1"/>
        <s v="2016-12-07-09:00" u="1"/>
        <s v="2016-12-27-08:00" u="1"/>
        <s v="2016-12-13-04:00" u="1"/>
        <s v="2017-06-02-07:00" u="1"/>
        <s v="2017-06-22-06:00" u="1"/>
        <s v="2018-07-25-19:00" u="1"/>
        <s v="2016-03-08-01:00" u="1"/>
        <s v="2016-03-28-00:00" u="1"/>
        <s v="2016-04-08-01:00" u="1"/>
        <s v="2016-04-28-00:00" u="1"/>
        <s v="2017-08-02-07:00" u="1"/>
        <s v="2017-08-22-06:00" u="1"/>
        <s v="2017-09-22-06:00" u="1"/>
        <s v="2016-06-08-01:00" u="1"/>
        <s v="2016-06-28-00:00" u="1"/>
        <s v="2016-07-08-01:00" u="1"/>
        <s v="2016-07-28-00:00" u="1"/>
        <s v="2016-10-28-20:00" u="1"/>
        <s v="2016-08-08-01:00" u="1"/>
        <s v="2016-11-08-21:00" u="1"/>
        <s v="2016-11-28-20:00" u="1"/>
        <s v="2016-09-08-01:00" u="1"/>
        <s v="2016-09-28-00:00" u="1"/>
        <s v="2016-12-08-21:00" u="1"/>
        <s v="2016-12-28-20:00" u="1"/>
        <s v="2015-12-30-18:00" u="1"/>
        <s v="2018-01-22-06:00" u="1"/>
        <s v="2018-02-02-07:00" u="1"/>
        <s v="2018-02-22-06:00" u="1"/>
        <s v="2018-03-02-07:00" u="1"/>
        <s v="2018-03-22-06:00" u="1"/>
        <s v="2017-10-27-08:00" u="1"/>
        <s v="2017-10-13-04:00" u="1"/>
        <s v="2018-04-02-07:00" u="1"/>
        <s v="2017-11-07-09:00" u="1"/>
        <s v="2017-11-27-08:00" u="1"/>
        <s v="2017-11-13-04:00" u="1"/>
        <s v="2018-05-02-07:00" u="1"/>
        <s v="2018-05-22-06:00" u="1"/>
        <s v="2017-02-08-01:00" u="1"/>
        <s v="2017-02-28-00:00" u="1"/>
        <s v="2017-12-07-09:00" u="1"/>
        <s v="2017-12-27-08:00" u="1"/>
        <s v="2017-12-13-04:00" u="1"/>
        <s v="2017-03-08-01:00" u="1"/>
        <s v="2017-03-28-00:00" u="1"/>
        <s v="2017-04-28-00:00" u="1"/>
        <s v="2016-01-19-06:00" u="1"/>
        <s v="2017-05-08-01:00" u="1"/>
        <s v="2016-02-19-06:00" u="1"/>
        <s v="2017-06-08-01:00" u="1"/>
        <s v="2017-06-28-00:00" u="1"/>
        <s v="2017-07-28-00:00" u="1"/>
        <s v="2016-04-19-06:00" u="1"/>
        <s v="2017-08-08-01:00" u="1"/>
        <s v="2017-08-28-00:00" u="1"/>
        <s v="2016-10-10-19:00" u="1"/>
        <s v="2017-11-08-21:00" u="1"/>
        <s v="2017-11-28-20:00" u="1"/>
        <s v="2016-05-19-06:00" u="1"/>
        <s v="2017-09-08-01:00" u="1"/>
        <s v="2017-09-28-00:00" u="1"/>
        <s v="2016-01-11-11:00" u="1"/>
        <s v="2016-11-10-19:00" u="1"/>
        <s v="2016-11-30-18:00" u="1"/>
        <s v="2017-12-08-21:00" u="1"/>
        <s v="2017-12-28-20:00" u="1"/>
        <s v="2016-02-11-11:00" u="1"/>
        <s v="2016-12-30-18:00" u="1"/>
        <s v="9018-06-27-13:00" u="1"/>
        <s v="2016-07-19-06:00" u="1"/>
        <s v="2016-03-11-11:00" u="1"/>
        <s v="2016-03-31-10:00" u="1"/>
        <s v="2016-10-05-22:00" u="1"/>
        <s v="2016-10-25-21:00" u="1"/>
        <s v="9018-07-27-13:00" u="1"/>
        <s v="2016-08-19-06:00" u="1"/>
        <s v="2016-04-11-11:00" u="1"/>
        <s v="2016-11-25-21:00" u="1"/>
        <s v="2016-09-19-06:00" u="1"/>
        <s v="2016-05-11-11:00" u="1"/>
        <s v="2016-05-31-10:00" u="1"/>
        <s v="2016-12-05-22:00" u="1"/>
        <s v="2016-12-25-21:00" u="1"/>
        <s v="2016-07-11-11:00" u="1"/>
        <s v="2016-08-11-11:00" u="1"/>
        <s v="2016-08-31-10:00" u="1"/>
        <s v="2018-01-08-01:00" u="1"/>
        <s v="2018-02-08-01:00" u="1"/>
        <s v="2018-02-28-00:00" u="1"/>
        <s v="2018-03-08-01:00" u="1"/>
        <s v="2018-03-28-00:00" u="1"/>
        <s v="2017-01-19-06:00" u="1"/>
        <s v="2018-05-08-01:00" u="1"/>
        <s v="2018-05-28-00:00" u="1"/>
        <s v="2018-06-28-00:00" u="1"/>
        <s v="2017-04-19-06:00" u="1"/>
        <s v="2017-10-10-19:00" u="1"/>
        <s v="2017-10-30-18:00" u="1"/>
        <s v="2017-05-19-06:00" u="1"/>
        <s v="2017-01-11-11:00" u="1"/>
        <s v="2017-01-31-10:00" u="1"/>
        <s v="2017-11-10-19:00" u="1"/>
        <s v="2017-11-30-18:00" u="1"/>
        <s v="2018-06-28-14:00" u="1"/>
        <s v="2017-06-19-06:00" u="1"/>
        <s v="2017-07-19-06:00" u="1"/>
        <s v="2017-03-31-10:00" u="1"/>
        <s v="2017-10-05-22:00" u="1"/>
        <s v="2017-10-25-21:00" u="1"/>
        <s v="2017-04-11-11:00" u="1"/>
        <s v="2016-11-16-13:00" u="1"/>
        <s v="2017-09-19-06:00" u="1"/>
        <s v="2016-01-22-16:00" u="1"/>
        <s v="2017-05-11-11:00" u="1"/>
        <s v="2017-05-31-10:00" u="1"/>
        <s v="2017-12-05-22:00" u="1"/>
        <s v="2016-12-16-13:00" u="1"/>
        <s v="2016-02-02-17:00" u="1"/>
        <s v="2016-02-22-16:00" u="1"/>
        <s v="2016-03-02-17:00" u="1"/>
        <s v="2016-03-22-16:00" u="1"/>
        <s v="2017-07-11-11:00" u="1"/>
        <s v="2017-07-31-10:00" u="1"/>
        <s v="9018-07-24-14:00" u="1"/>
        <s v="2016-04-22-16:00" u="1"/>
        <s v="2017-08-11-11:00" u="1"/>
        <s v="2017-08-31-10:00" u="1"/>
        <s v="2016-05-02-17:00" u="1"/>
        <s v="2017-09-11-11:00" u="1"/>
        <s v="2016-06-02-17:00" u="1"/>
        <s v="2016-06-22-16:00" u="1"/>
        <s v="2016-07-22-16:00" u="1"/>
        <s v="2016-08-02-17:00" u="1"/>
        <s v="2016-08-22-16:00" u="1"/>
        <s v="2018-01-19-06:00" u="1"/>
        <s v="2016-09-02-17:00" u="1"/>
        <s v="2016-09-22-16:00" u="1"/>
        <s v="2018-02-19-06:00" u="1"/>
        <s v="2018-03-19-06:00" u="1"/>
        <s v="2018-04-19-06:00" u="1"/>
        <s v="2018-01-11-11:00" u="1"/>
        <s v="2018-01-31-10:00" u="1"/>
        <s v="2018-07-25-01:00" u="1"/>
        <s v="2017-10-16-13:00" u="1"/>
        <s v="2018-04-11-11:00" u="1"/>
        <s v="2017-11-16-13:00" u="1"/>
        <s v="2017-01-02-17:00" u="1"/>
        <s v="2018-05-11-11:00" u="1"/>
        <s v="2017-02-02-17:00" u="1"/>
        <s v="2017-02-22-16:00" u="1"/>
        <s v="2018-07-25-15:00" u="1"/>
        <s v="2017-03-02-17:00" u="1"/>
        <s v="2017-03-22-16:00" u="1"/>
        <s v="2016-10-07-19:00" u="1"/>
        <s v="2016-10-27-18:00" u="1"/>
        <s v="2016-10-13-14:00" u="1"/>
        <s v="2016-01-08-11:00" u="1"/>
        <s v="2016-01-28-10:00" u="1"/>
        <s v="2016-11-07-19:00" u="1"/>
        <s v="2017-05-02-17:00" u="1"/>
        <s v="2017-05-22-16:00" u="1"/>
        <s v="2016-02-08-11:00" u="1"/>
        <s v="2016-12-07-19:00" u="1"/>
        <s v="2016-12-27-18:00" u="1"/>
        <s v="2016-12-13-14:00" u="1"/>
        <s v="2017-06-02-17:00" u="1"/>
        <s v="2017-06-22-16:00" u="1"/>
        <s v="2016-03-08-11:00" u="1"/>
        <s v="2016-03-28-10:00" u="1"/>
        <s v="2016-04-08-11:00" u="1"/>
        <s v="2016-04-28-10:00" u="1"/>
        <s v="2017-08-02-17:00" u="1"/>
        <s v="2017-08-22-16:00" u="1"/>
        <s v="2017-09-22-16:00" u="1"/>
        <s v="2016-06-08-11:00" u="1"/>
        <s v="2016-06-28-10:00" u="1"/>
        <s v="2016-07-08-11:00" u="1"/>
        <s v="2016-07-28-10:00" u="1"/>
        <s v="2016-08-08-11:00" u="1"/>
        <s v="2016-09-08-11:00" u="1"/>
        <s v="2016-09-28-10:00" u="1"/>
        <s v="2018-01-02-17:00" u="1"/>
        <s v="2018-01-22-16:00" u="1"/>
        <s v="2018-02-02-17:00" u="1"/>
        <s v="2018-02-22-16:00" u="1"/>
        <s v="2018-03-02-17:00" u="1"/>
        <s v="2018-03-22-16:00" u="1"/>
        <s v="2018-07-02-03:00" u="1"/>
        <s v="2017-10-27-18:00" u="1"/>
        <s v="2017-10-13-14:00" u="1"/>
        <s v="2018-04-02-17:00" u="1"/>
        <s v="2016-10-04-06:00" u="1"/>
        <s v="2016-10-24-05:00" u="1"/>
        <s v="2016-10-10-01:00" u="1"/>
        <s v="2017-11-07-19:00" u="1"/>
        <s v="2017-11-27-18:00" u="1"/>
        <s v="2017-11-13-14:00" u="1"/>
        <s v="2018-05-02-17:00" u="1"/>
        <s v="2018-05-22-16:00" u="1"/>
        <s v="2016-11-04-06:00" u="1"/>
        <s v="2016-11-24-05:00" u="1"/>
        <s v="2016-11-10-01:00" u="1"/>
        <s v="2016-11-30-00:00" u="1"/>
        <s v="2017-02-08-11:00" u="1"/>
        <s v="2017-02-28-10:00" u="1"/>
        <s v="2017-12-07-19:00" u="1"/>
        <s v="2017-12-27-18:00" u="1"/>
        <s v="2017-12-13-14:00" u="1"/>
        <s v="2016-02-10-09:00" u="1"/>
        <s v="2016-12-30-00:00" u="1"/>
        <s v="2017-03-08-11:00" u="1"/>
        <s v="2017-03-28-10:00" u="1"/>
        <s v="2016-03-10-09:00" u="1"/>
        <s v="2016-03-30-08:00" u="1"/>
        <s v="2017-04-28-10:00" u="1"/>
        <s v="2016-01-19-16:00" u="1"/>
        <s v="2017-05-08-11:00" u="1"/>
        <s v="2016-05-10-09:00" u="1"/>
        <s v="2016-05-30-08:00" u="1"/>
        <s v="2016-02-19-16:00" u="1"/>
        <s v="2017-06-08-11:00" u="1"/>
        <s v="2017-06-28-10:00" u="1"/>
        <s v="2016-06-10-09:00" u="1"/>
        <s v="2016-06-30-08:00" u="1"/>
        <s v="2017-07-28-10:00" u="1"/>
        <s v="2016-04-19-16:00" u="1"/>
        <s v="2017-08-08-11:00" u="1"/>
        <s v="2017-08-28-10:00" u="1"/>
        <s v="2016-08-10-09:00" u="1"/>
        <s v="2016-08-30-08:00" u="1"/>
        <s v="2016-05-19-16:00" u="1"/>
        <s v="2017-09-08-11:00" u="1"/>
        <s v="2017-09-28-10:00" u="1"/>
        <s v="2016-01-11-21:00" u="1"/>
        <s v="2016-09-30-08:00" u="1"/>
        <s v="2016-02-11-21:00" u="1"/>
        <s v="9018-06-27-23:00" u="1"/>
        <s v="2016-07-19-16:00" u="1"/>
        <s v="2016-03-11-21:00" u="1"/>
        <s v="2016-03-31-20:00" u="1"/>
        <s v="9018-07-27-23:00" u="1"/>
        <s v="2016-08-19-16:00" u="1"/>
        <s v="2016-04-11-21:00" u="1"/>
        <s v="2016-09-19-16:00" u="1"/>
        <s v="2016-05-11-21:00" u="1"/>
        <s v="2016-05-31-20:00" u="1"/>
        <s v="2016-07-11-21:00" u="1"/>
        <s v="2016-08-11-21:00" u="1"/>
        <s v="2016-08-31-20:00" u="1"/>
        <s v="2017-10-04-06:00" u="1"/>
        <s v="2017-10-24-05:00" u="1"/>
        <s v="2017-10-10-01:00" u="1"/>
        <s v="2017-10-30-00:00" u="1"/>
        <s v="2018-01-08-11:00" u="1"/>
        <s v="2017-11-24-05:00" u="1"/>
        <s v="2017-01-10-09:00" u="1"/>
        <s v="2017-01-30-08:00" u="1"/>
        <s v="2017-11-10-01:00" u="1"/>
        <s v="2017-11-30-00:00" u="1"/>
        <s v="2018-02-08-11:00" u="1"/>
        <s v="2018-02-28-10:00" u="1"/>
        <s v="2017-12-04-06:00" u="1"/>
        <s v="2017-02-10-09:00" u="1"/>
        <s v="2018-03-08-11:00" u="1"/>
        <s v="2018-03-28-10:00" u="1"/>
        <s v="2017-03-10-09:00" u="1"/>
        <s v="2017-03-30-08:00" u="1"/>
        <s v="2016-10-21-06:00" u="1"/>
        <s v="2017-04-10-09:00" u="1"/>
        <s v="2017-01-19-16:00" u="1"/>
        <s v="2018-05-08-11:00" u="1"/>
        <s v="2018-05-28-10:00" u="1"/>
        <s v="2016-11-01-07:00" u="1"/>
        <s v="2016-11-21-06:00" u="1"/>
        <s v="2017-05-10-09:00" u="1"/>
        <s v="2017-05-30-08:00" u="1"/>
        <s v="2018-06-28-10:00" u="1"/>
        <s v="2016-02-16-03:00" u="1"/>
        <s v="2016-12-01-07:00" u="1"/>
        <s v="2016-12-21-06:00" u="1"/>
        <s v="2017-06-30-08:00" u="1"/>
        <s v="2016-03-16-03:00" u="1"/>
        <s v="2017-07-10-09:00" u="1"/>
        <s v="2017-04-19-16:00" u="1"/>
        <s v="2017-08-10-09:00" u="1"/>
        <s v="2017-08-30-08:00" u="1"/>
        <s v="2017-05-19-16:00" u="1"/>
        <s v="2017-01-11-21:00" u="1"/>
        <s v="2017-01-31-20:00" u="1"/>
        <s v="2016-05-16-03:00" u="1"/>
        <s v="2017-06-19-16:00" u="1"/>
        <s v="2016-06-16-03:00" u="1"/>
        <s v="2017-07-19-16:00" u="1"/>
        <s v="2017-03-31-20:00" u="1"/>
        <s v="2017-04-11-21:00" u="1"/>
        <s v="9018-07-24-10:00" u="1"/>
        <s v="2016-08-16-03:00" u="1"/>
        <s v="2016-11-16-23:00" u="1"/>
        <s v="2017-09-19-16:00" u="1"/>
        <s v="2017-05-11-21:00" u="1"/>
        <s v="2017-05-31-20:00" u="1"/>
        <s v="2016-09-16-03:00" u="1"/>
        <s v="2016-12-16-23:00" u="1"/>
        <s v="2017-07-11-21:00" u="1"/>
        <s v="2017-07-31-20:00" u="1"/>
        <s v="2017-08-11-21:00" u="1"/>
        <s v="2017-08-31-20:00" u="1"/>
        <s v="2017-09-11-21:00" u="1"/>
        <s v="2018-01-10-09:00" u="1"/>
        <s v="2018-01-30-08:00" u="1"/>
        <s v="2018-03-30-08:00" u="1"/>
        <s v="2018-04-10-09:00" u="1"/>
        <s v="2018-04-30-08:00" u="1"/>
        <s v="2018-01-19-16:00" u="1"/>
        <s v="2017-01-16-03:00" u="1"/>
        <s v="2017-11-01-07:00" u="1"/>
        <s v="2017-11-21-06:00" u="1"/>
        <s v="2018-05-10-09:00" u="1"/>
        <s v="2018-02-19-16:00" u="1"/>
        <s v="2017-02-16-03:00" u="1"/>
        <s v="2017-12-01-07:00" u="1"/>
        <s v="2017-12-21-06:00" u="1"/>
        <s v="2018-03-19-16:00" u="1"/>
        <s v="2017-03-16-03:00" u="1"/>
        <s v="2018-04-19-16:00" u="1"/>
        <s v="2016-10-07-01:00" u="1"/>
        <s v="2016-10-27-00:00" u="1"/>
        <s v="2018-01-11-21:00" u="1"/>
        <s v="2018-01-31-20:00" u="1"/>
        <s v="2016-01-07-09:00" u="1"/>
        <s v="2016-01-27-08:00" u="1"/>
        <s v="2016-11-07-01:00" u="1"/>
        <s v="2017-05-16-03:00" u="1"/>
        <s v="2016-12-07-01:00" u="1"/>
        <s v="2016-12-27-00:00" u="1"/>
        <s v="2017-06-16-03:00" u="1"/>
        <s v="2018-07-25-11:00" u="1"/>
        <s v="9018-06-29-06:00" u="1"/>
        <s v="2016-03-07-09:00" u="1"/>
        <s v="2017-10-16-23:00" u="1"/>
        <s v="2018-04-11-21:00" u="1"/>
        <s v="2016-04-07-09:00" u="1"/>
        <s v="2016-04-27-08:00" u="1"/>
        <s v="2017-08-16-03:00" u="1"/>
        <s v="2017-11-16-23:00" u="1"/>
        <s v="2018-05-11-21:00" u="1"/>
        <s v="2016-05-27-08:00" u="1"/>
        <s v="2016-06-07-09:00" u="1"/>
        <s v="2016-06-27-08:00" u="1"/>
        <s v="2016-07-07-09:00" u="1"/>
        <s v="2016-07-27-08:00" u="1"/>
        <s v="2016-01-08-21:00" u="1"/>
        <s v="2016-01-28-20:00" u="1"/>
        <s v="2016-09-07-09:00" u="1"/>
        <s v="2016-09-27-08:00" u="1"/>
        <s v="2016-02-08-21:00" u="1"/>
        <s v="2015-12-30-10:00" u="1"/>
        <s v="2016-03-08-21:00" u="1"/>
        <s v="2016-03-28-20:00" u="1"/>
        <s v="2016-04-08-21:00" u="1"/>
        <s v="2016-04-28-20:00" u="1"/>
        <s v="2018-01-16-03:00" u="1"/>
        <s v="2016-06-08-21:00" u="1"/>
        <s v="2016-06-28-20:00" u="1"/>
        <s v="2018-02-16-03:00" u="1"/>
        <s v="2016-07-08-21:00" u="1"/>
        <s v="2016-07-28-20:00" u="1"/>
        <s v="2018-03-16-03:00" u="1"/>
        <s v="2016-08-08-21:00" u="1"/>
        <s v="2017-10-27-00:00" u="1"/>
        <s v="2018-04-16-03:00" u="1"/>
        <s v="2016-09-08-21:00" u="1"/>
        <s v="2016-09-28-20:00" u="1"/>
        <s v="2017-01-27-08:00" u="1"/>
        <s v="2017-11-07-01:00" u="1"/>
        <s v="2017-11-27-00:00" u="1"/>
        <s v="2018-05-16-03:00" u="1"/>
        <s v="2017-02-07-09:00" u="1"/>
        <s v="2017-02-27-08:00" u="1"/>
        <s v="2017-12-07-01:00" u="1"/>
        <s v="2017-12-27-00:00" u="1"/>
        <s v="2017-03-07-09:00" u="1"/>
        <s v="2017-03-27-08:00" u="1"/>
        <s v="2016-10-18-06:00" u="1"/>
        <s v="2017-04-07-09:00" u="1"/>
        <s v="2017-04-27-08:00" u="1"/>
        <s v="2016-11-18-06:00" u="1"/>
        <s v="2017-06-07-09:00" u="1"/>
        <s v="2017-06-27-08:00" u="1"/>
        <s v="2017-07-07-09:00" u="1"/>
        <s v="2017-07-27-08:00" u="1"/>
        <s v="9018-06-26-07:00" u="1"/>
        <s v="2016-10-04-16:00" u="1"/>
        <s v="2016-10-24-15:00" u="1"/>
        <s v="2017-08-07-09:00" u="1"/>
        <s v="9018-07-26-07:00" u="1"/>
        <s v="2016-10-10-11:00" u="1"/>
        <s v="2016-11-04-16:00" u="1"/>
        <s v="2016-11-24-15:00" u="1"/>
        <s v="2017-09-07-09:00" u="1"/>
        <s v="2017-09-27-08:00" u="1"/>
        <s v="2016-11-10-11:00" u="1"/>
        <s v="2016-11-30-10:00" u="1"/>
        <s v="2017-02-08-21:00" u="1"/>
        <s v="2017-02-28-20:00" u="1"/>
        <s v="2016-02-10-19:00" u="1"/>
        <s v="2016-12-30-10:00" u="1"/>
        <s v="2017-03-08-21:00" u="1"/>
        <s v="2017-03-28-20:00" u="1"/>
        <s v="2016-03-10-19:00" u="1"/>
        <s v="2016-03-30-18:00" u="1"/>
        <s v="2017-04-28-20:00" u="1"/>
        <s v="2017-05-08-21:00" u="1"/>
        <s v="2016-05-10-19:00" u="1"/>
        <s v="2016-05-30-18:00" u="1"/>
        <s v="2017-06-08-21:00" u="1"/>
        <s v="2017-06-28-20:00" u="1"/>
        <s v="2016-06-10-19:00" u="1"/>
        <s v="2016-06-30-18:00" u="1"/>
        <s v="2017-07-28-20:00" u="1"/>
        <s v="2017-08-08-21:00" u="1"/>
        <s v="2017-08-28-20:00" u="1"/>
        <s v="2016-08-10-19:00" u="1"/>
        <s v="2016-08-30-18:00" u="1"/>
        <s v="2017-09-08-21:00" u="1"/>
        <s v="2017-09-28-20:00" u="1"/>
        <s v="2016-09-30-18:00" u="1"/>
        <s v="2018-02-07-09:00" u="1"/>
        <s v="2018-02-27-08:00" u="1"/>
        <s v="2018-03-07-09:00" u="1"/>
        <s v="2018-03-27-08:00" u="1"/>
        <s v="2017-10-18-06:00" u="1"/>
        <s v="2018-04-27-08:00" u="1"/>
        <s v="2018-05-07-09:00" u="1"/>
        <s v="2017-12-18-06:00" u="1"/>
        <s v="2018-06-27-08:00" u="1"/>
        <s v="2018-07-27-08:00" u="1"/>
        <s v="2017-10-04-16:00" u="1"/>
        <s v="2017-10-24-15:00" u="1"/>
        <s v="2017-10-10-11:00" u="1"/>
        <s v="2017-10-30-10:00" u="1"/>
        <s v="2016-10-21-02:00" u="1"/>
        <s v="2018-01-08-21:00" u="1"/>
        <s v="2017-11-24-15:00" u="1"/>
        <s v="2017-01-10-19:00" u="1"/>
        <s v="2017-01-30-18:00" u="1"/>
        <s v="2017-11-10-11:00" u="1"/>
        <s v="2017-11-30-10:00" u="1"/>
        <s v="2016-11-01-03:00" u="1"/>
        <s v="2016-11-21-02:00" u="1"/>
        <s v="2018-02-08-21:00" u="1"/>
        <s v="2018-02-28-20:00" u="1"/>
        <s v="2017-12-04-16:00" u="1"/>
        <s v="2017-02-10-19:00" u="1"/>
        <s v="2016-12-01-03:00" u="1"/>
        <s v="2016-12-21-02:00" u="1"/>
        <s v="2018-03-08-21:00" u="1"/>
        <s v="2018-03-28-20:00" u="1"/>
        <s v="2017-03-10-19:00" u="1"/>
        <s v="2017-03-30-18:00" u="1"/>
        <s v="2016-10-21-16:00" u="1"/>
        <s v="2017-04-10-19:00" u="1"/>
        <s v="2018-05-08-21:00" u="1"/>
        <s v="2018-05-28-20:00" u="1"/>
        <s v="2016-11-01-17:00" u="1"/>
        <s v="2016-11-21-16:00" u="1"/>
        <s v="2017-05-10-19:00" u="1"/>
        <s v="2017-05-30-18:00" u="1"/>
        <s v="2018-06-28-20:00" u="1"/>
        <s v="2016-02-16-13:00" u="1"/>
        <s v="2016-12-01-17:00" u="1"/>
        <s v="2016-12-21-16:00" u="1"/>
        <s v="2017-06-30-18:00" u="1"/>
        <s v="2016-03-16-13:00" u="1"/>
        <s v="2017-07-10-19:00" u="1"/>
        <s v="2017-08-10-19:00" u="1"/>
        <s v="2017-08-30-18:00" u="1"/>
        <s v="2016-05-16-13:00" u="1"/>
        <s v="2016-06-16-13:00" u="1"/>
        <s v="9018-07-24-20:00" u="1"/>
        <s v="2016-08-16-13:00" u="1"/>
        <s v="2016-09-16-13:00" u="1"/>
        <s v="2018-01-10-19:00" u="1"/>
        <s v="2018-01-30-18:00" u="1"/>
        <s v="2017-11-01-03:00" u="1"/>
        <s v="2017-11-21-02:00" u="1"/>
        <s v="2017-12-01-03:00" u="1"/>
        <s v="2017-12-21-02:00" u="1"/>
        <s v="2018-03-30-18:00" u="1"/>
        <s v="2018-07-24-09:00" u="1"/>
        <s v="2017-10-01-17:00" u="1"/>
        <s v="2018-04-10-19:00" u="1"/>
        <s v="2018-04-30-18:00" u="1"/>
        <s v="2016-10-12-08:00" u="1"/>
        <s v="2017-01-16-13:00" u="1"/>
        <s v="2017-11-01-17:00" u="1"/>
        <s v="2017-11-21-16:00" u="1"/>
        <s v="2018-05-10-19:00" u="1"/>
        <s v="2016-01-13-00:00" u="1"/>
        <s v="2017-02-16-13:00" u="1"/>
        <s v="2017-12-01-17:00" u="1"/>
        <s v="2017-12-21-16:00" u="1"/>
        <s v="2016-12-12-08:00" u="1"/>
        <s v="2017-03-16-13:00" u="1"/>
        <s v="9018-06-29-02:00" u="1"/>
        <s v="2016-10-07-11:00" u="1"/>
        <s v="2016-10-27-10:00" u="1"/>
        <s v="2016-04-13-00:00" u="1"/>
        <s v="2016-01-07-19:00" u="1"/>
        <s v="2016-01-27-18:00" u="1"/>
        <s v="2016-11-07-11:00" u="1"/>
        <s v="2017-05-16-13:00" u="1"/>
        <s v="2016-05-13-00:00" u="1"/>
        <s v="2016-12-07-11:00" u="1"/>
        <s v="2016-12-27-10:00" u="1"/>
        <s v="2017-06-16-13:00" u="1"/>
        <s v="2016-06-13-00:00" u="1"/>
        <s v="2018-07-25-21:00" u="1"/>
        <s v="9018-06-29-16:00" u="1"/>
        <s v="2016-03-07-19:00" u="1"/>
        <s v="2016-07-13-00:00" u="1"/>
        <s v="2016-04-07-19:00" u="1"/>
        <s v="2016-04-27-18:00" u="1"/>
        <s v="2017-08-16-13:00" u="1"/>
        <s v="2016-05-27-18:00" u="1"/>
        <s v="2016-09-13-00:00" u="1"/>
        <s v="2016-06-07-19:00" u="1"/>
        <s v="2016-06-27-18:00" u="1"/>
        <s v="2016-07-07-19:00" u="1"/>
        <s v="2016-07-27-18:00" u="1"/>
        <s v="2016-09-07-19:00" u="1"/>
        <s v="2016-09-27-18:00" u="1"/>
        <s v="2015-12-30-20:00" u="1"/>
        <s v="2017-10-12-08:00" u="1"/>
        <s v="2018-01-16-13:00" u="1"/>
        <s v="2017-01-13-00:00" u="1"/>
        <s v="2018-02-16-13:00" u="1"/>
        <s v="2017-02-13-00:00" u="1"/>
        <s v="2017-12-12-08:00" u="1"/>
        <s v="2018-03-16-13:00" u="1"/>
        <s v="2017-03-13-00:00" u="1"/>
        <s v="2017-10-27-10:00" u="1"/>
        <s v="2018-04-16-13:00" u="1"/>
        <s v="2017-04-13-00:00" u="1"/>
        <s v="2017-01-27-18:00" u="1"/>
        <s v="2017-11-07-11:00" u="1"/>
        <s v="2017-11-27-10:00" u="1"/>
        <s v="2018-05-16-13:00" u="1"/>
        <s v="2016-01-04-06:00" u="1"/>
        <s v="2017-02-07-19:00" u="1"/>
        <s v="2017-02-27-18:00" u="1"/>
        <s v="2017-12-07-11:00" u="1"/>
        <s v="2017-12-27-10:00" u="1"/>
        <s v="2016-02-04-06:00" u="1"/>
        <s v="2016-02-24-05:00" u="1"/>
        <s v="2017-06-13-00:00" u="1"/>
        <s v="2017-03-07-19:00" u="1"/>
        <s v="2017-03-27-18:00" u="1"/>
        <s v="2016-03-04-06:00" u="1"/>
        <s v="2016-03-24-05:00" u="1"/>
        <s v="2017-07-13-00:00" u="1"/>
        <s v="2016-10-18-16:00" u="1"/>
        <s v="2017-04-07-19:00" u="1"/>
        <s v="2017-04-27-18:00" u="1"/>
        <s v="9018-07-26-03:00" u="1"/>
        <s v="2016-04-04-06:00" u="1"/>
        <s v="2016-11-18-16:00" u="1"/>
        <s v="2016-05-04-06:00" u="1"/>
        <s v="2016-05-24-05:00" u="1"/>
        <s v="2017-09-13-00:00" u="1"/>
        <s v="2017-06-07-19:00" u="1"/>
        <s v="2017-06-27-18:00" u="1"/>
        <s v="2016-06-24-05:00" u="1"/>
        <s v="2017-07-07-19:00" u="1"/>
        <s v="2017-07-27-18:00" u="1"/>
        <s v="9018-06-26-17:00" u="1"/>
        <s v="2016-07-04-06:00" u="1"/>
        <s v="2017-08-07-19:00" u="1"/>
        <s v="9018-07-26-17:00" u="1"/>
        <s v="2016-10-10-21:00" u="1"/>
        <s v="2016-08-04-06:00" u="1"/>
        <s v="2016-08-24-05:00" u="1"/>
        <s v="2017-09-07-19:00" u="1"/>
        <s v="2017-09-27-18:00" u="1"/>
        <s v="2016-11-10-21:00" u="1"/>
        <s v="2016-11-30-20:00" u="1"/>
        <s v="2016-12-30-20:00" u="1"/>
        <s v="2018-02-13-00:00" u="1"/>
        <s v="2018-03-13-00:00" u="1"/>
        <s v="2018-04-13-00:00" u="1"/>
        <s v="2017-01-04-06:00" u="1"/>
        <s v="2017-01-24-05:00" u="1"/>
        <s v="2018-02-07-19:00" u="1"/>
        <s v="2018-02-27-18:00" u="1"/>
        <s v="2018-06-27-04:00" u="1"/>
        <s v="2017-02-24-05:00" u="1"/>
        <s v="2018-03-07-19:00" u="1"/>
        <s v="2018-03-27-18:00" u="1"/>
        <s v="2018-07-27-04:00" u="1"/>
        <s v="2017-03-24-05:00" u="1"/>
        <s v="2017-10-18-16:00" u="1"/>
        <s v="2018-04-27-18:00" u="1"/>
        <s v="2017-04-04-06:00" u="1"/>
        <s v="2017-04-24-05:00" u="1"/>
        <s v="2018-05-07-19:00" u="1"/>
        <s v="2016-11-15-03:00" u="1"/>
        <s v="2017-05-04-06:00" u="1"/>
        <s v="2017-05-24-05:00" u="1"/>
        <s v="2017-12-18-16:00" u="1"/>
        <s v="2018-06-27-18:00" u="1"/>
        <s v="2016-12-15-03:00" u="1"/>
        <s v="2018-07-27-18:00" u="1"/>
        <s v="2017-07-04-06:00" u="1"/>
        <s v="2017-07-24-05:00" u="1"/>
        <s v="2017-10-10-21:00" u="1"/>
        <s v="2017-10-30-20:00" u="1"/>
        <s v="2016-10-21-12:00" u="1"/>
        <s v="2017-08-04-06:00" u="1"/>
        <s v="2017-08-24-05:00" u="1"/>
        <s v="2017-11-10-21:00" u="1"/>
        <s v="2017-11-30-20:00" u="1"/>
        <s v="2016-11-01-13:00" u="1"/>
        <s v="2016-11-21-12:00" u="1"/>
        <s v="2017-09-04-06:00" u="1"/>
        <s v="2016-12-01-13:00" u="1"/>
        <s v="2016-12-21-12:00" u="1"/>
        <s v="2016-02-16-23:00" u="1"/>
        <s v="2016-03-16-23:00" u="1"/>
        <s v="2016-05-16-23:00" u="1"/>
        <s v="2018-01-04-06:00" u="1"/>
        <s v="2018-01-24-05:00" u="1"/>
        <s v="2016-06-16-23:00" u="1"/>
        <s v="2016-08-16-23:00" u="1"/>
        <s v="2018-04-04-06:00" u="1"/>
        <s v="2018-04-24-05:00" u="1"/>
        <s v="2016-09-16-23:00" u="1"/>
        <s v="2017-11-15-03:00" u="1"/>
        <s v="2018-05-04-06:00" u="1"/>
        <s v="2018-05-24-05:00" u="1"/>
        <s v="2017-12-15-03:00" u="1"/>
        <s v="2018-07-24-05:00" u="1"/>
        <s v="2018-07-30-00:00" u="1"/>
        <s v="2016-10-06-09:00" u="1"/>
        <s v="2016-10-26-08:00" u="1"/>
        <s v="2016-01-07-01:00" u="1"/>
        <s v="2016-01-27-00:00" u="1"/>
        <s v="2017-11-01-13:00" u="1"/>
        <s v="2017-11-21-12:00" u="1"/>
        <s v="2016-12-06-09:00" u="1"/>
        <s v="2017-12-01-13:00" u="1"/>
        <s v="2017-12-21-12:00" u="1"/>
        <s v="2018-07-24-19:00" u="1"/>
        <s v="2016-03-07-01:00" u="1"/>
        <s v="2016-04-07-01:00" u="1"/>
        <s v="2016-04-27-00:00" u="1"/>
        <s v="2016-10-12-18:00" u="1"/>
        <s v="2017-01-16-23:00" u="1"/>
        <s v="2016-01-13-10:00" u="1"/>
        <s v="2016-05-27-00:00" u="1"/>
        <s v="2017-02-16-23:00" u="1"/>
        <s v="2016-06-07-01:00" u="1"/>
        <s v="2016-06-27-00:00" u="1"/>
        <s v="2016-12-12-18:00" u="1"/>
        <s v="2017-03-16-23:00" u="1"/>
        <s v="9018-06-29-12:00" u="1"/>
        <s v="2016-07-07-01:00" u="1"/>
        <s v="2016-07-27-00:00" u="1"/>
        <s v="2016-10-07-21:00" u="1"/>
        <s v="2016-10-27-20:00" u="1"/>
        <s v="2016-04-13-10:00" u="1"/>
        <s v="2016-11-07-21:00" u="1"/>
        <s v="2017-05-16-23:00" u="1"/>
        <s v="2016-05-13-10:00" u="1"/>
        <s v="2016-09-07-01:00" u="1"/>
        <s v="2016-09-27-00:00" u="1"/>
        <s v="2016-12-07-21:00" u="1"/>
        <s v="2016-12-27-20:00" u="1"/>
        <s v="2017-06-16-23:00" u="1"/>
        <s v="2016-06-13-10:00" u="1"/>
        <s v="2016-07-13-10:00" u="1"/>
        <s v="2017-08-16-23:00" u="1"/>
        <s v="2016-09-13-10:00" u="1"/>
        <s v="2017-10-06-09:00" u="1"/>
        <s v="2017-10-26-08:00" u="1"/>
        <s v="2017-01-27-00:00" u="1"/>
        <s v="2017-11-06-09:00" u="1"/>
        <s v="2017-02-07-01:00" u="1"/>
        <s v="2017-02-27-00:00" u="1"/>
        <s v="2017-12-06-09:00" u="1"/>
        <s v="2017-03-07-01:00" u="1"/>
        <s v="2017-03-27-00:00" u="1"/>
        <s v="2017-04-07-01:00" u="1"/>
        <s v="2017-04-27-00:00" u="1"/>
        <s v="2017-10-12-18:00" u="1"/>
        <s v="2018-01-16-23:00" u="1"/>
        <s v="2016-01-18-06:00" u="1"/>
        <s v="2017-01-13-10:00" u="1"/>
        <s v="2018-02-16-23:00" u="1"/>
        <s v="2016-02-18-06:00" u="1"/>
        <s v="2017-02-13-10:00" u="1"/>
        <s v="2017-06-07-01:00" u="1"/>
        <s v="2017-06-27-00:00" u="1"/>
        <s v="2017-12-12-18:00" u="1"/>
        <s v="2016-03-18-06:00" u="1"/>
        <s v="2017-03-13-10:00" u="1"/>
        <s v="2017-07-07-01:00" u="1"/>
        <s v="2017-07-27-00:00" u="1"/>
        <s v="2017-10-27-20:00" u="1"/>
        <s v="2018-04-16-23:00" u="1"/>
        <s v="2016-04-18-06:00" u="1"/>
        <s v="2017-04-13-10:00" u="1"/>
        <s v="2017-08-07-01:00" u="1"/>
        <s v="2017-11-07-21:00" u="1"/>
        <s v="2017-11-27-20:00" u="1"/>
        <s v="2018-05-16-23:00" u="1"/>
        <s v="2016-01-04-16:00" u="1"/>
        <s v="2016-05-18-06:00" u="1"/>
        <s v="2017-09-07-01:00" u="1"/>
        <s v="2017-09-27-00:00" u="1"/>
        <s v="2017-12-07-21:00" u="1"/>
        <s v="2017-12-27-20:00" u="1"/>
        <s v="2015-12-29-03:00" u="1"/>
        <s v="2016-02-04-16:00" u="1"/>
        <s v="2016-02-24-15:00" u="1"/>
        <s v="2017-06-13-10:00" u="1"/>
        <s v="9018-06-26-13:00" u="1"/>
        <s v="2016-03-04-16:00" u="1"/>
        <s v="2016-03-24-15:00" u="1"/>
        <s v="2016-07-18-06:00" u="1"/>
        <s v="2017-07-13-10:00" u="1"/>
        <s v="9018-07-26-13:00" u="1"/>
        <s v="2016-04-04-16:00" u="1"/>
        <s v="2016-08-18-06:00" u="1"/>
        <s v="2016-05-04-16:00" u="1"/>
        <s v="2016-05-24-15:00" u="1"/>
        <s v="2017-09-13-10:00" u="1"/>
        <s v="2016-06-24-15:00" u="1"/>
        <s v="2016-07-04-16:00" u="1"/>
        <s v="2016-08-04-16:00" u="1"/>
        <s v="2016-08-24-15:00" u="1"/>
        <s v="2018-02-07-01:00" u="1"/>
        <s v="2018-02-27-00:00" u="1"/>
        <s v="2018-03-07-01:00" u="1"/>
        <s v="2018-03-27-00:00" u="1"/>
        <s v="2018-04-27-00:00" u="1"/>
        <s v="2017-01-18-06:00" u="1"/>
        <s v="2018-05-07-01:00" u="1"/>
        <s v="2018-02-13-10:00" u="1"/>
        <s v="2018-06-27-00:00" u="1"/>
        <s v="2018-03-13-10:00" u="1"/>
        <s v="2018-07-27-00:00" u="1"/>
        <s v="2017-04-18-06:00" u="1"/>
        <s v="2018-04-13-10:00" u="1"/>
        <s v="2016-11-09-04:00" u="1"/>
        <s v="2016-11-29-03:00" u="1"/>
        <s v="2017-01-04-16:00" u="1"/>
        <s v="2017-01-24-15:00" u="1"/>
        <s v="2017-05-18-06:00" u="1"/>
        <s v="2016-01-21-02:00" u="1"/>
        <s v="2018-06-27-14:00" u="1"/>
        <s v="2016-12-09-04:00" u="1"/>
        <s v="2016-12-29-03:00" u="1"/>
        <s v="2017-02-24-15:00" u="1"/>
        <s v="2016-02-01-03:00" u="1"/>
        <s v="2018-07-27-14:00" u="1"/>
        <s v="2017-03-24-15:00" u="1"/>
        <s v="2017-07-18-06:00" u="1"/>
        <s v="2016-03-01-03:00" u="1"/>
        <s v="2016-03-21-02:00" u="1"/>
        <s v="2017-04-04-16:00" u="1"/>
        <s v="2017-04-24-15:00" u="1"/>
        <s v="2017-08-18-06:00" u="1"/>
        <s v="2016-04-01-03:00" u="1"/>
        <s v="2016-04-21-02:00" u="1"/>
        <s v="2016-11-15-13:00" u="1"/>
        <s v="2017-05-04-16:00" u="1"/>
        <s v="2017-05-24-15:00" u="1"/>
        <s v="2017-09-18-06:00" u="1"/>
        <s v="2016-12-15-13:00" u="1"/>
        <s v="2016-06-01-03:00" u="1"/>
        <s v="2016-06-21-02:00" u="1"/>
        <s v="2017-07-04-16:00" u="1"/>
        <s v="2017-07-24-15:00" u="1"/>
        <s v="2016-07-01-03:00" u="1"/>
        <s v="2016-07-21-02:00" u="1"/>
        <s v="2016-10-21-22:00" u="1"/>
        <s v="2017-08-04-16:00" u="1"/>
        <s v="2017-08-24-15:00" u="1"/>
        <s v="2016-08-01-03:00" u="1"/>
        <s v="2016-11-01-23:00" u="1"/>
        <s v="2016-11-21-22:00" u="1"/>
        <s v="2017-09-04-16:00" u="1"/>
        <s v="2016-09-01-03:00" u="1"/>
        <s v="2016-09-21-02:00" u="1"/>
        <s v="2016-12-01-23:00" u="1"/>
        <s v="2016-12-21-22:00" u="1"/>
        <s v="2018-01-18-06:00" u="1"/>
        <s v="2017-10-09-04:00" u="1"/>
        <s v="2018-04-18-06:00" u="1"/>
        <s v="2017-11-09-04:00" u="1"/>
        <s v="2017-11-29-03:00" u="1"/>
        <s v="2018-01-04-16:00" u="1"/>
        <s v="2018-01-24-15:00" u="1"/>
        <s v="2018-05-18-06:00" u="1"/>
        <s v="2017-12-29-03:00" u="1"/>
        <s v="2017-02-01-03:00" u="1"/>
        <s v="2017-02-21-02:00" u="1"/>
        <s v="2017-03-01-03:00" u="1"/>
        <s v="2017-03-21-02:00" u="1"/>
        <s v="2018-04-04-16:00" u="1"/>
        <s v="2018-04-24-15:00" u="1"/>
        <s v="2016-10-12-00:00" u="1"/>
        <s v="2017-04-21-02:00" u="1"/>
        <s v="2017-11-15-13:00" u="1"/>
        <s v="2018-05-04-16:00" u="1"/>
        <s v="2018-05-24-15:00" u="1"/>
        <s v="2016-01-12-08:00" u="1"/>
        <s v="2017-05-01-03:00" u="1"/>
        <s v="2017-12-15-13:00" u="1"/>
        <s v="2016-02-12-08:00" u="1"/>
        <s v="2016-12-12-00:00" u="1"/>
        <s v="2017-06-01-03:00" u="1"/>
        <s v="2017-06-21-02:00" u="1"/>
        <s v="2018-07-24-15:00" u="1"/>
        <s v="2017-07-21-02:00" u="1"/>
        <s v="2016-10-06-19:00" u="1"/>
        <s v="2016-10-26-18:00" u="1"/>
        <s v="2016-04-12-08:00" u="1"/>
        <s v="2017-08-01-03:00" u="1"/>
        <s v="2017-08-21-02:00" u="1"/>
        <s v="2016-01-07-11:00" u="1"/>
        <s v="2016-01-27-10:00" u="1"/>
        <s v="2017-11-01-23:00" u="1"/>
        <s v="2017-11-21-22:00" u="1"/>
        <s v="2016-05-12-08:00" u="1"/>
        <s v="2017-09-01-03:00" u="1"/>
        <s v="2017-09-21-02:00" u="1"/>
        <s v="2016-12-06-19:00" u="1"/>
        <s v="2016-12-26-18:00" u="1"/>
        <s v="2017-12-01-23:00" u="1"/>
        <s v="2017-12-21-22:00" u="1"/>
        <s v="2016-03-07-11:00" u="1"/>
        <s v="2016-07-12-08:00" u="1"/>
        <s v="2016-04-07-11:00" u="1"/>
        <s v="2016-04-27-10:00" u="1"/>
        <s v="2016-08-12-08:00" u="1"/>
        <s v="2016-01-13-20:00" u="1"/>
        <s v="2016-05-27-10:00" u="1"/>
        <s v="2016-09-12-08:00" u="1"/>
        <s v="2016-06-07-11:00" u="1"/>
        <s v="2016-06-27-10:00" u="1"/>
        <s v="9018-06-29-22:00" u="1"/>
        <s v="2016-07-07-11:00" u="1"/>
        <s v="2016-07-27-10:00" u="1"/>
        <s v="2016-04-13-20:00" u="1"/>
        <s v="2016-05-13-20:00" u="1"/>
        <s v="2016-09-07-11:00" u="1"/>
        <s v="2016-09-27-10:00" u="1"/>
        <s v="2016-06-13-20:00" u="1"/>
        <s v="2018-02-01-03:00" u="1"/>
        <s v="2018-02-21-02:00" u="1"/>
        <s v="2016-07-13-20:00" u="1"/>
        <s v="2018-03-01-03:00" u="1"/>
        <s v="2018-03-21-02:00" u="1"/>
        <s v="2017-10-12-00:00" u="1"/>
        <s v="2016-09-13-20:00" u="1"/>
        <s v="2017-01-12-08:00" u="1"/>
        <s v="2018-05-01-03:00" u="1"/>
        <s v="2018-05-21-02:00" u="1"/>
        <s v="2017-12-12-00:00" u="1"/>
        <s v="2017-10-06-19:00" u="1"/>
        <s v="2017-10-26-18:00" u="1"/>
        <s v="2016-10-03-06:00" u="1"/>
        <s v="2017-04-12-08:00" u="1"/>
        <s v="2017-01-27-10:00" u="1"/>
        <s v="2017-11-06-19:00" u="1"/>
        <s v="2016-11-03-06:00" u="1"/>
        <s v="2016-11-23-05:00" u="1"/>
        <s v="2017-05-12-08:00" u="1"/>
        <s v="2017-02-07-11:00" u="1"/>
        <s v="2017-02-27-10:00" u="1"/>
        <s v="2017-12-06-19:00" u="1"/>
        <s v="2017-12-26-18:00" u="1"/>
        <s v="2016-12-23-05:00" u="1"/>
        <s v="2017-06-12-08:00" u="1"/>
        <s v="2017-03-07-11:00" u="1"/>
        <s v="2017-03-27-10:00" u="1"/>
        <s v="2017-07-12-08:00" u="1"/>
        <s v="2017-04-07-11:00" u="1"/>
        <s v="2017-04-27-10:00" u="1"/>
        <s v="2016-01-18-16:00" u="1"/>
        <s v="2017-01-13-20:00" u="1"/>
        <s v="2017-09-12-08:00" u="1"/>
        <s v="2016-02-18-16:00" u="1"/>
        <s v="2017-02-13-20:00" u="1"/>
        <s v="2017-06-07-11:00" u="1"/>
        <s v="2017-06-27-10:00" u="1"/>
        <s v="2016-03-18-16:00" u="1"/>
        <s v="2017-03-13-20:00" u="1"/>
        <s v="2017-07-07-11:00" u="1"/>
        <s v="2017-07-27-10:00" u="1"/>
        <s v="2016-04-18-16:00" u="1"/>
        <s v="2017-04-13-20:00" u="1"/>
        <s v="2017-08-07-11:00" u="1"/>
        <s v="2016-05-18-16:00" u="1"/>
        <s v="2017-09-07-11:00" u="1"/>
        <s v="2017-09-27-10:00" u="1"/>
        <s v="2015-12-29-13:00" u="1"/>
        <s v="2017-06-13-20:00" u="1"/>
        <s v="9018-06-26-23:00" u="1"/>
        <s v="2016-07-18-16:00" u="1"/>
        <s v="2017-07-13-20:00" u="1"/>
        <s v="9018-07-26-23:00" u="1"/>
        <s v="2016-08-18-16:00" u="1"/>
        <s v="2017-09-13-20:00" u="1"/>
        <s v="2018-01-12-08:00" u="1"/>
        <s v="2018-02-12-08:00" u="1"/>
        <s v="2018-03-12-08:00" u="1"/>
        <s v="2017-10-03-06:00" u="1"/>
        <s v="2017-10-23-05:00" u="1"/>
        <s v="2018-04-12-08:00" u="1"/>
        <s v="2017-11-03-06:00" u="1"/>
        <s v="2017-11-23-05:00" u="1"/>
        <s v="2018-02-07-11:00" u="1"/>
        <s v="2018-02-27-10:00" u="1"/>
        <s v="2018-03-07-11:00" u="1"/>
        <s v="2018-03-27-10:00" u="1"/>
        <s v="2018-04-27-10:00" u="1"/>
        <s v="2017-01-18-16:00" u="1"/>
        <s v="2018-05-07-11:00" u="1"/>
        <s v="2016-01-15-03:00" u="1"/>
        <s v="2018-02-13-20:00" u="1"/>
        <s v="2018-06-27-10:00" u="1"/>
        <s v="2016-02-15-03:00" u="1"/>
        <s v="2018-03-13-20:00" u="1"/>
        <s v="2018-07-27-10:00" u="1"/>
        <s v="2016-03-15-03:00" u="1"/>
        <s v="2017-04-18-16:00" u="1"/>
        <s v="2018-04-13-20:00" u="1"/>
        <s v="2016-04-15-03:00" u="1"/>
        <s v="2016-11-09-14:00" u="1"/>
        <s v="2016-11-29-13:00" u="1"/>
        <s v="2017-05-18-16:00" u="1"/>
        <s v="2016-01-21-12:00" u="1"/>
        <s v="2016-12-09-14:00" u="1"/>
        <s v="2016-12-29-13:00" u="1"/>
        <s v="2016-02-01-13:00" u="1"/>
        <s v="2016-06-15-03:00" u="1"/>
        <s v="2017-07-18-16:00" u="1"/>
        <s v="2016-03-01-13:00" u="1"/>
        <s v="2016-03-21-12:00" u="1"/>
        <s v="2016-07-15-03:00" u="1"/>
        <s v="2017-08-18-16:00" u="1"/>
        <s v="2016-04-01-13:00" u="1"/>
        <s v="2016-04-21-12:00" u="1"/>
        <s v="2016-08-15-03:00" u="1"/>
        <s v="2016-11-15-23:00" u="1"/>
        <s v="2017-09-18-16:00" u="1"/>
        <s v="2016-09-15-03:00" u="1"/>
        <s v="2016-12-15-23:00" u="1"/>
        <s v="2016-06-01-13:00" u="1"/>
        <s v="2016-06-21-12:00" u="1"/>
        <s v="2016-07-01-13:00" u="1"/>
        <s v="2016-07-21-12:00" u="1"/>
        <s v="2016-08-01-13:00" u="1"/>
        <s v="2016-09-01-13:00" u="1"/>
        <s v="2016-09-21-12:00" u="1"/>
        <s v="2018-01-18-16:00" u="1"/>
        <s v="2017-02-15-03:00" u="1"/>
        <s v="2017-03-15-03:00" u="1"/>
        <s v="2017-10-09-14:00" u="1"/>
        <s v="2018-04-18-16:00" u="1"/>
        <s v="2016-10-06-01:00" u="1"/>
        <s v="2016-10-26-00:00" u="1"/>
        <s v="2017-11-09-14:00" u="1"/>
        <s v="2017-11-29-13:00" u="1"/>
        <s v="2018-05-18-16:00" u="1"/>
        <s v="2016-01-06-09:00" u="1"/>
        <s v="2016-01-26-08:00" u="1"/>
        <s v="2017-05-15-03:00" u="1"/>
        <s v="2017-12-29-13:00" u="1"/>
        <s v="2016-02-26-08:00" u="1"/>
        <s v="2016-12-06-01:00" u="1"/>
        <s v="2017-02-01-13:00" u="1"/>
        <s v="2017-02-21-12:00" u="1"/>
        <s v="2017-06-15-03:00" u="1"/>
        <s v="2018-07-24-11:00" u="1"/>
        <s v="9018-06-28-06:00" u="1"/>
        <s v="2017-03-01-13:00" u="1"/>
        <s v="2017-03-21-12:00" u="1"/>
        <s v="2016-04-06-09:00" u="1"/>
        <s v="2016-04-26-08:00" u="1"/>
        <s v="2016-10-12-10:00" u="1"/>
        <s v="2017-04-21-12:00" u="1"/>
        <s v="2017-08-15-03:00" u="1"/>
        <s v="2017-11-15-23:00" u="1"/>
        <s v="2016-01-12-18:00" u="1"/>
        <s v="2016-05-06-09:00" u="1"/>
        <s v="2016-05-26-08:00" u="1"/>
        <s v="2017-05-01-13:00" u="1"/>
        <s v="2017-09-15-03:00" u="1"/>
        <s v="2017-12-15-23:00" u="1"/>
        <s v="2016-02-12-18:00" u="1"/>
        <s v="2016-06-06-09:00" u="1"/>
        <s v="2016-12-12-10:00" u="1"/>
        <s v="2017-06-01-13:00" u="1"/>
        <s v="2017-06-21-12:00" u="1"/>
        <s v="2016-07-06-09:00" u="1"/>
        <s v="2016-07-26-08:00" u="1"/>
        <s v="2017-07-21-12:00" u="1"/>
        <s v="2016-04-12-18:00" u="1"/>
        <s v="2016-08-26-08:00" u="1"/>
        <s v="2017-08-01-13:00" u="1"/>
        <s v="2017-08-21-12:00" u="1"/>
        <s v="2016-01-07-21:00" u="1"/>
        <s v="2016-01-27-20:00" u="1"/>
        <s v="2016-05-12-18:00" u="1"/>
        <s v="2016-09-06-09:00" u="1"/>
        <s v="2016-09-26-08:00" u="1"/>
        <s v="2017-09-01-13:00" u="1"/>
        <s v="2017-09-21-12:00" u="1"/>
        <s v="2016-03-07-21:00" u="1"/>
        <s v="2016-07-12-18:00" u="1"/>
        <s v="2016-04-07-21:00" u="1"/>
        <s v="2016-04-27-20:00" u="1"/>
        <s v="2016-08-12-18:00" u="1"/>
        <s v="2016-05-27-20:00" u="1"/>
        <s v="2016-09-12-18:00" u="1"/>
        <s v="2018-01-15-03:00" u="1"/>
        <s v="2016-06-07-21:00" u="1"/>
        <s v="2016-06-27-20:00" u="1"/>
        <s v="2018-02-15-03:00" u="1"/>
        <s v="2016-07-07-21:00" u="1"/>
        <s v="2016-07-27-20:00" u="1"/>
        <s v="2018-03-15-03:00" u="1"/>
        <s v="2017-10-06-01:00" u="1"/>
        <s v="2017-10-26-00:00" u="1"/>
        <s v="2016-09-07-21:00" u="1"/>
        <s v="2016-09-27-20:00" u="1"/>
        <s v="2017-01-06-09:00" u="1"/>
        <s v="2017-01-26-08:00" u="1"/>
        <s v="2017-11-06-01:00" u="1"/>
        <s v="2018-05-15-03:00" u="1"/>
        <s v="2018-06-29-07:00" u="1"/>
        <s v="2017-02-06-09:00" u="1"/>
        <s v="2017-12-06-01:00" u="1"/>
        <s v="2018-02-01-13:00" u="1"/>
        <s v="2018-02-21-12:00" u="1"/>
        <s v="2017-03-06-09:00" u="1"/>
        <s v="2018-03-01-13:00" u="1"/>
        <s v="2018-03-21-12:00" u="1"/>
        <s v="2016-10-17-06:00" u="1"/>
        <s v="2017-04-06-09:00" u="1"/>
        <s v="2017-04-26-08:00" u="1"/>
        <s v="2017-10-12-10:00" u="1"/>
        <s v="2016-11-17-06:00" u="1"/>
        <s v="2017-01-12-18:00" u="1"/>
        <s v="2017-05-26-08:00" u="1"/>
        <s v="2018-05-01-13:00" u="1"/>
        <s v="2018-05-21-12:00" u="1"/>
        <s v="2017-06-06-09:00" u="1"/>
        <s v="2017-06-26-08:00" u="1"/>
        <s v="2017-12-12-10:00" u="1"/>
        <s v="2017-07-06-09:00" u="1"/>
        <s v="2017-07-26-08:00" u="1"/>
        <s v="2016-10-03-16:00" u="1"/>
        <s v="2017-04-12-18:00" u="1"/>
        <s v="9018-07-25-07:00" u="1"/>
        <s v="2017-01-27-20:00" u="1"/>
        <s v="2016-11-03-16:00" u="1"/>
        <s v="2016-11-23-15:00" u="1"/>
        <s v="2017-05-12-18:00" u="1"/>
        <s v="2017-09-06-09:00" u="1"/>
        <s v="2017-09-26-08:00" u="1"/>
        <s v="2017-02-07-21:00" u="1"/>
        <s v="2017-02-27-20:00" u="1"/>
        <s v="2016-12-23-15:00" u="1"/>
        <s v="2017-06-12-18:00" u="1"/>
        <s v="2017-03-07-21:00" u="1"/>
        <s v="2017-03-27-20:00" u="1"/>
        <s v="2017-07-12-18:00" u="1"/>
        <s v="2017-04-07-21:00" u="1"/>
        <s v="2017-04-27-20:00" u="1"/>
        <s v="2017-09-12-18:00" u="1"/>
        <s v="2017-06-07-21:00" u="1"/>
        <s v="2017-06-27-20:00" u="1"/>
        <s v="2017-07-07-21:00" u="1"/>
        <s v="2017-07-27-20:00" u="1"/>
        <s v="2017-08-07-21:00" u="1"/>
        <s v="2017-09-07-21:00" u="1"/>
        <s v="2017-09-27-20:00" u="1"/>
        <s v="2018-01-26-08:00" u="1"/>
        <s v="2015-12-29-23:00" u="1"/>
        <s v="2018-02-06-09:00" u="1"/>
        <s v="2018-02-26-08:00" u="1"/>
        <s v="2018-03-06-09:00" u="1"/>
        <s v="2018-03-26-08:00" u="1"/>
        <s v="2017-10-17-06:00" u="1"/>
        <s v="2018-04-06-09:00" u="1"/>
        <s v="2018-04-26-08:00" u="1"/>
        <s v="2017-11-17-06:00" u="1"/>
        <s v="2018-01-12-18:00" u="1"/>
        <s v="2018-02-12-18:00" u="1"/>
        <s v="2018-06-26-08:00" u="1"/>
        <s v="2018-03-12-18:00" u="1"/>
        <s v="2018-07-26-08:00" u="1"/>
        <s v="2017-10-03-16:00" u="1"/>
        <s v="2017-10-23-15:00" u="1"/>
        <s v="2018-04-12-18:00" u="1"/>
        <s v="2016-10-20-02:00" u="1"/>
        <s v="2017-11-03-16:00" u="1"/>
        <s v="2017-11-23-15:00" u="1"/>
        <s v="2018-02-07-21:00" u="1"/>
        <s v="2018-02-27-20:00" u="1"/>
        <s v="2016-12-20-02:00" u="1"/>
        <s v="2018-03-07-21:00" u="1"/>
        <s v="2018-03-27-20:00" u="1"/>
        <s v="2018-04-27-20:00" u="1"/>
        <s v="2018-05-07-21:00" u="1"/>
        <s v="2016-01-15-13:00" u="1"/>
        <s v="2018-06-27-20:00" u="1"/>
        <s v="2016-02-15-13:00" u="1"/>
        <s v="2015-12-31-07:00" u="1"/>
        <s v="2018-07-27-20:00" u="1"/>
        <s v="2016-03-15-13:00" u="1"/>
        <s v="2016-04-15-13:00" u="1"/>
        <s v="2016-11-29-23:00" u="1"/>
        <s v="2016-01-21-22:00" u="1"/>
        <s v="2016-12-29-23:00" u="1"/>
        <s v="2016-02-01-23:00" u="1"/>
        <s v="2016-06-15-13:00" u="1"/>
        <s v="2016-03-01-23:00" u="1"/>
        <s v="2016-03-21-22:00" u="1"/>
        <s v="2016-07-15-13:00" u="1"/>
        <s v="2016-04-01-23:00" u="1"/>
        <s v="2016-04-21-22:00" u="1"/>
        <s v="2016-08-15-13:00" u="1"/>
        <s v="2016-09-15-13:00" u="1"/>
        <s v="2016-06-01-23:00" u="1"/>
        <s v="2016-06-21-22:00" u="1"/>
        <s v="2016-07-01-23:00" u="1"/>
        <s v="2016-07-21-22:00" u="1"/>
        <s v="2016-08-01-23:00" u="1"/>
        <s v="2017-10-20-02:00" u="1"/>
        <s v="2016-09-01-23:00" u="1"/>
        <s v="2016-09-21-22:00" u="1"/>
        <s v="2017-11-20-02:00" u="1"/>
        <s v="2017-12-20-02:00" u="1"/>
        <s v="2016-10-11-08:00" u="1"/>
        <s v="2016-10-31-07:00" u="1"/>
        <s v="2016-01-12-00:00" u="1"/>
        <s v="2016-11-11-08:00" u="1"/>
        <s v="2017-02-15-13:00" u="1"/>
        <s v="2016-02-12-00:00" u="1"/>
        <s v="2017-03-15-13:00" u="1"/>
        <s v="9018-06-28-02:00" u="1"/>
        <s v="2017-10-29-23:00" u="1"/>
        <s v="2016-10-06-11:00" u="1"/>
        <s v="2016-10-26-10:00" u="1"/>
        <s v="2016-04-12-00:00" u="1"/>
        <s v="2017-11-29-23:00" u="1"/>
        <s v="2016-01-06-19:00" u="1"/>
        <s v="2016-01-26-18:00" u="1"/>
        <s v="2017-05-15-13:00" u="1"/>
        <s v="2016-05-12-00:00" u="1"/>
        <s v="2017-12-29-23:00" u="1"/>
        <s v="2016-02-26-18:00" u="1"/>
        <s v="2016-12-06-11:00" u="1"/>
        <s v="2016-12-26-10:00" u="1"/>
        <s v="2017-02-01-23:00" u="1"/>
        <s v="2017-02-21-22:00" u="1"/>
        <s v="2017-06-15-13:00" u="1"/>
        <s v="2018-07-24-21:00" u="1"/>
        <s v="9018-06-28-16:00" u="1"/>
        <s v="2017-03-01-23:00" u="1"/>
        <s v="2017-03-21-22:00" u="1"/>
        <s v="2016-07-12-00:00" u="1"/>
        <s v="2016-04-06-19:00" u="1"/>
        <s v="2016-04-26-18:00" u="1"/>
        <s v="2016-10-12-20:00" u="1"/>
        <s v="2017-04-21-22:00" u="1"/>
        <s v="2017-08-15-13:00" u="1"/>
        <s v="2016-08-12-00:00" u="1"/>
        <s v="2016-05-06-19:00" u="1"/>
        <s v="2016-05-26-18:00" u="1"/>
        <s v="2017-05-01-23:00" u="1"/>
        <s v="2017-09-15-13:00" u="1"/>
        <s v="2016-09-12-00:00" u="1"/>
        <s v="2016-06-06-19:00" u="1"/>
        <s v="2016-12-12-20:00" u="1"/>
        <s v="2017-06-01-23:00" u="1"/>
        <s v="2017-06-21-22:00" u="1"/>
        <s v="2016-07-06-19:00" u="1"/>
        <s v="2016-07-26-18:00" u="1"/>
        <s v="2017-07-21-22:00" u="1"/>
        <s v="2016-08-26-18:00" u="1"/>
        <s v="2017-08-01-23:00" u="1"/>
        <s v="2017-08-21-22:00" u="1"/>
        <s v="2016-09-06-19:00" u="1"/>
        <s v="2016-09-26-18:00" u="1"/>
        <s v="2017-09-01-23:00" u="1"/>
        <s v="2017-09-21-22:00" u="1"/>
        <s v="2017-10-11-08:00" u="1"/>
        <s v="2017-10-31-07:00" u="1"/>
        <s v="2018-01-15-13:00" u="1"/>
        <s v="2017-01-12-00:00" u="1"/>
        <s v="2018-02-15-13:00" u="1"/>
        <s v="2018-06-29-03:00" u="1"/>
        <s v="2017-12-11-08:00" u="1"/>
        <s v="2018-03-15-13:00" u="1"/>
        <s v="2017-10-06-11:00" u="1"/>
        <s v="2017-10-26-10:00" u="1"/>
        <s v="2017-04-12-00:00" u="1"/>
        <s v="2017-01-06-19:00" u="1"/>
        <s v="2017-01-26-18:00" u="1"/>
        <s v="2017-11-06-11:00" u="1"/>
        <s v="2018-05-15-13:00" u="1"/>
        <s v="2017-05-12-00:00" u="1"/>
        <s v="2018-06-29-17:00" u="1"/>
        <s v="2017-02-06-19:00" u="1"/>
        <s v="2017-12-06-11:00" u="1"/>
        <s v="2017-12-26-10:00" u="1"/>
        <s v="2018-02-01-23:00" u="1"/>
        <s v="2018-02-21-22:00" u="1"/>
        <s v="2016-02-03-06:00" u="1"/>
        <s v="2016-02-23-05:00" u="1"/>
        <s v="2017-06-12-00:00" u="1"/>
        <s v="2017-03-06-19:00" u="1"/>
        <s v="2018-03-01-23:00" u="1"/>
        <s v="2018-03-21-22:00" u="1"/>
        <s v="2016-03-03-06:00" u="1"/>
        <s v="2016-03-23-05:00" u="1"/>
        <s v="2017-07-12-00:00" u="1"/>
        <s v="2016-10-17-16:00" u="1"/>
        <s v="2017-04-06-19:00" u="1"/>
        <s v="2017-04-26-18:00" u="1"/>
        <s v="2017-10-12-20:00" u="1"/>
        <s v="9018-07-25-03:00" u="1"/>
        <s v="2016-11-17-16:00" u="1"/>
        <s v="2017-05-26-18:00" u="1"/>
        <s v="2018-05-01-23:00" u="1"/>
        <s v="2018-05-21-22:00" u="1"/>
        <s v="2016-05-03-06:00" u="1"/>
        <s v="2016-05-23-05:00" u="1"/>
        <s v="2017-09-12-00:00" u="1"/>
        <s v="2017-06-06-19:00" u="1"/>
        <s v="2017-06-26-18:00" u="1"/>
        <s v="2017-12-12-20:00" u="1"/>
        <s v="2016-06-03-06:00" u="1"/>
        <s v="2016-06-23-05:00" u="1"/>
        <s v="2017-07-06-19:00" u="1"/>
        <s v="2017-07-26-18:00" u="1"/>
        <s v="9018-07-25-17:00" u="1"/>
        <s v="2016-08-03-06:00" u="1"/>
        <s v="2016-08-23-05:00" u="1"/>
        <s v="2017-09-06-19:00" u="1"/>
        <s v="2017-09-26-18:00" u="1"/>
        <s v="2016-09-23-05:00" u="1"/>
        <s v="2014-05-26-00:00" u="1"/>
        <s v="2018-01-12-00:00" u="1"/>
        <s v="2014-06-06-01:00" u="1"/>
        <s v="2014-06-26-00:00" u="1"/>
        <s v="2018-02-12-00:00" u="1"/>
        <s v="2018-03-12-00:00" u="1"/>
        <s v="2014-08-06-01:00" u="1"/>
        <s v="2014-08-26-00:00" u="1"/>
        <s v="2018-04-12-00:00" u="1"/>
        <s v="2018-01-26-18:00" u="1"/>
        <s v="2014-09-26-00:00" u="1"/>
        <s v="2017-01-03-06:00" u="1"/>
        <s v="2017-01-23-05:00" u="1"/>
        <s v="2018-02-06-19:00" u="1"/>
        <s v="2018-02-26-18:00" u="1"/>
        <s v="2018-06-26-04:00" u="1"/>
        <s v="2017-02-03-06:00" u="1"/>
        <s v="2017-02-23-05:00" u="1"/>
        <s v="2018-03-06-19:00" u="1"/>
        <s v="2018-03-26-18:00" u="1"/>
        <s v="2018-07-26-04:00" u="1"/>
        <s v="2017-03-03-06:00" u="1"/>
        <s v="2017-03-23-05:00" u="1"/>
        <s v="2017-10-17-16:00" u="1"/>
        <s v="2018-04-06-19:00" u="1"/>
        <s v="2018-04-26-18:00" u="1"/>
        <s v="2016-10-28-07:00" u="1"/>
        <s v="2016-10-14-03:00" u="1"/>
        <s v="2017-04-03-06:00" u="1"/>
        <s v="2017-11-17-16:00" u="1"/>
        <s v="2016-11-08-08:00" u="1"/>
        <s v="2016-11-28-07:00" u="1"/>
        <s v="2016-11-14-03:00" u="1"/>
        <s v="2017-05-03-06:00" u="1"/>
        <s v="2017-05-23-05:00" u="1"/>
        <s v="2018-06-26-18:00" u="1"/>
        <s v="2016-02-09-00:00" u="1"/>
        <s v="2016-12-08-08:00" u="1"/>
        <s v="2016-12-28-07:00" u="1"/>
        <s v="2016-12-14-03:00" u="1"/>
        <s v="2017-06-23-05:00" u="1"/>
        <s v="2018-07-26-18:00" u="1"/>
        <s v="2016-03-09-00:00" u="1"/>
        <s v="2017-07-03-06:00" u="1"/>
        <s v="2016-10-20-12:00" u="1"/>
        <s v="2017-08-03-06:00" u="1"/>
        <s v="2017-08-23-05:00" u="1"/>
        <s v="9018-07-02-05:00" u="1"/>
        <s v="2016-05-09-00:00" u="1"/>
        <s v="2015-01-06-01:00" u="1"/>
        <s v="2015-01-26-00:00" u="1"/>
        <s v="2016-06-09-00:00" u="1"/>
        <s v="2015-02-06-01:00" u="1"/>
        <s v="2015-02-26-00:00" u="1"/>
        <s v="2016-12-20-12:00" u="1"/>
        <s v="2015-03-06-01:00" u="1"/>
        <s v="2015-03-26-00:00" u="1"/>
        <s v="2016-08-09-00:00" u="1"/>
        <s v="2015-04-06-01:00" u="1"/>
        <s v="2016-01-15-23:00" u="1"/>
        <s v="2016-09-09-00:00" u="1"/>
        <s v="2015-05-06-01:00" u="1"/>
        <s v="2015-05-26-00:00" u="1"/>
        <s v="2016-02-15-23:00" u="1"/>
        <s v="2015-06-26-00:00" u="1"/>
        <s v="2015-12-31-17:00" u="1"/>
        <s v="2016-03-15-23:00" u="1"/>
        <s v="2015-07-06-01:00" u="1"/>
        <s v="2016-04-15-23:00" u="1"/>
        <s v="2015-08-06-01:00" u="1"/>
        <s v="2015-08-26-00:00" u="1"/>
        <s v="2018-01-03-06:00" u="1"/>
        <s v="2018-01-23-05:00" u="1"/>
        <s v="2016-06-15-23:00" u="1"/>
        <s v="2018-02-23-05:00" u="1"/>
        <s v="2016-07-15-23:00" u="1"/>
        <s v="2018-03-23-05:00" u="1"/>
        <s v="2016-08-15-23:00" u="1"/>
        <s v="2018-04-03-06:00" u="1"/>
        <s v="2018-04-23-05:00" u="1"/>
        <s v="2016-09-15-23:00" u="1"/>
        <s v="2017-01-09-00:00" u="1"/>
        <s v="2017-11-08-08:00" u="1"/>
        <s v="2017-11-28-07:00" u="1"/>
        <s v="2017-11-14-03:00" u="1"/>
        <s v="2018-05-03-06:00" u="1"/>
        <s v="2018-05-23-05:00" u="1"/>
        <s v="2017-02-09-00:00" u="1"/>
        <s v="2017-12-08-08:00" u="1"/>
        <s v="2017-12-28-07:00" u="1"/>
        <s v="2017-12-14-03:00" u="1"/>
        <s v="2017-03-09-00:00" u="1"/>
        <s v="2018-07-23-05:00" u="1"/>
        <s v="2016-10-05-09:00" u="1"/>
        <s v="2016-10-25-08:00" u="1"/>
        <s v="2017-10-20-12:00" u="1"/>
        <s v="2017-05-09-00:00" u="1"/>
        <s v="2016-01-06-01:00" u="1"/>
        <s v="2016-01-26-00:00" u="1"/>
        <s v="2016-11-25-08:00" u="1"/>
        <s v="2017-11-20-12:00" u="1"/>
        <s v="2017-06-09-00:00" u="1"/>
        <s v="2016-02-26-00:00" u="1"/>
        <s v="2016-12-05-09:00" u="1"/>
        <s v="2017-12-20-12:00" u="1"/>
        <s v="2017-08-09-00:00" u="1"/>
        <s v="2016-04-06-01:00" u="1"/>
        <s v="2016-04-26-00:00" u="1"/>
        <s v="2016-10-11-18:00" u="1"/>
        <s v="2016-10-31-17:00" u="1"/>
        <s v="2016-01-12-10:00" u="1"/>
        <s v="2016-05-06-01:00" u="1"/>
        <s v="2016-05-26-00:00" u="1"/>
        <s v="2016-11-11-18:00" u="1"/>
        <s v="2017-02-15-23:00" u="1"/>
        <s v="2016-02-12-10:00" u="1"/>
        <s v="2016-06-06-01:00" u="1"/>
        <s v="2017-03-15-23:00" u="1"/>
        <s v="9018-06-28-12:00" u="1"/>
        <s v="2016-07-06-01:00" u="1"/>
        <s v="2016-07-26-00:00" u="1"/>
        <s v="2016-10-06-21:00" u="1"/>
        <s v="2016-10-26-20:00" u="1"/>
        <s v="2016-04-12-10:00" u="1"/>
        <s v="2016-08-26-00:00" u="1"/>
        <s v="2017-05-15-23:00" u="1"/>
        <s v="2016-05-12-10:00" u="1"/>
        <s v="2016-09-06-01:00" u="1"/>
        <s v="2016-09-26-00:00" u="1"/>
        <s v="2016-12-06-21:00" u="1"/>
        <s v="2016-12-26-20:00" u="1"/>
        <s v="2017-06-15-23:00" u="1"/>
        <s v="2016-07-12-10:00" u="1"/>
        <s v="2017-08-15-23:00" u="1"/>
        <s v="2016-08-12-10:00" u="1"/>
        <s v="2017-09-15-23:00" u="1"/>
        <s v="2018-01-09-00:00" u="1"/>
        <s v="2016-09-12-10:00" u="1"/>
        <s v="2018-02-09-00:00" u="1"/>
        <s v="2018-03-09-00:00" u="1"/>
        <s v="2018-04-09-00:00" u="1"/>
        <s v="2017-10-05-09:00" u="1"/>
        <s v="2017-10-25-08:00" u="1"/>
        <s v="2018-05-09-00:00" u="1"/>
        <s v="2017-01-06-01:00" u="1"/>
        <s v="2017-01-26-00:00" u="1"/>
        <s v="2017-02-06-01:00" u="1"/>
        <s v="2017-12-05-09:00" u="1"/>
        <s v="2017-03-06-01:00" u="1"/>
        <s v="2017-04-06-01:00" u="1"/>
        <s v="2017-04-26-00:00" u="1"/>
        <s v="2017-10-11-18:00" u="1"/>
        <s v="2017-10-31-17:00" u="1"/>
        <s v="2018-01-15-23:00" u="1"/>
        <s v="2017-01-12-10:00" u="1"/>
        <s v="2017-05-26-00:00" u="1"/>
        <s v="2018-02-15-23:00" u="1"/>
        <s v="2018-06-29-13:00" u="1"/>
        <s v="2017-06-06-01:00" u="1"/>
        <s v="2017-06-26-00:00" u="1"/>
        <s v="2017-12-11-18:00" u="1"/>
        <s v="2018-03-15-23:00" u="1"/>
        <s v="2017-07-06-01:00" u="1"/>
        <s v="2017-07-26-00:00" u="1"/>
        <s v="2017-10-06-21:00" u="1"/>
        <s v="2017-10-26-20:00" u="1"/>
        <s v="2017-04-12-10:00" u="1"/>
        <s v="2017-11-06-21:00" u="1"/>
        <s v="2018-05-15-23:00" u="1"/>
        <s v="2017-05-12-10:00" u="1"/>
        <s v="2017-09-06-01:00" u="1"/>
        <s v="2017-09-26-00:00" u="1"/>
        <s v="2017-12-06-21:00" u="1"/>
        <s v="2017-12-26-20:00" u="1"/>
        <s v="2016-02-03-16:00" u="1"/>
        <s v="2016-02-23-15:00" u="1"/>
        <s v="2017-06-12-10:00" u="1"/>
        <s v="2016-03-03-16:00" u="1"/>
        <s v="2016-03-23-15:00" u="1"/>
        <s v="2017-07-12-10:00" u="1"/>
        <s v="9018-07-25-13:00" u="1"/>
        <s v="2016-05-03-16:00" u="1"/>
        <s v="2016-05-23-15:00" u="1"/>
        <s v="2017-09-12-10:00" u="1"/>
        <s v="2016-06-03-16:00" u="1"/>
        <s v="2016-06-23-15:00" u="1"/>
        <s v="2016-08-03-16:00" u="1"/>
        <s v="2016-08-23-15:00" u="1"/>
        <s v="2016-09-23-15:00" u="1"/>
        <s v="2018-01-26-00:00" u="1"/>
        <s v="2018-02-06-01:00" u="1"/>
        <s v="2018-02-26-00:00" u="1"/>
        <s v="2018-03-06-01:00" u="1"/>
        <s v="2018-03-26-00:00" u="1"/>
        <s v="2018-04-06-01:00" u="1"/>
        <s v="2018-04-26-00:00" u="1"/>
        <s v="2018-01-12-10:00" u="1"/>
        <s v="2018-02-12-10:00" u="1"/>
        <s v="2018-06-26-00:00" u="1"/>
        <s v="2018-03-12-10:00" u="1"/>
        <s v="2018-07-26-00:00" u="1"/>
        <s v="2018-04-12-10:00" u="1"/>
        <s v="2018-08-06-01:00" u="1"/>
        <s v="2017-01-03-16:00" u="1"/>
        <s v="2017-01-23-15:00" u="1"/>
        <s v="2016-01-20-02:00" u="1"/>
        <s v="2018-06-26-14:00" u="1"/>
        <s v="2017-02-03-16:00" u="1"/>
        <s v="2017-02-23-15:00" u="1"/>
        <s v="2018-07-26-14:00" u="1"/>
        <s v="2017-03-03-16:00" u="1"/>
        <s v="2017-03-23-15:00" u="1"/>
        <s v="2016-10-28-17:00" u="1"/>
        <s v="2016-10-14-13:00" u="1"/>
        <s v="2017-04-03-16:00" u="1"/>
        <s v="9018-07-02-01:00" u="1"/>
        <s v="2016-04-20-02:00" u="1"/>
        <s v="2016-11-08-18:00" u="1"/>
        <s v="2016-11-28-17:00" u="1"/>
        <s v="2016-11-14-13:00" u="1"/>
        <s v="2017-05-03-16:00" u="1"/>
        <s v="2017-05-23-15:00" u="1"/>
        <s v="2016-05-20-02:00" u="1"/>
        <s v="2016-02-09-10:00" u="1"/>
        <s v="2016-12-08-18:00" u="1"/>
        <s v="2016-12-28-17:00" u="1"/>
        <s v="2016-12-14-13:00" u="1"/>
        <s v="2017-06-23-15:00" u="1"/>
        <s v="2016-06-20-02:00" u="1"/>
        <s v="2016-03-09-10:00" u="1"/>
        <s v="2017-07-03-16:00" u="1"/>
        <s v="2016-07-20-02:00" u="1"/>
        <s v="2016-10-20-22:00" u="1"/>
        <s v="2017-08-03-16:00" u="1"/>
        <s v="2017-08-23-15:00" u="1"/>
        <s v="2016-05-09-10:00" u="1"/>
        <s v="2016-09-20-02:00" u="1"/>
        <s v="2016-06-09-10:00" u="1"/>
        <s v="2016-12-20-22:00" u="1"/>
        <s v="2016-08-09-10:00" u="1"/>
        <s v="2016-09-09-10:00" u="1"/>
        <s v="2018-01-03-16:00" u="1"/>
        <s v="2018-01-23-15:00" u="1"/>
        <s v="2017-01-20-02:00" u="1"/>
        <s v="2018-02-23-15:00" u="1"/>
        <s v="2017-02-20-02:00" u="1"/>
        <s v="2018-03-23-15:00" u="1"/>
        <s v="2017-03-20-02:00" u="1"/>
        <s v="2018-04-03-16:00" u="1"/>
        <s v="2018-04-23-15:00" u="1"/>
        <s v="2016-10-05-05:00" u="1"/>
        <s v="2016-10-25-04:00" u="1"/>
        <s v="2016-10-11-00:00" u="1"/>
        <s v="2017-04-20-02:00" u="1"/>
        <s v="2017-01-09-10:00" u="1"/>
        <s v="2017-11-08-18:00" u="1"/>
        <s v="2017-11-28-17:00" u="1"/>
        <s v="2017-11-14-13:00" u="1"/>
        <s v="2018-05-03-16:00" u="1"/>
        <s v="2018-05-23-15:00" u="1"/>
        <s v="2016-11-25-04:00" u="1"/>
        <s v="2016-01-11-08:00" u="1"/>
        <s v="2016-11-11-00:00" u="1"/>
        <s v="2017-02-09-10:00" u="1"/>
        <s v="2017-12-08-18:00" u="1"/>
        <s v="2017-12-28-17:00" u="1"/>
        <s v="2017-12-14-13:00" u="1"/>
        <s v="2016-12-05-05:00" u="1"/>
        <s v="2016-02-11-08:00" u="1"/>
        <s v="2017-06-20-02:00" u="1"/>
        <s v="2017-03-09-10:00" u="1"/>
        <s v="2018-07-23-15:00" u="1"/>
        <s v="2016-03-11-08:00" u="1"/>
        <s v="2016-03-31-07:00" u="1"/>
        <s v="2017-07-20-02:00" u="1"/>
        <s v="2016-10-05-19:00" u="1"/>
        <s v="2016-10-25-18:00" u="1"/>
        <s v="2017-10-20-22:00" u="1"/>
        <s v="2016-04-11-08:00" u="1"/>
        <s v="2017-05-09-10:00" u="1"/>
        <s v="2016-01-06-11:00" u="1"/>
        <s v="2016-01-26-10:00" u="1"/>
        <s v="2016-11-25-18:00" u="1"/>
        <s v="2017-11-20-22:00" u="1"/>
        <s v="2016-05-11-08:00" u="1"/>
        <s v="2016-05-31-07:00" u="1"/>
        <s v="2017-09-20-02:00" u="1"/>
        <s v="2017-06-09-10:00" u="1"/>
        <s v="2016-02-26-10:00" u="1"/>
        <s v="2016-12-05-19:00" u="1"/>
        <s v="2016-12-25-18:00" u="1"/>
        <s v="2017-12-20-22:00" u="1"/>
        <s v="2016-07-11-08:00" u="1"/>
        <s v="2017-08-09-10:00" u="1"/>
        <s v="2016-04-06-11:00" u="1"/>
        <s v="2016-04-26-10:00" u="1"/>
        <s v="2016-08-11-08:00" u="1"/>
        <s v="2016-08-31-07:00" u="1"/>
        <s v="2016-01-12-20:00" u="1"/>
        <s v="2016-05-06-11:00" u="1"/>
        <s v="2016-05-26-10:00" u="1"/>
        <s v="2016-02-12-20:00" u="1"/>
        <s v="2016-06-06-11:00" u="1"/>
        <s v="9018-06-28-22:00" u="1"/>
        <s v="2016-07-06-11:00" u="1"/>
        <s v="2016-07-26-10:00" u="1"/>
        <s v="2016-04-12-20:00" u="1"/>
        <s v="2016-08-26-10:00" u="1"/>
        <s v="2016-05-12-20:00" u="1"/>
        <s v="2016-09-06-11:00" u="1"/>
        <s v="2016-09-26-10:00" u="1"/>
        <s v="2018-02-20-02:00" u="1"/>
        <s v="2016-07-12-20:00" u="1"/>
        <s v="2018-03-20-02:00" u="1"/>
        <s v="2016-08-12-20:00" u="1"/>
        <s v="2017-10-05-05:00" u="1"/>
        <s v="2017-10-25-04:00" u="1"/>
        <s v="2017-10-11-00:00" u="1"/>
        <s v="2018-04-20-02:00" u="1"/>
        <s v="2018-01-09-10:00" u="1"/>
        <s v="2016-09-12-20:00" u="1"/>
        <s v="2017-01-11-08:00" u="1"/>
        <s v="2017-01-31-07:00" u="1"/>
        <s v="2018-02-09-10:00" u="1"/>
        <s v="2017-12-05-05:00" u="1"/>
        <s v="2017-12-11-00:00" u="1"/>
        <s v="2018-03-09-10:00" u="1"/>
        <s v="2017-03-31-07:00" u="1"/>
        <s v="2018-07-20-02:00" u="1"/>
        <s v="2018-04-09-10:00" u="1"/>
        <s v="2017-10-05-19:00" u="1"/>
        <s v="2017-10-25-18:00" u="1"/>
        <s v="2017-04-11-08:00" u="1"/>
        <s v="2018-05-09-10:00" u="1"/>
        <s v="2017-01-06-11:00" u="1"/>
        <s v="2017-01-26-10:00" u="1"/>
        <s v="2017-11-05-19:00" u="1"/>
        <s v="2016-11-02-06:00" u="1"/>
        <s v="2016-11-22-05:00" u="1"/>
        <s v="2017-05-11-08:00" u="1"/>
        <s v="2017-05-31-07:00" u="1"/>
        <s v="2017-02-06-11:00" u="1"/>
        <s v="2017-12-05-19:00" u="1"/>
        <s v="2017-12-25-18:00" u="1"/>
        <s v="2016-02-17-02:00" u="1"/>
        <s v="2016-12-02-06:00" u="1"/>
        <s v="2016-12-22-05:00" u="1"/>
        <s v="2017-03-06-11:00" u="1"/>
        <s v="2016-03-17-02:00" u="1"/>
        <s v="2017-07-11-08:00" u="1"/>
        <s v="2017-07-31-07:00" u="1"/>
        <s v="2017-04-06-11:00" u="1"/>
        <s v="2017-04-26-10:00" u="1"/>
        <s v="2017-08-11-08:00" u="1"/>
        <s v="2017-08-31-07:00" u="1"/>
        <s v="2017-01-12-20:00" u="1"/>
        <s v="2017-05-26-10:00" u="1"/>
        <s v="2016-05-17-02:00" u="1"/>
        <s v="2017-09-11-08:00" u="1"/>
        <s v="2018-06-29-23:00" u="1"/>
        <s v="2017-06-06-11:00" u="1"/>
        <s v="2017-06-26-10:00" u="1"/>
        <s v="2016-06-17-02:00" u="1"/>
        <s v="2017-07-06-11:00" u="1"/>
        <s v="2017-07-26-10:00" u="1"/>
        <s v="2017-04-12-20:00" u="1"/>
        <s v="2016-08-17-02:00" u="1"/>
        <s v="2017-05-12-20:00" u="1"/>
        <s v="2017-09-06-11:00" u="1"/>
        <s v="2017-09-26-10:00" u="1"/>
        <s v="2017-06-12-20:00" u="1"/>
        <s v="2017-07-12-20:00" u="1"/>
        <s v="9018-07-25-23:00" u="1"/>
        <s v="2017-09-12-20:00" u="1"/>
        <s v="2018-01-11-08:00" u="1"/>
        <s v="2018-01-31-07:00" u="1"/>
        <s v="2017-10-02-06:00" u="1"/>
        <s v="2018-04-11-08:00" u="1"/>
        <s v="2018-01-26-10:00" u="1"/>
        <s v="2017-01-17-02:00" u="1"/>
        <s v="2017-11-02-06:00" u="1"/>
        <s v="2017-11-22-05:00" u="1"/>
        <s v="2018-05-11-08:00" u="1"/>
        <s v="2018-02-06-11:00" u="1"/>
        <s v="2018-02-26-10:00" u="1"/>
        <s v="2017-02-17-02:00" u="1"/>
        <s v="2017-12-22-05:00" u="1"/>
        <s v="2018-03-06-11:00" u="1"/>
        <s v="2018-03-26-10:00" u="1"/>
        <s v="2017-03-17-02:00" u="1"/>
        <s v="2018-04-06-11:00" u="1"/>
        <s v="2018-04-26-10:00" u="1"/>
        <s v="2017-04-17-02:00" u="1"/>
        <s v="2018-01-12-20:00" u="1"/>
        <s v="2016-01-08-08:00" u="1"/>
        <s v="2016-01-28-07:00" u="1"/>
        <s v="2016-11-08-00:00" u="1"/>
        <s v="2017-05-17-02:00" u="1"/>
        <s v="2018-02-12-20:00" u="1"/>
        <s v="2018-06-26-10:00" u="1"/>
        <s v="2016-02-08-08:00" u="1"/>
        <s v="2016-12-08-00:00" u="1"/>
        <s v="2018-03-12-20:00" u="1"/>
        <s v="2018-07-26-10:00" u="1"/>
        <s v="2016-03-08-08:00" u="1"/>
        <s v="2016-03-28-07:00" u="1"/>
        <s v="2017-07-17-02:00" u="1"/>
        <s v="2018-04-12-20:00" u="1"/>
        <s v="2016-04-08-08:00" u="1"/>
        <s v="2016-04-28-07:00" u="1"/>
        <s v="2017-08-17-02:00" u="1"/>
        <s v="2016-01-20-12:00" u="1"/>
        <s v="2016-06-08-08:00" u="1"/>
        <s v="2016-06-28-07:00" u="1"/>
        <s v="2016-07-08-08:00" u="1"/>
        <s v="2016-07-28-07:00" u="1"/>
        <s v="2016-10-14-23:00" u="1"/>
        <s v="2016-08-08-08:00" u="1"/>
        <s v="2016-04-20-12:00" u="1"/>
        <s v="2016-11-14-23:00" u="1"/>
        <s v="2016-09-08-08:00" u="1"/>
        <s v="2016-09-28-07:00" u="1"/>
        <s v="2016-05-20-12:00" u="1"/>
        <s v="2016-02-09-20:00" u="1"/>
        <s v="2016-12-14-23:00" u="1"/>
        <s v="2016-06-20-12:00" u="1"/>
        <s v="2016-03-09-20:00" u="1"/>
        <s v="2016-07-20-12:00" u="1"/>
        <s v="2016-05-09-20:00" u="1"/>
        <s v="2018-01-17-02:00" u="1"/>
        <s v="2016-09-20-12:00" u="1"/>
        <s v="2016-06-09-20:00" u="1"/>
        <s v="2016-08-09-20:00" u="1"/>
        <s v="2018-04-17-02:00" u="1"/>
        <s v="2016-09-09-20:00" u="1"/>
        <s v="2017-11-08-00:00" u="1"/>
        <s v="2018-05-17-02:00" u="1"/>
        <s v="2017-02-08-08:00" u="1"/>
        <s v="2017-02-28-07:00" u="1"/>
        <s v="2017-12-08-00:00" u="1"/>
        <s v="2017-03-08-08:00" u="1"/>
        <s v="2017-03-28-07:00" u="1"/>
        <s v="2016-10-19-05:00" u="1"/>
        <s v="2017-04-28-07:00" u="1"/>
        <s v="2017-05-08-08:00" u="1"/>
        <s v="2017-01-20-12:00" u="1"/>
        <s v="2016-12-19-05:00" u="1"/>
        <s v="2017-06-08-08:00" u="1"/>
        <s v="2017-06-28-07:00" u="1"/>
        <s v="2017-02-20-12:00" u="1"/>
        <s v="2017-07-28-07:00" u="1"/>
        <s v="9018-06-27-06:00" u="1"/>
        <s v="2017-03-20-12:00" u="1"/>
        <s v="2016-10-05-15:00" u="1"/>
        <s v="2016-10-25-14:00" u="1"/>
        <s v="2017-08-08-08:00" u="1"/>
        <s v="2017-08-28-07:00" u="1"/>
        <s v="9018-07-27-06:00" u="1"/>
        <s v="2016-10-11-10:00" u="1"/>
        <s v="2017-04-20-12:00" u="1"/>
        <s v="2017-01-09-20:00" u="1"/>
        <s v="2017-11-14-23:00" u="1"/>
        <s v="2016-11-25-14:00" u="1"/>
        <s v="2017-09-08-08:00" u="1"/>
        <s v="2017-09-28-07:00" u="1"/>
        <s v="2016-01-11-18:00" u="1"/>
        <s v="2016-11-11-10:00" u="1"/>
        <s v="2017-02-09-20:00" u="1"/>
        <s v="2017-12-14-23:00" u="1"/>
        <s v="2016-12-05-15:00" u="1"/>
        <s v="2016-02-11-18:00" u="1"/>
        <s v="2017-06-20-12:00" u="1"/>
        <s v="2017-03-09-20:00" u="1"/>
        <s v="2016-03-11-18:00" u="1"/>
        <s v="2016-03-31-17:00" u="1"/>
        <s v="2017-07-20-12:00" u="1"/>
        <s v="2016-04-11-18:00" u="1"/>
        <s v="2017-05-09-20:00" u="1"/>
        <s v="2016-01-06-21:00" u="1"/>
        <s v="2016-01-26-20:00" u="1"/>
        <s v="2016-05-11-18:00" u="1"/>
        <s v="2016-05-31-17:00" u="1"/>
        <s v="2017-09-20-12:00" u="1"/>
        <s v="2017-06-09-20:00" u="1"/>
        <s v="2016-02-26-20:00" u="1"/>
        <s v="2016-03-06-21:00" u="1"/>
        <s v="2016-07-11-18:00" u="1"/>
        <s v="2017-08-09-20:00" u="1"/>
        <s v="2016-04-06-21:00" u="1"/>
        <s v="2016-04-26-20:00" u="1"/>
        <s v="2016-08-11-18:00" u="1"/>
        <s v="2016-08-31-17:00" u="1"/>
        <s v="2016-05-06-21:00" u="1"/>
        <s v="2016-05-26-20:00" u="1"/>
        <s v="2018-01-08-08:00" u="1"/>
        <s v="2016-06-06-21:00" u="1"/>
        <s v="2016-06-26-20:00" u="1"/>
        <s v="2018-02-08-08:00" u="1"/>
        <s v="2018-02-28-07:00" u="1"/>
        <s v="2016-07-06-21:00" u="1"/>
        <s v="2016-07-26-20:00" u="1"/>
        <s v="2018-03-08-08:00" u="1"/>
        <s v="2018-03-28-07:00" u="1"/>
        <s v="2016-08-26-20:00" u="1"/>
        <s v="2017-10-19-05:00" u="1"/>
        <s v="2016-09-06-21:00" u="1"/>
        <s v="2016-09-26-20:00" u="1"/>
        <s v="2018-05-08-08:00" u="1"/>
        <s v="2018-05-28-07:00" u="1"/>
        <s v="2017-12-19-05:00" u="1"/>
        <s v="2018-06-28-07:00" u="1"/>
        <s v="2018-02-20-12:00" u="1"/>
        <s v="2018-03-20-12:00" u="1"/>
        <s v="2017-10-05-15:00" u="1"/>
        <s v="2017-10-25-14:00" u="1"/>
        <s v="2017-10-11-10:00" u="1"/>
        <s v="2018-04-20-12:00" u="1"/>
        <s v="2018-01-09-20:00" u="1"/>
        <s v="2017-01-11-18:00" u="1"/>
        <s v="2017-01-31-17:00" u="1"/>
        <s v="2018-02-09-20:00" u="1"/>
        <s v="2017-12-05-15:00" u="1"/>
        <s v="2017-12-11-10:00" u="1"/>
        <s v="2018-03-09-20:00" u="1"/>
        <s v="2017-03-31-17:00" u="1"/>
        <s v="2018-07-20-12:00" u="1"/>
        <s v="2018-04-09-20:00" u="1"/>
        <s v="2017-04-11-18:00" u="1"/>
        <s v="9018-07-24-07:00" u="1"/>
        <s v="2018-05-09-20:00" u="1"/>
        <s v="2017-01-06-21:00" u="1"/>
        <s v="2017-01-26-20:00" u="1"/>
        <s v="2016-11-02-16:00" u="1"/>
        <s v="2016-11-22-15:00" u="1"/>
        <s v="2017-05-11-18:00" u="1"/>
        <s v="2017-05-31-17:00" u="1"/>
        <s v="2017-02-06-21:00" u="1"/>
        <s v="2017-02-26-20:00" u="1"/>
        <s v="2016-02-17-12:00" u="1"/>
        <s v="2016-12-02-16:00" u="1"/>
        <s v="2016-12-22-15:00" u="1"/>
        <s v="2017-03-06-21:00" u="1"/>
        <s v="2017-03-26-20:00" u="1"/>
        <s v="2016-03-17-12:00" u="1"/>
        <s v="2017-07-11-18:00" u="1"/>
        <s v="2017-07-31-17:00" u="1"/>
        <s v="2017-04-06-21:00" u="1"/>
        <s v="2017-04-26-20:00" u="1"/>
        <s v="2017-08-11-18:00" u="1"/>
        <s v="2017-08-31-17:00" u="1"/>
        <s v="2017-05-26-20:00" u="1"/>
        <s v="2016-05-17-12:00" u="1"/>
        <s v="2017-09-11-18:00" u="1"/>
        <s v="2017-06-06-21:00" u="1"/>
        <s v="2017-06-26-20:00" u="1"/>
        <s v="2016-06-17-12:00" u="1"/>
        <s v="2017-07-06-21:00" u="1"/>
        <s v="2017-07-26-20:00" u="1"/>
        <s v="2017-08-06-21:00" u="1"/>
        <s v="2016-08-17-12:00" u="1"/>
        <s v="2017-09-06-21:00" u="1"/>
        <s v="2017-09-26-20:00" u="1"/>
        <s v="2018-01-11-18:00" u="1"/>
        <s v="2018-01-31-17:00" u="1"/>
        <s v="2018-07-25-08:00" u="1"/>
        <s v="2017-10-02-16:00" u="1"/>
        <s v="2018-04-11-18:00" u="1"/>
        <s v="2016-10-13-07:00" u="1"/>
        <s v="2018-01-26-20:00" u="1"/>
        <s v="2017-01-17-12:00" u="1"/>
        <s v="2017-11-02-16:00" u="1"/>
        <s v="2017-11-22-15:00" u="1"/>
        <s v="2018-05-11-18:00" u="1"/>
        <s v="2018-02-06-21:00" u="1"/>
        <s v="2018-02-26-20:00" u="1"/>
        <s v="2017-02-17-12:00" u="1"/>
        <s v="2017-12-22-15:00" u="1"/>
        <s v="2016-12-13-07:00" u="1"/>
        <s v="2018-03-06-21:00" u="1"/>
        <s v="2018-03-26-20:00" u="1"/>
        <s v="2017-03-17-12:00" u="1"/>
        <s v="2018-04-06-21:00" u="1"/>
        <s v="2018-04-26-20:00" u="1"/>
        <s v="2017-04-17-12:00" u="1"/>
        <s v="2018-05-06-21:00" u="1"/>
        <s v="2016-01-08-18:00" u="1"/>
        <s v="2016-01-28-17:00" u="1"/>
        <s v="2016-11-08-10:00" u="1"/>
        <s v="2017-05-17-12:00" u="1"/>
        <s v="2018-06-26-20:00" u="1"/>
        <s v="2016-02-08-18:00" u="1"/>
        <s v="2016-12-08-10:00" u="1"/>
        <s v="2015-12-30-07:00" u="1"/>
        <s v="2018-07-26-20:00" u="1"/>
        <s v="2016-03-08-18:00" u="1"/>
        <s v="2016-03-28-17:00" u="1"/>
        <s v="2017-07-17-12:00" u="1"/>
        <s v="2016-04-08-18:00" u="1"/>
        <s v="2016-04-28-17:00" u="1"/>
        <s v="2017-08-17-12:00" u="1"/>
        <s v="2016-01-20-22:00" u="1"/>
        <s v="2016-06-08-18:00" u="1"/>
        <s v="2016-06-28-17:00" u="1"/>
        <s v="2016-07-08-18:00" u="1"/>
        <s v="2016-07-28-17:00" u="1"/>
        <s v="2016-08-08-18:00" u="1"/>
        <s v="2016-04-20-22:00" u="1"/>
        <s v="2016-09-08-18:00" u="1"/>
        <s v="2016-09-28-17:00" u="1"/>
        <s v="2016-05-20-22:00" u="1"/>
        <s v="2016-06-20-22:00" u="1"/>
        <s v="2016-07-20-22:00" u="1"/>
        <s v="2017-10-13-07:00" u="1"/>
        <s v="2018-01-17-12:00" u="1"/>
        <s v="2016-09-20-22:00" u="1"/>
        <s v="2017-11-13-07:00" u="1"/>
        <s v="2017-12-13-07:00" u="1"/>
        <s v="2018-04-17-12:00" u="1"/>
        <s v="2016-10-10-08:00" u="1"/>
        <s v="2017-11-08-10:00" u="1"/>
        <s v="2018-05-17-12:00" u="1"/>
        <s v="2016-01-05-05:00" u="1"/>
        <s v="2016-01-25-04:00" u="1"/>
        <s v="2016-01-11-00:00" u="1"/>
        <s v="2016-11-10-08:00" u="1"/>
        <s v="2016-11-30-07:00" u="1"/>
        <s v="2017-02-08-18:00" u="1"/>
        <s v="2017-02-28-17:00" u="1"/>
        <s v="2017-12-08-10:00" u="1"/>
        <s v="2016-02-05-05:00" u="1"/>
        <s v="2016-02-25-04:00" u="1"/>
        <s v="2016-02-11-00:00" u="1"/>
        <s v="2016-12-30-07:00" u="1"/>
        <s v="2017-03-08-18:00" u="1"/>
        <s v="2017-03-28-17:00" u="1"/>
        <s v="9018-06-27-02:00" u="1"/>
        <s v="2016-03-25-04:00" u="1"/>
        <s v="2016-03-11-00:00" u="1"/>
        <s v="2016-10-19-15:00" u="1"/>
        <s v="2017-04-28-17:00" u="1"/>
        <s v="9018-07-27-02:00" u="1"/>
        <s v="2016-04-05-05:00" u="1"/>
        <s v="2016-04-25-04:00" u="1"/>
        <s v="2016-04-11-00:00" u="1"/>
        <s v="2017-05-08-18:00" u="1"/>
        <s v="2017-01-20-22:00" u="1"/>
        <s v="2016-05-05-05:00" u="1"/>
        <s v="2016-05-25-04:00" u="1"/>
        <s v="2016-05-11-00:00" u="1"/>
        <s v="2016-12-19-15:00" u="1"/>
        <s v="2017-06-08-18:00" u="1"/>
        <s v="2017-06-28-17:00" u="1"/>
        <s v="2017-02-20-22:00" u="1"/>
        <s v="2017-07-28-17:00" u="1"/>
        <s v="9018-06-27-16:00" u="1"/>
        <s v="2017-03-20-22:00" u="1"/>
        <s v="2016-07-05-05:00" u="1"/>
        <s v="2016-07-25-04:00" u="1"/>
        <s v="2016-07-11-00:00" u="1"/>
        <s v="2017-08-08-18:00" u="1"/>
        <s v="2017-08-28-17:00" u="1"/>
        <s v="9018-07-27-16:00" u="1"/>
        <s v="2016-10-11-20:00" u="1"/>
        <s v="2017-04-20-22:00" u="1"/>
        <s v="2016-08-05-05:00" u="1"/>
        <s v="2016-08-25-04:00" u="1"/>
        <s v="2016-08-11-00:00" u="1"/>
        <s v="2017-09-08-18:00" u="1"/>
        <s v="2017-09-28-17:00" u="1"/>
        <s v="2016-11-11-20:00" u="1"/>
        <s v="2016-09-05-05:00" u="1"/>
        <s v="2017-06-20-22:00" u="1"/>
        <s v="2017-07-20-22:00" u="1"/>
        <s v="2017-09-20-22:00" u="1"/>
        <s v="2017-10-10-08:00" u="1"/>
        <s v="2017-10-30-07:00" u="1"/>
        <s v="2018-01-08-18:00" u="1"/>
        <s v="2017-01-05-05:00" u="1"/>
        <s v="2017-01-25-04:00" u="1"/>
        <s v="2017-01-11-00:00" u="1"/>
        <s v="2017-11-10-08:00" u="1"/>
        <s v="2017-11-30-07:00" u="1"/>
        <s v="2018-02-08-18:00" u="1"/>
        <s v="2018-02-28-17:00" u="1"/>
        <s v="2018-06-28-03:00" u="1"/>
        <s v="2018-03-08-18:00" u="1"/>
        <s v="2018-03-28-17:00" u="1"/>
        <s v="2017-10-19-15:00" u="1"/>
        <s v="2017-04-05-05:00" u="1"/>
        <s v="2017-04-25-04:00" u="1"/>
        <s v="2017-04-11-00:00" u="1"/>
        <s v="2018-05-08-18:00" u="1"/>
        <s v="2018-05-28-17:00" u="1"/>
        <s v="2016-11-16-02:00" u="1"/>
        <s v="2017-05-05-05:00" u="1"/>
        <s v="2017-05-25-04:00" u="1"/>
        <s v="2017-05-11-00:00" u="1"/>
        <s v="2017-12-19-15:00" u="1"/>
        <s v="2018-06-28-17:00" u="1"/>
        <s v="2018-02-20-22:00" u="1"/>
        <s v="2016-12-16-02:00" u="1"/>
        <s v="2017-06-05-05:00" u="1"/>
        <s v="2018-03-20-22:00" u="1"/>
        <s v="2017-07-05-05:00" u="1"/>
        <s v="2017-07-25-04:00" u="1"/>
        <s v="2017-07-11-00:00" u="1"/>
        <s v="2017-10-11-20:00" u="1"/>
        <s v="2018-04-20-22:00" u="1"/>
        <s v="2017-08-25-04:00" u="1"/>
        <s v="9018-07-24-03:00" u="1"/>
        <s v="2017-08-11-00:00" u="1"/>
        <s v="2017-09-05-05:00" u="1"/>
        <s v="2017-09-25-04:00" u="1"/>
        <s v="2017-09-11-00:00" u="1"/>
        <s v="2017-12-11-20:00" u="1"/>
        <s v="2018-07-20-22:00" u="1"/>
        <s v="9018-07-24-17:00" u="1"/>
        <s v="2016-02-17-22:00" u="1"/>
        <s v="2016-03-17-22:00" u="1"/>
        <s v="2016-05-17-22:00" u="1"/>
        <s v="2018-01-05-05:00" u="1"/>
        <s v="2018-01-25-04:00" u="1"/>
        <s v="2018-01-11-00:00" u="1"/>
        <s v="2016-06-17-22:00" u="1"/>
        <s v="2018-02-05-05:00" u="1"/>
        <s v="2018-03-05-05:00" u="1"/>
        <s v="2016-08-17-22:00" u="1"/>
        <s v="2017-10-16-02:00" u="1"/>
        <s v="2018-04-05-05:00" u="1"/>
        <s v="2018-04-25-04:00" u="1"/>
        <s v="2018-04-11-00:00" u="1"/>
        <s v="2017-11-16-02:00" u="1"/>
        <s v="2018-05-25-04:00" u="1"/>
        <s v="2018-05-11-00:00" u="1"/>
        <s v="2018-07-25-04:00" u="1"/>
        <s v="2016-10-07-08:00" u="1"/>
        <s v="2016-10-27-07:00" u="1"/>
        <s v="2016-01-08-00:00" u="1"/>
        <s v="2016-11-07-08:00" u="1"/>
        <s v="2016-02-08-00:00" u="1"/>
        <s v="2016-12-07-08:00" u="1"/>
        <s v="2016-12-27-07:00" u="1"/>
        <s v="2018-07-25-18:00" u="1"/>
        <s v="2016-03-08-00:00" u="1"/>
        <s v="2016-04-08-00:00" u="1"/>
        <s v="2016-10-13-17:00" u="1"/>
        <s v="2017-01-17-22:00" u="1"/>
        <s v="2017-02-17-22:00" u="1"/>
        <s v="2016-06-08-00:00" u="1"/>
        <s v="2016-12-13-17:00" u="1"/>
        <s v="2017-03-17-22:00" u="1"/>
        <s v="2016-07-08-00:00" u="1"/>
        <s v="2017-04-17-22:00" u="1"/>
        <s v="2016-08-08-00:00" u="1"/>
        <s v="2016-11-08-20:00" u="1"/>
        <s v="2017-05-17-22:00" u="1"/>
        <s v="2016-09-08-00:00" u="1"/>
        <s v="2016-12-08-20:00" u="1"/>
        <s v="2015-12-30-17:00" u="1"/>
        <s v="2017-07-17-22:00" u="1"/>
        <s v="2017-08-17-22:00" u="1"/>
        <s v="2017-10-27-07:00" u="1"/>
        <s v="2017-11-07-08:00" u="1"/>
        <s v="2017-11-27-07:00" u="1"/>
        <s v="2017-02-08-00:00" u="1"/>
        <s v="2017-12-07-08:00" u="1"/>
        <s v="2017-12-27-07:00" u="1"/>
        <s v="2017-03-08-00:00" u="1"/>
        <s v="2018-07-02-06:00" u="1"/>
        <s v="2017-10-13-17:00" u="1"/>
        <s v="2018-01-17-22:00" u="1"/>
        <s v="2016-01-19-05:00" u="1"/>
        <s v="2017-05-08-00:00" u="1"/>
        <s v="2017-11-13-17:00" u="1"/>
        <s v="2016-02-19-05:00" u="1"/>
        <s v="2017-06-08-00:00" u="1"/>
        <s v="2017-12-13-17:00" u="1"/>
        <s v="2018-04-17-22:00" u="1"/>
        <s v="2016-04-19-05:00" u="1"/>
        <s v="2017-08-08-00:00" u="1"/>
        <s v="2016-10-10-18:00" u="1"/>
        <s v="2016-10-30-17:00" u="1"/>
        <s v="2017-11-08-20:00" u="1"/>
        <s v="2018-05-17-22:00" u="1"/>
        <s v="2016-01-05-15:00" u="1"/>
        <s v="2016-01-25-14:00" u="1"/>
        <s v="2016-05-19-05:00" u="1"/>
        <s v="2017-09-08-00:00" u="1"/>
        <s v="2016-01-11-10:00" u="1"/>
        <s v="2016-11-10-18:00" u="1"/>
        <s v="2016-11-30-17:00" u="1"/>
        <s v="2017-12-08-20:00" u="1"/>
        <s v="2016-02-05-15:00" u="1"/>
        <s v="2016-02-25-14:00" u="1"/>
        <s v="2016-02-11-10:00" u="1"/>
        <s v="2016-12-30-17:00" u="1"/>
        <s v="9018-06-27-12:00" u="1"/>
        <s v="2016-03-25-14:00" u="1"/>
        <s v="2016-07-19-05:00" u="1"/>
        <s v="2016-03-11-10:00" u="1"/>
        <s v="9018-07-27-12:00" u="1"/>
        <s v="2016-04-05-15:00" u="1"/>
        <s v="2016-04-25-14:00" u="1"/>
        <s v="2016-08-19-05:00" u="1"/>
        <s v="2016-04-11-10:00" u="1"/>
        <s v="2016-05-05-15:00" u="1"/>
        <s v="2016-05-25-14:00" u="1"/>
        <s v="2016-09-19-05:00" u="1"/>
        <s v="2016-05-11-10:00" u="1"/>
        <s v="2016-07-05-15:00" u="1"/>
        <s v="2016-07-25-14:00" u="1"/>
        <s v="2016-07-11-10:00" u="1"/>
        <s v="2016-08-05-15:00" u="1"/>
        <s v="2016-08-25-14:00" u="1"/>
        <s v="2016-08-11-10:00" u="1"/>
        <s v="2016-09-05-15:00" u="1"/>
        <s v="2018-01-08-00:00" u="1"/>
        <s v="2018-02-08-00:00" u="1"/>
        <s v="2018-03-08-00:00" u="1"/>
        <s v="2017-01-19-05:00" u="1"/>
        <s v="2018-05-08-00:00" u="1"/>
        <s v="2017-04-19-05:00" u="1"/>
        <s v="2017-10-10-18:00" u="1"/>
        <s v="2017-10-30-17:00" u="1"/>
        <s v="2016-10-21-09:00" u="1"/>
        <s v="2017-01-05-15:00" u="1"/>
        <s v="2017-01-25-14:00" u="1"/>
        <s v="2017-05-19-05:00" u="1"/>
        <s v="2017-01-11-10:00" u="1"/>
        <s v="2017-11-10-18:00" u="1"/>
        <s v="2017-11-30-17:00" u="1"/>
        <s v="2016-01-22-01:00" u="1"/>
        <s v="2016-11-21-09:00" u="1"/>
        <s v="2018-06-28-13:00" u="1"/>
        <s v="2017-06-19-05:00" u="1"/>
        <s v="2017-12-10-18:00" u="1"/>
        <s v="2016-02-02-02:00" u="1"/>
        <s v="2016-02-22-01:00" u="1"/>
        <s v="2016-12-21-09:00" u="1"/>
        <s v="2017-07-19-05:00" u="1"/>
        <s v="2016-03-02-02:00" u="1"/>
        <s v="2016-03-22-01:00" u="1"/>
        <s v="2017-04-05-15:00" u="1"/>
        <s v="2017-04-25-14:00" u="1"/>
        <s v="2017-04-11-10:00" u="1"/>
        <s v="2016-04-22-01:00" u="1"/>
        <s v="2016-11-16-12:00" u="1"/>
        <s v="2017-05-05-15:00" u="1"/>
        <s v="2017-05-25-14:00" u="1"/>
        <s v="2017-09-19-05:00" u="1"/>
        <s v="2017-05-11-10:00" u="1"/>
        <s v="2016-05-02-02:00" u="1"/>
        <s v="2016-12-16-12:00" u="1"/>
        <s v="2017-06-05-15:00" u="1"/>
        <s v="2016-06-02-02:00" u="1"/>
        <s v="2016-06-22-01:00" u="1"/>
        <s v="2017-07-05-15:00" u="1"/>
        <s v="2017-07-25-14:00" u="1"/>
        <s v="2017-07-11-10:00" u="1"/>
        <s v="2016-07-22-01:00" u="1"/>
        <s v="2017-08-25-14:00" u="1"/>
        <s v="9018-07-24-13:00" u="1"/>
        <s v="2017-08-11-10:00" u="1"/>
        <s v="2016-08-02-02:00" u="1"/>
        <s v="2016-08-22-01:00" u="1"/>
        <s v="2017-09-05-15:00" u="1"/>
        <s v="2017-09-25-14:00" u="1"/>
        <s v="2017-09-11-10:00" u="1"/>
        <s v="2016-09-02-02:00" u="1"/>
        <s v="2016-09-22-01:00" u="1"/>
        <s v="2018-01-19-05:00" u="1"/>
        <s v="2018-02-19-05:00" u="1"/>
        <s v="2018-03-19-05:00" u="1"/>
        <s v="2018-04-19-05:00" u="1"/>
        <s v="2018-01-05-15:00" u="1"/>
        <s v="2018-01-25-14:00" u="1"/>
        <s v="2018-01-11-10:00" u="1"/>
        <s v="2017-11-21-09:00" u="1"/>
        <s v="2018-02-05-15:00" u="1"/>
        <s v="2017-02-02-02:00" u="1"/>
        <s v="2017-02-22-01:00" u="1"/>
        <s v="2017-12-21-09:00" u="1"/>
        <s v="2018-03-05-15:00" u="1"/>
        <s v="2018-07-25-00:00" u="1"/>
        <s v="2017-03-02-02:00" u="1"/>
        <s v="2017-03-22-01:00" u="1"/>
        <s v="2017-10-16-12:00" u="1"/>
        <s v="2018-04-05-15:00" u="1"/>
        <s v="2018-04-25-14:00" u="1"/>
        <s v="2018-04-11-10:00" u="1"/>
        <s v="2017-11-16-12:00" u="1"/>
        <s v="2018-05-25-14:00" u="1"/>
        <s v="2018-05-11-10:00" u="1"/>
        <s v="2016-01-13-07:00" u="1"/>
        <s v="2017-05-02-02:00" u="1"/>
        <s v="2017-05-22-01:00" u="1"/>
        <s v="2017-06-02-02:00" u="1"/>
        <s v="2017-06-22-01:00" u="1"/>
        <s v="2018-07-25-14:00" u="1"/>
        <s v="9018-06-29-09:00" u="1"/>
        <s v="2016-10-07-18:00" u="1"/>
        <s v="2016-10-27-17:00" u="1"/>
        <s v="2016-04-13-07:00" u="1"/>
        <s v="2017-08-02-02:00" u="1"/>
        <s v="2017-08-22-01:00" u="1"/>
        <s v="2016-01-08-10:00" u="1"/>
        <s v="2016-11-07-18:00" u="1"/>
        <s v="2016-05-13-07:00" u="1"/>
        <s v="2017-09-22-01:00" u="1"/>
        <s v="2016-02-08-10:00" u="1"/>
        <s v="2016-12-07-18:00" u="1"/>
        <s v="2016-12-27-17:00" u="1"/>
        <s v="2016-06-13-07:00" u="1"/>
        <s v="2016-03-08-10:00" u="1"/>
        <s v="2016-07-13-07:00" u="1"/>
        <s v="2016-04-08-10:00" u="1"/>
        <s v="2016-09-13-07:00" u="1"/>
        <s v="2016-06-08-10:00" u="1"/>
        <s v="2016-07-08-10:00" u="1"/>
        <s v="2016-08-08-10:00" u="1"/>
        <s v="2016-09-08-10:00" u="1"/>
        <s v="2018-01-22-01:00" u="1"/>
        <s v="2018-02-02-02:00" u="1"/>
        <s v="2018-02-22-01:00" u="1"/>
        <s v="2018-03-02-02:00" u="1"/>
        <s v="2018-03-22-01:00" u="1"/>
        <s v="2018-04-02-02:00" u="1"/>
        <s v="2017-01-13-07:00" u="1"/>
        <s v="2018-05-02-02:00" u="1"/>
        <s v="2018-05-22-01:00" u="1"/>
        <s v="2017-02-13-07:00" u="1"/>
        <s v="2017-03-13-07:00" u="1"/>
        <s v="2018-07-02-02:00" u="1"/>
        <s v="2017-10-27-17:00" u="1"/>
        <s v="2016-10-04-05:00" u="1"/>
        <s v="2016-10-24-04:00" u="1"/>
        <s v="2017-04-13-07:00" u="1"/>
        <s v="2017-11-07-18:00" u="1"/>
        <s v="2017-11-27-17:00" u="1"/>
        <s v="2016-11-04-05:00" u="1"/>
        <s v="2016-11-24-04:00" u="1"/>
        <s v="2017-02-08-10:00" u="1"/>
        <s v="2017-12-07-18:00" u="1"/>
        <s v="2017-12-27-17:00" u="1"/>
        <s v="2017-06-13-07:00" u="1"/>
        <s v="2017-03-08-10:00" u="1"/>
        <s v="2017-07-13-07:00" u="1"/>
        <s v="2016-01-19-15:00" u="1"/>
        <s v="2017-05-08-10:00" u="1"/>
        <s v="2017-09-13-07:00" u="1"/>
        <s v="2016-02-19-15:00" u="1"/>
        <s v="2017-06-08-10:00" u="1"/>
        <s v="2016-04-19-15:00" u="1"/>
        <s v="2017-08-08-10:00" u="1"/>
        <s v="2016-05-19-15:00" u="1"/>
        <s v="2017-09-08-10:00" u="1"/>
        <s v="2016-01-11-20:00" u="1"/>
        <s v="2016-02-11-20:00" u="1"/>
        <s v="9018-06-27-22:00" u="1"/>
        <s v="2016-07-19-15:00" u="1"/>
        <s v="2016-03-11-20:00" u="1"/>
        <s v="9018-07-27-22:00" u="1"/>
        <s v="2016-08-19-15:00" u="1"/>
        <s v="2016-04-11-20:00" u="1"/>
        <s v="2016-09-19-15:00" u="1"/>
        <s v="2016-05-11-20:00" u="1"/>
        <s v="2018-02-13-07:00" u="1"/>
        <s v="2016-07-11-20:00" u="1"/>
        <s v="2018-03-13-07:00" u="1"/>
        <s v="2016-08-11-20:00" u="1"/>
        <s v="2017-10-04-05:00" u="1"/>
        <s v="2017-10-24-04:00" u="1"/>
        <s v="2018-04-13-07:00" u="1"/>
        <s v="2018-01-08-10:00" u="1"/>
        <s v="2016-09-11-20:00" u="1"/>
        <s v="2017-11-24-04:00" u="1"/>
        <s v="2018-02-08-10:00" u="1"/>
        <s v="2017-12-04-05:00" u="1"/>
        <s v="2018-03-08-10:00" u="1"/>
        <s v="2017-01-19-15:00" u="1"/>
        <s v="2018-05-08-10:00" u="1"/>
        <s v="2016-02-16-02:00" u="1"/>
        <s v="2016-03-16-02:00" u="1"/>
        <s v="2017-04-19-15:00" u="1"/>
        <s v="2016-10-21-19:00" u="1"/>
        <s v="2017-05-19-15:00" u="1"/>
        <s v="2017-01-11-20:00" u="1"/>
        <s v="2016-01-22-11:00" u="1"/>
        <s v="2016-05-16-02:00" u="1"/>
        <s v="2016-11-21-19:00" u="1"/>
        <s v="2018-06-28-23:00" u="1"/>
        <s v="2017-06-19-15:00" u="1"/>
        <s v="2016-02-02-12:00" u="1"/>
        <s v="2016-02-22-11:00" u="1"/>
        <s v="2016-06-16-02:00" u="1"/>
        <s v="2016-12-21-19:00" u="1"/>
        <s v="2017-07-19-15:00" u="1"/>
        <s v="2016-03-02-12:00" u="1"/>
        <s v="2016-03-22-11:00" u="1"/>
        <s v="2017-04-11-20:00" u="1"/>
        <s v="2016-04-22-11:00" u="1"/>
        <s v="2016-08-16-02:00" u="1"/>
        <s v="2016-11-16-22:00" u="1"/>
        <s v="2017-09-19-15:00" u="1"/>
        <s v="2017-05-11-20:00" u="1"/>
        <s v="2016-05-02-12:00" u="1"/>
        <s v="2016-09-16-02:00" u="1"/>
        <s v="2016-12-16-22:00" u="1"/>
        <s v="2017-06-11-20:00" u="1"/>
        <s v="2016-06-02-12:00" u="1"/>
        <s v="2016-06-22-11:00" u="1"/>
        <s v="2017-07-11-20:00" u="1"/>
        <s v="2016-07-22-11:00" u="1"/>
        <s v="9018-07-24-23:00" u="1"/>
        <s v="2017-08-11-20:00" u="1"/>
        <s v="2016-08-02-12:00" u="1"/>
        <s v="2016-08-22-11:00" u="1"/>
        <s v="2017-09-11-20:00" u="1"/>
        <s v="2016-09-02-12:00" u="1"/>
        <s v="2016-09-22-11:00" u="1"/>
        <s v="2018-01-19-15:00" u="1"/>
        <s v="2017-01-16-02:00" u="1"/>
        <s v="2018-02-19-15:00" u="1"/>
        <s v="2017-02-16-02:00" u="1"/>
        <s v="2018-03-19-15:00" u="1"/>
        <s v="2017-03-16-02:00" u="1"/>
        <s v="2018-04-19-15:00" u="1"/>
        <s v="2016-10-07-00:00" u="1"/>
        <s v="2018-01-11-20:00" u="1"/>
        <s v="2016-01-07-08:00" u="1"/>
        <s v="2016-01-27-07:00" u="1"/>
        <s v="2016-11-07-00:00" u="1"/>
        <s v="2017-01-02-12:00" u="1"/>
        <s v="2017-05-16-02:00" u="1"/>
        <s v="2017-11-21-19:00" u="1"/>
        <s v="2018-02-11-20:00" u="1"/>
        <s v="2016-12-07-00:00" u="1"/>
        <s v="2017-02-02-12:00" u="1"/>
        <s v="2017-02-22-11:00" u="1"/>
        <s v="2017-06-16-02:00" u="1"/>
        <s v="2017-12-21-19:00" u="1"/>
        <s v="2018-03-11-20:00" u="1"/>
        <s v="2018-07-25-10:00" u="1"/>
        <s v="9018-06-29-05:00" u="1"/>
        <s v="2016-03-07-08:00" u="1"/>
        <s v="2017-03-02-12:00" u="1"/>
        <s v="2017-03-22-11:00" u="1"/>
        <s v="2017-10-16-22:00" u="1"/>
        <s v="2018-04-11-20:00" u="1"/>
        <s v="2016-04-07-08:00" u="1"/>
        <s v="2016-04-27-07:00" u="1"/>
        <s v="2017-08-16-02:00" u="1"/>
        <s v="2017-11-16-22:00" u="1"/>
        <s v="2018-05-11-20:00" u="1"/>
        <s v="2016-01-13-17:00" u="1"/>
        <s v="2016-05-27-07:00" u="1"/>
        <s v="2017-05-02-12:00" u="1"/>
        <s v="2017-05-22-11:00" u="1"/>
        <s v="2016-06-07-08:00" u="1"/>
        <s v="2016-06-27-07:00" u="1"/>
        <s v="2017-06-02-12:00" u="1"/>
        <s v="2017-06-22-11:00" u="1"/>
        <s v="9018-06-29-19:00" u="1"/>
        <s v="2016-07-07-08:00" u="1"/>
        <s v="2016-07-27-07:00" u="1"/>
        <s v="2016-04-13-17:00" u="1"/>
        <s v="2017-08-02-12:00" u="1"/>
        <s v="2017-08-22-11:00" u="1"/>
        <s v="2016-01-08-20:00" u="1"/>
        <s v="2016-05-13-17:00" u="1"/>
        <s v="2016-09-07-08:00" u="1"/>
        <s v="2016-09-27-07:00" u="1"/>
        <s v="2017-09-22-11:00" u="1"/>
        <s v="2016-02-08-20:00" u="1"/>
        <s v="2016-06-13-17:00" u="1"/>
        <s v="2016-03-08-20:00" u="1"/>
        <s v="2016-07-13-17:00" u="1"/>
        <s v="2016-04-08-20:00" u="1"/>
        <s v="2016-09-13-17:00" u="1"/>
        <s v="2018-01-16-02:00" u="1"/>
        <s v="2016-06-08-20:00" u="1"/>
        <s v="2018-02-16-02:00" u="1"/>
        <s v="2016-07-08-20:00" u="1"/>
        <s v="2018-03-16-02:00" u="1"/>
        <s v="2016-08-08-20:00" u="1"/>
        <s v="2018-04-16-02:00" u="1"/>
        <s v="2016-09-08-20:00" u="1"/>
        <s v="2017-01-27-07:00" u="1"/>
        <s v="2017-11-07-00:00" u="1"/>
        <s v="2018-01-02-12:00" u="1"/>
        <s v="2018-01-22-11:00" u="1"/>
        <s v="2018-05-16-02:00" u="1"/>
        <s v="2017-02-07-08:00" u="1"/>
        <s v="2017-02-27-07:00" u="1"/>
        <s v="2017-12-07-00:00" u="1"/>
        <s v="2018-02-02-12:00" u="1"/>
        <s v="2018-02-22-11:00" u="1"/>
        <s v="2017-03-07-08:00" u="1"/>
        <s v="2017-03-27-07:00" u="1"/>
        <s v="2018-03-02-12:00" u="1"/>
        <s v="2018-03-22-11:00" u="1"/>
        <s v="2016-10-18-05:00" u="1"/>
        <s v="2017-04-07-08:00" u="1"/>
        <s v="2017-04-27-07:00" u="1"/>
        <s v="2018-04-02-12:00" u="1"/>
        <s v="2016-11-18-05:00" u="1"/>
        <s v="2017-01-13-17:00" u="1"/>
        <s v="2018-05-02-12:00" u="1"/>
        <s v="2018-05-22-11:00" u="1"/>
        <s v="2017-02-13-17:00" u="1"/>
        <s v="2017-06-07-08:00" u="1"/>
        <s v="2017-06-27-07:00" u="1"/>
        <s v="2016-02-10-04:00" u="1"/>
        <s v="2017-03-13-17:00" u="1"/>
        <s v="2017-07-07-08:00" u="1"/>
        <s v="2017-07-27-07:00" u="1"/>
        <s v="2016-03-10-04:00" u="1"/>
        <s v="2016-03-30-03:00" u="1"/>
        <s v="2016-10-04-15:00" u="1"/>
        <s v="2016-10-24-14:00" u="1"/>
        <s v="2017-04-13-17:00" u="1"/>
        <s v="2017-08-07-08:00" u="1"/>
        <s v="9018-07-26-06:00" u="1"/>
        <s v="2016-11-04-15:00" u="1"/>
        <s v="2016-11-24-14:00" u="1"/>
        <s v="2017-09-07-08:00" u="1"/>
        <s v="2017-09-27-07:00" u="1"/>
        <s v="2016-05-10-04:00" u="1"/>
        <s v="2016-05-30-03:00" u="1"/>
        <s v="2017-02-08-20:00" u="1"/>
        <s v="2017-06-13-17:00" u="1"/>
        <s v="2016-06-10-04:00" u="1"/>
        <s v="2016-06-30-03:00" u="1"/>
        <s v="2017-03-08-20:00" u="1"/>
        <s v="2017-07-13-17:00" u="1"/>
        <s v="2016-08-10-04:00" u="1"/>
        <s v="2016-08-30-03:00" u="1"/>
        <s v="2017-05-08-20:00" u="1"/>
        <s v="2017-09-13-17:00" u="1"/>
        <s v="2016-09-30-03:00" u="1"/>
        <s v="2017-06-08-20:00" u="1"/>
        <s v="2017-08-08-20:00" u="1"/>
        <s v="2017-09-08-20:00" u="1"/>
        <s v="2018-02-07-08:00" u="1"/>
        <s v="2018-02-27-07:00" u="1"/>
        <s v="2018-03-07-08:00" u="1"/>
        <s v="2018-03-27-07:00" u="1"/>
        <s v="2017-10-18-05:00" u="1"/>
        <s v="2018-04-27-07:00" u="1"/>
        <s v="2018-05-07-08:00" u="1"/>
        <s v="2017-01-10-04:00" u="1"/>
        <s v="2017-01-30-03:00" u="1"/>
        <s v="2017-12-18-05:00" u="1"/>
        <s v="2018-02-13-17:00" u="1"/>
        <s v="2018-06-27-07:00" u="1"/>
        <s v="2017-02-10-04:00" u="1"/>
        <s v="2018-03-13-17:00" u="1"/>
        <s v="2018-07-27-07:00" u="1"/>
        <s v="2017-03-10-04:00" u="1"/>
        <s v="2017-03-30-03:00" u="1"/>
        <s v="2017-10-04-15:00" u="1"/>
        <s v="2017-10-24-14:00" u="1"/>
        <s v="2018-04-13-17:00" u="1"/>
        <s v="2016-10-21-01:00" u="1"/>
        <s v="2017-04-10-04:00" u="1"/>
        <s v="2018-01-08-20:00" u="1"/>
        <s v="2017-11-24-14:00" u="1"/>
        <s v="2016-01-21-09:00" u="1"/>
        <s v="2016-11-01-02:00" u="1"/>
        <s v="2016-11-21-01:00" u="1"/>
        <s v="2017-05-10-04:00" u="1"/>
        <s v="2017-05-30-03:00" u="1"/>
        <s v="2018-02-08-20:00" u="1"/>
        <s v="2017-12-04-15:00" u="1"/>
        <s v="2016-12-01-02:00" u="1"/>
        <s v="2016-12-21-01:00" u="1"/>
        <s v="2017-06-30-03:00" u="1"/>
        <s v="2018-03-08-20:00" u="1"/>
        <s v="2016-03-21-09:00" u="1"/>
        <s v="2017-07-10-04:00" u="1"/>
        <s v="2016-04-21-09:00" u="1"/>
        <s v="2017-08-10-04:00" u="1"/>
        <s v="2017-08-30-03:00" u="1"/>
        <s v="2018-05-08-20:00" u="1"/>
        <s v="2016-02-16-12:00" u="1"/>
        <s v="2016-06-21-09:00" u="1"/>
        <s v="2016-03-16-12:00" u="1"/>
        <s v="2016-07-21-09:00" u="1"/>
        <s v="2016-01-22-21:00" u="1"/>
        <s v="2016-05-16-12:00" u="1"/>
        <s v="2016-09-21-09:00" u="1"/>
        <s v="2016-02-02-22:00" u="1"/>
        <s v="2016-02-22-21:00" u="1"/>
        <s v="2016-06-16-12:00" u="1"/>
        <s v="2016-03-02-22:00" u="1"/>
        <s v="2016-03-22-21:00" u="1"/>
        <s v="2016-04-22-21:00" u="1"/>
        <s v="2016-08-16-12:00" u="1"/>
        <s v="2016-05-02-22:00" u="1"/>
        <s v="2016-09-16-12:00" u="1"/>
        <s v="2018-01-10-04:00" u="1"/>
        <s v="2018-01-30-03:00" u="1"/>
        <s v="2016-06-02-22:00" u="1"/>
        <s v="2016-06-22-21:00" u="1"/>
        <s v="2016-07-22-21:00" u="1"/>
        <s v="2018-03-30-03:00" u="1"/>
        <s v="2016-08-02-22:00" u="1"/>
        <s v="2016-08-22-21:00" u="1"/>
        <s v="2018-04-10-04:00" u="1"/>
        <s v="2018-04-30-03:00" u="1"/>
        <s v="2016-09-02-22:00" u="1"/>
        <s v="2016-09-22-21:00" u="1"/>
        <s v="2017-11-01-02:00" u="1"/>
        <s v="2017-11-21-01:00" u="1"/>
        <s v="2018-05-10-04:00" u="1"/>
        <s v="2017-02-21-09:00" u="1"/>
        <s v="2017-12-01-02:00" u="1"/>
        <s v="2017-12-21-01:00" u="1"/>
        <s v="2018-07-24-08:00" u="1"/>
        <s v="2017-03-21-09:00" u="1"/>
        <s v="2016-10-12-07:00" u="1"/>
        <s v="2017-04-21-09:00" u="1"/>
        <s v="2017-01-16-12:00" u="1"/>
        <s v="2017-02-16-12:00" u="1"/>
        <s v="2016-12-12-07:00" u="1"/>
        <s v="2017-06-21-09:00" u="1"/>
        <s v="2017-03-16-12:00" u="1"/>
        <s v="9018-06-29-01:00" u="1"/>
        <s v="2017-07-21-09:00" u="1"/>
        <s v="2016-10-07-10:00" u="1"/>
        <s v="2017-08-21-09:00" u="1"/>
        <s v="2016-01-07-18:00" u="1"/>
        <s v="2016-01-27-17:00" u="1"/>
        <s v="2016-11-07-10:00" u="1"/>
        <s v="2017-01-02-22:00" u="1"/>
        <s v="2017-05-16-12:00" u="1"/>
        <s v="2017-09-21-09:00" u="1"/>
        <s v="2016-12-07-10:00" u="1"/>
        <s v="2017-02-02-22:00" u="1"/>
        <s v="2017-02-22-21:00" u="1"/>
        <s v="2017-06-16-12:00" u="1"/>
        <s v="2018-07-25-20:00" u="1"/>
        <s v="9018-06-29-15:00" u="1"/>
        <s v="2016-03-07-18:00" u="1"/>
        <s v="2017-03-02-22:00" u="1"/>
        <s v="2017-03-22-21:00" u="1"/>
        <s v="2016-04-07-18:00" u="1"/>
        <s v="2016-04-27-17:00" u="1"/>
        <s v="2017-08-16-12:00" u="1"/>
        <s v="2016-05-27-17:00" u="1"/>
        <s v="2017-05-02-22:00" u="1"/>
        <s v="2017-05-22-21:00" u="1"/>
        <s v="2016-06-07-18:00" u="1"/>
        <s v="2016-06-27-17:00" u="1"/>
        <s v="2017-06-02-22:00" u="1"/>
        <s v="2017-06-22-21:00" u="1"/>
        <s v="2016-07-07-18:00" u="1"/>
        <s v="2016-07-27-17:00" u="1"/>
        <s v="2017-08-02-22:00" u="1"/>
        <s v="2017-08-22-21:00" u="1"/>
        <s v="2016-09-07-18:00" u="1"/>
        <s v="2016-09-27-17:00" u="1"/>
        <s v="2017-09-22-21:00" u="1"/>
        <s v="2018-02-21-09:00" u="1"/>
        <s v="2018-03-21-09:00" u="1"/>
        <s v="2017-10-12-07:00" u="1"/>
        <s v="2018-01-16-12:00" u="1"/>
        <s v="2018-05-21-09:00" u="1"/>
        <s v="2018-02-16-12:00" u="1"/>
        <s v="2017-12-12-07:00" u="1"/>
        <s v="2018-03-16-12:00" u="1"/>
        <s v="2018-04-16-12:00" u="1"/>
        <s v="2017-01-27-17:00" u="1"/>
        <s v="2017-11-07-10:00" u="1"/>
        <s v="2018-01-02-22:00" u="1"/>
        <s v="2018-01-22-21:00" u="1"/>
        <s v="2018-05-16-12:00" u="1"/>
        <s v="2016-01-04-05:00" u="1"/>
        <s v="2017-02-07-18:00" u="1"/>
        <s v="2017-02-27-17:00" u="1"/>
        <s v="2017-12-07-10:00" u="1"/>
        <s v="2018-02-02-22:00" u="1"/>
        <s v="2018-02-22-21:00" u="1"/>
        <s v="2016-02-04-05:00" u="1"/>
        <s v="2016-02-24-04:00" u="1"/>
        <s v="2017-03-07-18:00" u="1"/>
        <s v="2017-03-27-17:00" u="1"/>
        <s v="2018-03-02-22:00" u="1"/>
        <s v="2018-03-22-21:00" u="1"/>
        <s v="2016-03-04-05:00" u="1"/>
        <s v="2016-03-24-04:00" u="1"/>
        <s v="2016-10-18-15:00" u="1"/>
        <s v="2017-04-07-18:00" u="1"/>
        <s v="2017-04-27-17:00" u="1"/>
        <s v="2018-04-02-22:00" u="1"/>
        <s v="9018-07-26-02:00" u="1"/>
        <s v="2016-04-04-05:00" u="1"/>
        <s v="2016-11-18-15:00" u="1"/>
        <s v="2018-05-02-22:00" u="1"/>
        <s v="2018-05-22-21:00" u="1"/>
        <s v="2016-05-04-05:00" u="1"/>
        <s v="2016-05-24-04:00" u="1"/>
        <s v="2017-06-07-18:00" u="1"/>
        <s v="2017-06-27-17:00" u="1"/>
        <s v="2016-02-10-14:00" u="1"/>
        <s v="2016-06-24-04:00" u="1"/>
        <s v="2017-07-07-18:00" u="1"/>
        <s v="2017-07-27-17:00" u="1"/>
        <s v="9018-06-26-16:00" u="1"/>
        <s v="2016-03-10-14:00" u="1"/>
        <s v="2016-03-30-13:00" u="1"/>
        <s v="2016-07-04-05:00" u="1"/>
        <s v="2017-08-07-18:00" u="1"/>
        <s v="9018-07-26-16:00" u="1"/>
        <s v="2016-08-04-05:00" u="1"/>
        <s v="2016-08-24-04:00" u="1"/>
        <s v="2017-09-07-18:00" u="1"/>
        <s v="2017-09-27-17:00" u="1"/>
        <s v="2016-05-10-14:00" u="1"/>
        <s v="2016-05-30-13:00" u="1"/>
        <s v="2016-06-10-14:00" u="1"/>
        <s v="2016-06-30-13:00" u="1"/>
        <s v="2016-08-10-14:00" u="1"/>
        <s v="2016-08-30-13:00" u="1"/>
        <s v="2016-09-30-13:00" u="1"/>
        <s v="2017-01-04-05:00" u="1"/>
        <s v="2017-01-24-04:00" u="1"/>
        <s v="2018-02-07-18:00" u="1"/>
        <s v="2018-02-27-17:00" u="1"/>
        <s v="2018-06-27-03:00" u="1"/>
        <s v="2017-02-24-04:00" u="1"/>
        <s v="2018-03-07-18:00" u="1"/>
        <s v="2018-03-27-17:00" u="1"/>
        <s v="2018-07-27-03:00" u="1"/>
        <s v="2017-03-24-04:00" u="1"/>
        <s v="2017-10-18-15:00" u="1"/>
        <s v="2018-04-27-17:00" u="1"/>
        <s v="2017-04-04-05:00" u="1"/>
        <s v="2017-04-24-04:00" u="1"/>
        <s v="2018-05-07-18:00" u="1"/>
        <s v="2016-11-09-07:00" u="1"/>
        <s v="2016-11-29-06:00" u="1"/>
        <s v="2016-11-15-02:00" u="1"/>
        <s v="2017-01-10-14:00" u="1"/>
        <s v="2017-01-30-13:00" u="1"/>
        <s v="2017-05-04-05:00" u="1"/>
        <s v="2017-05-24-04:00" u="1"/>
        <s v="2017-12-18-15:00" u="1"/>
        <s v="2018-06-27-17:00" u="1"/>
        <s v="2016-12-09-07:00" u="1"/>
        <s v="2016-12-29-06:00" u="1"/>
        <s v="2016-12-15-02:00" u="1"/>
        <s v="2017-02-10-14:00" u="1"/>
        <s v="2018-07-27-17:00" u="1"/>
        <s v="2017-03-10-14:00" u="1"/>
        <s v="2017-03-30-13:00" u="1"/>
        <s v="2017-07-04-05:00" u="1"/>
        <s v="2017-07-24-04:00" u="1"/>
        <s v="2016-10-21-11:00" u="1"/>
        <s v="2017-04-10-14:00" u="1"/>
        <s v="2017-08-04-05:00" u="1"/>
        <s v="2017-08-24-04:00" u="1"/>
        <s v="2016-01-21-19:00" u="1"/>
        <s v="2016-11-01-12:00" u="1"/>
        <s v="2016-11-21-11:00" u="1"/>
        <s v="2017-05-10-14:00" u="1"/>
        <s v="2017-05-30-13:00" u="1"/>
        <s v="2017-09-04-05:00" u="1"/>
        <s v="2016-12-01-12:00" u="1"/>
        <s v="2016-12-21-11:00" u="1"/>
        <s v="2017-06-30-13:00" u="1"/>
        <s v="2016-03-21-19:00" u="1"/>
        <s v="2017-07-10-14:00" u="1"/>
        <s v="2016-04-21-19:00" u="1"/>
        <s v="2017-08-10-14:00" u="1"/>
        <s v="2017-08-30-13:00" u="1"/>
        <s v="2016-02-16-22:00" u="1"/>
        <s v="2016-06-21-19:00" u="1"/>
        <s v="2016-03-16-22:00" u="1"/>
        <s v="2016-07-21-19:00" u="1"/>
        <s v="2016-05-16-22:00" u="1"/>
        <s v="2016-09-21-19:00" u="1"/>
        <s v="2018-01-04-05:00" u="1"/>
        <s v="2018-01-24-04:00" u="1"/>
        <s v="2016-06-16-22:00" u="1"/>
        <s v="2016-08-16-22:00" u="1"/>
        <s v="2017-10-09-07:00" u="1"/>
        <s v="2018-04-04-05:00" u="1"/>
        <s v="2018-04-24-04:00" u="1"/>
        <s v="2016-09-16-22:00" u="1"/>
        <s v="2017-11-09-07:00" u="1"/>
        <s v="2017-11-29-06:00" u="1"/>
        <s v="2017-11-15-02:00" u="1"/>
        <s v="2018-01-10-14:00" u="1"/>
        <s v="2018-01-30-13:00" u="1"/>
        <s v="2018-05-04-05:00" u="1"/>
        <s v="2018-05-24-04:00" u="1"/>
        <s v="2017-12-29-06:00" u="1"/>
        <s v="2017-12-15-02:00" u="1"/>
        <s v="2018-03-30-13:00" u="1"/>
        <s v="2018-07-24-04:00" u="1"/>
        <s v="2016-10-06-08:00" u="1"/>
        <s v="2016-10-26-07:00" u="1"/>
        <s v="2018-04-10-14:00" u="1"/>
        <s v="2018-04-30-13:00" u="1"/>
        <s v="2016-01-07-00:00" u="1"/>
        <s v="2017-11-01-12:00" u="1"/>
        <s v="2017-11-21-11:00" u="1"/>
        <s v="2018-05-10-14:00" u="1"/>
        <s v="2016-12-06-08:00" u="1"/>
        <s v="2017-02-21-19:00" u="1"/>
        <s v="2017-12-01-12:00" u="1"/>
        <s v="2017-12-21-11:00" u="1"/>
        <s v="2018-07-24-18:00" u="1"/>
        <s v="2016-03-07-00:00" u="1"/>
        <s v="2017-03-21-19:00" u="1"/>
        <s v="2016-04-07-00:00" u="1"/>
        <s v="2016-10-12-17:00" u="1"/>
        <s v="2017-04-21-19:00" u="1"/>
        <s v="2017-01-16-22:00" u="1"/>
        <s v="2017-02-16-22:00" u="1"/>
        <s v="2016-06-07-00:00" u="1"/>
        <s v="2016-12-12-17:00" u="1"/>
        <s v="2017-06-21-19:00" u="1"/>
        <s v="2017-03-16-22:00" u="1"/>
        <s v="9018-06-29-11:00" u="1"/>
        <s v="2016-07-07-00:00" u="1"/>
        <s v="2017-07-21-19:00" u="1"/>
        <s v="2016-10-07-20:00" u="1"/>
        <s v="2017-08-21-19:00" u="1"/>
        <s v="2016-11-07-20:00" u="1"/>
        <s v="2017-05-16-22:00" u="1"/>
        <s v="2016-09-07-00:00" u="1"/>
        <s v="2017-09-21-19:00" u="1"/>
        <s v="2016-12-07-20:00" u="1"/>
        <s v="2017-06-16-22:00" u="1"/>
        <s v="2017-08-16-22:00" u="1"/>
        <s v="2017-10-06-08:00" u="1"/>
        <s v="2017-10-26-07:00" u="1"/>
        <s v="2017-11-06-08:00" u="1"/>
        <s v="2017-02-07-00:00" u="1"/>
        <s v="2017-12-06-08:00" u="1"/>
        <s v="2017-12-26-07:00" u="1"/>
        <s v="2018-02-21-19:00" u="1"/>
        <s v="2017-03-07-00:00" u="1"/>
        <s v="2018-03-21-19:00" u="1"/>
        <s v="2017-04-07-00:00" u="1"/>
        <s v="2017-10-12-17:00" u="1"/>
        <s v="2018-01-16-22:00" u="1"/>
        <s v="2018-05-21-19:00" u="1"/>
        <s v="2018-02-16-22:00" u="1"/>
        <s v="2017-06-07-00:00" u="1"/>
        <s v="2017-12-12-17:00" u="1"/>
        <s v="2018-03-16-22:00" u="1"/>
        <s v="2017-07-07-00:00" u="1"/>
        <s v="2018-04-16-22:00" u="1"/>
        <s v="2017-08-07-00:00" u="1"/>
        <s v="2017-11-07-20:00" u="1"/>
        <s v="2018-05-16-22:00" u="1"/>
        <s v="2016-01-04-15:00" u="1"/>
        <s v="2017-09-07-00:00" u="1"/>
        <s v="2017-12-07-20:00" u="1"/>
        <s v="2016-02-04-15:00" u="1"/>
        <s v="2016-02-24-14:00" u="1"/>
        <s v="9018-06-26-12:00" u="1"/>
        <s v="2016-03-04-15:00" u="1"/>
        <s v="2016-03-24-14:00" u="1"/>
        <s v="9018-07-26-12:00" u="1"/>
        <s v="2016-04-04-15:00" u="1"/>
        <s v="2016-05-04-15:00" u="1"/>
        <s v="2016-05-24-14:00" u="1"/>
        <s v="2016-06-24-14:00" u="1"/>
        <s v="2016-03-30-23:00" u="1"/>
        <s v="2016-07-04-15:00" u="1"/>
        <s v="2016-08-04-15:00" u="1"/>
        <s v="2016-08-24-14:00" u="1"/>
        <s v="2016-05-30-23:00" u="1"/>
        <s v="2016-06-30-23:00" u="1"/>
        <s v="2018-02-07-00:00" u="1"/>
        <s v="2018-03-07-00:00" u="1"/>
        <s v="2016-08-30-23:00" u="1"/>
        <s v="2016-09-30-23:00" u="1"/>
        <s v="2018-05-07-00:00" u="1"/>
        <s v="2018-08-07-00:00" u="1"/>
        <s v="2016-10-20-09:00" u="1"/>
        <s v="2017-01-04-15:00" u="1"/>
        <s v="2017-01-24-14:00" u="1"/>
        <s v="2016-01-21-01:00" u="1"/>
        <s v="2018-06-27-13:00" u="1"/>
        <s v="2017-02-24-14:00" u="1"/>
        <s v="2016-02-01-02:00" u="1"/>
        <s v="2016-12-20-09:00" u="1"/>
        <s v="2018-07-27-13:00" u="1"/>
        <s v="2017-03-24-14:00" u="1"/>
        <s v="2016-03-01-02:00" u="1"/>
        <s v="2016-03-21-01:00" u="1"/>
        <s v="2017-04-04-15:00" u="1"/>
        <s v="2017-04-24-14:00" u="1"/>
        <s v="2016-04-01-02:00" u="1"/>
        <s v="2016-04-21-01:00" u="1"/>
        <s v="2016-11-09-17:00" u="1"/>
        <s v="2016-11-29-16:00" u="1"/>
        <s v="2016-11-15-12:00" u="1"/>
        <s v="2017-01-30-23:00" u="1"/>
        <s v="2017-05-04-15:00" u="1"/>
        <s v="2017-05-24-14:00" u="1"/>
        <s v="2016-12-09-17:00" u="1"/>
        <s v="2016-12-29-16:00" u="1"/>
        <s v="2016-12-15-12:00" u="1"/>
        <s v="2016-06-01-02:00" u="1"/>
        <s v="2016-06-21-01:00" u="1"/>
        <s v="2017-03-30-23:00" u="1"/>
        <s v="2017-07-04-15:00" u="1"/>
        <s v="2017-07-24-14:00" u="1"/>
        <s v="2016-07-01-02:00" u="1"/>
        <s v="2016-07-21-01:00" u="1"/>
        <s v="2016-10-21-21:00" u="1"/>
        <s v="2017-08-04-15:00" u="1"/>
        <s v="2017-08-24-14:00" u="1"/>
        <s v="2016-08-01-02:00" u="1"/>
        <s v="2016-11-01-22:00" u="1"/>
        <s v="2016-11-21-21:00" u="1"/>
        <s v="2017-05-30-23:00" u="1"/>
        <s v="2017-09-04-15:00" u="1"/>
        <s v="2016-09-01-02:00" u="1"/>
        <s v="2016-09-21-01:00" u="1"/>
        <s v="2016-12-01-22:00" u="1"/>
        <s v="2016-12-21-21:00" u="1"/>
        <s v="2017-06-30-23:00" u="1"/>
        <s v="2017-08-30-23:00" u="1"/>
        <s v="2017-10-20-09:00" u="1"/>
        <s v="2018-01-04-15:00" u="1"/>
        <s v="2018-01-24-14:00" u="1"/>
        <s v="2017-11-20-09:00" u="1"/>
        <s v="2017-02-01-02:00" u="1"/>
        <s v="2017-02-21-01:00" u="1"/>
        <s v="2017-12-20-09:00" u="1"/>
        <s v="2017-03-01-02:00" u="1"/>
        <s v="2017-03-21-01:00" u="1"/>
        <s v="2017-10-09-17:00" u="1"/>
        <s v="2018-04-04-15:00" u="1"/>
        <s v="2018-04-24-14:00" u="1"/>
        <s v="2017-04-21-01:00" u="1"/>
        <s v="2017-11-09-17:00" u="1"/>
        <s v="2017-11-29-16:00" u="1"/>
        <s v="2017-11-15-12:00" u="1"/>
        <s v="2018-01-30-23:00" u="1"/>
        <s v="2018-05-04-15:00" u="1"/>
        <s v="2018-05-24-14:00" u="1"/>
        <s v="2016-01-12-07:00" u="1"/>
        <s v="2017-05-01-02:00" u="1"/>
        <s v="2017-12-29-16:00" u="1"/>
        <s v="2017-12-15-12:00" u="1"/>
        <s v="2016-02-12-07:00" u="1"/>
        <s v="2017-06-01-02:00" u="1"/>
        <s v="2017-06-21-01:00" u="1"/>
        <s v="2018-03-30-23:00" u="1"/>
        <s v="2018-07-24-14:00" u="1"/>
        <s v="9018-06-28-09:00" u="1"/>
        <s v="2017-07-21-01:00" u="1"/>
        <s v="2016-10-06-18:00" u="1"/>
        <s v="2016-10-26-17:00" u="1"/>
        <s v="2018-04-30-23:00" u="1"/>
        <s v="2016-04-12-07:00" u="1"/>
        <s v="2017-08-01-02:00" u="1"/>
        <s v="2017-08-21-01:00" u="1"/>
        <s v="2016-01-07-10:00" u="1"/>
        <s v="2016-11-06-18:00" u="1"/>
        <s v="2017-11-01-22:00" u="1"/>
        <s v="2017-11-21-21:00" u="1"/>
        <s v="2016-05-12-07:00" u="1"/>
        <s v="2017-09-01-02:00" u="1"/>
        <s v="2017-09-21-01:00" u="1"/>
        <s v="2016-12-06-18:00" u="1"/>
        <s v="2016-12-26-17:00" u="1"/>
        <s v="2017-12-01-22:00" u="1"/>
        <s v="2017-12-21-21:00" u="1"/>
        <s v="2016-03-07-10:00" u="1"/>
        <s v="2016-07-12-07:00" u="1"/>
        <s v="2016-04-07-10:00" u="1"/>
        <s v="2016-08-12-07:00" u="1"/>
        <s v="2016-09-12-07:00" u="1"/>
        <s v="2016-06-07-10:00" u="1"/>
        <s v="9018-06-29-21:00" u="1"/>
        <s v="2016-07-07-10:00" u="1"/>
        <s v="2016-09-07-10:00" u="1"/>
        <s v="2018-02-01-02:00" u="1"/>
        <s v="2018-02-21-01:00" u="1"/>
        <s v="2018-03-01-02:00" u="1"/>
        <s v="2018-03-21-01:00" u="1"/>
        <s v="2017-01-12-07:00" u="1"/>
        <s v="2018-05-01-02:00" u="1"/>
        <s v="2018-05-21-01:00" u="1"/>
        <s v="2017-10-06-18:00" u="1"/>
        <s v="2017-10-26-17:00" u="1"/>
        <s v="2016-10-17-09:00" u="1"/>
        <s v="2016-10-03-05:00" u="1"/>
        <s v="2017-04-12-07:00" u="1"/>
        <s v="2017-11-06-18:00" u="1"/>
        <s v="2017-11-26-17:00" u="1"/>
        <s v="2016-01-18-01:00" u="1"/>
        <s v="2016-11-17-09:00" u="1"/>
        <s v="2016-11-03-05:00" u="1"/>
        <s v="2016-11-23-04:00" u="1"/>
        <s v="2017-05-12-07:00" u="1"/>
        <s v="2017-02-07-10:00" u="1"/>
        <s v="2017-12-06-18:00" u="1"/>
        <s v="2017-12-26-17:00" u="1"/>
        <s v="2016-02-18-01:00" u="1"/>
        <s v="2016-12-23-04:00" u="1"/>
        <s v="2017-06-12-07:00" u="1"/>
        <s v="2017-03-07-10:00" u="1"/>
        <s v="2016-03-18-01:00" u="1"/>
        <s v="2017-07-12-07:00" u="1"/>
        <s v="2017-04-07-10:00" u="1"/>
        <s v="2016-04-18-01:00" u="1"/>
        <s v="2016-05-18-01:00" u="1"/>
        <s v="2017-09-12-07:00" u="1"/>
        <s v="2017-06-07-10:00" u="1"/>
        <s v="2017-07-07-10:00" u="1"/>
        <s v="2016-07-18-01:00" u="1"/>
        <s v="2017-08-07-10:00" u="1"/>
        <s v="2016-08-18-01:00" u="1"/>
        <s v="2017-09-07-10:00" u="1"/>
        <s v="9018-06-26-22:00" u="1"/>
        <s v="9018-07-26-22:00" u="1"/>
        <s v="2018-01-12-07:00" u="1"/>
        <s v="2018-02-12-07:00" u="1"/>
        <s v="2018-03-12-07:00" u="1"/>
        <s v="2017-10-17-09:00" u="1"/>
        <s v="2017-10-03-05:00" u="1"/>
        <s v="2017-10-23-04:00" u="1"/>
        <s v="2018-04-12-07:00" u="1"/>
        <s v="2017-01-18-01:00" u="1"/>
        <s v="2017-11-17-09:00" u="1"/>
        <s v="2017-11-03-05:00" u="1"/>
        <s v="2017-11-23-04:00" u="1"/>
        <s v="2018-02-07-10:00" u="1"/>
        <s v="2018-03-07-10:00" u="1"/>
        <s v="2017-04-18-01:00" u="1"/>
        <s v="2018-05-07-10:00" u="1"/>
        <s v="2016-01-29-06:00" u="1"/>
        <s v="2017-05-18-01:00" u="1"/>
        <s v="2016-01-15-02:00" u="1"/>
        <s v="2016-02-09-07:00" u="1"/>
        <s v="2016-02-29-06:00" u="1"/>
        <s v="2016-02-15-02:00" u="1"/>
        <s v="2016-03-09-07:00" u="1"/>
        <s v="2016-03-29-06:00" u="1"/>
        <s v="2017-07-18-01:00" u="1"/>
        <s v="2016-03-15-02:00" u="1"/>
        <s v="2016-04-29-06:00" u="1"/>
        <s v="2017-08-18-01:00" u="1"/>
        <s v="2016-04-15-02:00" u="1"/>
        <s v="2016-10-20-19:00" u="1"/>
        <s v="2016-05-09-07:00" u="1"/>
        <s v="2017-09-18-01:00" u="1"/>
        <s v="2016-01-21-11:00" u="1"/>
        <s v="2018-06-27-23:00" u="1"/>
        <s v="2016-06-09-07:00" u="1"/>
        <s v="2016-06-29-06:00" u="1"/>
        <s v="2016-02-01-12:00" u="1"/>
        <s v="2016-06-15-02:00" u="1"/>
        <s v="2016-12-20-19:00" u="1"/>
        <s v="2018-07-27-23:00" u="1"/>
        <s v="2016-07-29-06:00" u="1"/>
        <s v="2016-03-01-12:00" u="1"/>
        <s v="2016-03-21-11:00" u="1"/>
        <s v="2016-07-15-02:00" u="1"/>
        <s v="2016-08-09-07:00" u="1"/>
        <s v="2016-08-29-06:00" u="1"/>
        <s v="2016-04-01-12:00" u="1"/>
        <s v="2016-04-21-11:00" u="1"/>
        <s v="2016-08-15-02:00" u="1"/>
        <s v="2016-11-15-22:00" u="1"/>
        <s v="2016-09-09-07:00" u="1"/>
        <s v="2016-09-29-06:00" u="1"/>
        <s v="2016-09-15-02:00" u="1"/>
        <s v="2016-12-15-22:00" u="1"/>
        <s v="2016-06-01-12:00" u="1"/>
        <s v="2016-06-21-11:00" u="1"/>
        <s v="2016-07-01-12:00" u="1"/>
        <s v="2016-07-21-11:00" u="1"/>
        <s v="2016-08-01-12:00" u="1"/>
        <s v="2018-01-18-01:00" u="1"/>
        <s v="2016-09-01-12:00" u="1"/>
        <s v="2016-09-21-11:00" u="1"/>
        <s v="2018-04-18-01:00" u="1"/>
        <s v="2017-01-09-07:00" u="1"/>
        <s v="2018-05-18-01:00" u="1"/>
        <s v="2017-02-09-07:00" u="1"/>
        <s v="2017-02-15-02:00" u="1"/>
        <s v="2017-03-09-07:00" u="1"/>
        <s v="2017-03-29-06:00" u="1"/>
        <s v="2017-03-15-02:00" u="1"/>
        <s v="2017-10-20-19:00" u="1"/>
        <s v="2017-05-09-07:00" u="1"/>
        <s v="2017-05-29-06:00" u="1"/>
        <s v="2017-05-15-02:00" u="1"/>
        <s v="2017-11-20-19:00" u="1"/>
        <s v="2017-06-09-07:00" u="1"/>
        <s v="2017-06-29-06:00" u="1"/>
        <s v="2017-02-01-12:00" u="1"/>
        <s v="2017-02-21-11:00" u="1"/>
        <s v="2017-06-15-02:00" u="1"/>
        <s v="2017-12-20-19:00" u="1"/>
        <s v="2018-07-24-10:00" u="1"/>
        <s v="9018-06-28-05:00" u="1"/>
        <s v="2017-03-01-12:00" u="1"/>
        <s v="2017-03-21-11:00" u="1"/>
        <s v="2017-08-09-07:00" u="1"/>
        <s v="2017-08-29-06:00" u="1"/>
        <s v="2017-04-21-11:00" u="1"/>
        <s v="2017-08-15-02:00" u="1"/>
        <s v="2017-11-15-22:00" u="1"/>
        <s v="2017-09-29-06:00" u="1"/>
        <s v="2016-01-12-17:00" u="1"/>
        <s v="2017-05-01-12:00" u="1"/>
        <s v="2017-09-15-02:00" u="1"/>
        <s v="2017-12-15-22:00" u="1"/>
        <s v="2016-02-12-17:00" u="1"/>
        <s v="2017-06-01-12:00" u="1"/>
        <s v="2017-06-21-11:00" u="1"/>
        <s v="9018-06-28-19:00" u="1"/>
        <s v="2017-07-21-11:00" u="1"/>
        <s v="2016-04-12-17:00" u="1"/>
        <s v="2017-08-01-12:00" u="1"/>
        <s v="2017-08-21-11:00" u="1"/>
        <s v="2016-01-07-20:00" u="1"/>
        <s v="2016-05-12-17:00" u="1"/>
        <s v="2017-09-01-12:00" u="1"/>
        <s v="2017-09-21-11:00" u="1"/>
        <s v="2016-02-07-20:00" u="1"/>
        <s v="2016-03-07-20:00" u="1"/>
        <s v="2016-07-12-17:00" u="1"/>
        <s v="2016-04-07-20:00" u="1"/>
        <s v="2016-08-12-17:00" u="1"/>
        <s v="2018-01-09-07:00" u="1"/>
        <s v="2018-01-29-06:00" u="1"/>
        <s v="2016-09-12-17:00" u="1"/>
        <s v="2018-01-15-02:00" u="1"/>
        <s v="2016-06-07-20:00" u="1"/>
        <s v="2018-02-09-07:00" u="1"/>
        <s v="2018-02-15-02:00" u="1"/>
        <s v="2016-07-07-20:00" u="1"/>
        <s v="2018-03-09-07:00" u="1"/>
        <s v="2018-03-29-06:00" u="1"/>
        <s v="2018-03-15-02:00" u="1"/>
        <s v="2016-08-07-20:00" u="1"/>
        <s v="2018-04-09-07:00" u="1"/>
        <s v="2016-09-07-20:00" u="1"/>
        <s v="2018-05-09-07:00" u="1"/>
        <s v="2018-05-29-06:00" u="1"/>
        <s v="2018-05-15-02:00" u="1"/>
        <s v="2018-06-29-06:00" u="1"/>
        <s v="2018-02-01-12:00" u="1"/>
        <s v="2018-02-21-11:00" u="1"/>
        <s v="2018-03-01-12:00" u="1"/>
        <s v="2018-03-21-11:00" u="1"/>
        <s v="2017-01-12-17:00" u="1"/>
        <s v="2018-05-01-12:00" u="1"/>
        <s v="2018-05-21-11:00" u="1"/>
        <s v="2016-10-17-19:00" u="1"/>
        <s v="2016-10-03-15:00" u="1"/>
        <s v="2017-04-12-17:00" u="1"/>
        <s v="9018-07-25-06:00" u="1"/>
        <s v="2016-01-18-11:00" u="1"/>
        <s v="2016-11-17-19:00" u="1"/>
        <s v="2016-11-03-15:00" u="1"/>
        <s v="2016-11-23-14:00" u="1"/>
        <s v="2017-05-12-17:00" u="1"/>
        <s v="2017-02-07-20:00" u="1"/>
        <s v="2016-02-18-11:00" u="1"/>
        <s v="2016-12-23-14:00" u="1"/>
        <s v="2017-06-12-17:00" u="1"/>
        <s v="2017-03-07-20:00" u="1"/>
        <s v="2016-03-18-11:00" u="1"/>
        <s v="2017-07-12-17:00" u="1"/>
        <s v="2017-04-07-20:00" u="1"/>
        <s v="2016-04-18-11:00" u="1"/>
        <s v="2016-05-18-11:00" u="1"/>
        <s v="2017-09-12-17:00" u="1"/>
        <s v="2017-06-07-20:00" u="1"/>
        <s v="2017-07-07-20:00" u="1"/>
        <s v="2016-07-18-11:00" u="1"/>
        <s v="2017-08-07-20:00" u="1"/>
        <s v="2016-08-18-11:00" u="1"/>
        <s v="2017-09-07-20:00" u="1"/>
        <s v="2018-01-12-17:00" u="1"/>
        <s v="2018-02-12-17:00" u="1"/>
        <s v="2018-06-26-07:00" u="1"/>
        <s v="2018-03-12-17:00" u="1"/>
        <s v="2018-07-26-07:00" u="1"/>
        <s v="2017-10-17-19:00" u="1"/>
        <s v="2017-10-03-15:00" u="1"/>
        <s v="2017-10-23-14:00" u="1"/>
        <s v="2018-04-12-17:00" u="1"/>
        <s v="2016-10-20-01:00" u="1"/>
        <s v="2017-01-18-11:00" u="1"/>
        <s v="2017-11-17-19:00" u="1"/>
        <s v="2017-11-03-15:00" u="1"/>
        <s v="2017-11-23-14:00" u="1"/>
        <s v="2016-01-20-09:00" u="1"/>
        <s v="2018-02-07-20:00" u="1"/>
        <s v="2016-12-20-01:00" u="1"/>
        <s v="2018-03-07-20:00" u="1"/>
        <s v="2017-04-18-11:00" u="1"/>
        <s v="2016-04-20-09:00" u="1"/>
        <s v="2018-05-07-20:00" u="1"/>
        <s v="2016-01-29-16:00" u="1"/>
        <s v="2017-05-18-11:00" u="1"/>
        <s v="2016-01-15-12:00" u="1"/>
        <s v="2016-05-20-09:00" u="1"/>
        <s v="2016-02-09-17:00" u="1"/>
        <s v="2016-02-29-16:00" u="1"/>
        <s v="2016-02-15-12:00" u="1"/>
        <s v="2015-12-31-06:00" u="1"/>
        <s v="2016-06-20-09:00" u="1"/>
        <s v="2016-03-09-17:00" u="1"/>
        <s v="2016-03-29-16:00" u="1"/>
        <s v="2017-07-18-11:00" u="1"/>
        <s v="2016-03-15-12:00" u="1"/>
        <s v="2016-07-20-09:00" u="1"/>
        <s v="2016-04-29-16:00" u="1"/>
        <s v="2017-08-18-11:00" u="1"/>
        <s v="2016-04-15-12:00" u="1"/>
        <s v="2016-05-09-17:00" u="1"/>
        <s v="2017-09-18-11:00" u="1"/>
        <s v="2016-01-21-21:00" u="1"/>
        <s v="2016-09-20-09:00" u="1"/>
        <s v="2016-06-09-17:00" u="1"/>
        <s v="2016-06-29-16:00" u="1"/>
        <s v="2016-02-01-22:00" u="1"/>
        <s v="2016-06-15-12:00" u="1"/>
        <s v="2016-07-29-16:00" u="1"/>
        <s v="2016-03-01-22:00" u="1"/>
        <s v="2016-03-21-21:00" u="1"/>
        <s v="2016-07-15-12:00" u="1"/>
        <s v="2016-08-09-17:00" u="1"/>
        <s v="2016-08-29-16:00" u="1"/>
        <s v="2016-04-01-22:00" u="1"/>
        <s v="2016-04-21-21:00" u="1"/>
        <s v="2016-08-15-12:00" u="1"/>
        <s v="2016-09-09-17:00" u="1"/>
        <s v="2016-09-29-16:00" u="1"/>
        <s v="2016-09-15-12:00" u="1"/>
        <s v="2016-06-01-22:00" u="1"/>
        <s v="2016-06-21-21:00" u="1"/>
        <s v="2016-07-01-22:00" u="1"/>
        <s v="2016-07-21-21:00" u="1"/>
        <s v="2016-08-01-22:00" u="1"/>
        <s v="2017-10-20-01:00" u="1"/>
        <s v="2018-01-18-11:00" u="1"/>
        <s v="2016-09-01-22:00" u="1"/>
        <s v="2016-09-21-21:00" u="1"/>
        <s v="2017-01-20-09:00" u="1"/>
        <s v="2017-11-20-01:00" u="1"/>
        <s v="2017-02-20-09:00" u="1"/>
        <s v="2017-12-20-01:00" u="1"/>
        <s v="2017-03-20-09:00" u="1"/>
        <s v="2018-04-18-11:00" u="1"/>
        <s v="2016-10-11-07:00" u="1"/>
        <s v="2016-10-31-06:00" u="1"/>
        <s v="2017-04-20-09:00" u="1"/>
        <s v="2017-01-09-17:00" u="1"/>
        <s v="2018-05-18-11:00" u="1"/>
        <s v="2016-01-06-04:00" u="1"/>
        <s v="2016-01-26-03:00" u="1"/>
        <s v="2016-11-11-07:00" u="1"/>
        <s v="2017-02-09-17:00" u="1"/>
        <s v="2017-02-15-12:00" u="1"/>
        <s v="2016-02-26-03:00" u="1"/>
        <s v="2017-06-20-09:00" u="1"/>
        <s v="2017-03-09-17:00" u="1"/>
        <s v="2017-03-29-16:00" u="1"/>
        <s v="2017-03-15-12:00" u="1"/>
        <s v="9018-06-28-01:00" u="1"/>
        <s v="2017-07-20-09:00" u="1"/>
        <s v="2016-04-06-04:00" u="1"/>
        <s v="2016-04-26-03:00" u="1"/>
        <s v="2017-05-09-17:00" u="1"/>
        <s v="2017-05-29-16:00" u="1"/>
        <s v="2017-05-15-12:00" u="1"/>
        <s v="2016-05-06-04:00" u="1"/>
        <s v="2016-05-26-03:00" u="1"/>
        <s v="2017-09-20-09:00" u="1"/>
        <s v="2017-06-09-17:00" u="1"/>
        <s v="2017-06-29-16:00" u="1"/>
        <s v="2017-02-01-22:00" u="1"/>
        <s v="2017-02-21-21:00" u="1"/>
        <s v="2017-06-15-12:00" u="1"/>
        <s v="2016-06-06-04:00" u="1"/>
        <s v="2018-07-24-20:00" u="1"/>
        <s v="9018-06-28-15:00" u="1"/>
        <s v="2017-03-01-22:00" u="1"/>
        <s v="2017-03-21-21:00" u="1"/>
        <s v="2016-07-06-04:00" u="1"/>
        <s v="2016-07-26-03:00" u="1"/>
        <s v="2017-08-09-17:00" u="1"/>
        <s v="2017-08-29-16:00" u="1"/>
        <s v="2017-04-21-21:00" u="1"/>
        <s v="2017-08-15-12:00" u="1"/>
        <s v="2016-08-26-03:00" u="1"/>
        <s v="2017-09-29-16:00" u="1"/>
        <s v="2017-05-01-22:00" u="1"/>
        <s v="2017-09-15-12:00" u="1"/>
        <s v="2016-09-06-04:00" u="1"/>
        <s v="2016-09-26-03:00" u="1"/>
        <s v="2017-06-01-22:00" u="1"/>
        <s v="2017-06-21-21:00" u="1"/>
        <s v="2017-07-21-21:00" u="1"/>
        <s v="2017-08-01-22:00" u="1"/>
        <s v="2017-08-21-21:00" u="1"/>
        <s v="2017-09-01-22:00" u="1"/>
        <s v="2017-09-21-21:00" u="1"/>
        <s v="2018-02-20-09:00" u="1"/>
        <s v="2018-03-20-09:00" u="1"/>
        <s v="2017-10-11-07:00" u="1"/>
        <s v="2017-10-31-06:00" u="1"/>
        <s v="2018-04-20-09:00" u="1"/>
        <s v="2018-01-09-17:00" u="1"/>
        <s v="2018-01-29-16:00" u="1"/>
        <s v="2018-01-15-12:00" u="1"/>
        <s v="2017-01-06-04:00" u="1"/>
        <s v="2017-01-26-03:00" u="1"/>
        <s v="2018-02-09-17:00" u="1"/>
        <s v="2018-02-15-12:00" u="1"/>
        <s v="2018-06-29-02:00" u="1"/>
        <s v="2017-02-06-04:00" u="1"/>
        <s v="2017-12-11-07:00" u="1"/>
        <s v="2018-03-09-17:00" u="1"/>
        <s v="2018-03-29-16:00" u="1"/>
        <s v="2018-03-15-12:00" u="1"/>
        <s v="2017-03-06-04:00" u="1"/>
        <s v="2018-07-20-09:00" u="1"/>
        <s v="2018-04-09-17:00" u="1"/>
        <s v="2016-10-17-01:00" u="1"/>
        <s v="2017-04-06-04:00" u="1"/>
        <s v="2017-04-26-03:00" u="1"/>
        <s v="2018-05-09-17:00" u="1"/>
        <s v="2018-05-29-16:00" u="1"/>
        <s v="2018-05-15-12:00" u="1"/>
        <s v="2016-11-17-01:00" u="1"/>
        <s v="2017-05-26-03:00" u="1"/>
        <s v="2018-06-29-16:00" u="1"/>
        <s v="2018-02-01-22:00" u="1"/>
        <s v="2018-02-21-21:00" u="1"/>
        <s v="2016-02-17-09:00" u="1"/>
        <s v="2017-06-06-04:00" u="1"/>
        <s v="2017-06-26-03:00" u="1"/>
        <s v="2016-02-03-05:00" u="1"/>
        <s v="2016-02-23-04:00" u="1"/>
        <s v="2018-03-01-22:00" u="1"/>
        <s v="2018-03-21-21:00" u="1"/>
        <s v="2016-03-17-09:00" u="1"/>
        <s v="2017-07-06-04:00" u="1"/>
        <s v="2017-07-26-03:00" u="1"/>
        <s v="2016-03-03-05:00" u="1"/>
        <s v="2016-03-23-04:00" u="1"/>
        <s v="9018-07-25-02:00" u="1"/>
        <s v="2018-05-01-22:00" u="1"/>
        <s v="2018-05-21-21:00" u="1"/>
        <s v="2016-05-17-09:00" u="1"/>
        <s v="2017-09-06-04:00" u="1"/>
        <s v="2017-09-26-03:00" u="1"/>
        <s v="2016-05-03-05:00" u="1"/>
        <s v="2016-05-23-04:00" u="1"/>
        <s v="2016-06-17-09:00" u="1"/>
        <s v="2016-06-03-05:00" u="1"/>
        <s v="2016-06-23-04:00" u="1"/>
        <s v="9018-07-25-16:00" u="1"/>
        <s v="2016-08-17-09:00" u="1"/>
        <s v="2016-08-03-05:00" u="1"/>
        <s v="2016-08-23-04:00" u="1"/>
        <s v="2016-01-18-21:00" u="1"/>
        <s v="2016-09-23-04:00" u="1"/>
        <s v="2016-02-18-21:00" u="1"/>
        <s v="2016-03-18-21:00" u="1"/>
        <s v="2016-04-18-21:00" u="1"/>
        <s v="2016-05-18-21:00" u="1"/>
        <s v="2018-01-26-03:00" u="1"/>
        <s v="2018-02-06-04:00" u="1"/>
        <s v="2018-02-26-03:00" u="1"/>
        <s v="2016-07-18-21:00" u="1"/>
        <s v="2018-03-06-04:00" u="1"/>
        <s v="2018-03-26-03:00" u="1"/>
        <s v="2016-08-18-21:00" u="1"/>
        <s v="2017-10-17-01:00" u="1"/>
        <s v="2018-04-06-04:00" u="1"/>
        <s v="2018-04-26-03:00" u="1"/>
        <s v="2017-01-17-09:00" u="1"/>
        <s v="2017-11-17-01:00" u="1"/>
        <s v="2017-01-03-05:00" u="1"/>
        <s v="2017-01-23-04:00" u="1"/>
        <s v="2017-02-17-09:00" u="1"/>
        <s v="2018-06-26-03:00" u="1"/>
        <s v="2017-02-03-05:00" u="1"/>
        <s v="2017-02-23-04:00" u="1"/>
        <s v="2017-03-17-09:00" u="1"/>
        <s v="2018-07-26-03:00" u="1"/>
        <s v="2017-03-03-05:00" u="1"/>
        <s v="2017-03-23-04:00" u="1"/>
        <s v="2016-10-28-06:00" u="1"/>
        <s v="2017-04-17-09:00" u="1"/>
        <s v="2017-04-03-05:00" u="1"/>
        <s v="2016-11-08-07:00" u="1"/>
        <s v="2016-11-28-06:00" u="1"/>
        <s v="2017-05-17-09:00" u="1"/>
        <s v="2017-05-03-05:00" u="1"/>
        <s v="2017-05-23-04:00" u="1"/>
        <s v="2018-06-26-17:00" u="1"/>
        <s v="2016-12-08-07:00" u="1"/>
        <s v="2016-12-28-06:00" u="1"/>
        <s v="2017-06-23-04:00" u="1"/>
        <s v="2018-07-26-17:00" u="1"/>
        <s v="2017-07-17-09:00" u="1"/>
        <s v="2017-07-03-05:00" u="1"/>
        <s v="2017-08-17-09:00" u="1"/>
        <s v="2016-10-20-11:00" u="1"/>
        <s v="2017-08-03-05:00" u="1"/>
        <s v="2017-08-23-04:00" u="1"/>
        <s v="9018-07-02-04:00" u="1"/>
        <s v="2017-01-18-21:00" u="1"/>
        <s v="2016-01-20-19:00" u="1"/>
        <s v="2016-12-20-11:00" u="1"/>
        <s v="2017-04-18-21:00" u="1"/>
        <s v="2016-04-20-19:00" u="1"/>
        <s v="2017-05-18-21:00" u="1"/>
        <s v="2016-01-15-22:00" u="1"/>
        <s v="2016-05-20-19:00" u="1"/>
        <s v="2016-02-15-22:00" u="1"/>
        <s v="2015-12-31-16:00" u="1"/>
        <s v="2016-06-20-19:00" u="1"/>
        <s v="2017-07-18-21:00" u="1"/>
        <s v="2016-03-15-22:00" u="1"/>
        <s v="2016-07-20-19:00" u="1"/>
        <s v="2017-08-18-21:00" u="1"/>
        <s v="2016-04-15-22:00" u="1"/>
        <s v="2017-09-18-21:00" u="1"/>
        <s v="2016-05-15-22:00" u="1"/>
        <s v="2018-01-17-09:00" u="1"/>
        <s v="2016-09-20-19:00" u="1"/>
        <s v="2018-01-03-05:00" u="1"/>
        <s v="2018-01-23-04:00" u="1"/>
        <s v="2016-06-15-22:00" u="1"/>
        <s v="2018-02-23-04:00" u="1"/>
        <s v="2016-07-15-22:00" u="1"/>
        <s v="2018-03-23-04:00" u="1"/>
        <s v="2016-08-15-22:00" u="1"/>
        <s v="2018-04-17-09:00" u="1"/>
        <s v="2018-04-03-05:00" u="1"/>
        <s v="2018-04-23-04:00" u="1"/>
        <s v="2016-09-15-22:00" u="1"/>
        <s v="2017-11-08-07:00" u="1"/>
        <s v="2017-11-28-06:00" u="1"/>
        <s v="2018-05-17-09:00" u="1"/>
        <s v="2018-05-03-05:00" u="1"/>
        <s v="2018-05-23-04:00" u="1"/>
        <s v="2017-12-08-07:00" u="1"/>
        <s v="2017-12-28-06:00" u="1"/>
        <s v="2018-07-23-04:00" u="1"/>
        <s v="2017-10-20-11:00" u="1"/>
        <s v="2018-01-18-21:00" u="1"/>
        <s v="2017-01-20-19:00" u="1"/>
        <s v="2017-11-20-11:00" u="1"/>
        <s v="2017-02-20-19:00" u="1"/>
        <s v="2017-12-20-11:00" u="1"/>
        <s v="2017-03-20-19:00" u="1"/>
        <s v="2018-04-18-21:00" u="1"/>
        <s v="2016-10-11-17:00" u="1"/>
        <s v="2016-10-31-16:00" u="1"/>
        <s v="2017-04-20-19:00" u="1"/>
        <s v="2018-05-18-21:00" u="1"/>
        <s v="2017-01-15-22:00" u="1"/>
        <s v="2016-01-06-14:00" u="1"/>
        <s v="2016-01-26-13:00" u="1"/>
        <s v="2016-11-11-17:00" u="1"/>
        <s v="2017-02-15-22:00" u="1"/>
        <s v="2016-02-26-13:00" u="1"/>
        <s v="2017-06-20-19:00" u="1"/>
        <s v="2017-03-15-22:00" u="1"/>
        <s v="9018-06-28-11:00" u="1"/>
        <s v="2017-07-20-19:00" u="1"/>
        <s v="2016-04-06-14:00" u="1"/>
        <s v="2016-04-26-13:00" u="1"/>
        <s v="2017-05-15-22:00" u="1"/>
        <s v="2016-05-06-14:00" u="1"/>
        <s v="2016-05-26-13:00" u="1"/>
        <s v="2017-09-20-19:00" u="1"/>
        <s v="2017-06-15-22:00" u="1"/>
        <s v="2016-06-06-14:00" u="1"/>
        <s v="2016-07-06-14:00" u="1"/>
        <s v="2016-07-26-13:00" u="1"/>
        <s v="2017-08-15-22:00" u="1"/>
        <s v="2016-08-26-13:00" u="1"/>
        <s v="2017-09-15-22:00" u="1"/>
        <s v="2016-09-06-14:00" u="1"/>
        <s v="2016-09-26-13:00" u="1"/>
        <s v="2018-02-20-19:00" u="1"/>
        <s v="2018-03-20-19:00" u="1"/>
        <s v="2017-10-11-17:00" u="1"/>
        <s v="2017-10-31-16:00" u="1"/>
        <s v="2018-04-20-19:00" u="1"/>
        <s v="2018-01-15-22:00" u="1"/>
        <s v="2017-01-06-14:00" u="1"/>
        <s v="2017-01-26-13:00" u="1"/>
        <s v="2016-11-02-09:00" u="1"/>
        <s v="2016-11-22-08:00" u="1"/>
        <s v="2018-02-15-22:00" u="1"/>
        <s v="2018-06-29-12:00" u="1"/>
        <s v="2017-02-06-14:00" u="1"/>
        <s v="2017-12-11-17:00" u="1"/>
        <s v="2016-02-03-01:00" u="1"/>
        <s v="2016-02-23-00:00" u="1"/>
        <s v="2016-12-02-09:00" u="1"/>
        <s v="2016-12-22-08:00" u="1"/>
        <s v="2018-03-15-22:00" u="1"/>
        <s v="2017-03-06-14:00" u="1"/>
        <s v="2018-07-20-19:00" u="1"/>
        <s v="2016-03-03-01:00" u="1"/>
        <s v="2016-03-23-00:00" u="1"/>
        <s v="2018-04-15-22:00" u="1"/>
        <s v="2016-10-17-11:00" u="1"/>
        <s v="2017-04-06-14:00" u="1"/>
        <s v="2017-04-26-13:00" u="1"/>
        <s v="2018-05-15-22:00" u="1"/>
        <s v="2016-11-17-11:00" u="1"/>
        <s v="2017-05-26-13:00" u="1"/>
        <s v="2016-05-03-01:00" u="1"/>
        <s v="2016-05-23-00:00" u="1"/>
        <s v="2016-02-17-19:00" u="1"/>
        <s v="2017-06-06-14:00" u="1"/>
        <s v="2017-06-26-13:00" u="1"/>
        <s v="2016-02-03-15:00" u="1"/>
        <s v="2016-02-23-14:00" u="1"/>
        <s v="2016-06-03-01:00" u="1"/>
        <s v="2016-06-23-00:00" u="1"/>
        <s v="2016-03-17-19:00" u="1"/>
        <s v="2017-07-06-14:00" u="1"/>
        <s v="2017-07-26-13:00" u="1"/>
        <s v="2016-03-03-15:00" u="1"/>
        <s v="2016-03-23-14:00" u="1"/>
        <s v="9018-07-25-12:00" u="1"/>
        <s v="2016-08-03-01:00" u="1"/>
        <s v="2016-08-23-00:00" u="1"/>
        <s v="2016-05-17-19:00" u="1"/>
        <s v="2017-09-06-14:00" u="1"/>
        <s v="2017-09-26-13:00" u="1"/>
        <s v="2016-05-03-15:00" u="1"/>
        <s v="2016-05-23-14:00" u="1"/>
        <s v="2016-09-23-00:00" u="1"/>
        <s v="2016-06-17-19:00" u="1"/>
        <s v="2016-06-03-15:00" u="1"/>
        <s v="2016-06-23-14:00" u="1"/>
        <s v="2016-08-17-19:00" u="1"/>
        <s v="2016-08-03-15:00" u="1"/>
        <s v="2016-08-23-14:00" u="1"/>
        <s v="2016-09-23-14:00" u="1"/>
        <s v="2017-10-02-09:00" u="1"/>
        <s v="2018-01-26-13:00" u="1"/>
        <s v="2017-01-03-01:00" u="1"/>
        <s v="2017-01-23-00:00" u="1"/>
        <s v="2017-11-02-09:00" u="1"/>
        <s v="2017-11-22-08:00" u="1"/>
        <s v="2018-02-06-14:00" u="1"/>
        <s v="2018-02-26-13:00" u="1"/>
        <s v="2017-02-03-01:00" u="1"/>
        <s v="2017-02-23-00:00" u="1"/>
        <s v="2017-12-22-08:00" u="1"/>
        <s v="2018-03-06-14:00" u="1"/>
        <s v="2018-03-26-13:00" u="1"/>
        <s v="2017-03-03-01:00" u="1"/>
        <s v="2017-03-23-00:00" u="1"/>
        <s v="2017-10-17-11:00" u="1"/>
        <s v="2018-04-06-14:00" u="1"/>
        <s v="2018-04-26-13:00" u="1"/>
        <s v="2017-04-03-01:00" u="1"/>
        <s v="2017-01-17-19:00" u="1"/>
        <s v="2017-11-17-11:00" u="1"/>
        <s v="2017-01-03-15:00" u="1"/>
        <s v="2017-01-23-14:00" u="1"/>
        <s v="2016-01-14-06:00" u="1"/>
        <s v="2017-05-03-01:00" u="1"/>
        <s v="2017-05-23-00:00" u="1"/>
        <s v="2016-01-20-01:00" u="1"/>
        <s v="2017-02-17-19:00" u="1"/>
        <s v="2018-06-26-13:00" u="1"/>
        <s v="2017-02-03-15:00" u="1"/>
        <s v="2017-02-23-14:00" u="1"/>
        <s v="2017-06-23-00:00" u="1"/>
        <s v="2017-03-17-19:00" u="1"/>
        <s v="2018-07-26-13:00" u="1"/>
        <s v="2017-03-03-15:00" u="1"/>
        <s v="2017-03-23-14:00" u="1"/>
        <s v="2016-03-14-06:00" u="1"/>
        <s v="2017-07-03-01:00" u="1"/>
        <s v="2016-10-28-16:00" u="1"/>
        <s v="2017-04-17-19:00" u="1"/>
        <s v="2017-04-03-15:00" u="1"/>
        <s v="2016-04-14-06:00" u="1"/>
        <s v="2017-08-03-01:00" u="1"/>
        <s v="2017-08-23-00:00" u="1"/>
        <s v="9018-07-02-00:00" u="1"/>
        <s v="2016-04-20-01:00" u="1"/>
        <s v="2016-11-08-17:00" u="1"/>
        <s v="2016-11-28-16:00" u="1"/>
        <s v="2017-05-17-19:00" u="1"/>
        <s v="2017-05-03-15:00" u="1"/>
        <s v="2017-05-23-14:00" u="1"/>
        <s v="2016-05-20-01:00" u="1"/>
        <s v="2016-12-08-17:00" u="1"/>
        <s v="2016-12-28-16:00" u="1"/>
        <s v="2017-06-23-14:00" u="1"/>
        <s v="2016-06-14-06:00" u="1"/>
        <s v="2016-06-20-01:00" u="1"/>
        <s v="2017-07-17-19:00" u="1"/>
        <s v="2017-07-03-15:00" u="1"/>
        <s v="2016-07-14-06:00" u="1"/>
        <s v="2016-07-20-01:00" u="1"/>
        <s v="2017-08-17-19:00" u="1"/>
        <s v="2016-10-20-21:00" u="1"/>
        <s v="2017-08-03-15:00" u="1"/>
        <s v="2017-08-23-14:00" u="1"/>
        <s v="2016-09-14-06:00" u="1"/>
        <s v="2016-09-20-01:00" u="1"/>
        <s v="2016-12-20-21:00" u="1"/>
        <s v="2018-01-03-01:00" u="1"/>
        <s v="2018-01-23-00:00" u="1"/>
        <s v="2018-02-23-00:00" u="1"/>
        <s v="2018-03-23-00:00" u="1"/>
        <s v="2018-04-03-01:00" u="1"/>
        <s v="2018-04-23-00:00" u="1"/>
        <s v="2018-01-17-19:00" u="1"/>
        <s v="2018-01-03-15:00" u="1"/>
        <s v="2018-01-23-14:00" u="1"/>
        <s v="2018-05-03-01:00" u="1"/>
        <s v="2018-05-23-00:00" u="1"/>
        <s v="2017-01-20-01:00" u="1"/>
        <s v="2018-02-23-14:00" u="1"/>
        <s v="2017-02-14-06:00" u="1"/>
        <s v="2017-02-20-01:00" u="1"/>
        <s v="2018-03-23-14:00" u="1"/>
        <s v="2017-03-14-06:00" u="1"/>
        <s v="2018-07-23-00:00" u="1"/>
        <s v="2017-03-20-01:00" u="1"/>
        <s v="2018-04-17-19:00" u="1"/>
        <s v="2018-04-03-15:00" u="1"/>
        <s v="2018-04-23-14:00" u="1"/>
        <s v="2016-10-05-04:00" u="1"/>
        <s v="2016-10-25-03:00" u="1"/>
        <s v="2017-04-14-06:00" u="1"/>
        <s v="2017-04-20-01:00" u="1"/>
        <s v="2017-11-08-17:00" u="1"/>
        <s v="2017-11-28-16:00" u="1"/>
        <s v="2018-05-17-19:00" u="1"/>
        <s v="2018-05-03-15:00" u="1"/>
        <s v="2018-05-23-14:00" u="1"/>
        <s v="2016-11-25-03:00" u="1"/>
        <s v="2017-12-08-17:00" u="1"/>
        <s v="2017-12-28-16:00" u="1"/>
        <s v="2016-12-05-04:00" u="1"/>
        <s v="2017-06-14-06:00" u="1"/>
        <s v="2017-06-20-01:00" u="1"/>
        <s v="2018-07-23-14:00" u="1"/>
        <s v="9018-06-27-09:00" u="1"/>
        <s v="2017-07-14-06:00" u="1"/>
        <s v="2017-07-20-01:00" u="1"/>
        <s v="2017-10-20-21:00" u="1"/>
        <s v="9018-07-27-09:00" u="1"/>
        <s v="2017-08-14-06:00" u="1"/>
        <s v="2017-11-20-21:00" u="1"/>
        <s v="2017-09-14-06:00" u="1"/>
        <s v="2017-09-20-01:00" u="1"/>
        <s v="2017-12-20-21:00" u="1"/>
        <s v="2016-01-26-23:00" u="1"/>
        <s v="2016-02-26-23:00" u="1"/>
        <s v="9018-06-28-21:00" u="1"/>
        <s v="2016-04-26-23:00" u="1"/>
        <s v="2016-05-26-23:00" u="1"/>
        <s v="2018-02-14-06:00" u="1"/>
        <s v="2018-02-20-01:00" u="1"/>
        <s v="2016-07-26-23:00" u="1"/>
        <s v="2018-03-14-06:00" u="1"/>
        <s v="2018-03-20-01:00" u="1"/>
        <s v="2016-08-26-23:00" u="1"/>
        <s v="2017-10-05-04:00" u="1"/>
        <s v="2017-10-25-03:00" u="1"/>
        <s v="2018-04-20-01:00" u="1"/>
        <s v="2016-09-26-23:00" u="1"/>
        <s v="2018-05-14-06:00" u="1"/>
        <s v="2017-12-05-04:00" u="1"/>
        <s v="2018-07-20-01:00" u="1"/>
        <s v="2016-11-16-09:00" u="1"/>
        <s v="2016-02-17-01:00" u="1"/>
        <s v="2016-12-16-09:00" u="1"/>
        <s v="2016-03-17-01:00" u="1"/>
        <s v="2017-01-26-23:00" u="1"/>
        <s v="2016-05-17-01:00" u="1"/>
        <s v="2016-11-02-19:00" u="1"/>
        <s v="2016-11-22-18:00" u="1"/>
        <s v="2018-06-29-22:00" u="1"/>
        <s v="2016-02-03-11:00" u="1"/>
        <s v="2016-02-23-10:00" u="1"/>
        <s v="2016-06-17-01:00" u="1"/>
        <s v="2016-12-02-19:00" u="1"/>
        <s v="2016-12-22-18:00" u="1"/>
        <s v="2016-03-03-11:00" u="1"/>
        <s v="2016-03-23-10:00" u="1"/>
        <s v="2016-10-17-21:00" u="1"/>
        <s v="2017-04-26-23:00" u="1"/>
        <s v="2016-08-17-01:00" u="1"/>
        <s v="2016-11-17-21:00" u="1"/>
        <s v="2017-05-26-23:00" u="1"/>
        <s v="2016-05-03-11:00" u="1"/>
        <s v="2016-05-23-10:00" u="1"/>
        <s v="2017-06-26-23:00" u="1"/>
        <s v="2016-06-03-11:00" u="1"/>
        <s v="2016-06-23-10:00" u="1"/>
        <s v="2017-07-26-23:00" u="1"/>
        <s v="9018-07-25-22:00" u="1"/>
        <s v="2016-08-03-11:00" u="1"/>
        <s v="2016-08-23-10:00" u="1"/>
        <s v="2017-09-26-23:00" u="1"/>
        <s v="2016-09-23-10:00" u="1"/>
        <s v="2017-10-16-09:00" u="1"/>
        <s v="2017-01-17-01:00" u="1"/>
        <s v="2017-11-16-09:00" u="1"/>
        <s v="2017-02-17-01:00" u="1"/>
        <s v="2017-03-17-01:00" u="1"/>
        <s v="2017-04-17-01:00" u="1"/>
        <s v="2017-10-02-19:00" u="1"/>
        <s v="2018-01-26-23:00" u="1"/>
        <s v="2016-01-08-07:00" u="1"/>
        <s v="2016-01-28-06:00" u="1"/>
        <s v="2017-01-03-11:00" u="1"/>
        <s v="2017-01-23-10:00" u="1"/>
        <s v="2017-05-17-01:00" u="1"/>
        <s v="2017-11-02-19:00" u="1"/>
        <s v="2017-11-22-18:00" u="1"/>
        <s v="2018-02-26-23:00" u="1"/>
        <s v="2016-02-08-07:00" u="1"/>
        <s v="2017-02-03-11:00" u="1"/>
        <s v="2017-02-23-10:00" u="1"/>
        <s v="2017-12-22-18:00" u="1"/>
        <s v="2018-03-26-23:00" u="1"/>
        <s v="2016-03-08-07:00" u="1"/>
        <s v="2016-03-28-06:00" u="1"/>
        <s v="2017-03-03-11:00" u="1"/>
        <s v="2017-03-23-10:00" u="1"/>
        <s v="2017-07-17-01:00" u="1"/>
        <s v="2017-10-17-21:00" u="1"/>
        <s v="2018-04-26-23:00" u="1"/>
        <s v="2016-04-08-07:00" u="1"/>
        <s v="2016-04-28-06:00" u="1"/>
        <s v="2017-04-03-11:00" u="1"/>
        <s v="2017-08-17-01:00" u="1"/>
        <s v="2017-11-17-21:00" u="1"/>
        <s v="2016-01-14-16:00" u="1"/>
        <s v="2017-05-03-11:00" u="1"/>
        <s v="2017-05-23-10:00" u="1"/>
        <s v="2016-01-20-11:00" u="1"/>
        <s v="2018-06-26-23:00" u="1"/>
        <s v="2016-06-08-07:00" u="1"/>
        <s v="2016-06-28-06:00" u="1"/>
        <s v="2017-06-23-10:00" u="1"/>
        <s v="2018-07-26-23:00" u="1"/>
        <s v="2016-03-14-16:00" u="1"/>
        <s v="2016-07-08-07:00" u="1"/>
        <s v="2016-07-28-06:00" u="1"/>
        <s v="2017-07-03-11:00" u="1"/>
        <s v="2016-04-14-16:00" u="1"/>
        <s v="2016-08-08-07:00" u="1"/>
        <s v="2017-08-03-11:00" u="1"/>
        <s v="2017-08-23-10:00" u="1"/>
        <s v="2016-04-20-11:00" u="1"/>
        <s v="2016-09-08-07:00" u="1"/>
        <s v="2016-09-28-06:00" u="1"/>
        <s v="2016-05-20-11:00" u="1"/>
        <s v="2016-06-14-16:00" u="1"/>
        <s v="2016-06-20-11:00" u="1"/>
        <s v="2016-07-14-16:00" u="1"/>
        <s v="2016-07-20-11:00" u="1"/>
        <s v="2016-09-14-16:00" u="1"/>
        <s v="2018-01-17-01:00" u="1"/>
        <s v="2016-09-20-11:00" u="1"/>
        <s v="2018-04-17-01:00" u="1"/>
        <s v="2018-01-03-11:00" u="1"/>
        <s v="2018-01-23-10:00" u="1"/>
        <s v="2018-05-17-01:00" u="1"/>
        <s v="2017-02-08-07:00" u="1"/>
        <s v="2017-02-28-06:00" u="1"/>
        <s v="2018-02-23-10:00" u="1"/>
        <s v="2017-03-08-07:00" u="1"/>
        <s v="2017-03-28-06:00" u="1"/>
        <s v="2018-03-23-10:00" u="1"/>
        <s v="2016-10-19-04:00" u="1"/>
        <s v="2017-04-28-06:00" u="1"/>
        <s v="2018-04-03-11:00" u="1"/>
        <s v="2018-04-23-10:00" u="1"/>
        <s v="2017-05-08-07:00" u="1"/>
        <s v="2018-05-03-11:00" u="1"/>
        <s v="2018-05-23-10:00" u="1"/>
        <s v="2017-01-20-11:00" u="1"/>
        <s v="2016-01-11-03:00" u="1"/>
        <s v="2016-12-19-04:00" u="1"/>
        <s v="2017-02-14-16:00" u="1"/>
        <s v="2017-06-08-07:00" u="1"/>
        <s v="2017-06-28-06:00" u="1"/>
        <s v="2017-02-20-11:00" u="1"/>
        <s v="2016-02-11-03:00" u="1"/>
        <s v="2017-03-14-16:00" u="1"/>
        <s v="2017-07-28-06:00" u="1"/>
        <s v="2018-07-23-10:00" u="1"/>
        <s v="9018-06-27-05:00" u="1"/>
        <s v="2017-03-20-11:00" u="1"/>
        <s v="2016-03-11-03:00" u="1"/>
        <s v="2016-03-31-02:00" u="1"/>
        <s v="2016-10-05-14:00" u="1"/>
        <s v="2016-10-25-13:00" u="1"/>
        <s v="2017-04-14-16:00" u="1"/>
        <s v="2017-08-08-07:00" u="1"/>
        <s v="2017-08-28-06:00" u="1"/>
        <s v="9018-07-27-05:00" u="1"/>
        <s v="2017-04-20-11:00" u="1"/>
        <s v="2016-04-11-03:00" u="1"/>
        <s v="2016-11-25-13:00" u="1"/>
        <s v="2017-09-08-07:00" u="1"/>
        <s v="2017-09-28-06:00" u="1"/>
        <s v="2016-05-11-03:00" u="1"/>
        <s v="2016-05-31-02:00" u="1"/>
        <s v="2016-12-05-14:00" u="1"/>
        <s v="2017-06-14-16:00" u="1"/>
        <s v="2017-06-20-11:00" u="1"/>
        <s v="9018-06-27-19:00" u="1"/>
        <s v="2017-07-14-16:00" u="1"/>
        <s v="2017-07-20-11:00" u="1"/>
        <s v="2016-07-11-03:00" u="1"/>
        <s v="9018-07-27-19:00" u="1"/>
        <s v="2017-08-14-16:00" u="1"/>
        <s v="2016-08-11-03:00" u="1"/>
        <s v="2016-08-31-02:00" u="1"/>
        <s v="2017-09-14-16:00" u="1"/>
        <s v="2017-09-20-11:00" u="1"/>
        <s v="2018-01-08-07:00" u="1"/>
        <s v="2018-02-08-07:00" u="1"/>
        <s v="2018-02-28-06:00" u="1"/>
        <s v="2018-03-08-07:00" u="1"/>
        <s v="2018-03-28-06:00" u="1"/>
        <s v="2017-10-19-04:00" u="1"/>
        <s v="2018-05-08-07:00" u="1"/>
        <s v="2018-05-28-06:00" u="1"/>
        <s v="2017-01-11-03:00" u="1"/>
        <s v="2017-01-31-02:00" u="1"/>
        <s v="2017-12-19-04:00" u="1"/>
        <s v="2018-02-14-16:00" u="1"/>
        <s v="2018-06-28-06:00" u="1"/>
        <s v="2018-02-20-11:00" u="1"/>
        <s v="2018-03-14-16:00" u="1"/>
        <s v="2018-03-20-11:00" u="1"/>
        <s v="2017-03-31-02:00" u="1"/>
        <s v="2017-10-05-14:00" u="1"/>
        <s v="2017-10-25-13:00" u="1"/>
        <s v="2018-04-20-11:00" u="1"/>
        <s v="2017-04-11-03:00" u="1"/>
        <s v="2018-05-14-16:00" u="1"/>
        <s v="2016-01-22-08:00" u="1"/>
        <s v="2016-11-02-01:00" u="1"/>
        <s v="2016-11-22-00:00" u="1"/>
        <s v="2017-05-11-03:00" u="1"/>
        <s v="2017-05-31-02:00" u="1"/>
        <s v="2017-12-05-14:00" u="1"/>
        <s v="2016-02-02-09:00" u="1"/>
        <s v="2016-02-22-08:00" u="1"/>
        <s v="2016-12-02-01:00" u="1"/>
        <s v="2016-12-22-00:00" u="1"/>
        <s v="2018-07-20-11:00" u="1"/>
        <s v="2016-03-02-09:00" u="1"/>
        <s v="2016-03-22-08:00" u="1"/>
        <s v="2017-07-11-03:00" u="1"/>
        <s v="2017-07-31-02:00" u="1"/>
        <s v="9018-07-24-06:00" u="1"/>
        <s v="2016-04-22-08:00" u="1"/>
        <s v="2017-08-11-03:00" u="1"/>
        <s v="2017-08-31-02:00" u="1"/>
        <s v="9018-07-30-01:00" u="1"/>
        <s v="2016-11-16-19:00" u="1"/>
        <s v="2016-05-02-09:00" u="1"/>
        <s v="2017-09-11-03:00" u="1"/>
        <s v="2016-02-17-11:00" u="1"/>
        <s v="2016-12-16-19:00" u="1"/>
        <s v="2016-06-02-09:00" u="1"/>
        <s v="2016-06-22-08:00" u="1"/>
        <s v="2016-03-17-11:00" u="1"/>
        <s v="2016-07-22-08:00" u="1"/>
        <s v="2016-08-02-09:00" u="1"/>
        <s v="2016-08-22-08:00" u="1"/>
        <s v="2016-05-17-11:00" u="1"/>
        <s v="2016-09-02-09:00" u="1"/>
        <s v="2016-09-22-08:00" u="1"/>
        <s v="2016-02-03-21:00" u="1"/>
        <s v="2016-02-23-20:00" u="1"/>
        <s v="2016-06-17-11:00" u="1"/>
        <s v="2016-03-03-21:00" u="1"/>
        <s v="2016-03-23-20:00" u="1"/>
        <s v="2016-08-17-11:00" u="1"/>
        <s v="2016-05-03-21:00" u="1"/>
        <s v="2016-05-23-20:00" u="1"/>
        <s v="2018-01-11-03:00" u="1"/>
        <s v="2018-01-31-02:00" u="1"/>
        <s v="2016-06-03-21:00" u="1"/>
        <s v="2016-06-23-20:00" u="1"/>
        <s v="2016-08-03-21:00" u="1"/>
        <s v="2016-08-23-20:00" u="1"/>
        <s v="2017-10-02-01:00" u="1"/>
        <s v="2018-04-11-03:00" u="1"/>
        <s v="2016-09-23-20:00" u="1"/>
        <s v="2017-01-02-09:00" u="1"/>
        <s v="2017-11-02-01:00" u="1"/>
        <s v="2017-11-22-00:00" u="1"/>
        <s v="2018-05-11-03:00" u="1"/>
        <s v="2017-02-02-09:00" u="1"/>
        <s v="2017-02-22-08:00" u="1"/>
        <s v="2017-12-22-00:00" u="1"/>
        <s v="2018-07-25-07:00" u="1"/>
        <s v="2017-03-02-09:00" u="1"/>
        <s v="2017-03-22-08:00" u="1"/>
        <s v="2017-10-16-19:00" u="1"/>
        <s v="2016-10-13-06:00" u="1"/>
        <s v="2017-01-17-11:00" u="1"/>
        <s v="2017-11-16-19:00" u="1"/>
        <s v="2017-05-02-09:00" u="1"/>
        <s v="2017-05-22-08:00" u="1"/>
        <s v="2017-02-17-11:00" u="1"/>
        <s v="2016-12-13-06:00" u="1"/>
        <s v="2017-06-02-09:00" u="1"/>
        <s v="2017-06-22-08:00" u="1"/>
        <s v="2017-03-17-11:00" u="1"/>
        <s v="2017-04-17-11:00" u="1"/>
        <s v="2017-08-02-09:00" u="1"/>
        <s v="2017-08-22-08:00" u="1"/>
        <s v="2016-01-08-17:00" u="1"/>
        <s v="2016-01-28-16:00" u="1"/>
        <s v="2017-01-03-21:00" u="1"/>
        <s v="2017-01-23-20:00" u="1"/>
        <s v="2017-05-17-11:00" u="1"/>
        <s v="2017-09-22-08:00" u="1"/>
        <s v="2016-02-08-17:00" u="1"/>
        <s v="2017-02-03-21:00" u="1"/>
        <s v="2017-02-23-20:00" u="1"/>
        <s v="2016-03-08-17:00" u="1"/>
        <s v="2016-03-28-16:00" u="1"/>
        <s v="2017-03-03-21:00" u="1"/>
        <s v="2017-03-23-20:00" u="1"/>
        <s v="2017-07-17-11:00" u="1"/>
        <s v="2016-04-08-17:00" u="1"/>
        <s v="2016-04-28-16:00" u="1"/>
        <s v="2017-04-03-21:00" u="1"/>
        <s v="2017-08-17-11:00" u="1"/>
        <s v="2017-05-03-21:00" u="1"/>
        <s v="2017-05-23-20:00" u="1"/>
        <s v="2016-01-20-21:00" u="1"/>
        <s v="2016-06-08-17:00" u="1"/>
        <s v="2016-06-28-16:00" u="1"/>
        <s v="2017-06-23-20:00" u="1"/>
        <s v="2016-07-08-17:00" u="1"/>
        <s v="2016-07-28-16:00" u="1"/>
        <s v="2017-07-03-21:00" u="1"/>
        <s v="2016-08-08-17:00" u="1"/>
        <s v="2017-08-03-21:00" u="1"/>
        <s v="2017-08-23-20:00" u="1"/>
        <s v="2016-04-20-21:00" u="1"/>
        <s v="2016-09-08-17:00" u="1"/>
        <s v="2016-09-28-16:00" u="1"/>
        <s v="2016-05-20-21:00" u="1"/>
        <s v="2018-01-02-09:00" u="1"/>
        <s v="2018-01-22-08:00" u="1"/>
        <s v="2016-06-20-21:00" u="1"/>
        <s v="2018-02-02-09:00" u="1"/>
        <s v="2018-02-22-08:00" u="1"/>
        <s v="2016-07-20-21:00" u="1"/>
        <s v="2018-03-02-09:00" u="1"/>
        <s v="2018-03-22-08:00" u="1"/>
        <s v="2017-10-13-06:00" u="1"/>
        <s v="2018-04-02-09:00" u="1"/>
        <s v="2018-01-17-11:00" u="1"/>
        <s v="2016-09-20-21:00" u="1"/>
        <s v="2017-11-13-06:00" u="1"/>
        <s v="2018-05-02-09:00" u="1"/>
        <s v="2018-05-22-08:00" u="1"/>
        <s v="2017-12-13-06:00" u="1"/>
        <s v="2018-04-17-11:00" u="1"/>
        <s v="2018-01-03-21:00" u="1"/>
        <s v="2018-01-23-20:00" u="1"/>
        <s v="2018-05-17-11:00" u="1"/>
        <s v="2016-01-05-04:00" u="1"/>
        <s v="2016-01-25-03:00" u="1"/>
        <s v="2017-02-08-17:00" u="1"/>
        <s v="2017-02-28-16:00" u="1"/>
        <s v="2018-02-23-20:00" u="1"/>
        <s v="2016-02-05-04:00" u="1"/>
        <s v="2016-02-25-03:00" u="1"/>
        <s v="2017-03-08-17:00" u="1"/>
        <s v="2017-03-28-16:00" u="1"/>
        <s v="2018-03-23-20:00" u="1"/>
        <s v="9018-06-27-01:00" u="1"/>
        <s v="2016-03-25-03:00" u="1"/>
        <s v="2016-10-19-14:00" u="1"/>
        <s v="2017-04-28-16:00" u="1"/>
        <s v="2018-04-03-21:00" u="1"/>
        <s v="2018-04-23-20:00" u="1"/>
        <s v="9018-07-27-01:00" u="1"/>
        <s v="2016-04-05-04:00" u="1"/>
        <s v="2016-04-25-03:00" u="1"/>
        <s v="2017-05-08-17:00" u="1"/>
        <s v="2018-05-03-21:00" u="1"/>
        <s v="2018-05-23-20:00" u="1"/>
        <s v="2017-01-20-21:00" u="1"/>
        <s v="2016-01-11-13:00" u="1"/>
        <s v="2016-05-05-04:00" u="1"/>
        <s v="2016-05-25-03:00" u="1"/>
        <s v="2016-12-19-14:00" u="1"/>
        <s v="2017-06-08-17:00" u="1"/>
        <s v="2017-06-28-16:00" u="1"/>
        <s v="2017-02-20-21:00" u="1"/>
        <s v="2016-02-11-13:00" u="1"/>
        <s v="2017-07-28-16:00" u="1"/>
        <s v="2018-07-23-20:00" u="1"/>
        <s v="9018-06-27-15:00" u="1"/>
        <s v="2017-03-20-21:00" u="1"/>
        <s v="2016-03-11-13:00" u="1"/>
        <s v="2016-03-31-12:00" u="1"/>
        <s v="2016-07-05-04:00" u="1"/>
        <s v="2016-07-25-03:00" u="1"/>
        <s v="2016-10-25-23:00" u="1"/>
        <s v="2017-08-08-17:00" u="1"/>
        <s v="2017-08-28-16:00" u="1"/>
        <s v="9018-07-27-15:00" u="1"/>
        <s v="2017-04-20-21:00" u="1"/>
        <s v="2016-04-11-13:00" u="1"/>
        <s v="2016-08-05-04:00" u="1"/>
        <s v="2016-08-25-03:00" u="1"/>
        <s v="2016-11-25-23:00" u="1"/>
        <s v="2017-09-08-17:00" u="1"/>
        <s v="2017-09-28-16:00" u="1"/>
        <s v="2016-05-11-13:00" u="1"/>
        <s v="2016-05-31-12:00" u="1"/>
        <s v="2016-09-05-04:00" u="1"/>
        <s v="2017-06-20-21:00" u="1"/>
        <s v="2017-07-20-21:00" u="1"/>
        <s v="2016-07-11-13:00" u="1"/>
        <s v="2016-08-11-13:00" u="1"/>
        <s v="2016-08-31-12:00" u="1"/>
        <s v="2017-09-20-21:00" u="1"/>
        <s v="2018-01-08-17:00" u="1"/>
        <s v="2017-01-05-04:00" u="1"/>
        <s v="2017-01-25-03:00" u="1"/>
        <s v="2018-02-08-17:00" u="1"/>
        <s v="2018-02-28-16:00" u="1"/>
        <s v="2018-06-28-02:00" u="1"/>
        <s v="2018-03-08-17:00" u="1"/>
        <s v="2018-03-28-16:00" u="1"/>
        <s v="2017-10-19-14:00" u="1"/>
        <s v="2017-04-05-04:00" u="1"/>
        <s v="2017-04-25-03:00" u="1"/>
        <s v="2018-05-08-17:00" u="1"/>
        <s v="2018-05-28-16:00" u="1"/>
        <s v="2016-11-16-01:00" u="1"/>
        <s v="2017-01-11-13:00" u="1"/>
        <s v="2017-01-31-12:00" u="1"/>
        <s v="2017-05-05-04:00" u="1"/>
        <s v="2017-05-25-03:00" u="1"/>
        <s v="2017-12-19-14:00" u="1"/>
        <s v="2018-06-28-16:00" u="1"/>
        <s v="2018-02-20-21:00" u="1"/>
        <s v="2016-02-16-09:00" u="1"/>
        <s v="2016-12-16-01:00" u="1"/>
        <s v="2017-06-05-04:00" u="1"/>
        <s v="2018-03-20-21:00" u="1"/>
        <s v="2016-03-16-09:00" u="1"/>
        <s v="2017-03-31-12:00" u="1"/>
        <s v="2017-07-05-04:00" u="1"/>
        <s v="2017-07-25-03:00" u="1"/>
        <s v="2017-10-25-23:00" u="1"/>
        <s v="2018-04-20-21:00" u="1"/>
        <s v="2017-04-11-13:00" u="1"/>
        <s v="2017-08-25-03:00" u="1"/>
        <s v="9018-07-24-02:00" u="1"/>
        <s v="2016-01-22-18:00" u="1"/>
        <s v="2016-05-16-09:00" u="1"/>
        <s v="2016-11-02-11:00" u="1"/>
        <s v="2016-11-22-10:00" u="1"/>
        <s v="2017-05-11-13:00" u="1"/>
        <s v="2017-05-31-12:00" u="1"/>
        <s v="2017-09-05-04:00" u="1"/>
        <s v="2017-09-25-03:00" u="1"/>
        <s v="2016-02-02-19:00" u="1"/>
        <s v="2016-02-22-18:00" u="1"/>
        <s v="2016-06-16-09:00" u="1"/>
        <s v="2016-12-02-11:00" u="1"/>
        <s v="2016-12-22-10:00" u="1"/>
        <s v="2018-07-20-21:00" u="1"/>
        <s v="2016-03-02-19:00" u="1"/>
        <s v="2016-03-22-18:00" u="1"/>
        <s v="2017-07-11-13:00" u="1"/>
        <s v="2017-07-31-12:00" u="1"/>
        <s v="9018-07-24-16:00" u="1"/>
        <s v="2016-04-22-18:00" u="1"/>
        <s v="2016-08-16-09:00" u="1"/>
        <s v="2017-08-11-13:00" u="1"/>
        <s v="2017-08-31-12:00" u="1"/>
        <s v="2016-05-02-19:00" u="1"/>
        <s v="2016-09-16-09:00" u="1"/>
        <s v="2017-09-11-13:00" u="1"/>
        <s v="2016-02-17-21:00" u="1"/>
        <s v="2016-06-02-19:00" u="1"/>
        <s v="2016-06-22-18:00" u="1"/>
        <s v="2016-03-17-21:00" u="1"/>
        <s v="2016-07-22-18:00" u="1"/>
        <s v="2016-08-02-19:00" u="1"/>
        <s v="2016-08-22-18:00" u="1"/>
        <s v="2016-05-17-21:00" u="1"/>
        <s v="2016-09-02-19:00" u="1"/>
        <s v="2016-09-22-18:00" u="1"/>
        <s v="2018-01-05-04:00" u="1"/>
        <s v="2018-01-25-03:00" u="1"/>
        <s v="2016-06-17-21:00" u="1"/>
        <s v="2018-02-05-04:00" u="1"/>
        <s v="2018-03-05-04:00" u="1"/>
        <s v="2016-08-17-21:00" u="1"/>
        <s v="2017-10-16-01:00" u="1"/>
        <s v="2018-04-05-04:00" u="1"/>
        <s v="2018-04-25-03:00" u="1"/>
        <s v="2017-01-16-09:00" u="1"/>
        <s v="2017-11-16-01:00" u="1"/>
        <s v="2018-01-11-13:00" u="1"/>
        <s v="2018-01-31-12:00" u="1"/>
        <s v="2018-05-25-03:00" u="1"/>
        <s v="2017-02-16-09:00" u="1"/>
        <s v="2017-03-16-09:00" u="1"/>
        <s v="2018-07-25-03:00" u="1"/>
        <s v="2016-10-07-07:00" u="1"/>
        <s v="2016-10-27-06:00" u="1"/>
        <s v="2017-10-02-11:00" u="1"/>
        <s v="2018-04-11-13:00" u="1"/>
        <s v="2016-11-07-07:00" u="1"/>
        <s v="2017-01-02-19:00" u="1"/>
        <s v="2017-05-16-09:00" u="1"/>
        <s v="2017-11-02-11:00" u="1"/>
        <s v="2017-11-22-10:00" u="1"/>
        <s v="2018-05-11-13:00" u="1"/>
        <s v="2016-12-07-07:00" u="1"/>
        <s v="2016-12-27-06:00" u="1"/>
        <s v="2017-02-02-19:00" u="1"/>
        <s v="2017-02-22-18:00" u="1"/>
        <s v="2017-06-16-09:00" u="1"/>
        <s v="2017-12-22-10:00" u="1"/>
        <s v="2018-07-25-17:00" u="1"/>
        <s v="2017-03-02-19:00" u="1"/>
        <s v="2017-03-22-18:00" u="1"/>
        <s v="2016-10-13-16:00" u="1"/>
        <s v="2017-08-16-09:00" u="1"/>
        <s v="2017-01-17-21:00" u="1"/>
        <s v="2017-05-02-19:00" u="1"/>
        <s v="2017-05-22-18:00" u="1"/>
        <s v="2017-02-17-21:00" u="1"/>
        <s v="2016-12-13-16:00" u="1"/>
        <s v="2017-06-02-19:00" u="1"/>
        <s v="2017-06-22-18:00" u="1"/>
        <s v="2017-03-17-21:00" u="1"/>
        <s v="2017-04-17-21:00" u="1"/>
        <s v="2017-08-02-19:00" u="1"/>
        <s v="2017-08-22-18:00" u="1"/>
        <s v="2017-05-17-21:00" u="1"/>
        <s v="2017-09-22-18:00" u="1"/>
        <s v="2017-07-17-21:00" u="1"/>
        <s v="2017-08-17-21:00" u="1"/>
        <s v="2018-01-16-09:00" u="1"/>
        <s v="2018-02-16-09:00" u="1"/>
        <s v="2018-03-16-09:00" u="1"/>
        <s v="2017-10-27-06:00" u="1"/>
        <s v="2018-04-16-09:00" u="1"/>
        <s v="2017-11-07-07:00" u="1"/>
        <s v="2017-11-27-06:00" u="1"/>
        <s v="2018-01-02-19:00" u="1"/>
        <s v="2018-01-22-18:00" u="1"/>
        <s v="2018-05-16-09:00" u="1"/>
        <s v="2017-12-07-07:00" u="1"/>
        <s v="2017-12-27-06:00" u="1"/>
        <s v="2018-02-02-19:00" u="1"/>
        <s v="2018-02-22-18:00" u="1"/>
        <s v="2018-03-02-19:00" u="1"/>
        <s v="2018-03-22-18:00" u="1"/>
        <s v="2018-07-02-05:00" u="1"/>
        <s v="2017-10-13-16:00" u="1"/>
        <s v="2018-04-02-19:00" u="1"/>
        <s v="2016-10-10-03:00" u="1"/>
        <s v="2018-01-17-21:00" u="1"/>
        <s v="2016-01-19-04:00" u="1"/>
        <s v="2017-11-13-16:00" u="1"/>
        <s v="2018-05-02-19:00" u="1"/>
        <s v="2018-05-22-18:00" u="1"/>
        <s v="2016-11-10-03:00" u="1"/>
        <s v="2016-11-30-02:00" u="1"/>
        <s v="2016-02-19-04:00" u="1"/>
        <s v="2017-12-13-16:00" u="1"/>
        <s v="2016-12-30-02:00" u="1"/>
        <s v="2018-04-17-21:00" u="1"/>
        <s v="2016-04-19-04:00" u="1"/>
        <s v="2018-05-17-21:00" u="1"/>
        <s v="2016-01-05-14:00" u="1"/>
        <s v="2016-01-25-13:00" u="1"/>
        <s v="2016-05-19-04:00" u="1"/>
        <s v="2016-02-05-14:00" u="1"/>
        <s v="2016-02-25-13:00" u="1"/>
        <s v="9018-06-27-11:00" u="1"/>
        <s v="2016-03-25-13:00" u="1"/>
        <s v="2016-07-19-04:00" u="1"/>
        <s v="9018-07-27-11:00" u="1"/>
        <s v="2016-04-05-14:00" u="1"/>
        <s v="2016-04-25-13:00" u="1"/>
        <s v="2016-08-19-04:00" u="1"/>
        <s v="2016-01-11-23:00" u="1"/>
        <s v="2016-05-05-14:00" u="1"/>
        <s v="2016-05-25-13:00" u="1"/>
        <s v="2016-09-19-04:00" u="1"/>
        <s v="2016-02-11-23:00" u="1"/>
        <s v="2016-03-11-23:00" u="1"/>
        <s v="2016-03-31-22:00" u="1"/>
        <s v="2016-07-05-14:00" u="1"/>
        <s v="2016-07-25-13:00" u="1"/>
        <s v="2016-04-11-23:00" u="1"/>
        <s v="2016-08-05-14:00" u="1"/>
        <s v="2016-08-25-13:00" u="1"/>
        <s v="2016-05-11-23:00" u="1"/>
        <s v="2016-05-31-22:00" u="1"/>
        <s v="2016-09-05-14:00" u="1"/>
        <s v="2016-07-11-23:00" u="1"/>
        <s v="2016-08-11-23:00" u="1"/>
        <s v="2016-08-31-22:00" u="1"/>
        <s v="2017-10-10-03:00" u="1"/>
        <s v="2017-10-30-02:00" u="1"/>
        <s v="2017-01-19-04:00" u="1"/>
        <s v="2017-11-10-03:00" u="1"/>
        <s v="2017-11-30-02:00" u="1"/>
        <s v="2017-04-19-04:00" u="1"/>
        <s v="2016-10-21-08:00" u="1"/>
        <s v="2017-01-05-14:00" u="1"/>
        <s v="2017-01-25-13:00" u="1"/>
        <s v="2017-05-19-04:00" u="1"/>
        <s v="2016-01-22-00:00" u="1"/>
        <s v="2016-11-01-09:00" u="1"/>
        <s v="2016-11-21-08:00" u="1"/>
        <s v="2018-06-28-12:00" u="1"/>
        <s v="2017-06-19-04:00" u="1"/>
        <s v="2016-02-02-01:00" u="1"/>
        <s v="2016-02-22-00:00" u="1"/>
        <s v="2016-12-01-09:00" u="1"/>
        <s v="2016-12-21-08:00" u="1"/>
        <s v="2017-07-19-04:00" u="1"/>
        <s v="2016-03-02-01:00" u="1"/>
        <s v="2016-03-22-00:00" u="1"/>
        <s v="2017-04-05-14:00" u="1"/>
        <s v="2017-04-25-13:00" u="1"/>
        <s v="2016-04-22-00:00" u="1"/>
        <s v="2016-11-16-11:00" u="1"/>
        <s v="2017-01-11-23:00" u="1"/>
        <s v="2017-01-31-22:00" u="1"/>
        <s v="2017-05-05-14:00" u="1"/>
        <s v="2017-05-25-13:00" u="1"/>
        <s v="2017-09-19-04:00" u="1"/>
        <s v="2016-05-02-01:00" u="1"/>
        <s v="2016-02-16-19:00" u="1"/>
        <s v="2016-12-16-11:00" u="1"/>
        <s v="2017-06-05-14:00" u="1"/>
        <s v="2016-06-02-01:00" u="1"/>
        <s v="2016-06-22-00:00" u="1"/>
        <s v="2016-03-16-19:00" u="1"/>
        <s v="2017-03-31-22:00" u="1"/>
        <s v="2017-07-05-14:00" u="1"/>
        <s v="2017-07-25-13:00" u="1"/>
        <s v="2016-07-22-00:00" u="1"/>
        <s v="2017-04-11-23:00" u="1"/>
        <s v="2017-08-25-13:00" u="1"/>
        <s v="9018-07-24-12:00" u="1"/>
        <s v="2016-08-02-01:00" u="1"/>
        <s v="2016-08-22-00:00" u="1"/>
        <s v="2016-05-16-19:00" u="1"/>
        <s v="2016-11-02-21:00" u="1"/>
        <s v="2016-11-22-20:00" u="1"/>
        <s v="2017-05-11-23:00" u="1"/>
        <s v="2017-05-31-22:00" u="1"/>
        <s v="2017-09-05-14:00" u="1"/>
        <s v="2017-09-25-13:00" u="1"/>
        <s v="2016-09-02-01:00" u="1"/>
        <s v="2016-09-22-00:00" u="1"/>
        <s v="2016-06-16-19:00" u="1"/>
        <s v="2016-12-02-21:00" u="1"/>
        <s v="2016-12-22-20:00" u="1"/>
        <s v="2017-07-11-23:00" u="1"/>
        <s v="2017-07-31-22:00" u="1"/>
        <s v="2016-08-16-19:00" u="1"/>
        <s v="2017-08-11-23:00" u="1"/>
        <s v="2017-08-31-22:00" u="1"/>
        <s v="2016-09-16-19:00" u="1"/>
        <s v="2017-09-11-23:00" u="1"/>
        <s v="2018-01-19-04:00" u="1"/>
        <s v="2018-02-19-04:00" u="1"/>
        <s v="2018-03-19-04:00" u="1"/>
        <s v="2018-04-19-04:00" u="1"/>
        <s v="2018-01-05-14:00" u="1"/>
        <s v="2018-01-25-13:00" u="1"/>
        <s v="2017-11-01-09:00" u="1"/>
        <s v="2017-11-21-08:00" u="1"/>
        <s v="2018-02-05-14:00" u="1"/>
        <s v="2017-02-02-01:00" u="1"/>
        <s v="2017-02-22-00:00" u="1"/>
        <s v="2017-12-01-09:00" u="1"/>
        <s v="2017-12-21-08:00" u="1"/>
        <s v="2018-03-05-14:00" u="1"/>
        <s v="2017-03-02-01:00" u="1"/>
        <s v="2017-03-22-00:00" u="1"/>
        <s v="2017-10-16-11:00" u="1"/>
        <s v="2018-04-05-14:00" u="1"/>
        <s v="2018-04-25-13:00" u="1"/>
        <s v="2017-01-16-19:00" u="1"/>
        <s v="2017-11-16-11:00" u="1"/>
        <s v="2018-01-11-23:00" u="1"/>
        <s v="2018-01-31-22:00" u="1"/>
        <s v="2018-05-25-13:00" u="1"/>
        <s v="2016-01-13-06:00" u="1"/>
        <s v="2017-05-02-01:00" u="1"/>
        <s v="2017-05-22-00:00" u="1"/>
        <s v="2017-02-16-19:00" u="1"/>
        <s v="2017-06-02-01:00" u="1"/>
        <s v="2017-06-22-00:00" u="1"/>
        <s v="2017-03-16-19:00" u="1"/>
        <s v="2018-03-11-23:00" u="1"/>
        <s v="2018-07-25-13:00" u="1"/>
        <s v="9018-06-29-08:00" u="1"/>
        <s v="2016-10-07-17:00" u="1"/>
        <s v="2016-10-27-16:00" u="1"/>
        <s v="2017-10-02-21:00" u="1"/>
        <s v="2018-04-11-23:00" u="1"/>
        <s v="2016-04-13-06:00" u="1"/>
        <s v="2017-08-02-01:00" u="1"/>
        <s v="2017-08-22-00:00" u="1"/>
        <s v="2016-11-07-17:00" u="1"/>
        <s v="2017-05-16-19:00" u="1"/>
        <s v="2017-11-02-21:00" u="1"/>
        <s v="2017-11-22-20:00" u="1"/>
        <s v="2018-05-11-23:00" u="1"/>
        <s v="2016-05-13-06:00" u="1"/>
        <s v="2017-09-22-00:00" u="1"/>
        <s v="2016-12-07-17:00" u="1"/>
        <s v="2016-12-27-16:00" u="1"/>
        <s v="2017-06-16-19:00" u="1"/>
        <s v="2017-12-22-20:00" u="1"/>
        <s v="2016-06-13-06:00" u="1"/>
        <s v="2016-07-13-06:00" u="1"/>
        <s v="2017-08-16-19:00" u="1"/>
        <s v="2016-09-13-06:00" u="1"/>
        <s v="2015-12-30-12:00" u="1"/>
        <s v="2018-01-22-00:00" u="1"/>
        <s v="2018-02-02-01:00" u="1"/>
        <s v="2018-02-22-00:00" u="1"/>
        <s v="2018-03-02-01:00" u="1"/>
        <s v="2018-03-22-00:00" u="1"/>
        <s v="2018-04-02-01:00" u="1"/>
        <s v="2018-01-16-19:00" u="1"/>
        <s v="2017-01-13-06:00" u="1"/>
        <s v="2018-05-02-01:00" u="1"/>
        <s v="2018-05-22-00:00" u="1"/>
        <s v="2018-02-16-19:00" u="1"/>
        <s v="2017-02-13-06:00" u="1"/>
        <s v="2018-03-16-19:00" u="1"/>
        <s v="2017-03-13-06:00" u="1"/>
        <s v="2018-07-02-01:00" u="1"/>
        <s v="2017-10-27-16:00" u="1"/>
        <s v="2018-04-16-19:00" u="1"/>
        <s v="2016-10-18-08:00" u="1"/>
        <s v="2016-10-04-04:00" u="1"/>
        <s v="2016-10-24-03:00" u="1"/>
        <s v="2017-04-13-06:00" u="1"/>
        <s v="2017-11-07-17:00" u="1"/>
        <s v="2017-11-27-16:00" u="1"/>
        <s v="2018-05-16-19:00" u="1"/>
        <s v="2016-11-04-04:00" u="1"/>
        <s v="2016-11-24-03:00" u="1"/>
        <s v="2017-12-07-17:00" u="1"/>
        <s v="2017-12-27-16:00" u="1"/>
        <s v="2017-06-13-06:00" u="1"/>
        <s v="9018-06-26-09:00" u="1"/>
        <s v="2017-07-13-06:00" u="1"/>
        <s v="9018-07-26-09:00" u="1"/>
        <s v="2016-10-10-13:00" u="1"/>
        <s v="2016-01-19-14:00" u="1"/>
        <s v="2016-11-10-13:00" u="1"/>
        <s v="2016-11-30-12:00" u="1"/>
        <s v="2017-09-13-06:00" u="1"/>
        <s v="2016-02-19-14:00" u="1"/>
        <s v="2016-12-30-12:00" u="1"/>
        <s v="2016-04-19-14:00" u="1"/>
        <s v="2016-01-25-23:00" u="1"/>
        <s v="2016-05-19-14:00" u="1"/>
        <s v="2016-02-25-23:00" u="1"/>
        <s v="9018-06-27-21:00" u="1"/>
        <s v="2016-07-19-14:00" u="1"/>
        <s v="9018-07-27-21:00" u="1"/>
        <s v="2016-04-25-23:00" u="1"/>
        <s v="2016-08-19-14:00" u="1"/>
        <s v="2016-05-25-23:00" u="1"/>
        <s v="2016-09-19-14:00" u="1"/>
        <s v="2018-02-13-06:00" u="1"/>
        <s v="2016-07-25-23:00" u="1"/>
        <s v="2018-03-13-06:00" u="1"/>
        <s v="2016-08-25-23:00" u="1"/>
        <s v="2017-10-04-04:00" u="1"/>
        <s v="2017-10-24-03:00" u="1"/>
        <s v="2018-04-13-06:00" u="1"/>
        <s v="2017-11-24-03:00" u="1"/>
        <s v="2017-12-04-04:00" u="1"/>
        <s v="2017-10-10-13:00" u="1"/>
        <s v="2017-10-30-12:00" u="1"/>
        <s v="2017-01-19-14:00" u="1"/>
        <s v="2016-11-15-09:00" u="1"/>
        <s v="2017-11-10-13:00" u="1"/>
        <s v="2017-11-30-12:00" u="1"/>
        <s v="2016-02-16-01:00" u="1"/>
        <s v="2016-12-15-09:00" u="1"/>
        <s v="2016-03-16-01:00" u="1"/>
        <s v="2017-04-19-14:00" u="1"/>
        <s v="2016-10-21-18:00" u="1"/>
        <s v="2017-01-25-23:00" u="1"/>
        <s v="2017-05-19-14:00" u="1"/>
        <s v="2016-01-22-10:00" u="1"/>
        <s v="2016-05-16-01:00" u="1"/>
        <s v="2016-11-01-19:00" u="1"/>
        <s v="2016-11-21-18:00" u="1"/>
        <s v="2018-06-28-22:00" u="1"/>
        <s v="2017-06-19-14:00" u="1"/>
        <s v="2016-02-02-11:00" u="1"/>
        <s v="2016-02-22-10:00" u="1"/>
        <s v="2016-06-16-01:00" u="1"/>
        <s v="2016-12-01-19:00" u="1"/>
        <s v="2016-12-21-18:00" u="1"/>
        <s v="2017-07-19-14:00" u="1"/>
        <s v="2016-03-02-11:00" u="1"/>
        <s v="2016-03-22-10:00" u="1"/>
        <s v="2017-04-25-23:00" u="1"/>
        <s v="2016-04-22-10:00" u="1"/>
        <s v="2016-08-16-01:00" u="1"/>
        <s v="2016-11-16-21:00" u="1"/>
        <s v="2017-05-25-23:00" u="1"/>
        <s v="2017-09-19-14:00" u="1"/>
        <s v="2016-05-02-11:00" u="1"/>
        <s v="2016-09-16-01:00" u="1"/>
        <s v="2016-12-16-21:00" u="1"/>
        <s v="2016-06-02-11:00" u="1"/>
        <s v="2016-06-22-10:00" u="1"/>
        <s v="2017-07-25-23:00" u="1"/>
        <s v="2016-07-22-10:00" u="1"/>
        <s v="2017-08-25-23:00" u="1"/>
        <s v="9018-07-24-22:00" u="1"/>
        <s v="2016-08-02-11:00" u="1"/>
        <s v="2016-08-22-10:00" u="1"/>
        <s v="2017-09-25-23:00" u="1"/>
        <s v="2016-09-02-11:00" u="1"/>
        <s v="2016-09-22-10:00" u="1"/>
        <s v="2018-01-19-14:00" u="1"/>
        <s v="2017-01-16-01:00" u="1"/>
        <s v="2017-11-15-09:00" u="1"/>
        <s v="2018-02-19-14:00" u="1"/>
        <s v="2017-02-16-01:00" u="1"/>
        <s v="2017-12-15-09:00" u="1"/>
        <s v="2018-03-19-14:00" u="1"/>
        <s v="2017-03-16-01:00" u="1"/>
        <s v="2018-04-19-14:00" u="1"/>
        <s v="2018-01-25-23:00" u="1"/>
        <s v="2016-01-07-07:00" u="1"/>
        <s v="2016-01-27-06:00" u="1"/>
        <s v="2017-01-02-11:00" u="1"/>
        <s v="2017-05-16-01:00" u="1"/>
        <s v="2017-11-01-19:00" u="1"/>
        <s v="2017-11-21-18:00" u="1"/>
        <s v="2017-02-02-11:00" u="1"/>
        <s v="2017-02-22-10:00" u="1"/>
        <s v="2017-06-16-01:00" u="1"/>
        <s v="2017-12-01-19:00" u="1"/>
        <s v="2017-12-21-18:00" u="1"/>
        <s v="9018-06-29-04:00" u="1"/>
        <s v="2016-03-07-07:00" u="1"/>
        <s v="2017-03-02-11:00" u="1"/>
        <s v="2017-03-22-10:00" u="1"/>
        <s v="2017-10-16-21:00" u="1"/>
        <s v="2018-04-25-23:00" u="1"/>
        <s v="2016-04-07-07:00" u="1"/>
        <s v="2016-04-27-06:00" u="1"/>
        <s v="2017-08-16-01:00" u="1"/>
        <s v="2017-11-16-21:00" u="1"/>
        <s v="2018-05-25-23:00" u="1"/>
        <s v="2016-01-13-16:00" u="1"/>
        <s v="2016-05-27-06:00" u="1"/>
        <s v="2017-05-02-11:00" u="1"/>
        <s v="2017-05-22-10:00" u="1"/>
        <s v="2016-06-07-07:00" u="1"/>
        <s v="2016-06-27-06:00" u="1"/>
        <s v="2017-06-02-11:00" u="1"/>
        <s v="2017-06-22-10:00" u="1"/>
        <s v="2018-07-25-23:00" u="1"/>
        <s v="9018-06-29-18:00" u="1"/>
        <s v="2016-07-07-07:00" u="1"/>
        <s v="2016-07-27-06:00" u="1"/>
        <s v="2016-04-13-16:00" u="1"/>
        <s v="2017-08-02-11:00" u="1"/>
        <s v="2017-08-22-10:00" u="1"/>
        <s v="2016-05-13-16:00" u="1"/>
        <s v="2016-09-07-07:00" u="1"/>
        <s v="2016-09-27-06:00" u="1"/>
        <s v="2017-09-22-10:00" u="1"/>
        <s v="2016-06-13-16:00" u="1"/>
        <s v="2016-07-13-16:00" u="1"/>
        <s v="2016-09-13-16:00" u="1"/>
        <s v="2018-01-16-01:00" u="1"/>
        <s v="2015-12-30-22:00" u="1"/>
        <s v="2018-02-16-01:00" u="1"/>
        <s v="2018-03-16-01:00" u="1"/>
        <s v="2018-04-16-01:00" u="1"/>
        <s v="2017-01-27-06:00" u="1"/>
        <s v="2018-01-02-11:00" u="1"/>
        <s v="2018-01-22-10:00" u="1"/>
        <s v="2018-05-16-01:00" u="1"/>
        <s v="2017-02-07-07:00" u="1"/>
        <s v="2017-02-27-06:00" u="1"/>
        <s v="2018-02-02-11:00" u="1"/>
        <s v="2018-02-22-10:00" u="1"/>
        <s v="2017-03-07-07:00" u="1"/>
        <s v="2017-03-27-06:00" u="1"/>
        <s v="2018-03-02-11:00" u="1"/>
        <s v="2018-03-22-10:00" u="1"/>
        <s v="2017-04-07-07:00" u="1"/>
        <s v="2017-04-27-06:00" u="1"/>
        <s v="2018-04-02-11:00" u="1"/>
        <s v="2017-01-13-16:00" u="1"/>
        <s v="2018-05-02-11:00" u="1"/>
        <s v="2018-05-22-10:00" u="1"/>
        <s v="2017-02-13-16:00" u="1"/>
        <s v="2017-06-07-07:00" u="1"/>
        <s v="2017-06-27-06:00" u="1"/>
      </sharedItems>
    </cacheField>
    <cacheField name="FEATURE" numFmtId="0" sqlType="6">
      <sharedItems containsSemiMixedTypes="0" containsString="0" containsNumber="1" containsInteger="1" minValue="0" maxValue="9" count="10">
        <n v="0" u="1"/>
        <n v="6" u="1"/>
        <n v="3" u="1"/>
        <n v="7" u="1"/>
        <n v="8" u="1"/>
        <n v="4" u="1"/>
        <n v="2" u="1"/>
        <n v="9" u="1"/>
        <n v="1" u="1"/>
        <n v="5" u="1"/>
      </sharedItems>
    </cacheField>
    <cacheField name="WTLEVEL" numFmtId="0" sqlType="6">
      <sharedItems containsSemiMixedTypes="0" containsString="0" containsNumber="1" containsInteger="1" minValue="-1" maxValue="4" count="6">
        <n v="0" u="1"/>
        <n v="3" u="1"/>
        <n v="-1" u="1"/>
        <n v="4" u="1"/>
        <n v="2" u="1"/>
        <n v="1" u="1"/>
      </sharedItems>
    </cacheField>
    <cacheField name="ACTUALTRS" numFmtId="0" sqlType="6">
      <sharedItems containsSemiMixedTypes="0" containsString="0"/>
    </cacheField>
    <cacheField name="PREDICTEDTRS" numFmtId="0" sqlType="6">
      <sharedItems containsSemiMixedTypes="0" containsString="0"/>
    </cacheField>
    <cacheField name="ERRORTRS" numFmtId="0" sqlType="6">
      <sharedItems containsSemiMixedTypes="0" containsString="0"/>
    </cacheField>
    <cacheField name="ACTUALTR" numFmtId="0" sqlType="6">
      <sharedItems containsSemiMixedTypes="0" containsString="0"/>
    </cacheField>
    <cacheField name="PREDICTEDTR" numFmtId="0" sqlType="6">
      <sharedItems containsSemiMixedTypes="0" containsString="0"/>
    </cacheField>
    <cacheField name="ERRORTR" numFmtId="0" sqlType="6">
      <sharedItems containsSemiMixedTypes="0" containsString="0"/>
    </cacheField>
    <cacheField name="ACTUALBASE" numFmtId="0" sqlType="6">
      <sharedItems containsSemiMixedTypes="0" containsString="0"/>
    </cacheField>
    <cacheField name="PREDICTEDBASE" numFmtId="0" sqlType="6">
      <sharedItems containsSemiMixedTypes="0" containsString="0"/>
    </cacheField>
    <cacheField name="ERRORBASE" numFmtId="0" sqlType="6">
      <sharedItems containsSemiMixedTypes="0" containsString="0"/>
    </cacheField>
  </cacheFields>
  <extLst>
    <ext xmlns:x14="http://schemas.microsoft.com/office/spreadsheetml/2009/9/main" uri="{725AE2AE-9491-48be-B2B4-4EB974FC3084}">
      <x14:pivotCacheDefinition pivotCacheId="7"/>
    </ext>
  </extLst>
</pivotCacheDefinition>
</file>

<file path=xl/pivotCache/pivotCacheDefinition7.xml><?xml version="1.0" encoding="utf-8"?>
<pivotCacheDefinition xmlns="http://schemas.openxmlformats.org/spreadsheetml/2006/main" xmlns:r="http://schemas.openxmlformats.org/officeDocument/2006/relationships" r:id="rId1" refreshedBy="gcaglion" refreshedDate="43787.439333449074" createdVersion="5" refreshedVersion="5" minRefreshableVersion="3" recordCount="48">
  <cacheSource type="external" connectionId="11"/>
  <cacheFields count="14">
    <cacheField name="CLIENTPID" numFmtId="0" sqlType="6">
      <sharedItems containsSemiMixedTypes="0" containsString="0" containsNumber="1" containsInteger="1" minValue="96" maxValue="17400" count="781">
        <n v="7384"/>
        <n v="8668"/>
        <n v="8296" u="1"/>
        <n v="11164" u="1"/>
        <n v="1312" u="1"/>
        <n v="9604" u="1"/>
        <n v="8564" u="1"/>
        <n v="14615" u="1"/>
        <n v="15072" u="1"/>
        <n v="14552" u="1"/>
        <n v="12992" u="1"/>
        <n v="10912" u="1"/>
        <n v="10392" u="1"/>
        <n v="2400" u="1"/>
        <n v="13780" u="1"/>
        <n v="6692" u="1"/>
        <n v="9226" u="1"/>
        <n v="1444" u="1"/>
        <n v="5652" u="1"/>
        <n v="1184" u="1"/>
        <n v="15088" u="1"/>
        <n v="13528" u="1"/>
        <n v="13008" u="1"/>
        <n v="3184" u="1"/>
        <n v="2924" u="1"/>
        <n v="10928" u="1"/>
        <n v="8391" u="1"/>
        <n v="9888" u="1"/>
        <n v="8328" u="1"/>
        <n v="11259" u="1"/>
        <n v="1576" u="1"/>
        <n v="12236" u="1"/>
        <n v="10156" u="1"/>
        <n v="1251" u="1"/>
        <n v="14127" u="1"/>
        <n v="3968" u="1"/>
        <n v="14584" u="1"/>
        <n v="11984" u="1"/>
        <n v="10944" u="1"/>
        <n v="8008" u="1"/>
        <n v="14852" u="1"/>
        <n v="14332" u="1"/>
        <n v="6968" u="1"/>
        <n v="13292" u="1"/>
        <n v="5928" u="1"/>
        <n v="16223" u="1"/>
        <n v="12583" u="1"/>
        <n v="2932" u="1"/>
        <n v="127" u="1"/>
        <n v="15388" u="1"/>
        <n v="1840" u="1"/>
        <n v="6716" u="1"/>
        <n v="12788" u="1"/>
        <n v="1580" u="1"/>
        <n v="11228" u="1"/>
        <n v="17008" u="1"/>
        <n v="14616" u="1"/>
        <n v="12536" u="1"/>
        <n v="9416" u="1"/>
        <n v="8896" u="1"/>
        <n v="7764" u="1"/>
        <n v="7504" u="1"/>
        <n v="6204" u="1"/>
        <n v="5684" u="1"/>
        <n v="9227" u="1"/>
        <n v="11244" u="1"/>
        <n v="5164" u="1"/>
        <n v="1257" u="1"/>
        <n v="4384" u="1"/>
        <n v="14175" u="1"/>
        <n v="14112" u="1"/>
        <n v="224" u="1"/>
        <n v="12552" u="1"/>
        <n v="12032" u="1"/>
        <n v="2940" u="1"/>
        <n v="11512" u="1"/>
        <n v="4518" u="1"/>
        <n v="8392" u="1"/>
        <n v="7252" u="1"/>
        <n v="1584" u="1"/>
        <n v="3007" u="1"/>
        <n v="5952" u="1"/>
        <n v="4912" u="1"/>
        <n v="4132" u="1"/>
        <n v="14128" u="1"/>
        <n v="3464" u="1"/>
        <n v="13608" u="1"/>
        <n v="9054" u="1"/>
        <n v="12048" u="1"/>
        <n v="2944" u="1"/>
        <n v="9511" u="1"/>
        <n v="11008" u="1"/>
        <n v="8928" u="1"/>
        <n v="8040" u="1"/>
        <n v="5700" u="1"/>
        <n v="1326" u="1"/>
        <n v="16287" u="1"/>
        <n v="16224" u="1"/>
        <n v="3988" u="1"/>
        <n v="12584" u="1"/>
        <n v="11024" u="1"/>
        <n v="2688" u="1"/>
        <n v="9984" u="1"/>
        <n v="7788" u="1"/>
        <n v="13892" u="1"/>
        <n v="13372" u="1"/>
        <n v="1328" u="1"/>
        <n v="16303" u="1"/>
        <n v="9732" u="1"/>
        <n v="4408" u="1"/>
        <n v="12080" u="1"/>
        <n v="2562" u="1"/>
        <n v="8440" u="1"/>
        <n v="7536" u="1"/>
        <n v="3539" u="1"/>
        <n v="13388" u="1"/>
        <n v="11828" u="1"/>
        <n v="1460" u="1"/>
        <n v="5716" u="1"/>
        <n v="9228" u="1"/>
        <n v="11182" u="1"/>
        <n v="3736" u="1"/>
        <n v="12679" u="1"/>
        <n v="14176" u="1"/>
        <n v="13656" u="1"/>
        <n v="2566" u="1"/>
        <n v="15027" u="1"/>
        <n v="13924" u="1"/>
        <n v="1592" u="1"/>
        <n v="12364" u="1"/>
        <n v="10284" u="1"/>
        <n v="9764" u="1"/>
        <n v="8724" u="1"/>
        <n v="16272" u="1"/>
        <n v="4000" u="1"/>
        <n v="14712" u="1"/>
        <n v="13152" u="1"/>
        <n v="9055" u="1"/>
        <n v="10032" u="1"/>
        <n v="9512" u="1"/>
        <n v="14980" u="1"/>
        <n v="6772" u="1"/>
        <n v="6512" u="1"/>
        <n v="4952" u="1"/>
        <n v="8740" u="1"/>
        <n v="13168" u="1"/>
        <n v="12648" u="1"/>
        <n v="8551" u="1"/>
        <n v="4566" u="1"/>
        <n v="128" u="1"/>
        <n v="7300" u="1"/>
        <n v="10836" u="1"/>
        <n v="9276" u="1"/>
        <n v="8756" u="1"/>
        <n v="4180" u="1"/>
        <n v="16304" u="1"/>
        <n v="12664" u="1"/>
        <n v="11624" u="1"/>
        <n v="6591" u="1"/>
        <n v="14555" u="1"/>
        <n v="8088" u="1"/>
        <n v="6788" u="1"/>
        <n v="6528" u="1"/>
        <n v="11892" u="1"/>
        <n v="5748" u="1"/>
        <n v="11372" u="1"/>
        <n v="8772" u="1"/>
        <n v="14240" u="1"/>
        <n v="11183" u="1"/>
        <n v="13200" u="1"/>
        <n v="12680" u="1"/>
        <n v="2972" u="1"/>
        <n v="11120" u="1"/>
        <n v="10600" u="1"/>
        <n v="16068" u="1"/>
        <n v="15028" u="1"/>
        <n v="13988" u="1"/>
        <n v="4519" u="1"/>
        <n v="9371" u="1"/>
        <n v="11388" u="1"/>
        <n v="10868" u="1"/>
        <n v="10348" u="1"/>
        <n v="9828" u="1"/>
        <n v="3496" u="1"/>
        <n v="9056" u="1"/>
        <n v="6087" u="1"/>
        <n v="7324" u="1"/>
        <n v="14524" u="1"/>
        <n v="13484" u="1"/>
        <n v="6024" u="1"/>
        <n v="11924" u="1"/>
        <n v="1212" u="1"/>
        <n v="11672" u="1"/>
        <n v="8552" u="1"/>
        <n v="16856" u="1"/>
        <n v="7592" u="1"/>
        <n v="12460" u="1"/>
        <n v="96" u="1"/>
        <n v="11420" u="1"/>
        <n v="9340" u="1"/>
        <n v="4472" u="1"/>
        <n v="17140" u="1"/>
        <n v="10648" u="1"/>
        <n v="10128" u="1"/>
        <n v="2464" u="1"/>
        <n v="16116" u="1"/>
        <n v="1996" u="1"/>
        <n v="7860" u="1"/>
        <n v="14556" u="1"/>
        <n v="10916" u="1"/>
        <n v="15864" u="1"/>
        <n v="12744" u="1"/>
        <n v="2988" u="1"/>
        <n v="8584" u="1"/>
        <n v="8128" u="1"/>
        <n v="11578" u="1"/>
        <n v="13075" u="1"/>
        <n v="7348" u="1"/>
        <n v="6568" u="1"/>
        <n v="1608" u="1"/>
        <n v="12492" u="1"/>
        <n v="16668" u="1"/>
        <n v="11972" u="1"/>
        <n v="5788" u="1"/>
        <n v="9372" u="1"/>
        <n v="14840" u="1"/>
        <n v="10743" u="1"/>
        <n v="15171" u="1"/>
        <n v="8600" u="1"/>
        <n v="2000" u="1"/>
        <n v="11594" u="1"/>
        <n v="15628" u="1"/>
        <n v="15108" u="1"/>
        <n v="6836" u="1"/>
        <n v="11531" u="1"/>
        <n v="5796" u="1"/>
        <n v="5276" u="1"/>
        <n v="10428" u="1"/>
        <n v="14856" u="1"/>
        <n v="11279" u="1"/>
        <n v="12776" u="1"/>
        <n v="7427" u="1"/>
        <n v="2216" u="1"/>
        <n v="12650" u="1"/>
        <n v="8144" u="1"/>
        <n v="7624" u="1"/>
        <n v="3583" u="1"/>
        <n v="6844" u="1"/>
        <n v="4567" u="1"/>
        <n v="10964" u="1"/>
        <n v="1352" u="1"/>
        <n v="9404" u="1"/>
        <n v="8018" u="1"/>
        <n v="13375" u="1"/>
        <n v="244" u="1"/>
        <n v="9735" u="1"/>
        <n v="10712" u="1"/>
        <n v="6395" u="1"/>
        <n v="13580" u="1"/>
        <n v="6592" u="1"/>
        <n v="13060" u="1"/>
        <n v="12540" u="1"/>
        <n v="1484" u="1"/>
        <n v="10460" u="1"/>
        <n v="9420" u="1"/>
        <n v="11374" u="1"/>
        <n v="12808" u="1"/>
        <n v="10728" u="1"/>
        <n v="9688" u="1"/>
        <n v="13076" u="1"/>
        <n v="6080" u="1"/>
        <n v="11516" u="1"/>
        <n v="10996" u="1"/>
        <n v="4520" u="1"/>
        <n v="14384" u="1"/>
        <n v="13344" u="1"/>
        <n v="12304" u="1"/>
        <n v="10744" u="1"/>
        <n v="1943" u="1"/>
        <n v="7648" u="1"/>
        <n v="15172" u="1"/>
        <n v="14652" u="1"/>
        <n v="6868" u="1"/>
        <n v="11595" u="1"/>
        <n v="13612" u="1"/>
        <n v="396" u="1"/>
        <n v="6088" u="1"/>
        <n v="5828" u="1"/>
        <n v="5308" u="1"/>
        <n v="9972" u="1"/>
        <n v="4788" u="1"/>
        <n v="9452" u="1"/>
        <n v="8412" u="1"/>
        <n v="11280" u="1"/>
        <n v="9720" u="1"/>
        <n v="8680" u="1"/>
        <n v="7656" u="1"/>
        <n v="7396" u="1"/>
        <n v="6876" u="1"/>
        <n v="13108" u="1"/>
        <n v="6096" u="1"/>
        <n v="5316" u="1"/>
        <n v="1295" u="1"/>
        <n v="4276" u="1"/>
        <n v="15456" u="1"/>
        <n v="13376" u="1"/>
        <n v="3276" u="1"/>
        <n v="12336" u="1"/>
        <n v="11296" u="1"/>
        <n v="6947" u="1"/>
        <n v="9736" u="1"/>
        <n v="7144" u="1"/>
        <n v="6884" u="1"/>
        <n v="13644" u="1"/>
        <n v="12604" u="1"/>
        <n v="12084" u="1"/>
        <n v="8507" u="1"/>
        <n v="10524" u="1"/>
        <n v="2563" u="1"/>
        <n v="8964" u="1"/>
        <n v="4284" u="1"/>
        <n v="15992" u="1"/>
        <n v="12352" u="1"/>
        <n v="11832" u="1"/>
        <n v="10272" u="1"/>
        <n v="9752" u="1"/>
        <n v="5915" u="1"/>
        <n v="9689" u="1"/>
        <n v="495" u="1"/>
        <n v="11580" u="1"/>
        <n v="2567" u="1"/>
        <n v="9500" u="1"/>
        <n v="4064" u="1"/>
        <n v="14448" u="1"/>
        <n v="11848" u="1"/>
        <n v="8791" u="1"/>
        <n v="8271" u="1"/>
        <n v="11722" u="1"/>
        <n v="12699" u="1"/>
        <n v="13676" u="1"/>
        <n v="11596" u="1"/>
        <n v="10036" u="1"/>
        <n v="1236" u="1"/>
        <n v="12904" u="1"/>
        <n v="11344" u="1"/>
        <n v="496" u="1"/>
        <n v="12132" u="1"/>
        <n v="4568" u="1"/>
        <n v="2055" u="1"/>
        <n v="15520" u="1"/>
        <n v="3032" u="1"/>
        <n v="12731" u="1"/>
        <n v="14748" u="1"/>
        <n v="464" u="1"/>
        <n v="9154" u="1"/>
        <n v="6396" u="1"/>
        <n v="5356" u="1"/>
        <n v="8508" u="1"/>
        <n v="13456" u="1"/>
        <n v="11376" u="1"/>
        <n v="12290" u="1"/>
        <n v="13267" u="1"/>
        <n v="15284" u="1"/>
        <n v="7444" u="1"/>
        <n v="7184" u="1"/>
        <n v="12227" u="1"/>
        <n v="14244" u="1"/>
        <n v="9690" u="1"/>
        <n v="6664" u="1"/>
        <n v="12164" u="1"/>
        <n v="5884" u="1"/>
        <n v="11644" u="1"/>
        <n v="11124" u="1"/>
        <n v="10084" u="1"/>
        <n v="16135" u="1"/>
        <n v="4844" u="1"/>
        <n v="4584" u="1"/>
        <n v="13992" u="1"/>
        <n v="3040" u="1"/>
        <n v="6475" u="1"/>
        <n v="8792" u="1"/>
        <n v="548" u="1"/>
        <n v="8272" u="1"/>
        <n v="6672" u="1"/>
        <n v="6412" u="1"/>
        <n v="12700" u="1"/>
        <n v="12180" u="1"/>
        <n v="9123" u="1"/>
        <n v="5372" u="1"/>
        <n v="1244" u="1"/>
        <n v="4332" u="1"/>
        <n v="14008" u="1"/>
        <n v="11408" u="1"/>
        <n v="10888" u="1"/>
        <n v="10368" u="1"/>
        <n v="8808" u="1"/>
        <n v="8288" u="1"/>
        <n v="14796" u="1"/>
        <n v="12259" u="1"/>
        <n v="6420" u="1"/>
        <n v="1376" u="1"/>
        <n v="10116" u="1"/>
        <n v="12590" u="1"/>
        <n v="3828" u="1"/>
        <n v="15064" u="1"/>
        <n v="14544" u="1"/>
        <n v="17400" u="1"/>
        <n v="8304" u="1"/>
        <n v="7988" u="1"/>
        <n v="6688" u="1"/>
        <n v="12732" u="1"/>
        <n v="9155" u="1"/>
        <n v="10132" u="1"/>
        <n v="1248" u="1"/>
        <n v="9612" u="1"/>
        <n v="9092" u="1"/>
        <n v="15080" u="1"/>
        <n v="9880" u="1"/>
        <n v="2272" u="1"/>
        <n v="1900" u="1"/>
        <n v="12291" u="1"/>
        <n v="4939" u="1"/>
        <n v="6696" u="1"/>
        <n v="13268" u="1"/>
        <n v="12228" u="1"/>
        <n v="5916" u="1"/>
        <n v="9691" u="1"/>
        <n v="14639" u="1"/>
        <n v="16136" u="1"/>
        <n v="14056" u="1"/>
        <n v="12496" u="1"/>
        <n v="8004" u="1"/>
        <n v="6964" u="1"/>
        <n v="6444" u="1"/>
        <n v="10747" u="1"/>
        <n v="12764" u="1"/>
        <n v="17212" u="1"/>
        <n v="12244" u="1"/>
        <n v="11204" u="1"/>
        <n v="5144" u="1"/>
        <n v="9124" u="1"/>
        <n v="8604" u="1"/>
        <n v="4104" u="1"/>
        <n v="1008" u="1"/>
        <n v="13615" u="1"/>
        <n v="13032" u="1"/>
        <n v="3060" u="1"/>
        <n v="10952" u="1"/>
        <n v="13426" u="1"/>
        <n v="6255" u="1"/>
        <n v="8012" u="1"/>
        <n v="14340" u="1"/>
        <n v="6712" u="1"/>
        <n v="1644" u="1"/>
        <n v="10763" u="1"/>
        <n v="12780" u="1"/>
        <n v="17244" u="1"/>
        <n v="6192" u="1"/>
        <n v="5412" u="1"/>
        <n v="9660" u="1"/>
        <n v="12591" u="1"/>
        <n v="3584" u="1"/>
        <n v="4569" u="1"/>
        <n v="13048" u="1"/>
        <n v="8888" u="1"/>
        <n v="8020" u="1"/>
        <n v="13316" u="1"/>
        <n v="5680" u="1"/>
        <n v="5420" u="1"/>
        <n v="9156" u="1"/>
        <n v="12607" u="1"/>
        <n v="14624" u="1"/>
        <n v="880" u="1"/>
        <n v="13584" u="1"/>
        <n v="12544" u="1"/>
        <n v="7831" u="1"/>
        <n v="14372" u="1"/>
        <n v="6728" u="1"/>
        <n v="11252" u="1"/>
        <n v="9692" u="1"/>
        <n v="15160" u="1"/>
        <n v="14640" u="1"/>
        <n v="3332" u="1"/>
        <n v="12560" u="1"/>
        <n v="9440" u="1"/>
        <n v="6476" u="1"/>
        <n v="8794" u="1"/>
        <n v="3856" u="1"/>
        <n v="14136" u="1"/>
        <n v="8936" u="1"/>
        <n v="13427" u="1"/>
        <n v="1912" u="1"/>
        <n v="1847" u="1"/>
        <n v="6224" u="1"/>
        <n v="5964" u="1"/>
        <n v="10764" u="1"/>
        <n v="1327" u="1"/>
        <n v="13632" u="1"/>
        <n v="12592" u="1"/>
        <n v="2820" u="1"/>
        <n v="2560" u="1"/>
        <n v="9992" u="1"/>
        <n v="11426" u="1"/>
        <n v="11883" u="1"/>
        <n v="6492" u="1"/>
        <n v="10780" u="1"/>
        <n v="340" u="1"/>
        <n v="5192" u="1"/>
        <n v="14688" u="1"/>
        <n v="14168" u="1"/>
        <n v="3344" u="1"/>
        <n v="13128" u="1"/>
        <n v="12608" u="1"/>
        <n v="11568" u="1"/>
        <n v="2564" u="1"/>
        <n v="8968" u="1"/>
        <n v="8060" u="1"/>
        <n v="1916" u="1"/>
        <n v="7540" u="1"/>
        <n v="13396" u="1"/>
        <n v="1656" u="1"/>
        <n v="6500" u="1"/>
        <n v="5980" u="1"/>
        <n v="4940" u="1"/>
        <n v="4680" u="1"/>
        <n v="9693" u="1"/>
        <n v="13664" u="1"/>
        <n v="12624" u="1"/>
        <n v="16932" u="1"/>
        <n v="2568" u="1"/>
        <n v="13932" u="1"/>
        <n v="8795" u="1"/>
        <n v="10812" u="1"/>
        <n v="1268" u="1"/>
        <n v="14783" u="1"/>
        <n v="16280" u="1"/>
        <n v="9583" u="1"/>
        <n v="8480" u="1"/>
        <n v="7556" u="1"/>
        <n v="7296" u="1"/>
        <n v="11411" u="1"/>
        <n v="13428" u="1"/>
        <n v="12908" u="1"/>
        <n v="6256" u="1"/>
        <n v="15256" u="1"/>
        <n v="13696" u="1"/>
        <n v="10639" u="1"/>
        <n v="14610" u="1"/>
        <n v="2316" u="1"/>
        <n v="4570" u="1"/>
        <n v="14547" u="1"/>
        <n v="8084" u="1"/>
        <n v="472" u="1"/>
        <n v="14484" u="1"/>
        <n v="11364" u="1"/>
        <n v="10844" u="1"/>
        <n v="9804" u="1"/>
        <n v="13255" u="1"/>
        <n v="15272" u="1"/>
        <n v="14232" u="1"/>
        <n v="13192" u="1"/>
        <n v="2840" u="1"/>
        <n v="7115" u="1"/>
        <n v="10072" u="1"/>
        <n v="9552" u="1"/>
        <n v="14500" u="1"/>
        <n v="7052" u="1"/>
        <n v="9363" u="1"/>
        <n v="5492" u="1"/>
        <n v="10860" u="1"/>
        <n v="4712" u="1"/>
        <n v="14768" u="1"/>
        <n v="9694" u="1"/>
        <n v="15036" u="1"/>
        <n v="13476" u="1"/>
        <n v="6280" u="1"/>
        <n v="5760" u="1"/>
        <n v="10356" u="1"/>
        <n v="4980" u="1"/>
        <n v="1211" u="1"/>
        <n v="9316" u="1"/>
        <n v="8796" u="1"/>
        <n v="15304" u="1"/>
        <n v="14784" u="1"/>
        <n v="3628" u="1"/>
        <n v="13224" u="1"/>
        <n v="12704" u="1"/>
        <n v="9584" u="1"/>
        <n v="7588" u="1"/>
        <n v="12972" u="1"/>
        <n v="12452" u="1"/>
        <n v="11412" u="1"/>
        <n v="5248" u="1"/>
        <n v="956" u="1"/>
        <n v="12200" u="1"/>
        <n v="5642" u="1"/>
        <n v="11160" u="1"/>
        <n v="10640" u="1"/>
        <n v="10120" u="1"/>
        <n v="8560" u="1"/>
        <n v="14611" u="1"/>
        <n v="14548" u="1"/>
        <n v="14028" u="1"/>
        <n v="6816" u="1"/>
        <n v="5256" u="1"/>
        <n v="9348" u="1"/>
        <n v="16376" u="1"/>
        <n v="14296" u="1"/>
        <n v="13256" u="1"/>
        <n v="3116" u="1"/>
        <n v="11696" u="1"/>
        <n v="2596" u="1"/>
        <n v="2336" u="1"/>
        <n v="7344" u="1"/>
        <n v="6564" u="1"/>
        <n v="1412" u="1"/>
        <n v="5264" u="1"/>
        <n v="9884" u="1"/>
        <n v="4224" u="1"/>
        <n v="13272" u="1"/>
        <n v="828" u="1"/>
        <n v="9695" u="1"/>
        <n v="8592" u="1"/>
        <n v="14123" u="1"/>
        <n v="6832" u="1"/>
        <n v="11980" u="1"/>
        <n v="8860" u="1"/>
        <n v="8340" u="1"/>
        <n v="13351" u="1"/>
        <n v="6966" u="1"/>
        <n v="764" u="1"/>
        <n v="2084" u="1"/>
        <n v="14076" u="1"/>
        <n v="8482" u="1"/>
        <n v="12516" u="1"/>
        <n v="11996" u="1"/>
        <n v="5020" u="1"/>
        <n v="15904" u="1"/>
        <n v="14864" u="1"/>
        <n v="12784" u="1"/>
        <n v="3128" u="1"/>
        <n v="11744" u="1"/>
        <n v="11224" u="1"/>
        <n v="8687" u="1"/>
        <n v="2608" u="1"/>
        <n v="6911" u="1"/>
        <n v="2348" u="1"/>
        <n v="7368" u="1"/>
        <n v="14612" u="1"/>
        <n v="13572" u="1"/>
        <n v="4571" u="1"/>
        <n v="12012" u="1"/>
        <n v="15920" u="1"/>
        <n v="14880" u="1"/>
        <n v="896" u="1"/>
        <n v="12280" u="1"/>
        <n v="7699" u="1"/>
        <n v="2612" u="1"/>
        <n v="2352" u="1"/>
        <n v="8156" u="1"/>
        <n v="7636" u="1"/>
        <n v="15148" u="1"/>
        <n v="13588" u="1"/>
        <n v="6336" u="1"/>
        <n v="9948" u="1"/>
        <n v="4516" u="1"/>
        <n v="16528" u="1"/>
        <n v="11902" u="1"/>
        <n v="11776" u="1"/>
        <n v="10736" u="1"/>
        <n v="2616" u="1"/>
        <n v="9696" u="1"/>
        <n v="2356" u="1"/>
        <n v="8164" u="1"/>
        <n v="7904" u="1"/>
        <n v="14124" u="1"/>
        <n v="3463" u="1"/>
        <n v="1292" u="1"/>
        <n v="13998" u="1"/>
        <n v="8924" u="1"/>
        <n v="3920" u="1"/>
        <n v="13352" u="1"/>
        <n v="10295" u="1"/>
        <n v="11792" u="1"/>
        <n v="2880" u="1"/>
        <n v="10752" u="1"/>
        <n v="1944" u="1"/>
        <n v="5572" u="1"/>
        <n v="9003" u="1"/>
        <n v="16592" u="1"/>
        <n v="3924" u="1"/>
        <n v="8688" u="1"/>
        <n v="8180" u="1"/>
        <n v="7920" u="1"/>
        <n v="13636" u="1"/>
        <n v="6360" u="1"/>
        <n v="14613" u="1"/>
        <n v="11556" u="1"/>
        <n v="1036" u="1"/>
        <n v="13967" u="1"/>
        <n v="12407" u="1"/>
        <n v="12344" u="1"/>
        <n v="2888" u="1"/>
        <n v="11304" u="1"/>
        <n v="9744" u="1"/>
        <n v="9224" u="1"/>
        <n v="12675" u="1"/>
        <n v="6888" u="1"/>
        <n v="13652" u="1"/>
        <n v="6368" u="1"/>
        <n v="2565" u="1"/>
        <n v="5068" u="1"/>
        <n v="11903" u="1"/>
        <n v="13920" u="1"/>
        <n v="8200" u="1"/>
        <n v="7416" u="1"/>
        <n v="6896" u="1"/>
        <n v="6636" u="1"/>
        <n v="12628" u="1"/>
        <n v="1560" u="1"/>
        <n v="9051" u="1"/>
        <n v="5076" u="1"/>
        <n v="8988" u="1"/>
        <n v="12896" u="1"/>
        <n v="12376" u="1"/>
        <n v="10296" u="1"/>
        <n v="6967" u="1"/>
        <n v="8216" u="1"/>
        <n v="15764" u="1"/>
        <n v="7424" u="1"/>
        <n v="7164" u="1"/>
        <n v="6644" u="1"/>
        <n v="6384" u="1"/>
        <n v="5864" u="1"/>
        <n v="11084" u="1"/>
        <n v="4564" u="1"/>
        <n v="8484" u="1"/>
        <n v="11935" u="1"/>
        <n v="12912" u="1"/>
        <n v="2900" u="1"/>
        <n v="7952" u="1"/>
        <n v="13700" u="1"/>
        <n v="12660" u="1"/>
        <n v="5872" u="1"/>
        <n v="14614" u="1"/>
        <n v="4572" u="1"/>
        <n v="12408" u="1"/>
        <n v="9288" u="1"/>
        <n v="8248" u="1"/>
        <n v="1956" u="1"/>
        <n v="15276" u="1"/>
        <n v="5163" u="1"/>
        <n v="13716" u="1"/>
        <n v="1436" u="1"/>
        <n v="15544" u="1"/>
        <n v="9824" u="1"/>
        <n v="9304" u="1"/>
        <n v="7968" u="1"/>
        <n v="11258" u="1"/>
        <n v="7448" u="1"/>
        <n v="12755" u="1"/>
        <n v="13732" u="1"/>
        <n v="12172" u="1"/>
        <n v="11652" u="1"/>
        <n v="10092" u="1"/>
        <n v="14126" u="1"/>
        <n v="9572" u="1"/>
        <n v="8532" u="1"/>
        <n v="14000" u="1"/>
        <n v="13480" u="1"/>
        <n v="12440" u="1"/>
        <n v="2392" u="1"/>
        <n v="8280" u="1"/>
        <n v="14331" u="1"/>
        <n v="1960" u="1"/>
        <n v="15308" u="1"/>
        <n v="10628" u="1"/>
        <n v="12582" u="1"/>
        <n v="15576" u="1"/>
        <n v="11936" u="1"/>
        <n v="11416" u="1"/>
      </sharedItems>
    </cacheField>
    <cacheField name="TICKETID" numFmtId="0" sqlType="6">
      <sharedItems containsSemiMixedTypes="0" containsString="0" containsNumber="1" containsInteger="1" minValue="4" maxValue="50" count="24">
        <n v="4"/>
        <n v="6"/>
        <n v="8"/>
        <n v="10"/>
        <n v="12"/>
        <n v="14"/>
        <n v="16"/>
        <n v="18"/>
        <n v="20"/>
        <n v="22"/>
        <n v="24"/>
        <n v="26"/>
        <n v="28"/>
        <n v="30"/>
        <n v="32"/>
        <n v="34"/>
        <n v="36"/>
        <n v="38"/>
        <n v="40"/>
        <n v="42"/>
        <n v="44"/>
        <n v="46"/>
        <n v="48"/>
        <n v="50"/>
      </sharedItems>
    </cacheField>
    <cacheField name="LASTBART" numFmtId="0" sqlType="11">
      <sharedItems containsSemiMixedTypes="0" containsNonDate="0" containsDate="1" containsString="0" minDate="2017-06-30T23:00:00" maxDate="2021-09-12T18:00:00" count="2069">
        <d v="2018-08-29T23:00:00"/>
        <d v="2018-08-30T00:00:00"/>
        <d v="2018-08-30T01:00:00"/>
        <d v="2018-08-30T02:00:00"/>
        <d v="2018-08-30T03:00:00"/>
        <d v="2018-08-30T04:00:00"/>
        <d v="2018-08-30T05:00:00"/>
        <d v="2018-08-30T06:00:00"/>
        <d v="2018-08-30T07:00:00"/>
        <d v="2018-08-30T08:00:00"/>
        <d v="2018-08-30T09:00:00"/>
        <d v="2018-08-30T10:00:00"/>
        <d v="2018-08-30T11:00:00"/>
        <d v="2018-08-30T12:00:00"/>
        <d v="2018-08-30T13:00:00"/>
        <d v="2018-08-30T14:00:00"/>
        <d v="2018-08-30T15:00:00"/>
        <d v="2018-08-30T16:00:00"/>
        <d v="2018-08-30T17:00:00"/>
        <d v="2018-08-30T18:00:00"/>
        <d v="2018-08-30T19:00:00"/>
        <d v="2018-08-30T20:00:00"/>
        <d v="2018-08-30T21:00:00"/>
        <d v="2018-08-30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8-06-04T00:00:00" u="1"/>
        <d v="2018-06-04T01:00:00" u="1"/>
        <d v="2018-06-04T02: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8-08-02T01:00:00" u="1"/>
        <d v="2017-07-06T05:00:00" u="1"/>
        <d v="2018-08-02T02:00:00" u="1"/>
        <d v="2017-07-06T06:00:00" u="1"/>
        <d v="2018-07-06T05:00:00" u="1"/>
        <d v="2018-08-02T03:00:00" u="1"/>
        <d v="2017-07-06T07:00:00" u="1"/>
        <d v="2018-07-06T06:00:00" u="1"/>
        <d v="2018-08-02T04:00:00" u="1"/>
        <d v="2017-07-06T08:00:00" u="1"/>
        <d v="2017-08-02T06:00:00" u="1"/>
        <d v="2018-08-02T05:00:00" u="1"/>
        <d v="2017-07-06T09:00:00" u="1"/>
        <d v="2017-08-02T07:00:00" u="1"/>
        <d v="2018-07-06T08:00:00" u="1"/>
        <d v="2018-08-02T06:00:00" u="1"/>
        <d v="2017-07-06T10:00:00" u="1"/>
        <d v="2018-08-02T07:00:00" u="1"/>
        <d v="2017-08-02T09:00:00" u="1"/>
        <d v="2018-07-06T10:00:00" u="1"/>
        <d v="2018-08-02T08:00:00" u="1"/>
        <d v="2017-07-06T12:00:00" u="1"/>
        <d v="2018-07-06T11:00:00" u="1"/>
        <d v="2018-08-02T09:00:00" u="1"/>
        <d v="2017-07-06T13:00:00" u="1"/>
        <d v="2017-08-02T11:00:00" u="1"/>
        <d v="2018-07-06T12:00:00" u="1"/>
        <d v="2018-08-02T10:00:00" u="1"/>
        <d v="2017-07-06T14:00:00" u="1"/>
        <d v="2017-08-02T12:00:00" u="1"/>
        <d v="2018-08-02T11:00:00" u="1"/>
        <d v="2017-07-06T15:00:00" u="1"/>
        <d v="2018-07-06T14:00:00" u="1"/>
        <d v="2018-08-02T12:00:00" u="1"/>
        <d v="2017-07-06T16:00:00" u="1"/>
        <d v="2018-08-02T13:00:00" u="1"/>
        <d v="2017-07-06T17:00:00" u="1"/>
        <d v="2017-08-02T15:00:00" u="1"/>
        <d v="2018-07-06T16:00:00" u="1"/>
        <d v="2018-08-02T14:00:00" u="1"/>
        <d v="2017-07-06T18:00:00" u="1"/>
        <d v="2017-08-02T16:00:00" u="1"/>
        <d v="2018-07-06T17:00:00" u="1"/>
        <d v="2018-08-02T15:00:00" u="1"/>
        <d v="2017-07-06T19:00:00" u="1"/>
        <d v="2017-08-02T17:00:00" u="1"/>
        <d v="2018-07-06T18:00:00" u="1"/>
        <d v="2018-08-02T16:00:00" u="1"/>
        <d v="2017-07-06T20:00:00" u="1"/>
        <d v="2018-07-06T19:00:00" u="1"/>
        <d v="2018-08-02T17:00:00" u="1"/>
        <d v="2018-07-06T20:00:00" u="1"/>
        <d v="2018-08-02T18:00:00" u="1"/>
        <d v="2017-07-06T22:00:00" u="1"/>
        <d v="2017-08-02T20:00:00" u="1"/>
        <d v="2018-07-06T21:00:00" u="1"/>
        <d v="2018-08-02T19:00:00" u="1"/>
        <d v="2018-08-02T20:00:00" u="1"/>
        <d v="2017-08-02T22:00:00" u="1"/>
        <d v="2018-07-06T23:00:00" u="1"/>
        <d v="2018-08-02T21:00:00" u="1"/>
        <d v="2018-08-02T22:00:00" u="1"/>
        <d v="2018-08-02T23:00:00" u="1"/>
        <d v="2017-08-04T03:00:00" u="1"/>
        <d v="2017-08-04T07:00:00" u="1"/>
        <d v="2017-08-04T15:00:00" u="1"/>
        <d v="2017-08-04T16:00:00" u="1"/>
        <d v="2017-08-04T17:00:00" u="1"/>
        <d v="2017-08-04T18:00:00" u="1"/>
        <d v="2017-08-04T19:00:00" u="1"/>
        <d v="2017-08-04T20:00:00" u="1"/>
        <d v="2017-08-04T21:00:00" u="1"/>
        <d v="2018-07-10T00:00:00" u="1"/>
        <d v="2017-07-10T02:00:00" u="1"/>
        <d v="2018-07-10T01:00:00" u="1"/>
        <d v="2018-07-10T02:00:00" u="1"/>
        <d v="2018-08-06T00:00:00" u="1"/>
        <d v="2018-07-10T03:00:00" u="1"/>
        <d v="2018-07-10T04:00:00" u="1"/>
        <d v="2017-07-10T06:00:00" u="1"/>
        <d v="2018-07-10T05:00:00" u="1"/>
        <d v="2018-07-10T06:00:00" u="1"/>
        <d v="2019-09-02T01:00:00" u="1"/>
        <d v="2017-07-10T08:00:00" u="1"/>
        <d v="2018-07-10T07:00:00" u="1"/>
        <d v="2019-09-02T02:00:00" u="1"/>
        <d v="2017-07-10T09:00:00" u="1"/>
        <d v="2018-07-10T08:00:00" u="1"/>
        <d v="2019-09-02T03:00:00" u="1"/>
        <d v="2017-07-10T10:00:00" u="1"/>
        <d v="2018-07-10T09:00:00" u="1"/>
        <d v="2017-07-10T11:00:00" u="1"/>
        <d v="2018-07-10T10:00:00" u="1"/>
        <d v="2017-07-10T12:00:00" u="1"/>
        <d v="2018-07-10T11:00:00" u="1"/>
        <d v="2017-07-10T13:00:00" u="1"/>
        <d v="2018-07-10T12:00:00" u="1"/>
        <d v="2017-07-10T14:00:00" u="1"/>
        <d v="2018-07-10T13:00:00" u="1"/>
        <d v="2017-07-10T15:00:00" u="1"/>
        <d v="2018-07-10T14:00:00" u="1"/>
        <d v="2017-07-10T16:00:00" u="1"/>
        <d v="2018-07-10T15:00:00" u="1"/>
        <d v="2018-07-10T16:00:00" u="1"/>
        <d v="2018-07-10T17:00:00" u="1"/>
        <d v="2017-07-10T19:00:00" u="1"/>
        <d v="2018-07-10T18:00:00" u="1"/>
        <d v="2018-07-10T19:00:00" u="1"/>
        <d v="2018-07-10T20:00:00" u="1"/>
        <d v="2018-07-10T21:00:00" u="1"/>
        <d v="2018-07-10T22:00:00" u="1"/>
        <d v="2018-07-10T23:00:00" u="1"/>
        <d v="2019-09-02T21:00:00" u="1"/>
        <d v="2019-09-02T22:00:00" u="1"/>
        <d v="2019-09-02T23:00:00" u="1"/>
        <d v="2018-07-12T00:00:00" u="1"/>
        <d v="2018-07-12T01:00:00" u="1"/>
        <d v="2017-08-08T01:00:00" u="1"/>
        <d v="2018-07-12T02:00:00" u="1"/>
        <d v="2018-08-08T00:00:00" u="1"/>
        <d v="2018-07-12T03:00:00" u="1"/>
        <d v="2018-07-12T04:00:00" u="1"/>
        <d v="2017-08-08T04:00:00" u="1"/>
        <d v="2018-07-12T05:00:00" u="1"/>
        <d v="2019-09-04T00:00:00" u="1"/>
        <d v="2018-07-12T06:00:00" u="1"/>
        <d v="2019-09-04T01:00:00" u="1"/>
        <d v="2018-07-12T07:00:00" u="1"/>
        <d v="2018-07-12T08:00:00" u="1"/>
        <d v="2018-07-12T09:00:00" u="1"/>
        <d v="2018-07-12T10:00:00" u="1"/>
        <d v="2017-08-08T10:00:00" u="1"/>
        <d v="2018-07-12T11:00:00" u="1"/>
        <d v="2018-07-12T12:00:00" u="1"/>
        <d v="2018-07-12T13:00:00" u="1"/>
        <d v="2018-07-12T14:00:00" u="1"/>
        <d v="2017-08-08T14:00:00" u="1"/>
        <d v="2018-07-12T15:00:00" u="1"/>
        <d v="2018-07-12T16:00:00" u="1"/>
        <d v="2018-07-12T17:00:00" u="1"/>
        <d v="2017-08-08T17:00:00" u="1"/>
        <d v="2018-07-12T18:00:00" u="1"/>
        <d v="2017-08-08T18:00:00" u="1"/>
        <d v="2018-07-12T19:00:00" u="1"/>
        <d v="2017-08-08T19:00:00" u="1"/>
        <d v="2018-07-12T20:00:00" u="1"/>
        <d v="2017-08-08T20:00:00" u="1"/>
        <d v="2018-07-12T21:00:00" u="1"/>
        <d v="2019-09-04T16:00:00" u="1"/>
        <d v="2017-08-08T21:00:00" u="1"/>
        <d v="2018-07-12T22:00:00" u="1"/>
        <d v="2017-08-08T22:00:00" u="1"/>
        <d v="2018-07-12T23:00:00" u="1"/>
        <d v="2019-09-04T18:00:00" u="1"/>
        <d v="2019-09-04T19:00:00" u="1"/>
        <d v="2019-09-04T20:00:00" u="1"/>
        <d v="2019-09-04T21:00:00" u="1"/>
        <d v="2019-09-04T22:00:00" u="1"/>
        <d v="2019-09-04T23: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9-09-06T18:00:00" u="1"/>
        <d v="2019-09-06T21:00:00" u="1"/>
        <d v="2019-09-06T22:00:00" u="1"/>
        <d v="2018-07-16T00:00:00" u="1"/>
        <d v="2018-07-16T01:00:00" u="1"/>
        <d v="2018-07-16T02:00:00" u="1"/>
        <d v="2017-09-08T00:00:00" u="1"/>
        <d v="2018-07-16T03:00:00" u="1"/>
        <d v="2018-07-16T04:00:00" u="1"/>
        <d v="2018-07-16T05:00:00" u="1"/>
        <d v="2017-09-08T03:00:00" u="1"/>
        <d v="2018-07-16T06:00:00" u="1"/>
        <d v="2018-07-16T07:00:00" u="1"/>
        <d v="2017-09-08T05:00:00" u="1"/>
        <d v="2018-07-16T08:00:00" u="1"/>
        <d v="2017-09-08T06:00:00" u="1"/>
        <d v="2018-07-16T09:00:00" u="1"/>
        <d v="2017-09-08T07:00:00" u="1"/>
        <d v="2018-07-16T10:00:00" u="1"/>
        <d v="2017-09-08T08:00:00" u="1"/>
        <d v="2018-07-16T11:00:00" u="1"/>
        <d v="2017-09-08T09:00:00" u="1"/>
        <d v="2018-07-16T12:00:00" u="1"/>
        <d v="2017-09-08T10:00:00" u="1"/>
        <d v="2018-07-16T13:00:00" u="1"/>
        <d v="2017-09-08T11:00:00" u="1"/>
        <d v="2018-07-16T14:00:00" u="1"/>
        <d v="2017-09-08T12:00:00" u="1"/>
        <d v="2018-07-16T15:00:00" u="1"/>
        <d v="2017-09-08T13:00:00" u="1"/>
        <d v="2018-07-16T16:00:00" u="1"/>
        <d v="2017-09-08T14:00:00" u="1"/>
        <d v="2018-07-16T17:00:00" u="1"/>
        <d v="2017-09-08T15:00:00" u="1"/>
        <d v="2018-07-16T18:00:00" u="1"/>
        <d v="2017-09-08T16:00:00" u="1"/>
        <d v="2018-07-16T19:00:00" u="1"/>
        <d v="2017-09-08T17:00:00" u="1"/>
        <d v="2018-07-16T20:00:00" u="1"/>
        <d v="2017-09-08T18:00:00" u="1"/>
        <d v="2018-07-16T21:00:00" u="1"/>
        <d v="2017-09-08T19:00:00" u="1"/>
        <d v="2018-07-16T22:00:00" u="1"/>
        <d v="2017-09-08T20:00:00" u="1"/>
        <d v="2018-07-16T23:00:00" u="1"/>
        <d v="2017-09-08T21:00:00" u="1"/>
        <d v="2017-09-08T23:00:00" u="1"/>
        <d v="2018-07-18T00:00:00" u="1"/>
        <d v="2018-07-18T01:00:00" u="1"/>
        <d v="2017-08-14T01:00:00" u="1"/>
        <d v="2018-07-18T02:00:00" u="1"/>
        <d v="2018-08-14T00:00:00" u="1"/>
        <d v="2017-08-14T02:00:00" u="1"/>
        <d v="2018-07-18T03:00:00" u="1"/>
        <d v="2018-07-18T04:00:00" u="1"/>
        <d v="2017-08-14T04:00:00" u="1"/>
        <d v="2018-07-18T05:00:00" u="1"/>
        <d v="2018-07-18T06:00:00" u="1"/>
        <d v="2017-11-02T00:00:00" u="1"/>
        <d v="2018-07-18T07:00:00" u="1"/>
        <d v="2017-11-02T01:00:00" u="1"/>
        <d v="2018-07-18T08:00:00" u="1"/>
        <d v="2017-08-14T08:00:00" u="1"/>
        <d v="2017-11-02T02:00:00" u="1"/>
        <d v="2018-07-18T09:00:00" u="1"/>
        <d v="2017-08-14T09:00:00" u="1"/>
        <d v="2017-11-02T03:00:00" u="1"/>
        <d v="2018-07-18T10:00:00" u="1"/>
        <d v="2017-08-14T10:00:00" u="1"/>
        <d v="2017-11-02T04:00:00" u="1"/>
        <d v="2018-07-18T11:00:00" u="1"/>
        <d v="2017-08-14T11:00:00" u="1"/>
        <d v="2017-11-02T05:00:00" u="1"/>
        <d v="2018-07-18T12:00:00" u="1"/>
        <d v="2017-08-14T12:00:00" u="1"/>
        <d v="2017-11-02T06:00:00" u="1"/>
        <d v="2018-07-18T13:00:00" u="1"/>
        <d v="2017-11-02T07:00:00" u="1"/>
        <d v="2018-07-18T14:00:00" u="1"/>
        <d v="2017-08-14T14:00:00" u="1"/>
        <d v="2017-11-02T08:00:00" u="1"/>
        <d v="2018-07-18T15:00:00" u="1"/>
        <d v="2017-11-02T09:00:00" u="1"/>
        <d v="2018-07-18T16:00:00" u="1"/>
        <d v="2017-11-02T10:00:00" u="1"/>
        <d v="2018-07-18T17:00:00" u="1"/>
        <d v="2017-11-02T11:00:00" u="1"/>
        <d v="2018-07-18T18:00:00" u="1"/>
        <d v="2017-11-02T12:00:00" u="1"/>
        <d v="2018-07-18T19:00:00" u="1"/>
        <d v="2017-08-14T19:00:00" u="1"/>
        <d v="2017-11-02T13:00:00" u="1"/>
        <d v="2018-07-18T20:00:00" u="1"/>
        <d v="2017-08-14T20:00:00" u="1"/>
        <d v="2017-11-02T14:00:00" u="1"/>
        <d v="2018-07-18T21:00:00" u="1"/>
        <d v="2017-08-14T21:00:00" u="1"/>
        <d v="2017-11-02T15:00:00" u="1"/>
        <d v="2018-07-18T22:00:00" u="1"/>
        <d v="2017-11-02T16:00:00" u="1"/>
        <d v="2018-07-18T23:00:00" u="1"/>
        <d v="2017-11-02T17:00:00" u="1"/>
        <d v="2017-11-02T18:00:00" u="1"/>
        <d v="2017-11-02T19:00:00" u="1"/>
        <d v="2017-11-02T20:00:00" u="1"/>
        <d v="2017-11-02T21:00:00" u="1"/>
        <d v="2017-11-02T22:00:00" u="1"/>
        <d v="2017-11-02T23:00:00" u="1"/>
        <d v="2018-07-20T00:00:00" u="1"/>
        <d v="2017-08-16T00:00:00" u="1"/>
        <d v="2018-07-20T01:00:00" u="1"/>
        <d v="2017-08-16T01:00:00" u="1"/>
        <d v="2018-07-20T02:00:00" u="1"/>
        <d v="2018-08-16T00:00:00" u="1"/>
        <d v="2018-07-20T03:00:00" u="1"/>
        <d v="2018-07-20T04:00:00" u="1"/>
        <d v="2018-07-20T05:00:00" u="1"/>
        <d v="2018-07-20T06:00:00" u="1"/>
        <d v="2018-07-20T07:00:00" u="1"/>
        <d v="2018-07-20T08:00:00" u="1"/>
        <d v="2017-09-12T06:00:00" u="1"/>
        <d v="2018-07-20T09:00:00" u="1"/>
        <d v="2018-07-20T10:00:00" u="1"/>
        <d v="2017-08-16T10:00:00" u="1"/>
        <d v="2018-07-20T11:00:00" u="1"/>
        <d v="2017-08-16T11:00:00" u="1"/>
        <d v="2018-07-20T12:00:00" u="1"/>
        <d v="2017-08-16T12:00:00" u="1"/>
        <d v="2018-07-20T13:00:00" u="1"/>
        <d v="2017-08-16T13:00:00" u="1"/>
        <d v="2017-09-12T11:00:00" u="1"/>
        <d v="2018-07-20T14:00:00" u="1"/>
        <d v="2017-08-16T14:00:00" u="1"/>
        <d v="2018-07-20T15:00:00" u="1"/>
        <d v="2017-08-16T15:00:00" u="1"/>
        <d v="2017-09-12T13:00:00" u="1"/>
        <d v="2018-07-20T16:00:00" u="1"/>
        <d v="2017-08-16T16:00:00" u="1"/>
        <d v="2018-07-20T17:00:00" u="1"/>
        <d v="2020-09-12T11:00:00" u="1"/>
        <d v="2017-09-12T15:00:00" u="1"/>
        <d v="2018-07-20T18:00:00" u="1"/>
        <d v="2020-09-12T12:00:00" u="1"/>
        <d v="2017-09-12T16:00:00" u="1"/>
        <d v="2018-07-20T19:00:00" u="1"/>
        <d v="2020-09-12T13:00:00" u="1"/>
        <d v="2017-08-16T19:00:00" u="1"/>
        <d v="2018-07-20T20:00:00" u="1"/>
        <d v="2020-09-12T14:00:00" u="1"/>
        <d v="2017-08-16T20:00:00" u="1"/>
        <d v="2017-09-12T18:00:00" u="1"/>
        <d v="2018-07-20T21:00:00" u="1"/>
        <d v="2019-09-12T16:00:00" u="1"/>
        <d v="2020-09-12T15:00:00" u="1"/>
        <d v="2017-08-16T21:00:00" u="1"/>
        <d v="2017-09-12T19:00:00" u="1"/>
        <d v="2018-07-20T22:00:00" u="1"/>
        <d v="2019-09-12T17:00:00" u="1"/>
        <d v="2020-09-12T16:00:00" u="1"/>
        <d v="2017-08-16T22:00:00" u="1"/>
        <d v="2017-09-12T20:00:00" u="1"/>
        <d v="2018-07-20T23:00:00" u="1"/>
        <d v="2019-09-12T18:00:00" u="1"/>
        <d v="2020-09-12T17:00:00" u="1"/>
        <d v="2017-08-16T23:00:00" u="1"/>
        <d v="2017-09-12T21:00:00" u="1"/>
        <d v="2019-09-12T19:00:00" u="1"/>
        <d v="2021-09-12T17:00:00" u="1"/>
        <d v="2017-09-12T22:00:00" u="1"/>
        <d v="2019-09-12T20:00:00" u="1"/>
        <d v="2021-09-12T18:00:00" u="1"/>
        <d v="2017-09-12T23:00:00" u="1"/>
        <d v="2018-05-30T00: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8-09-14T21:00:00" u="1"/>
        <d v="2017-09-14T23:00:00" u="1"/>
        <d v="2017-11-06T19:00:00" u="1"/>
        <d v="2018-09-14T22:00:00" u="1"/>
        <d v="2017-11-06T20:00:00" u="1"/>
        <d v="2018-09-14T23:00:00" u="1"/>
        <d v="2017-11-06T21:00:00" u="1"/>
        <d v="2017-11-06T22:00:00" u="1"/>
        <d v="2017-07-24T00:00:00" u="1"/>
        <d v="2017-11-06T23:00:00" u="1"/>
        <d v="2017-07-24T01:00:00" u="1"/>
        <d v="2018-07-24T00:00:00" u="1"/>
        <d v="2017-07-24T02:00:00" u="1"/>
        <d v="2018-07-24T01:00:00" u="1"/>
        <d v="2017-07-24T03:00:00" u="1"/>
        <d v="2018-07-24T02:00:00" u="1"/>
        <d v="2018-08-20T00:00:00" u="1"/>
        <d v="2017-07-24T04:00:00" u="1"/>
        <d v="2017-09-16T00:00:00" u="1"/>
        <d v="2018-07-24T03:00:00" u="1"/>
        <d v="2017-07-24T05:00:00" u="1"/>
        <d v="2017-09-16T01:00:00" u="1"/>
        <d v="2018-07-24T04:00:00" u="1"/>
        <d v="2017-07-24T06:00:00" u="1"/>
        <d v="2018-07-24T05:00:00" u="1"/>
        <d v="2017-07-24T07:00:00" u="1"/>
        <d v="2018-07-24T06:00:00" u="1"/>
        <d v="2017-07-24T08:00:00" u="1"/>
        <d v="2017-11-08T00:00:00" u="1"/>
        <d v="2018-07-24T07:00:00" u="1"/>
        <d v="2017-07-24T09:00:00" u="1"/>
        <d v="2017-11-08T01:00:00" u="1"/>
        <d v="2018-07-24T08:00:00" u="1"/>
        <d v="2017-07-24T10:00:00" u="1"/>
        <d v="2017-11-08T02:00:00" u="1"/>
        <d v="2018-07-24T09:00:00" u="1"/>
        <d v="2017-07-24T11:00:00" u="1"/>
        <d v="2017-11-08T03:00:00" u="1"/>
        <d v="2017-12-04T01:00:00" u="1"/>
        <d v="2018-07-24T10:00:00" u="1"/>
        <d v="2017-07-24T12:00:00" u="1"/>
        <d v="2017-11-08T04:00:00" u="1"/>
        <d v="2017-12-04T02:00:00" u="1"/>
        <d v="2018-07-24T11:00:00" u="1"/>
        <d v="2017-07-24T13:00:00" u="1"/>
        <d v="2017-11-08T05:00:00" u="1"/>
        <d v="2017-12-04T03:00:00" u="1"/>
        <d v="2018-07-24T12:00:00" u="1"/>
        <d v="2017-07-24T14:00:00" u="1"/>
        <d v="2017-11-08T06:00:00" u="1"/>
        <d v="2017-12-04T04:00:00" u="1"/>
        <d v="2018-07-24T13:00:00" u="1"/>
        <d v="2017-07-24T15:00:00" u="1"/>
        <d v="2017-11-08T07:00:00" u="1"/>
        <d v="2018-07-24T14:00:00" u="1"/>
        <d v="2017-07-24T16:00:00" u="1"/>
        <d v="2017-11-08T08:00:00" u="1"/>
        <d v="2017-12-04T06:00:00" u="1"/>
        <d v="2018-07-24T15:00:00" u="1"/>
        <d v="2017-07-24T17:00:00" u="1"/>
        <d v="2017-11-08T09:00:00" u="1"/>
        <d v="2017-12-04T07:00:00" u="1"/>
        <d v="2018-07-24T16:00:00" u="1"/>
        <d v="2017-07-24T18:00:00" u="1"/>
        <d v="2017-11-08T10:00:00" u="1"/>
        <d v="2017-12-04T08:00:00" u="1"/>
        <d v="2018-07-24T17:00:00" u="1"/>
        <d v="2019-09-16T12:00:00" u="1"/>
        <d v="2017-07-24T19:00:00" u="1"/>
        <d v="2017-11-08T11:00:00" u="1"/>
        <d v="2017-12-04T09:00:00" u="1"/>
        <d v="2018-07-24T18:00:00" u="1"/>
        <d v="2019-09-16T13:00:00" u="1"/>
        <d v="2017-07-24T20:00:00" u="1"/>
        <d v="2017-11-08T12:00:00" u="1"/>
        <d v="2017-12-04T10:00:00" u="1"/>
        <d v="2018-07-24T19:00:00" u="1"/>
        <d v="2019-09-16T14:00:00" u="1"/>
        <d v="2017-07-24T21:00:00" u="1"/>
        <d v="2017-11-08T13:00:00" u="1"/>
        <d v="2017-12-04T11:00:00" u="1"/>
        <d v="2018-07-24T20:00:00" u="1"/>
        <d v="2019-09-16T15:00:00" u="1"/>
        <d v="2017-07-24T22:00:00" u="1"/>
        <d v="2017-11-08T14:00:00" u="1"/>
        <d v="2017-12-04T12:00:00" u="1"/>
        <d v="2018-06-28T23:00:00" u="1"/>
        <d v="2018-07-24T21:00:00" u="1"/>
        <d v="2019-09-16T16:00:00" u="1"/>
        <d v="2017-07-24T23:00:00" u="1"/>
        <d v="2017-11-08T15:00:00" u="1"/>
        <d v="2018-07-24T22:00:00" u="1"/>
        <d v="2019-09-16T17:00:00" u="1"/>
        <d v="2017-11-08T16:00:00" u="1"/>
        <d v="2017-12-04T14:00:00" u="1"/>
        <d v="2018-07-24T23:00:00" u="1"/>
        <d v="2019-09-16T18:00:00" u="1"/>
        <d v="2017-11-08T17:00:00" u="1"/>
        <d v="2017-12-04T15:00:00" u="1"/>
        <d v="2019-09-16T19:00:00" u="1"/>
        <d v="2017-11-08T18:00:00" u="1"/>
        <d v="2017-12-04T16:00:00" u="1"/>
        <d v="2019-09-16T20:00:00" u="1"/>
        <d v="2017-11-08T19:00:00" u="1"/>
        <d v="2017-12-04T17:00:00" u="1"/>
        <d v="2019-09-16T21:00:00" u="1"/>
        <d v="2017-11-08T20:00:00" u="1"/>
        <d v="2017-12-04T18:00:00" u="1"/>
        <d v="2019-09-16T22:00:00" u="1"/>
        <d v="2017-11-08T21:00:00" u="1"/>
        <d v="2017-12-04T19:00:00" u="1"/>
        <d v="2017-11-08T22:00:00" u="1"/>
        <d v="2017-12-04T20:00:00" u="1"/>
        <d v="2017-07-26T00:00:00" u="1"/>
        <d v="2017-11-08T23:00:00" u="1"/>
        <d v="2017-12-04T21:00:00" u="1"/>
        <d v="2018-06-30T01:00:00" u="1"/>
        <d v="2017-07-26T01:00:00" u="1"/>
        <d v="2017-12-04T22:00:00" u="1"/>
        <d v="2018-07-26T00:00:00" u="1"/>
        <d v="2017-07-26T02:00:00" u="1"/>
        <d v="2017-12-04T23:00:00" u="1"/>
        <d v="2018-07-26T01:00:00" u="1"/>
        <d v="2017-07-26T03:00:00" u="1"/>
        <d v="2018-07-26T02:00:00" u="1"/>
        <d v="2018-08-22T00:00:00" u="1"/>
        <d v="2017-07-26T04:00:00" u="1"/>
        <d v="2018-07-26T03:00:00" u="1"/>
        <d v="2017-07-26T05:00:00" u="1"/>
        <d v="2018-07-26T04:00:00" u="1"/>
        <d v="2017-07-26T06:00:00" u="1"/>
        <d v="2017-09-18T02:00:00" u="1"/>
        <d v="2018-07-26T05:00:00" u="1"/>
        <d v="2017-07-26T07:00:00" u="1"/>
        <d v="2017-09-18T03:00:00" u="1"/>
        <d v="2018-07-26T06:00:00" u="1"/>
        <d v="2017-07-26T08:00:00" u="1"/>
        <d v="2017-09-18T04:00:00" u="1"/>
        <d v="2017-11-10T00:00:00" u="1"/>
        <d v="2018-07-26T07:00:00" u="1"/>
        <d v="2017-07-26T09:00:00" u="1"/>
        <d v="2017-11-10T01:00:00" u="1"/>
        <d v="2018-07-26T08:00:00" u="1"/>
        <d v="2017-07-26T10:00:00" u="1"/>
        <d v="2017-11-10T02:00:00" u="1"/>
        <d v="2017-12-06T00:00:00" u="1"/>
        <d v="2018-07-26T09:00:00" u="1"/>
        <d v="2017-07-26T11:00:00" u="1"/>
        <d v="2017-11-10T03:00:00" u="1"/>
        <d v="2017-12-06T01:00:00" u="1"/>
        <d v="2018-07-26T10:00:00" u="1"/>
        <d v="2017-07-26T12:00:00" u="1"/>
        <d v="2017-11-10T04:00:00" u="1"/>
        <d v="2017-12-06T02:00:00" u="1"/>
        <d v="2018-07-26T11:00:00" u="1"/>
        <d v="2017-07-26T13:00:00" u="1"/>
        <d v="2017-09-18T09:00:00" u="1"/>
        <d v="2017-11-10T05:00:00" u="1"/>
        <d v="2017-12-06T03:00:00" u="1"/>
        <d v="2018-07-26T12:00:00" u="1"/>
        <d v="2017-07-26T14:00:00" u="1"/>
        <d v="2017-09-18T10:00:00" u="1"/>
        <d v="2017-11-10T06:00:00" u="1"/>
        <d v="2017-12-06T04:00:00" u="1"/>
        <d v="2018-07-26T13:00:00" u="1"/>
        <d v="2017-07-26T15:00:00" u="1"/>
        <d v="2017-11-10T07:00:00" u="1"/>
        <d v="2018-07-26T14:00:00" u="1"/>
        <d v="2017-07-26T16:00:00" u="1"/>
        <d v="2017-09-18T12:00:00" u="1"/>
        <d v="2017-11-10T08:00:00" u="1"/>
        <d v="2017-12-06T06:00:00" u="1"/>
        <d v="2018-07-26T15:00:00" u="1"/>
        <d v="2017-07-26T17:00:00" u="1"/>
        <d v="2017-11-10T09:00:00" u="1"/>
        <d v="2017-12-06T07:00:00" u="1"/>
        <d v="2018-07-26T16:00:00" u="1"/>
        <d v="2017-07-26T18:00:00" u="1"/>
        <d v="2017-09-18T14:00:00" u="1"/>
        <d v="2017-11-10T10:00:00" u="1"/>
        <d v="2017-12-06T08:00:00" u="1"/>
        <d v="2018-07-26T17:00:00" u="1"/>
        <d v="2017-07-26T19:00:00" u="1"/>
        <d v="2017-11-10T11:00:00" u="1"/>
        <d v="2017-12-06T09:00:00" u="1"/>
        <d v="2018-07-26T18:00:00" u="1"/>
        <d v="2017-07-26T20:00:00" u="1"/>
        <d v="2017-09-18T16:00:00" u="1"/>
        <d v="2017-11-10T12:00:00" u="1"/>
        <d v="2017-12-06T10:00:00" u="1"/>
        <d v="2018-07-26T19:00:00" u="1"/>
        <d v="2017-06-30T23:00:00" u="1"/>
        <d v="2017-07-26T21:00:00" u="1"/>
        <d v="2017-11-10T13:00:00" u="1"/>
        <d v="2017-12-06T11:00:00" u="1"/>
        <d v="2018-07-26T20:00:00" u="1"/>
        <d v="2017-07-26T22:00:00" u="1"/>
        <d v="2017-09-18T18:00:00" u="1"/>
        <d v="2017-11-10T14:00:00" u="1"/>
        <d v="2018-07-26T21:00:00" u="1"/>
        <d v="2017-07-26T23:00:00" u="1"/>
        <d v="2017-11-10T15:00:00" u="1"/>
        <d v="2017-12-06T13:00:00" u="1"/>
        <d v="2018-07-26T22:00:00" u="1"/>
        <d v="2017-09-18T20:00:00" u="1"/>
        <d v="2017-11-10T16:00:00" u="1"/>
        <d v="2017-12-06T14:00:00" u="1"/>
        <d v="2018-07-26T23:00:00" u="1"/>
        <d v="2020-07-26T21:00:00" u="1"/>
        <d v="2017-09-18T21:00:00" u="1"/>
        <d v="2017-11-10T17:00:00" u="1"/>
        <d v="2020-07-26T22:00:00" u="1"/>
        <d v="2017-11-10T18:00:00" u="1"/>
        <d v="2017-12-06T16:00:00" u="1"/>
        <d v="2020-07-26T23: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8-07-28T21:00:00" u="1"/>
        <d v="2017-12-08T13:00:00" u="1"/>
        <d v="2018-07-28T22:00:00" u="1"/>
        <d v="2017-12-08T14:00:00" u="1"/>
        <d v="2018-07-28T23:00:00" u="1"/>
        <d v="2017-12-08T15:00:00" u="1"/>
        <d v="2017-09-20T22:00:00" u="1"/>
        <d v="2017-12-08T16:00:00" u="1"/>
        <d v="2017-09-20T23:00:00" u="1"/>
        <d v="2017-12-08T17:00:00" u="1"/>
        <d v="2017-12-08T18:00:00" u="1"/>
        <d v="2017-12-08T19:00:00" u="1"/>
        <d v="2017-12-08T20:00:00" u="1"/>
        <d v="2018-07-30T00:00:00" u="1"/>
        <d v="2018-07-30T01:00:00" u="1"/>
        <d v="2019-07-30T00:00:00" u="1"/>
        <d v="2018-07-30T02:00:00" u="1"/>
        <d v="2019-07-30T01:00:00" u="1"/>
        <d v="2018-07-30T03:00:00" u="1"/>
        <d v="2019-07-30T02:00:00" u="1"/>
        <d v="2018-07-30T04:00:00" u="1"/>
        <d v="2019-07-30T03:00:00" u="1"/>
        <d v="2018-07-30T05:00:00" u="1"/>
        <d v="2019-07-30T04:00:00" u="1"/>
        <d v="2018-07-30T06:00:00" u="1"/>
        <d v="2019-07-30T05:00:00" u="1"/>
        <d v="2017-11-14T00:00:00" u="1"/>
        <d v="2018-07-30T07:00:00" u="1"/>
        <d v="2019-07-30T06:00:00" u="1"/>
        <d v="2017-11-14T01:00:00" u="1"/>
        <d v="2018-07-30T08:00:00" u="1"/>
        <d v="2019-07-30T07:00:00" u="1"/>
        <d v="2017-11-14T02:00:00" u="1"/>
        <d v="2018-07-30T09:00:00" u="1"/>
        <d v="2019-07-30T08:00:00" u="1"/>
        <d v="2017-11-14T03:00:00" u="1"/>
        <d v="2018-07-30T10:00:00" u="1"/>
        <d v="2019-07-30T09:00:00" u="1"/>
        <d v="2017-11-14T04:00:00" u="1"/>
        <d v="2018-07-30T11:00:00" u="1"/>
        <d v="2019-07-30T10:00:00" u="1"/>
        <d v="2017-11-14T05:00:00" u="1"/>
        <d v="2018-07-30T12:00:00" u="1"/>
        <d v="2019-07-30T11:00:00" u="1"/>
        <d v="2017-11-14T06:00:00" u="1"/>
        <d v="2018-07-30T13:00:00" u="1"/>
        <d v="2019-07-30T12:00:00" u="1"/>
        <d v="2017-11-14T07:00:00" u="1"/>
        <d v="2018-07-30T14:00:00" u="1"/>
        <d v="2019-07-30T13:00:00" u="1"/>
        <d v="2017-11-14T08:00:00" u="1"/>
        <d v="2018-07-30T15:00:00" u="1"/>
        <d v="2019-07-30T14:00:00" u="1"/>
        <d v="2017-11-14T09:00:00" u="1"/>
        <d v="2018-07-30T16:00:00" u="1"/>
        <d v="2019-07-30T15:00:00" u="1"/>
        <d v="2017-11-14T10:00:00" u="1"/>
        <d v="2018-07-30T17:00:00" u="1"/>
        <d v="2019-07-30T16:00:00" u="1"/>
        <d v="2017-11-14T11:00:00" u="1"/>
        <d v="2018-07-30T18:00:00" u="1"/>
        <d v="2019-07-30T17:00:00" u="1"/>
        <d v="2017-11-14T12:00:00" u="1"/>
        <d v="2018-07-30T19:00:00" u="1"/>
        <d v="2019-07-30T18:00:00" u="1"/>
        <d v="2017-11-14T13:00:00" u="1"/>
        <d v="2018-07-30T20:00:00" u="1"/>
        <d v="2019-07-30T19:00:00" u="1"/>
        <d v="2017-11-14T14:00:00" u="1"/>
        <d v="2018-07-30T21:00:00" u="1"/>
        <d v="2019-07-30T20:00:00" u="1"/>
        <d v="2017-11-14T15:00:00" u="1"/>
        <d v="2018-07-30T22:00:00" u="1"/>
        <d v="2019-07-30T21:00:00" u="1"/>
        <d v="2017-11-14T16:00:00" u="1"/>
        <d v="2018-07-30T23:00:00" u="1"/>
        <d v="2017-11-14T17:00:00" u="1"/>
        <d v="2017-11-14T18:00:00" u="1"/>
        <d v="2017-11-14T19:00:00" u="1"/>
        <d v="2017-11-14T20:00:00" u="1"/>
        <d v="2017-11-14T21:00:00" u="1"/>
        <d v="2017-11-14T22:00:00" u="1"/>
        <d v="2019-10-18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6-01T00:00:00" u="1"/>
        <d v="2018-06-01T22:00:00" u="1"/>
        <d v="2018-06-01T23:00:00" u="1"/>
        <d v="2018-06-05T00: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8-08-01T01:00:00" u="1"/>
        <d v="2017-08-01T03:00:00" u="1"/>
        <d v="2018-08-01T02:00:00" u="1"/>
        <d v="2017-07-05T06:00:00" u="1"/>
        <d v="2017-08-01T04:00:00" u="1"/>
        <d v="2018-07-05T05:00:00" u="1"/>
        <d v="2018-08-01T03:00:00" u="1"/>
        <d v="2017-07-05T07:00:00" u="1"/>
        <d v="2018-08-01T04:00:00" u="1"/>
        <d v="2018-08-01T05:00:00" u="1"/>
        <d v="2017-07-05T09:00:00" u="1"/>
        <d v="2017-08-01T07:00:00" u="1"/>
        <d v="2018-07-05T08:00:00" u="1"/>
        <d v="2018-08-01T06:00:00" u="1"/>
        <d v="2017-07-05T10:00:00" u="1"/>
        <d v="2017-08-01T08:00:00" u="1"/>
        <d v="2018-07-05T09:00:00" u="1"/>
        <d v="2018-08-01T07:00:00" u="1"/>
        <d v="2017-07-05T11:00:00" u="1"/>
        <d v="2017-08-01T09:00:00" u="1"/>
        <d v="2018-07-05T10:00:00" u="1"/>
        <d v="2018-08-01T08:00:00" u="1"/>
        <d v="2017-07-05T12:00:00" u="1"/>
        <d v="2018-07-05T11:00:00" u="1"/>
        <d v="2018-08-01T09:00:00" u="1"/>
        <d v="2017-07-05T13:00:00" u="1"/>
        <d v="2017-08-01T11:00:00" u="1"/>
        <d v="2018-07-05T12:00:00" u="1"/>
        <d v="2018-08-01T10:00:00" u="1"/>
        <d v="2017-07-05T14:00:00" u="1"/>
        <d v="2017-08-01T12:00:00" u="1"/>
        <d v="2018-07-05T13:00:00" u="1"/>
        <d v="2018-08-01T11:00:00" u="1"/>
        <d v="2017-07-05T15:00:00" u="1"/>
        <d v="2017-08-01T13:00:00" u="1"/>
        <d v="2018-07-05T14:00:00" u="1"/>
        <d v="2018-08-01T12:00:00" u="1"/>
        <d v="2017-07-05T16:00:00" u="1"/>
        <d v="2017-08-01T14:00:00" u="1"/>
        <d v="2018-07-05T15:00:00" u="1"/>
        <d v="2018-08-01T13:00:00" u="1"/>
        <d v="2017-07-05T17:00:00" u="1"/>
        <d v="2017-08-01T15:00:00" u="1"/>
        <d v="2018-07-05T16:00:00" u="1"/>
        <d v="2018-08-01T14:00:00" u="1"/>
        <d v="2017-07-05T18:00:00" u="1"/>
        <d v="2017-08-01T16:00:00" u="1"/>
        <d v="2018-07-05T17:00:00" u="1"/>
        <d v="2018-08-01T15:00:00" u="1"/>
        <d v="2017-07-05T19:00:00" u="1"/>
        <d v="2017-08-01T17:00:00" u="1"/>
        <d v="2018-07-05T18:00:00" u="1"/>
        <d v="2018-08-01T16:00:00" u="1"/>
        <d v="2017-08-01T18:00:00" u="1"/>
        <d v="2018-07-05T19:00:00" u="1"/>
        <d v="2018-08-01T17:00:00" u="1"/>
        <d v="2017-07-05T21:00:00" u="1"/>
        <d v="2018-07-05T20:00:00" u="1"/>
        <d v="2018-08-01T18:00:00" u="1"/>
        <d v="2017-07-05T22:00:00" u="1"/>
        <d v="2018-07-05T21:00:00" u="1"/>
        <d v="2018-08-01T19:00:00" u="1"/>
        <d v="2017-07-05T23:00:00" u="1"/>
        <d v="2017-08-01T21:00:00" u="1"/>
        <d v="2018-07-05T22:00:00" u="1"/>
        <d v="2018-08-01T20:00:00" u="1"/>
        <d v="2018-07-05T23:00:00" u="1"/>
        <d v="2018-08-01T21:00:00" u="1"/>
        <d v="2018-08-01T22:00:00" u="1"/>
        <d v="2018-08-01T23:00:00" u="1"/>
        <d v="2017-07-07T01:00:00" u="1"/>
        <d v="2017-07-07T02:00:00" u="1"/>
        <d v="2017-07-07T03:00:00" u="1"/>
        <d v="2018-08-03T00:00:00" u="1"/>
        <d v="2018-08-03T01:00:00" u="1"/>
        <d v="2017-08-03T03:00:00" u="1"/>
        <d v="2018-08-03T02:00:00" u="1"/>
        <d v="2018-08-03T03:00:00" u="1"/>
        <d v="2018-08-03T04:00:00" u="1"/>
        <d v="2017-07-07T08:00:00" u="1"/>
        <d v="2018-08-03T05:00:00" u="1"/>
        <d v="2017-07-07T09:00:00" u="1"/>
        <d v="2017-08-03T07:00:00" u="1"/>
        <d v="2018-08-03T06:00:00" u="1"/>
        <d v="2017-08-03T08:00:00" u="1"/>
        <d v="2018-08-03T07:00:00" u="1"/>
        <d v="2017-07-07T11:00:00" u="1"/>
        <d v="2018-08-03T08:00:00" u="1"/>
        <d v="2017-07-07T12:00:00" u="1"/>
        <d v="2017-08-03T10:00:00" u="1"/>
        <d v="2018-08-03T09:00:00" u="1"/>
        <d v="2017-07-07T13:00:00" u="1"/>
        <d v="2018-08-03T10:00:00" u="1"/>
        <d v="2017-07-07T14:00:00" u="1"/>
        <d v="2018-08-03T11:00:00" u="1"/>
        <d v="2017-07-07T15:00:00" u="1"/>
        <d v="2017-08-03T13:00:00" u="1"/>
        <d v="2018-08-03T12:00:00" u="1"/>
        <d v="2017-07-07T16:00:00" u="1"/>
        <d v="2017-08-03T14:00:00" u="1"/>
        <d v="2018-08-03T13:00:00" u="1"/>
        <d v="2017-07-07T17:00:00" u="1"/>
        <d v="2017-08-03T15:00:00" u="1"/>
        <d v="2018-08-03T14:00:00" u="1"/>
        <d v="2017-07-07T18:00:00" u="1"/>
        <d v="2017-08-03T16:00:00" u="1"/>
        <d v="2018-08-03T15:00:00" u="1"/>
        <d v="2017-07-07T19:00:00" u="1"/>
        <d v="2017-08-03T17:00:00" u="1"/>
        <d v="2018-08-03T16:00:00" u="1"/>
        <d v="2017-07-07T20:00:00" u="1"/>
        <d v="2018-08-03T17:00:00" u="1"/>
        <d v="2017-07-07T21:00:00" u="1"/>
        <d v="2017-08-03T19:00:00" u="1"/>
        <d v="2018-08-03T18:00:00" u="1"/>
        <d v="2018-08-03T19:00:00" u="1"/>
        <d v="2018-08-03T20:00:00" u="1"/>
        <d v="2018-08-03T21:00:00" u="1"/>
        <d v="2018-08-03T22:00:00" u="1"/>
        <d v="2018-07-09T00:00:00" u="1"/>
        <d v="2018-07-09T01:00:00" u="1"/>
        <d v="2018-07-09T02:00:00" u="1"/>
        <d v="2018-08-05T00:00:00" u="1"/>
        <d v="2018-07-09T03:00:00" u="1"/>
        <d v="2018-08-05T01:00:00" u="1"/>
        <d v="2018-07-09T04:00:00" u="1"/>
        <d v="2018-08-05T02:00:00" u="1"/>
        <d v="2018-07-09T05:00:00" u="1"/>
        <d v="2018-08-05T03:00:00" u="1"/>
        <d v="2018-07-09T06:00:00" u="1"/>
        <d v="2018-08-05T04:00:00" u="1"/>
        <d v="2018-07-09T07:00:00" u="1"/>
        <d v="2018-08-05T05:00:00" u="1"/>
        <d v="2018-07-09T08:00:00" u="1"/>
        <d v="2018-08-05T06:00:00" u="1"/>
        <d v="2018-07-09T09:00:00" u="1"/>
        <d v="2018-08-05T07:00:00" u="1"/>
        <d v="2018-07-09T10:00:00" u="1"/>
        <d v="2018-08-05T08:00:00" u="1"/>
        <d v="2018-07-09T11:00:00" u="1"/>
        <d v="2018-08-05T09:00:00" u="1"/>
        <d v="2018-07-09T12:00:00" u="1"/>
        <d v="2018-08-05T10:00:00" u="1"/>
        <d v="2018-07-09T13:00:00" u="1"/>
        <d v="2018-08-05T11:00:00" u="1"/>
        <d v="2018-07-09T14:00:00" u="1"/>
        <d v="2018-08-05T12:00:00" u="1"/>
        <d v="2018-07-09T15:00:00" u="1"/>
        <d v="2018-08-05T13:00:00" u="1"/>
        <d v="2018-07-09T16:00:00" u="1"/>
        <d v="2018-08-05T14:00:00" u="1"/>
        <d v="2018-07-09T17:00:00" u="1"/>
        <d v="2018-08-05T15:00:00" u="1"/>
        <d v="2018-07-09T18:00:00" u="1"/>
        <d v="2018-08-05T16:00:00" u="1"/>
        <d v="2018-07-09T19:00:00" u="1"/>
        <d v="2018-08-05T17:00:00" u="1"/>
        <d v="2018-07-09T20:00:00" u="1"/>
        <d v="2018-08-05T18:00:00" u="1"/>
        <d v="2018-07-09T21:00:00" u="1"/>
        <d v="2018-08-05T19:00:00" u="1"/>
        <d v="2018-07-09T22:00:00" u="1"/>
        <d v="2018-08-05T20:00:00" u="1"/>
        <d v="2018-07-09T23:00:00" u="1"/>
        <d v="2018-08-05T21:00:00" u="1"/>
        <d v="2018-08-05T22:00:00" u="1"/>
        <d v="2018-07-11T00:00:00" u="1"/>
        <d v="2018-07-11T01:00:00" u="1"/>
        <d v="2017-07-11T03:00:00" u="1"/>
        <d v="2017-08-07T01:00:00" u="1"/>
        <d v="2018-07-11T02:00:00" u="1"/>
        <d v="2018-08-07T00:00:00" u="1"/>
        <d v="2017-07-11T04:00:00" u="1"/>
        <d v="2017-08-07T02:00:00" u="1"/>
        <d v="2018-07-11T03:00:00" u="1"/>
        <d v="2017-08-07T03:00:00" u="1"/>
        <d v="2018-07-11T04:00:00" u="1"/>
        <d v="2017-08-07T04:00:00" u="1"/>
        <d v="2018-07-11T05:00:00" u="1"/>
        <d v="2019-09-03T00:00:00" u="1"/>
        <d v="2017-07-11T07:00:00" u="1"/>
        <d v="2018-07-11T06:00:00" u="1"/>
        <d v="2017-08-07T06:00:00" u="1"/>
        <d v="2018-07-11T07:00:00" u="1"/>
        <d v="2019-09-03T02:00:00" u="1"/>
        <d v="2018-07-11T08:00:00" u="1"/>
        <d v="2019-09-03T03:00:00" u="1"/>
        <d v="2017-07-11T10:00:00" u="1"/>
        <d v="2018-07-11T09:00:00" u="1"/>
        <d v="2017-08-07T09:00:00" u="1"/>
        <d v="2018-07-11T10:00:00" u="1"/>
        <d v="2019-09-03T05:00:00" u="1"/>
        <d v="2017-07-11T12:00:00" u="1"/>
        <d v="2017-08-07T10:00:00" u="1"/>
        <d v="2018-07-11T11:00:00" u="1"/>
        <d v="2019-09-03T06:00:00" u="1"/>
        <d v="2017-08-07T11:00:00" u="1"/>
        <d v="2018-07-11T12:00:00" u="1"/>
        <d v="2019-09-03T07:00:00" u="1"/>
        <d v="2017-07-11T14:00:00" u="1"/>
        <d v="2017-08-07T12:00:00" u="1"/>
        <d v="2018-07-11T13:00:00" u="1"/>
        <d v="2017-07-11T15:00:00" u="1"/>
        <d v="2017-08-07T13:00:00" u="1"/>
        <d v="2018-07-11T14:00:00" u="1"/>
        <d v="2019-09-03T09:00:00" u="1"/>
        <d v="2017-07-11T16:00:00" u="1"/>
        <d v="2017-08-07T14:00:00" u="1"/>
        <d v="2018-07-11T15:00:00" u="1"/>
        <d v="2017-07-11T17:00:00" u="1"/>
        <d v="2017-08-07T15:00:00" u="1"/>
        <d v="2018-07-11T16:00:00" u="1"/>
        <d v="2019-09-03T11:00:00" u="1"/>
        <d v="2018-07-11T17:00:00" u="1"/>
        <d v="2018-07-11T18:00:00" u="1"/>
        <d v="2018-07-11T19:00:00" u="1"/>
        <d v="2018-07-11T20:00:00" u="1"/>
        <d v="2018-07-11T21:00:00" u="1"/>
        <d v="2018-07-11T22:00:00" u="1"/>
        <d v="2018-07-11T23:00:00" u="1"/>
        <d v="2019-09-03T22:00:00" u="1"/>
        <d v="2019-09-03T23:00:00" u="1"/>
        <d v="2018-07-13T00:00:00" u="1"/>
        <d v="2018-07-13T01:00:00" u="1"/>
        <d v="2018-07-13T02:00:00" u="1"/>
        <d v="2018-08-09T00:00:00" u="1"/>
        <d v="2018-07-13T03:00:00" u="1"/>
        <d v="2017-08-09T03:00:00" u="1"/>
        <d v="2018-07-13T04:00:00" u="1"/>
        <d v="2017-08-09T04:00:00" u="1"/>
        <d v="2018-07-13T05:00:00" u="1"/>
        <d v="2019-09-05T00:00:00" u="1"/>
        <d v="2017-08-09T05:00:00" u="1"/>
        <d v="2018-07-13T06:00:00" u="1"/>
        <d v="2019-09-05T01:00:00" u="1"/>
        <d v="2017-09-05T04:00:00" u="1"/>
        <d v="2018-07-13T07:00:00" u="1"/>
        <d v="2019-09-05T02:00:00" u="1"/>
        <d v="2017-08-09T07:00:00" u="1"/>
        <d v="2017-09-05T05:00:00" u="1"/>
        <d v="2018-07-13T08:00:00" u="1"/>
        <d v="2019-09-05T03:00:00" u="1"/>
        <d v="2018-07-13T09:00:00" u="1"/>
        <d v="2019-09-05T04:00:00" u="1"/>
        <d v="2018-07-13T10:00:00" u="1"/>
        <d v="2019-09-05T05:00:00" u="1"/>
        <d v="2017-08-09T10:00:00" u="1"/>
        <d v="2018-07-13T11:00:00" u="1"/>
        <d v="2017-08-09T11:00:00" u="1"/>
        <d v="2018-07-13T12:00:00" u="1"/>
        <d v="2017-08-09T12:00:00" u="1"/>
        <d v="2018-07-13T13:00:00" u="1"/>
        <d v="2017-08-09T13:00:00" u="1"/>
        <d v="2017-09-05T11:00:00" u="1"/>
        <d v="2018-07-13T14:00:00" u="1"/>
        <d v="2017-08-09T14:00:00" u="1"/>
        <d v="2017-09-05T12:00:00" u="1"/>
        <d v="2018-07-13T15:00:00" u="1"/>
        <d v="2017-08-09T15:00:00" u="1"/>
        <d v="2018-07-13T16:00:00" u="1"/>
        <d v="2017-08-09T16:00:00" u="1"/>
        <d v="2018-07-13T17:00:00" u="1"/>
        <d v="2017-08-09T17:00:00" u="1"/>
        <d v="2018-07-13T18:00:00" u="1"/>
        <d v="2017-08-09T18:00:00" u="1"/>
        <d v="2018-07-13T19:00:00" u="1"/>
        <d v="2017-08-09T19:00:00" u="1"/>
        <d v="2018-07-13T20:00:00" u="1"/>
        <d v="2017-08-09T20:00:00" u="1"/>
        <d v="2018-07-13T21:00:00" u="1"/>
        <d v="2017-08-09T21:00:00" u="1"/>
        <d v="2018-07-13T22:00:00" u="1"/>
        <d v="2018-07-13T23:00:00" u="1"/>
        <d v="2019-09-05T19: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7-17T00:00:00" u="1"/>
        <d v="2018-07-17T01:00:00" u="1"/>
        <d v="2018-07-17T02:00:00" u="1"/>
        <d v="2018-08-13T00:00:00" u="1"/>
        <d v="2018-07-17T03:00:00" u="1"/>
        <d v="2017-09-09T01:00:00" u="1"/>
        <d v="2018-07-17T04:00:00" u="1"/>
        <d v="2018-07-17T05:00:00" u="1"/>
        <d v="2018-07-17T06:00:00" u="1"/>
        <d v="2017-11-01T00:00:00" u="1"/>
        <d v="2018-07-17T07:00:00" u="1"/>
        <d v="2017-11-01T01:00:00" u="1"/>
        <d v="2018-07-17T08:00:00" u="1"/>
        <d v="2017-11-01T02:00:00" u="1"/>
        <d v="2018-07-17T09:00:00" u="1"/>
        <d v="2017-11-01T03:00:00" u="1"/>
        <d v="2018-07-17T10:00:00" u="1"/>
        <d v="2017-11-01T04:00:00" u="1"/>
        <d v="2018-07-17T11:00:00" u="1"/>
        <d v="2017-11-01T05:00:00" u="1"/>
        <d v="2018-07-17T12:00:00" u="1"/>
        <d v="2017-11-01T06:00:00" u="1"/>
        <d v="2018-07-17T13:00:00" u="1"/>
        <d v="2017-11-01T07:00:00" u="1"/>
        <d v="2018-07-17T14:00:00" u="1"/>
        <d v="2017-11-01T08:00:00" u="1"/>
        <d v="2018-07-17T15:00:00" u="1"/>
        <d v="2017-11-01T09:00:00" u="1"/>
        <d v="2018-07-17T16:00:00" u="1"/>
        <d v="2017-11-01T10:00:00" u="1"/>
        <d v="2018-07-17T17:00:00" u="1"/>
        <d v="2017-11-01T11:00:00" u="1"/>
        <d v="2018-07-17T18:00:00" u="1"/>
        <d v="2017-11-01T12:00:00" u="1"/>
        <d v="2018-07-17T19:00:00" u="1"/>
        <d v="2017-11-01T13:00:00" u="1"/>
        <d v="2018-07-17T20:00:00" u="1"/>
        <d v="2017-11-01T14:00:00" u="1"/>
        <d v="2018-07-17T21:00:00" u="1"/>
        <d v="2017-11-01T15:00:00" u="1"/>
        <d v="2018-07-17T22:00:00" u="1"/>
        <d v="2017-11-01T16:00:00" u="1"/>
        <d v="2018-07-17T23:00:00" u="1"/>
        <d v="2017-11-01T17:00:00" u="1"/>
        <d v="2017-11-01T18:00:00" u="1"/>
        <d v="2017-11-01T19:00:00" u="1"/>
        <d v="2017-11-01T20:00:00" u="1"/>
        <d v="2017-11-01T21:00:00" u="1"/>
        <d v="2019-11-01T19:00:00" u="1"/>
        <d v="2017-11-01T22:00:00" u="1"/>
        <d v="2017-11-01T23:00:00" u="1"/>
        <d v="2018-07-19T00:00:00" u="1"/>
        <d v="2018-07-19T01:00:00" u="1"/>
        <d v="2018-07-19T02:00:00" u="1"/>
        <d v="2018-08-15T00:00:00" u="1"/>
        <d v="2018-07-19T03:00:00" u="1"/>
        <d v="2017-08-15T03:00:00" u="1"/>
        <d v="2018-07-19T04:00:00" u="1"/>
        <d v="2017-09-11T02:00:00" u="1"/>
        <d v="2018-07-19T05:00:00" u="1"/>
        <d v="2018-07-19T06:00:00" u="1"/>
        <d v="2017-08-15T06:00:00" u="1"/>
        <d v="2017-11-03T00:00:00" u="1"/>
        <d v="2018-07-19T07:00:00" u="1"/>
        <d v="2017-09-11T05:00:00" u="1"/>
        <d v="2017-11-03T01:00:00" u="1"/>
        <d v="2018-07-19T08:00:00" u="1"/>
        <d v="2017-08-15T08:00:00" u="1"/>
        <d v="2017-09-11T06:00:00" u="1"/>
        <d v="2017-11-03T02:00:00" u="1"/>
        <d v="2018-07-19T09:00:00" u="1"/>
        <d v="2017-08-15T09:00:00" u="1"/>
        <d v="2017-11-03T03:00:00" u="1"/>
        <d v="2018-07-19T10:00:00" u="1"/>
        <d v="2017-08-15T10:00:00" u="1"/>
        <d v="2017-09-11T08:00:00" u="1"/>
        <d v="2017-11-03T04:00:00" u="1"/>
        <d v="2018-07-19T11:00:00" u="1"/>
        <d v="2017-08-15T11:00:00" u="1"/>
        <d v="2017-09-11T09:00:00" u="1"/>
        <d v="2017-11-03T05:00:00" u="1"/>
        <d v="2018-07-19T12:00:00" u="1"/>
        <d v="2017-08-15T12:00:00" u="1"/>
        <d v="2017-09-11T10:00:00" u="1"/>
        <d v="2017-11-03T06:00:00" u="1"/>
        <d v="2018-07-19T13:00:00" u="1"/>
        <d v="2017-08-15T13:00:00" u="1"/>
        <d v="2017-09-11T11:00:00" u="1"/>
        <d v="2017-11-03T07:00:00" u="1"/>
        <d v="2018-07-19T14:00:00" u="1"/>
        <d v="2017-08-15T14:00:00" u="1"/>
        <d v="2017-09-11T12:00:00" u="1"/>
        <d v="2017-11-03T08:00:00" u="1"/>
        <d v="2018-07-19T15:00:00" u="1"/>
        <d v="2019-09-11T10:00:00" u="1"/>
        <d v="2017-08-15T15:00:00" u="1"/>
        <d v="2017-09-11T13:00:00" u="1"/>
        <d v="2017-11-03T09:00:00" u="1"/>
        <d v="2018-07-19T16:00:00" u="1"/>
        <d v="2019-09-11T11:00:00" u="1"/>
        <d v="2017-11-03T10:00:00" u="1"/>
        <d v="2018-07-19T17:00:00" u="1"/>
        <d v="2017-08-15T17:00:00" u="1"/>
        <d v="2017-11-03T11:00:00" u="1"/>
        <d v="2018-07-19T18:00:00" u="1"/>
        <d v="2017-09-11T16:00:00" u="1"/>
        <d v="2017-11-03T12:00:00" u="1"/>
        <d v="2018-07-19T19:00:00" u="1"/>
        <d v="2017-08-15T19:00:00" u="1"/>
        <d v="2017-09-11T17:00:00" u="1"/>
        <d v="2017-11-03T13:00:00" u="1"/>
        <d v="2018-07-19T20:00:00" u="1"/>
        <d v="2017-09-11T18:00:00" u="1"/>
        <d v="2017-11-03T14:00:00" u="1"/>
        <d v="2018-07-19T21:00:00" u="1"/>
        <d v="2017-11-03T15:00:00" u="1"/>
        <d v="2018-07-19T22:00:00" u="1"/>
        <d v="2017-09-11T20:00:00" u="1"/>
        <d v="2017-11-03T16:00:00" u="1"/>
        <d v="2018-07-19T23:00:00" u="1"/>
        <d v="2017-11-03T17:00:00" u="1"/>
        <d v="2017-09-11T22:00:00" u="1"/>
        <d v="2017-11-03T18:00:00" u="1"/>
        <d v="2017-11-03T19:00:00" u="1"/>
        <d v="2017-11-03T20:00:00" u="1"/>
        <d v="2017-11-03T21:00:00" u="1"/>
        <d v="2019-09-11T23: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9-09-13T11:00:00" u="1"/>
        <d v="2017-08-17T16:00:00" u="1"/>
        <d v="2017-09-13T14:00:00" u="1"/>
        <d v="2017-12-01T08:00:00" u="1"/>
        <d v="2019-09-13T12: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9-09-13T18:00:00" u="1"/>
        <d v="2017-09-13T21:00:00" u="1"/>
        <d v="2017-12-01T15:00:00" u="1"/>
        <d v="2019-09-13T19:00:00" u="1"/>
        <d v="2017-09-13T22:00:00" u="1"/>
        <d v="2017-12-01T16:00:00" u="1"/>
        <d v="2017-09-13T23:00:00" u="1"/>
        <d v="2017-12-01T18:00:00" u="1"/>
        <d v="2018-05-31T00:00:00" u="1"/>
        <d v="2019-09-13T22:00:00" u="1"/>
        <d v="2017-12-01T19:00:00" u="1"/>
        <d v="2017-12-01T20:00:00" u="1"/>
        <d v="2017-12-01T21:00:00" u="1"/>
        <d v="2017-12-01T22:00:00" u="1"/>
        <d v="2018-07-23T00:00:00" u="1"/>
        <d v="2017-12-01T23:00:00" u="1"/>
        <d v="2018-07-23T01:00:00" u="1"/>
        <d v="2018-07-23T02:00:00" u="1"/>
        <d v="2017-09-15T00:00:00" u="1"/>
        <d v="2018-07-23T03:00:00" u="1"/>
        <d v="2018-07-23T04:00:00" u="1"/>
        <d v="2018-07-23T05:00:00" u="1"/>
        <d v="2017-09-15T03:00:00" u="1"/>
        <d v="2018-07-23T06:00:00" u="1"/>
        <d v="2017-11-07T00:00:00" u="1"/>
        <d v="2018-07-23T07:00:00" u="1"/>
        <d v="2017-09-15T05:00:00" u="1"/>
        <d v="2017-11-07T01:00:00" u="1"/>
        <d v="2018-07-23T08:00:00" u="1"/>
        <d v="2017-11-07T02:00:00" u="1"/>
        <d v="2018-07-23T09:00:00" u="1"/>
        <d v="2017-11-07T03:00:00" u="1"/>
        <d v="2018-07-23T10:00:00" u="1"/>
        <d v="2017-09-15T08:00:00" u="1"/>
        <d v="2017-11-07T04:00:00" u="1"/>
        <d v="2018-07-23T11:00:00" u="1"/>
        <d v="2017-11-07T05:00:00" u="1"/>
        <d v="2018-07-23T12:00:00" u="1"/>
        <d v="2017-11-07T06:00:00" u="1"/>
        <d v="2018-07-23T13:00:00" u="1"/>
        <d v="2017-09-15T11:00:00" u="1"/>
        <d v="2017-11-07T07:00:00" u="1"/>
        <d v="2018-07-23T14:00:00" u="1"/>
        <d v="2017-11-07T08:00:00" u="1"/>
        <d v="2018-07-23T15:00:00" u="1"/>
        <d v="2017-09-15T13:00:00" u="1"/>
        <d v="2017-11-07T09:00:00" u="1"/>
        <d v="2018-07-23T16:00:00" u="1"/>
        <d v="2017-09-15T14:00:00" u="1"/>
        <d v="2017-11-07T10:00:00" u="1"/>
        <d v="2018-07-23T17:00:00" u="1"/>
        <d v="2017-09-15T15:00:00" u="1"/>
        <d v="2017-11-07T11:00:00" u="1"/>
        <d v="2018-07-23T18:00:00" u="1"/>
        <d v="2017-09-15T16:00:00" u="1"/>
        <d v="2017-11-07T12:00:00" u="1"/>
        <d v="2018-07-23T19:00:00" u="1"/>
        <d v="2017-09-15T17:00:00" u="1"/>
        <d v="2017-11-07T13:00:00" u="1"/>
        <d v="2018-07-23T20:00:00" u="1"/>
        <d v="2017-09-15T18:00:00" u="1"/>
        <d v="2017-11-07T14:00:00" u="1"/>
        <d v="2018-07-23T21:00:00" u="1"/>
        <d v="2017-09-15T19:00:00" u="1"/>
        <d v="2017-11-07T15:00:00" u="1"/>
        <d v="2018-07-23T22:00:00" u="1"/>
        <d v="2017-11-07T16:00:00" u="1"/>
        <d v="2018-07-23T23:00:00" u="1"/>
        <d v="2017-09-15T21:00:00" u="1"/>
        <d v="2017-11-07T17:00:00" u="1"/>
        <d v="2017-09-15T22:00:00" u="1"/>
        <d v="2017-11-07T18:00:00" u="1"/>
        <d v="2017-09-15T23:00:00" u="1"/>
        <d v="2017-11-07T19:00:00" u="1"/>
        <d v="2017-11-07T20:00:00" u="1"/>
        <d v="2017-11-07T21:00:00" u="1"/>
        <d v="2017-11-07T22:00:00" u="1"/>
        <d v="2018-06-29T00:00:00" u="1"/>
        <d v="2017-07-25T00:00:00" u="1"/>
        <d v="2017-11-07T23:00:00" u="1"/>
        <d v="2018-06-29T01:00:00" u="1"/>
        <d v="2017-07-25T01:00:00" u="1"/>
        <d v="2018-06-29T02:00:00" u="1"/>
        <d v="2018-07-25T00:00:00" u="1"/>
        <d v="2017-07-25T02:00:00" u="1"/>
        <d v="2018-06-29T03:00:00" u="1"/>
        <d v="2018-07-25T01:00:00" u="1"/>
        <d v="2017-07-25T03:00:00" u="1"/>
        <d v="2018-06-29T04:00:00" u="1"/>
        <d v="2018-07-25T02:00:00" u="1"/>
        <d v="2018-08-21T00:00:00" u="1"/>
        <d v="2017-07-25T04:00:00" u="1"/>
        <d v="2018-06-29T05:00:00" u="1"/>
        <d v="2018-07-25T03:00:00" u="1"/>
        <d v="2017-07-25T05:00:00" u="1"/>
        <d v="2018-06-29T06:00:00" u="1"/>
        <d v="2018-07-25T04:00:00" u="1"/>
        <d v="2018-09-17T00:00:00" u="1"/>
        <d v="2017-07-25T06:00:00" u="1"/>
        <d v="2018-06-29T07:00:00" u="1"/>
        <d v="2018-07-25T05:00:00" u="1"/>
        <d v="2018-09-17T01:00:00" u="1"/>
        <d v="2017-07-25T07:00:00" u="1"/>
        <d v="2018-06-29T08:00:00" u="1"/>
        <d v="2018-07-25T06:00:00" u="1"/>
        <d v="2018-09-17T02:00:00" u="1"/>
        <d v="2017-07-25T08:00:00" u="1"/>
        <d v="2017-11-09T00:00:00" u="1"/>
        <d v="2018-06-29T09:00:00" u="1"/>
        <d v="2018-07-25T07:00:00" u="1"/>
        <d v="2018-09-17T03:00:00" u="1"/>
        <d v="2017-07-25T09:00:00" u="1"/>
        <d v="2017-11-09T01:00:00" u="1"/>
        <d v="2018-06-29T10:00:00" u="1"/>
        <d v="2018-07-25T08:00:00" u="1"/>
        <d v="2018-09-17T04:00:00" u="1"/>
        <d v="2017-07-25T10:00:00" u="1"/>
        <d v="2017-11-09T02:00:00" u="1"/>
        <d v="2018-06-29T11:00:00" u="1"/>
        <d v="2018-07-25T09:00:00" u="1"/>
        <d v="2018-09-17T05:00:00" u="1"/>
        <d v="2017-07-25T11:00:00" u="1"/>
        <d v="2017-11-09T03:00:00" u="1"/>
        <d v="2017-12-05T01:00:00" u="1"/>
        <d v="2018-06-29T12:00:00" u="1"/>
        <d v="2018-07-25T10:00:00" u="1"/>
        <d v="2018-09-17T06:00:00" u="1"/>
        <d v="2017-07-25T12:00:00" u="1"/>
        <d v="2017-11-09T04:00:00" u="1"/>
        <d v="2017-12-05T02:00:00" u="1"/>
        <d v="2018-06-29T13:00:00" u="1"/>
        <d v="2018-07-25T11:00:00" u="1"/>
        <d v="2018-09-17T07:00:00" u="1"/>
        <d v="2017-07-25T13:00:00" u="1"/>
        <d v="2017-11-09T05:00:00" u="1"/>
        <d v="2017-12-05T03:00:00" u="1"/>
        <d v="2018-06-29T14:00:00" u="1"/>
        <d v="2018-07-25T12:00:00" u="1"/>
        <d v="2018-09-17T08:00:00" u="1"/>
        <d v="2017-07-25T14:00:00" u="1"/>
        <d v="2017-11-09T06:00:00" u="1"/>
        <d v="2017-12-05T04:00:00" u="1"/>
        <d v="2018-06-29T15:00:00" u="1"/>
        <d v="2018-07-25T13:00:00" u="1"/>
        <d v="2018-09-17T09:00:00" u="1"/>
        <d v="2017-07-25T15:00:00" u="1"/>
        <d v="2017-11-09T07:00:00" u="1"/>
        <d v="2017-12-05T05:00:00" u="1"/>
        <d v="2018-06-29T16:00:00" u="1"/>
        <d v="2018-07-25T14:00:00" u="1"/>
        <d v="2018-09-17T10:00:00" u="1"/>
        <d v="2017-07-25T16:00:00" u="1"/>
        <d v="2017-11-09T08:00:00" u="1"/>
        <d v="2017-12-05T06:00:00" u="1"/>
        <d v="2018-06-29T17:00:00" u="1"/>
        <d v="2018-07-25T15:00:00" u="1"/>
        <d v="2018-09-17T11:00:00" u="1"/>
        <d v="2017-07-25T17:00:00" u="1"/>
        <d v="2017-11-09T09:00:00" u="1"/>
        <d v="2018-06-29T18:00:00" u="1"/>
        <d v="2018-07-25T16:00:00" u="1"/>
        <d v="2018-09-17T12:00:00" u="1"/>
        <d v="2017-07-25T18:00:00" u="1"/>
        <d v="2017-11-09T10:00:00" u="1"/>
        <d v="2017-12-05T08:00:00" u="1"/>
        <d v="2018-06-29T19:00:00" u="1"/>
        <d v="2018-07-25T17:00:00" u="1"/>
        <d v="2018-09-17T13:00:00" u="1"/>
        <d v="2017-07-25T19:00:00" u="1"/>
        <d v="2017-11-09T11:00:00" u="1"/>
        <d v="2017-12-05T09:00:00" u="1"/>
        <d v="2018-06-29T20:00:00" u="1"/>
        <d v="2018-07-25T18:00:00" u="1"/>
        <d v="2018-09-17T14:00:00" u="1"/>
        <d v="2017-07-25T20:00:00" u="1"/>
        <d v="2017-11-09T12:00:00" u="1"/>
        <d v="2017-12-05T10:00:00" u="1"/>
        <d v="2018-06-29T21:00:00" u="1"/>
        <d v="2018-07-25T19:00:00" u="1"/>
        <d v="2018-09-17T15:00:00" u="1"/>
        <d v="2017-07-25T21:00:00" u="1"/>
        <d v="2017-11-09T13:00:00" u="1"/>
        <d v="2017-12-05T11:00:00" u="1"/>
        <d v="2018-06-29T22:00:00" u="1"/>
        <d v="2018-07-25T20:00:00" u="1"/>
        <d v="2018-09-17T16:00:00" u="1"/>
        <d v="2017-07-25T22:00:00" u="1"/>
        <d v="2017-11-09T14:00:00" u="1"/>
        <d v="2017-12-05T12:00:00" u="1"/>
        <d v="2018-06-29T23:00:00" u="1"/>
        <d v="2018-07-25T21:00:00" u="1"/>
        <d v="2018-09-17T17:00:00" u="1"/>
        <d v="2017-07-25T23:00:00" u="1"/>
        <d v="2017-11-09T15:00:00" u="1"/>
        <d v="2017-12-05T13:00:00" u="1"/>
        <d v="2018-07-25T22:00:00" u="1"/>
        <d v="2018-09-17T18:00:00" u="1"/>
        <d v="2017-11-09T16:00:00" u="1"/>
        <d v="2017-12-05T14:00:00" u="1"/>
        <d v="2018-07-25T23:00:00" u="1"/>
        <d v="2018-09-17T19:00:00" u="1"/>
        <d v="2017-11-09T17:00:00" u="1"/>
        <d v="2017-12-05T15:00:00" u="1"/>
        <d v="2018-09-17T20:00:00" u="1"/>
        <d v="2017-11-09T18:00:00" u="1"/>
        <d v="2017-12-05T16:00:00" u="1"/>
        <d v="2018-09-17T21:00:00" u="1"/>
        <d v="2017-11-09T19:00:00" u="1"/>
        <d v="2017-12-05T17:00:00" u="1"/>
        <d v="2017-11-09T20:00:00" u="1"/>
        <d v="2017-12-05T18:00:00" u="1"/>
        <d v="2019-09-17T22:00:00" u="1"/>
        <d v="2017-11-09T21:00:00" u="1"/>
        <d v="2017-12-05T19:00:00" u="1"/>
        <d v="2019-09-17T23: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8-07-27T05:00:00" u="1"/>
        <d v="2017-07-27T07:00:00" u="1"/>
        <d v="2017-09-19T03:00:00" u="1"/>
        <d v="2018-07-27T06:00:00" u="1"/>
        <d v="2017-07-27T08:00:00" u="1"/>
        <d v="2017-11-11T00:00:00" u="1"/>
        <d v="2018-07-27T07:00:00" u="1"/>
        <d v="2017-07-27T09:00:00" u="1"/>
        <d v="2018-07-27T08:00:00" u="1"/>
        <d v="2017-07-27T10:00:00" u="1"/>
        <d v="2018-07-27T09:00:00" u="1"/>
        <d v="2017-07-27T11:00:00" u="1"/>
        <d v="2017-12-07T01:00:00" u="1"/>
        <d v="2018-07-27T10:00:00" u="1"/>
        <d v="2017-07-27T12:00:00" u="1"/>
        <d v="2018-07-27T11:00:00" u="1"/>
        <d v="2017-07-27T13:00:00" u="1"/>
        <d v="2017-09-19T09:00:00" u="1"/>
        <d v="2017-12-07T03:00:00" u="1"/>
        <d v="2018-07-27T12:00:00" u="1"/>
        <d v="2017-07-27T14:00:00" u="1"/>
        <d v="2017-09-19T10:00:00" u="1"/>
        <d v="2018-07-27T13:00:00" u="1"/>
        <d v="2017-07-27T15:00:00" u="1"/>
        <d v="2017-09-19T11:00:00" u="1"/>
        <d v="2018-07-27T14:00:00" u="1"/>
        <d v="2017-07-27T16:00:00" u="1"/>
        <d v="2017-09-19T12:00:00" u="1"/>
        <d v="2018-07-27T15:00:00" u="1"/>
        <d v="2017-07-27T17:00:00" u="1"/>
        <d v="2017-09-19T13:00:00" u="1"/>
        <d v="2018-07-27T16:00:00" u="1"/>
        <d v="2017-07-27T18:00:00" u="1"/>
        <d v="2018-07-27T17:00:00" u="1"/>
        <d v="2017-07-27T19:00:00" u="1"/>
        <d v="2017-12-07T09:00:00" u="1"/>
        <d v="2018-07-27T18:00:00" u="1"/>
        <d v="2017-07-27T20:00:00" u="1"/>
        <d v="2017-09-19T16:00:00" u="1"/>
        <d v="2018-07-27T19:00:00" u="1"/>
        <d v="2017-07-27T21:00:00" u="1"/>
        <d v="2017-09-19T17:00:00" u="1"/>
        <d v="2017-12-07T11:00:00" u="1"/>
        <d v="2018-07-27T20:00:00" u="1"/>
        <d v="2017-07-27T22:00:00" u="1"/>
        <d v="2018-07-27T21:00:00" u="1"/>
        <d v="2017-09-19T19:00:00" u="1"/>
        <d v="2017-12-07T13:00:00" u="1"/>
        <d v="2018-07-27T22:00:00" u="1"/>
        <d v="2019-07-27T21:00:00" u="1"/>
        <d v="2017-12-07T14:00:00" u="1"/>
        <d v="2018-07-27T23:00:00" u="1"/>
        <d v="2019-07-27T22:00:00" u="1"/>
        <d v="2017-09-19T21:00:00" u="1"/>
        <d v="2017-12-07T15:00:00" u="1"/>
        <d v="2019-07-27T23:00:00" u="1"/>
        <d v="2017-09-19T22:00:00" u="1"/>
        <d v="2017-12-07T16:00:00" u="1"/>
        <d v="2017-09-19T23:00:00" u="1"/>
        <d v="2017-12-07T17:00:00" u="1"/>
        <d v="2017-12-07T18:00:00" u="1"/>
        <d v="2017-12-07T19:00:00" u="1"/>
        <d v="2017-12-07T20:00:00" u="1"/>
        <d v="2017-12-07T21:00:00" u="1"/>
        <d v="2017-12-07T22:00:00" u="1"/>
        <d v="2020-07-29T00:00:00" u="1"/>
        <d v="2017-09-21T00:00:00" u="1"/>
        <d v="2020-07-29T01:00:00" u="1"/>
        <d v="2020-07-29T02:00:00" u="1"/>
        <d v="2020-07-29T03:00:00" u="1"/>
        <d v="2020-07-29T04:00:00" u="1"/>
        <d v="2020-07-29T05:00:00" u="1"/>
        <d v="2017-11-13T01:00:00" u="1"/>
        <d v="2020-07-29T06:00:00" u="1"/>
        <d v="2017-11-13T02:00:00" u="1"/>
        <d v="2017-12-09T00:00:00" u="1"/>
        <d v="2020-07-29T07:00:00" u="1"/>
        <d v="2017-11-13T03:00:00" u="1"/>
        <d v="2020-07-29T08:00:00" u="1"/>
        <d v="2017-11-13T04:00:00" u="1"/>
        <d v="2020-07-29T09:00:00" u="1"/>
        <d v="2017-11-13T05:00:00" u="1"/>
        <d v="2020-07-29T10:00:00" u="1"/>
        <d v="2017-11-13T06:00:00" u="1"/>
        <d v="2020-07-29T11:00:00" u="1"/>
        <d v="2017-11-13T07:00:00" u="1"/>
        <d v="2020-07-29T12:00:00" u="1"/>
        <d v="2017-11-13T08:00:00" u="1"/>
        <d v="2020-07-29T13:00:00" u="1"/>
        <d v="2017-11-13T09:00:00" u="1"/>
        <d v="2020-07-29T14:00:00" u="1"/>
        <d v="2017-11-13T10:00:00" u="1"/>
        <d v="2020-07-29T15:00:00" u="1"/>
        <d v="2017-11-13T11:00:00" u="1"/>
        <d v="2020-07-29T16:00:00" u="1"/>
        <d v="2017-11-13T12:00:00" u="1"/>
        <d v="2020-07-29T17:00:00" u="1"/>
        <d v="2017-11-13T13:00:00" u="1"/>
        <d v="2020-07-29T18:00:00" u="1"/>
        <d v="2017-11-13T14:00:00" u="1"/>
        <d v="2020-07-29T19:00:00" u="1"/>
        <d v="2017-11-13T15:00:00" u="1"/>
        <d v="2020-07-29T20:00:00" u="1"/>
        <d v="2017-11-13T16:00:00" u="1"/>
        <d v="2020-07-29T21:00:00" u="1"/>
        <d v="2017-11-13T17:00:00" u="1"/>
        <d v="2017-11-13T18:00:00" u="1"/>
        <d v="2017-11-13T19:00:00" u="1"/>
        <d v="2017-11-13T20:00:00" u="1"/>
        <d v="2017-11-13T21:00:00" u="1"/>
        <d v="2017-11-13T22:00:00" u="1"/>
        <d v="2017-11-13T23:00:00" u="1"/>
        <d v="2018-07-31T00:00:00" u="1"/>
        <d v="2017-07-31T02:00:00" u="1"/>
        <d v="2018-07-31T01:00:00" u="1"/>
        <d v="2017-07-31T03:00:00" u="1"/>
        <d v="2018-07-31T02:00:00" u="1"/>
        <d v="2018-08-27T00:00:00" u="1"/>
        <d v="2018-07-31T03:00:00" u="1"/>
        <d v="2017-07-31T05:00:00" u="1"/>
        <d v="2018-07-31T04:00:00" u="1"/>
        <d v="2018-07-31T05:00:00" u="1"/>
        <d v="2018-07-31T06:00:00" u="1"/>
        <d v="2017-11-15T00:00:00" u="1"/>
        <d v="2018-07-31T07:00:00" u="1"/>
        <d v="2017-07-31T09:00:00" u="1"/>
        <d v="2017-11-15T01:00:00" u="1"/>
        <d v="2018-07-31T08:00:00" u="1"/>
        <d v="2017-11-15T02:00:00" u="1"/>
        <d v="2018-07-31T09:00:00" u="1"/>
        <d v="2017-11-15T03:00:00" u="1"/>
        <d v="2017-12-11T01:00:00" u="1"/>
        <d v="2018-07-31T10:00:00" u="1"/>
        <d v="2017-11-15T04:00:00" u="1"/>
        <d v="2017-12-11T02:00:00" u="1"/>
        <d v="2018-07-31T11:00:00" u="1"/>
        <d v="2017-11-15T05:00:00" u="1"/>
        <d v="2018-07-31T12:00:00" u="1"/>
        <d v="2017-11-15T06:00:00" u="1"/>
        <d v="2018-07-31T13:00:00" u="1"/>
        <d v="2017-11-15T07:00:00" u="1"/>
        <d v="2018-07-31T14:00:00" u="1"/>
        <d v="2017-07-31T16:00:00" u="1"/>
        <d v="2017-11-15T08:00:00" u="1"/>
        <d v="2018-07-31T15:00:00" u="1"/>
        <d v="2017-07-31T17:00:00" u="1"/>
        <d v="2017-11-15T09:00:00" u="1"/>
        <d v="2018-07-31T16:00:00" u="1"/>
        <d v="2017-07-31T18:00:00" u="1"/>
        <d v="2017-11-15T10:00:00" u="1"/>
        <d v="2018-07-31T17:00:00" u="1"/>
        <d v="2017-07-31T19:00:00" u="1"/>
        <d v="2017-11-15T11:00:00" u="1"/>
        <d v="2017-12-11T09:00:00" u="1"/>
        <d v="2018-07-31T18:00:00" u="1"/>
        <d v="2017-07-31T20:00:00" u="1"/>
        <d v="2017-11-15T12:00:00" u="1"/>
        <d v="2018-07-31T19:00:00" u="1"/>
        <d v="2017-07-31T21:00:00" u="1"/>
        <d v="2017-11-15T13:00:00" u="1"/>
        <d v="2017-12-11T11:00:00" u="1"/>
        <d v="2018-07-31T20:00:00" u="1"/>
        <d v="2017-07-31T22:00:00" u="1"/>
        <d v="2017-11-15T14:00:00" u="1"/>
        <d v="2018-07-31T21:00:00" u="1"/>
        <d v="2017-11-15T15:00:00" u="1"/>
        <d v="2018-07-31T22:00:00" u="1"/>
        <d v="2017-11-15T16:00:00" u="1"/>
        <d v="2018-07-31T23: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LASTBARH" numFmtId="0" sqlType="6">
      <sharedItems containsSemiMixedTypes="0" containsString="0" containsNumber="1" minValue="1.16598" maxValue="1.17174" count="24">
        <n v="1.1709099999999999"/>
        <n v="1.17083"/>
        <n v="1.17093"/>
        <n v="1.1709799999999999"/>
        <n v="1.17127"/>
        <n v="1.17099"/>
        <n v="1.17059"/>
        <n v="1.17045"/>
        <n v="1.1702399999999999"/>
        <n v="1.1698900000000001"/>
        <n v="1.1705099999999999"/>
        <n v="1.17174"/>
        <n v="1.1703600000000001"/>
        <n v="1.16991"/>
        <n v="1.17082"/>
        <n v="1.1698299999999999"/>
        <n v="1.1695199999999999"/>
        <n v="1.1681900000000001"/>
        <n v="1.1667700000000001"/>
        <n v="1.16612"/>
        <n v="1.16598"/>
        <n v="1.16692"/>
        <n v="1.1671400000000001"/>
        <n v="1.1678299999999999"/>
      </sharedItems>
    </cacheField>
    <cacheField name="DECODE(LASTFORECASTH,0,LASTBARH,LASTFORECASTH)" numFmtId="0" sqlType="6">
      <sharedItems containsSemiMixedTypes="0" containsString="0" containsNumber="1" minValue="1.16618" maxValue="1.1718820000000001"/>
    </cacheField>
    <cacheField name="ERRORH" numFmtId="0" sqlType="6">
      <sharedItems containsSemiMixedTypes="0" containsString="0" containsNumber="1" minValue="4.6E-5" maxValue="4.1669999999999997E-3"/>
    </cacheField>
    <cacheField name="LASTBARL" numFmtId="0" sqlType="6">
      <sharedItems containsSemiMixedTypes="0" containsString="0" containsNumber="1" minValue="1.1640999999999999" maxValue="1.1705399999999999" count="23">
        <n v="1.17022"/>
        <n v="1.17041"/>
        <n v="1.1705399999999999"/>
        <n v="1.17012"/>
        <n v="1.1695800000000001"/>
        <n v="1.16997"/>
        <n v="1.16947"/>
        <n v="1.1696500000000001"/>
        <n v="1.1685000000000001"/>
        <n v="1.16883"/>
        <n v="1.1695899999999999"/>
        <n v="1.16743"/>
        <n v="1.16839"/>
        <n v="1.16906"/>
        <n v="1.16815"/>
        <n v="1.16761"/>
        <n v="1.1643399999999999"/>
        <n v="1.1649700000000001"/>
        <n v="1.1641300000000001"/>
        <n v="1.1640999999999999"/>
        <n v="1.1649099999999999"/>
        <n v="1.1655199999999999"/>
        <n v="1.1658999999999999"/>
      </sharedItems>
    </cacheField>
    <cacheField name="DECODE(LASTFORECASTL,0,LASTBARL,LASTFORECASTL)" numFmtId="0" sqlType="6">
      <sharedItems containsSemiMixedTypes="0" containsString="0" containsNumber="1" minValue="1.164364" maxValue="1.1703699999999999"/>
    </cacheField>
    <cacheField name="ERRORL" numFmtId="0" sqlType="6">
      <sharedItems containsSemiMixedTypes="0" containsString="0" containsNumber="1" minValue="3.8999999999999999E-5" maxValue="5.0699999999999999E-3"/>
    </cacheField>
    <cacheField name="LASTBARC" numFmtId="0" sqlType="6">
      <sharedItems containsSemiMixedTypes="0" containsString="0" containsNumber="1" minValue="1.1645399999999999" maxValue="1.17086" count="22">
        <n v="1.1705700000000001"/>
        <n v="1.1708099999999999"/>
        <n v="1.1705399999999999"/>
        <n v="1.17086"/>
        <n v="1.1705000000000001"/>
        <n v="1.1703600000000001"/>
        <n v="1.17"/>
        <n v="1.16995"/>
        <n v="1.1698500000000001"/>
        <n v="1.1688700000000001"/>
        <n v="1.17028"/>
        <n v="1.17015"/>
        <n v="1.16862"/>
        <n v="1.1697"/>
        <n v="1.1685399999999999"/>
        <n v="1.16767"/>
        <n v="1.1659200000000001"/>
        <n v="1.16564"/>
        <n v="1.1645399999999999"/>
        <n v="1.1667400000000001"/>
        <n v="1.1664099999999999"/>
        <n v="1.16761"/>
      </sharedItems>
    </cacheField>
    <cacheField name="DECODE(LASTFORECASTC,0,LASTBARC,LASTFORECASTC)" numFmtId="0" sqlType="6">
      <sharedItems containsSemiMixedTypes="0" containsString="0" containsNumber="1" minValue="1.1645399999999999" maxValue="1.17086" count="22">
        <n v="1.1705700000000001"/>
        <n v="1.1708099999999999"/>
        <n v="1.1705399999999999"/>
        <n v="1.17086"/>
        <n v="1.1705000000000001"/>
        <n v="1.1703600000000001"/>
        <n v="1.17"/>
        <n v="1.16995"/>
        <n v="1.1698500000000001"/>
        <n v="1.1688700000000001"/>
        <n v="1.17028"/>
        <n v="1.17015"/>
        <n v="1.16862"/>
        <n v="1.1697"/>
        <n v="1.1685399999999999"/>
        <n v="1.16767"/>
        <n v="1.1659200000000001"/>
        <n v="1.16564"/>
        <n v="1.1645399999999999"/>
        <n v="1.1667400000000001"/>
        <n v="1.1664099999999999"/>
        <n v="1.16761"/>
      </sharedItems>
    </cacheField>
    <cacheField name="ERRORC" numFmtId="0" sqlType="6">
      <sharedItems containsSemiMixedTypes="0" containsString="0" containsNumber="1" containsInteger="1" minValue="0" maxValue="0" count="1">
        <n v="0"/>
      </sharedItems>
    </cacheField>
    <cacheField name="BarWidth" numFmtId="0" formula="#NAME?-#NAME?" databaseField="0"/>
    <cacheField name="errH2" numFmtId="0" formula="IF(#NAME?&gt;0,ABS(LASTBARH-#NAME?),0)" databaseField="0"/>
  </cacheFields>
  <extLst>
    <ext xmlns:x14="http://schemas.microsoft.com/office/spreadsheetml/2009/9/main" uri="{725AE2AE-9491-48be-B2B4-4EB974FC3084}">
      <x14:pivotCacheDefinition pivotCacheId="5"/>
    </ext>
  </extLst>
</pivotCacheDefinition>
</file>

<file path=xl/pivotCache/pivotCacheDefinition8.xml><?xml version="1.0" encoding="utf-8"?>
<pivotCacheDefinition xmlns="http://schemas.openxmlformats.org/spreadsheetml/2006/main" xmlns:r="http://schemas.openxmlformats.org/officeDocument/2006/relationships" saveData="0" refreshedBy="gcaglion" refreshedDate="43787.475076504626" createdVersion="5" refreshedVersion="5" minRefreshableVersion="3" recordCount="100">
  <cacheSource type="external" connectionId="4"/>
  <cacheFields count="7">
    <cacheField name="SIMULATIONID" numFmtId="0" sqlType="6">
      <sharedItems containsSemiMixedTypes="0" containsString="0" containsNumber="1" containsInteger="1" minValue="1" maxValue="9000" count="66">
        <n v="1"/>
        <n v="96" u="1"/>
        <n v="100" u="1"/>
        <n v="600" u="1"/>
        <n v="800" u="1"/>
        <n v="9000" u="1"/>
        <n v="1000" u="1"/>
        <n v="83" u="1"/>
        <n v="5" u="1"/>
        <n v="40" u="1"/>
        <n v="87" u="1"/>
        <n v="66" u="1"/>
        <n v="5000" u="1"/>
        <n v="15" u="1"/>
        <n v="70" u="1"/>
        <n v="95" u="1"/>
        <n v="999" u="1"/>
        <n v="2" u="1"/>
        <n v="99" u="1"/>
        <n v="6" u="1"/>
        <n v="48" u="1"/>
        <n v="82" u="1"/>
        <n v="50" u="1"/>
        <n v="86" u="1"/>
        <n v="400" u="1"/>
        <n v="998" u="1"/>
        <n v="90" u="1"/>
        <n v="7" u="1"/>
        <n v="69" u="1"/>
        <n v="20" u="1"/>
        <n v="94" u="1"/>
        <n v="21" u="1"/>
        <n v="98" u="1"/>
        <n v="77" u="1"/>
        <n v="997" u="1"/>
        <n v="22" u="1"/>
        <n v="81" u="1"/>
        <n v="3" u="1"/>
        <n v="8" u="1"/>
        <n v="85" u="1"/>
        <n v="990" u="1"/>
        <n v="110" u="1"/>
        <n v="89" u="1"/>
        <n v="9" u="1"/>
        <n v="970" u="1"/>
        <n v="97" u="1"/>
        <n v="444" u="1"/>
        <n v="2000" u="1"/>
        <n v="10" u="1"/>
        <n v="101" u="1"/>
        <n v="80" u="1"/>
        <n v="49" u="1"/>
        <n v="84" u="1"/>
        <n v="182" u="1"/>
        <n v="982" u="1"/>
        <n v="11" u="1"/>
        <n v="51" u="1"/>
        <n v="30" u="1"/>
        <n v="88" u="1"/>
        <n v="801" u="1"/>
        <n v="1001" u="1"/>
        <n v="31" u="1"/>
        <n v="4" u="1"/>
        <n v="12" u="1"/>
        <n v="32" u="1"/>
        <n v="71" u="1"/>
      </sharedItems>
    </cacheField>
    <cacheField name="PROCESSID" numFmtId="0" sqlType="6">
      <sharedItems containsSemiMixedTypes="0" containsString="0" containsNumber="1" containsInteger="1" minValue="32" maxValue="89824" count="714">
        <n v="8600"/>
        <n v="10156"/>
        <n v="8816" u="1"/>
        <n v="7464" u="1"/>
        <n v="5644" u="1"/>
        <n v="10124" u="1"/>
        <n v="16175" u="1"/>
        <n v="3700" u="1"/>
        <n v="6495" u="1"/>
        <n v="2140" u="1"/>
        <n v="8312" u="1"/>
        <n v="1964" u="1"/>
        <n v="7472" u="1"/>
        <n v="4935" u="1"/>
        <n v="6952" u="1"/>
        <n v="6692" u="1"/>
        <n v="6172" u="1"/>
        <n v="1444" u="1"/>
        <n v="9163" u="1"/>
        <n v="11180" u="1"/>
        <n v="5392" u="1"/>
        <n v="9620" u="1"/>
        <n v="1184" u="1"/>
        <n v="4612" u="1"/>
        <n v="4352" u="1"/>
        <n v="3964" u="1"/>
        <n v="11448" u="1"/>
        <n v="7283" u="1"/>
        <n v="10408" u="1"/>
        <n v="9888" u="1"/>
        <n v="9368" u="1"/>
        <n v="1836" u="1"/>
        <n v="13796" u="1"/>
        <n v="1576" u="1"/>
        <n v="5920" u="1"/>
        <n v="9636" u="1"/>
        <n v="4620" u="1"/>
        <n v="4100" u="1"/>
        <n v="13607" u="1"/>
        <n v="15624" u="1"/>
        <n v="12047" u="1"/>
        <n v="2408" u="1"/>
        <n v="8864" u="1"/>
        <n v="2148" u="1"/>
        <n v="8344" u="1"/>
        <n v="5731" u="1"/>
        <n v="7228" u="1"/>
        <n v="6448" u="1"/>
        <n v="10172" u="1"/>
        <n v="4888" u="1"/>
        <n v="9652" u="1"/>
        <n v="3972" u="1"/>
        <n v="7622" u="1"/>
        <n v="16724" u="1"/>
        <n v="2932" u="1"/>
        <n v="10960" u="1"/>
        <n v="9400" u="1"/>
        <n v="6976" u="1"/>
        <n v="11228" u="1"/>
        <n v="4896" u="1"/>
        <n v="1060" u="1"/>
        <n v="3976" u="1"/>
        <n v="240" u="1"/>
        <n v="5353" u="1"/>
        <n v="14616" u="1"/>
        <n v="14096" u="1"/>
        <n v="3456" u="1"/>
        <n v="2676" u="1"/>
        <n v="2416" u="1"/>
        <n v="8896" u="1"/>
        <n v="16504" u="1"/>
        <n v="7504" u="1"/>
        <n v="17292" u="1"/>
        <n v="12284" u="1"/>
        <n v="5944" u="1"/>
        <n v="9952" u="1"/>
        <n v="8912" u="1"/>
        <n v="7512" u="1"/>
        <n v="7252" u="1"/>
        <n v="6992" u="1"/>
        <n v="12820" u="1"/>
        <n v="12300" u="1"/>
        <n v="5692" u="1"/>
        <n v="10220" u="1"/>
        <n v="1259" u="1"/>
        <n v="4912" u="1"/>
        <n v="9700" u="1"/>
        <n v="3724" u="1"/>
        <n v="14648" u="1"/>
        <n v="11008" u="1"/>
        <n v="9448" u="1"/>
        <n v="8928" u="1"/>
        <n v="8408" u="1"/>
        <n v="1976" u="1"/>
        <n v="7520" u="1"/>
        <n v="7260" u="1"/>
        <n v="6740" u="1"/>
        <n v="5960" u="1"/>
        <n v="11276" u="1"/>
        <n v="5440" u="1"/>
        <n v="10236" u="1"/>
        <n v="9716" u="1"/>
        <n v="9196" u="1"/>
        <n v="4400" u="1"/>
        <n v="4140" u="1"/>
        <n v="13167" u="1"/>
        <n v="3468" u="1"/>
        <n v="2168" u="1"/>
        <n v="7268" u="1"/>
        <n v="6748" u="1"/>
        <n v="13372" u="1"/>
        <n v="6488" u="1"/>
        <n v="1328" u="1"/>
        <n v="4928" u="1"/>
        <n v="8692" u="1"/>
        <n v="1068" u="1"/>
        <n v="15200" u="1"/>
        <n v="14160" u="1"/>
        <n v="6882" u="1"/>
        <n v="10000" u="1"/>
        <n v="1980" u="1"/>
        <n v="7796" u="1"/>
        <n v="7536" u="1"/>
        <n v="6496" u="1"/>
        <n v="11308" u="1"/>
        <n v="5196" u="1"/>
        <n v="4936" u="1"/>
        <n v="8708" u="1"/>
        <n v="15736" u="1"/>
        <n v="3736" u="1"/>
        <n v="3476" u="1"/>
        <n v="2436" u="1"/>
        <n v="6827" u="1"/>
        <n v="6307" u="1"/>
        <n v="8456" u="1"/>
        <n v="8064" u="1"/>
        <n v="7284" u="1"/>
        <n v="6764" u="1"/>
        <n v="13404" u="1"/>
        <n v="10804" u="1"/>
        <n v="4684" u="1"/>
        <n v="4164" u="1"/>
        <n v="3740" u="1"/>
        <n v="8135" u="1"/>
        <n v="73624" u="1"/>
        <n v="8992" u="1"/>
        <n v="528" u="1"/>
        <n v="8072" u="1"/>
        <n v="5992" u="1"/>
        <n v="5732" u="1"/>
        <n v="5212" u="1"/>
        <n v="9780" u="1"/>
        <n v="9260" u="1"/>
        <n v="984" u="1"/>
        <n v="13688" u="1"/>
        <n v="12128" u="1"/>
        <n v="2444" u="1"/>
        <n v="9528" u="1"/>
        <n v="7820" u="1"/>
        <n v="488" u="1"/>
        <n v="14476" u="1"/>
        <n v="6780" u="1"/>
        <n v="6260" u="1"/>
        <n v="10836" u="1"/>
        <n v="1336" u="1"/>
        <n v="8236" u="1"/>
        <n v="3748" u="1"/>
        <n v="11167" u="1"/>
        <n v="3228" u="1"/>
        <n v="10584" u="1"/>
        <n v="7828" u="1"/>
        <n v="7568" u="1"/>
        <n v="12932" u="1"/>
        <n v="12412" u="1"/>
        <n v="5748" u="1"/>
        <n v="8252" u="1"/>
        <n v="16320" u="1"/>
        <n v="4012" u="1"/>
        <n v="13263" u="1"/>
        <n v="12160" u="1"/>
        <n v="2712" u="1"/>
        <n v="10600" u="1"/>
        <n v="10080" u="1"/>
        <n v="9560" u="1"/>
        <n v="596" u="1"/>
        <n v="16792" u="1"/>
        <n v="7316" u="1"/>
        <n v="6796" u="1"/>
        <n v="11908" u="1"/>
        <n v="1340" u="1"/>
        <n v="10348" u="1"/>
        <n v="4456" u="1"/>
        <n v="8788" u="1"/>
        <n v="4196" u="1"/>
        <n v="15296" u="1"/>
        <n v="3756" u="1"/>
        <n v="13736" u="1"/>
        <n v="9056" u="1"/>
        <n v="532" u="1"/>
        <n v="14524" u="1"/>
        <n v="7064" u="1"/>
        <n v="1732" u="1"/>
        <n v="6804" u="1"/>
        <n v="13484" u="1"/>
        <n v="12964" u="1"/>
        <n v="5764" u="1"/>
        <n v="10364" u="1"/>
        <n v="1212" u="1"/>
        <n v="4464" u="1"/>
        <n v="8804" u="1"/>
        <n v="13232" u="1"/>
        <n v="11672" u="1"/>
        <n v="9592" u="1"/>
        <n v="1864" u="1"/>
        <n v="7072" u="1"/>
        <n v="6552" u="1"/>
        <n v="96" u="1"/>
        <n v="360" u="1"/>
        <n v="1344" u="1"/>
        <n v="5252" u="1"/>
        <n v="8820" u="1"/>
        <n v="8300" u="1"/>
        <n v="3244" u="1"/>
        <n v="2984" u="1"/>
        <n v="7403" u="1"/>
        <n v="6883" u="1"/>
        <n v="7860" u="1"/>
        <n v="1736" u="1"/>
        <n v="5000" u="1"/>
        <n v="9356" u="1"/>
        <n v="4028" u="1"/>
        <n v="11184" u="1"/>
        <n v="10664" u="1"/>
        <n v="2468" u="1"/>
        <n v="9104" u="1"/>
        <n v="7868" u="1"/>
        <n v="7088" u="1"/>
        <n v="6828" u="1"/>
        <n v="1608" u="1"/>
        <n v="6048" u="1"/>
        <n v="11972" u="1"/>
        <n v="10932" u="1"/>
        <n v="9892" u="1"/>
        <n v="9372" u="1"/>
        <n v="8852" u="1"/>
        <n v="4228" u="1"/>
        <n v="14840" u="1"/>
        <n v="796" u="1"/>
        <n v="2472" u="1"/>
        <n v="9120" u="1"/>
        <n v="7876" u="1"/>
        <n v="7616" u="1"/>
        <n v="6316" u="1"/>
        <n v="11988" u="1"/>
        <n v="5796" u="1"/>
        <n v="11468" u="1"/>
        <n v="4756" u="1"/>
        <n v="264" u="1"/>
        <n v="11736" u="1"/>
        <n v="8144" u="1"/>
        <n v="7884" u="1"/>
        <n v="7364" u="1"/>
        <n v="7104" u="1"/>
        <n v="13044" u="1"/>
        <n v="5284" u="1"/>
        <n v="1092" u="1"/>
        <n v="8364" u="1"/>
        <n v="3780" u="1"/>
        <n v="8632" u="1"/>
        <n v="15140" u="1"/>
        <n v="1484" u="1"/>
        <n v="5812" u="1"/>
        <n v="10460" u="1"/>
        <n v="8380" u="1"/>
        <n v="3264" u="1"/>
        <n v="6860" u="1"/>
        <n v="5820" u="1"/>
        <n v="5040" u="1"/>
        <n v="8396" u="1"/>
        <n v="3528" u="1"/>
        <n v="8270" u="1"/>
        <n v="9184" u="1"/>
        <n v="8168" u="1"/>
        <n v="2008" u="1"/>
        <n v="7908" u="1"/>
        <n v="7648" u="1"/>
        <n v="1748" u="1"/>
        <n v="6608" u="1"/>
        <n v="396" u="1"/>
        <n v="11532" u="1"/>
        <n v="5568" u="1"/>
        <n v="4052" u="1"/>
        <n v="12903" u="1"/>
        <n v="12320" u="1"/>
        <n v="7719" u="1"/>
        <n v="9720" u="1"/>
        <n v="7656" u="1"/>
        <n v="12651" u="1"/>
        <n v="14148" u="1"/>
        <n v="12068" u="1"/>
        <n v="10508" u="1"/>
        <n v="3276" u="1"/>
        <n v="9153" u="1"/>
        <n v="6364" u="1"/>
        <n v="5844" u="1"/>
        <n v="10004" u="1"/>
        <n v="4804" u="1"/>
        <n v="9484" u="1"/>
        <n v="8444" u="1"/>
        <n v="3800" u="1"/>
        <n v="7538" u="1"/>
        <n v="3540" u="1"/>
        <n v="10272" u="1"/>
        <n v="6955" u="1"/>
        <n v="9752" u="1"/>
        <n v="9232" u="1"/>
        <n v="6435" u="1"/>
        <n v="6892" u="1"/>
        <n v="13140" u="1"/>
        <n v="1624" u="1"/>
        <n v="6112" u="1"/>
        <n v="10540" u="1"/>
        <n v="4812" u="1"/>
        <n v="4064" u="1"/>
        <n v="16008" u="1"/>
        <n v="13928" u="1"/>
        <n v="12888" u="1"/>
        <n v="9768" u="1"/>
        <n v="9248" u="1"/>
        <n v="544" u="1"/>
        <n v="8208" u="1"/>
        <n v="6640" u="1"/>
        <n v="5340" u="1"/>
        <n v="5080" u="1"/>
        <n v="10036" u="1"/>
        <n v="1236" u="1"/>
        <n v="3288" u="1"/>
        <n v="11864" u="1"/>
        <n v="10304" u="1"/>
        <n v="9784" u="1"/>
        <n v="8744" u="1"/>
        <n v="7688" u="1"/>
        <n v="5411" u="1"/>
        <n v="6648" u="1"/>
        <n v="13172" u="1"/>
        <n v="12652" u="1"/>
        <n v="11612" u="1"/>
        <n v="10572" u="1"/>
        <n v="10052" u="1"/>
        <n v="8492" u="1"/>
        <n v="3812" u="1"/>
        <n v="11880" u="1"/>
        <n v="11360" u="1"/>
        <n v="2772" u="1"/>
        <n v="32" u="1"/>
        <n v="7176" u="1"/>
        <n v="6396" u="1"/>
        <n v="5616" u="1"/>
        <n v="5356" u="1"/>
        <n v="9548" u="1"/>
        <n v="8508" u="1"/>
        <n v="3816" u="1"/>
        <n v="13976" u="1"/>
        <n v="9816" u="1"/>
        <n v="2256" u="1"/>
        <n v="7444" u="1"/>
        <n v="6924" u="1"/>
        <n v="6664" u="1"/>
        <n v="9044" u="1"/>
        <n v="8524" u="1"/>
        <n v="3560" u="1"/>
        <n v="11912" u="1"/>
        <n v="9832" u="1"/>
        <n v="9312" u="1"/>
        <n v="548" u="1"/>
        <n v="15820" u="1"/>
        <n v="10746" u="1"/>
        <n v="7192" u="1"/>
        <n v="6932" u="1"/>
        <n v="6152" u="1"/>
        <n v="5892" u="1"/>
        <n v="11140" u="1"/>
        <n v="5372" u="1"/>
        <n v="10620" u="1"/>
        <n v="9580" u="1"/>
        <n v="8540" u="1"/>
        <n v="61028" u="1"/>
        <n v="11408" u="1"/>
        <n v="2524" u="1"/>
        <n v="9848" u="1"/>
        <n v="7980" u="1"/>
        <n v="7460" u="1"/>
        <n v="8556" u="1"/>
        <n v="47036" u="1"/>
        <n v="16612" u="1"/>
        <n v="680" u="1"/>
        <n v="2528" u="1"/>
        <n v="9344" u="1"/>
        <n v="8304" u="1"/>
        <n v="6168" u="1"/>
        <n v="5648" u="1"/>
        <n v="8572" u="1"/>
        <n v="3832" u="1"/>
        <n v="14040" u="1"/>
        <n v="876" u="1"/>
        <n v="7476" u="1"/>
        <n v="14308" u="1"/>
        <n v="6956" u="1"/>
        <n v="6176" u="1"/>
        <n v="5656" u="1"/>
        <n v="5396" u="1"/>
        <n v="9628" u="1"/>
        <n v="4616" u="1"/>
        <n v="15096" u="1"/>
        <n v="3576" u="1"/>
        <n v="10479" u="1"/>
        <n v="3056" u="1"/>
        <n v="10936" u="1"/>
        <n v="9896" u="1"/>
        <n v="8856" u="1"/>
        <n v="7484" u="1"/>
        <n v="1772" u="1"/>
        <n v="6704" u="1"/>
        <n v="1252" u="1"/>
        <n v="9644" u="1"/>
        <n v="9124" u="1"/>
        <n v="12575" u="1"/>
        <n v="10952" u="1"/>
        <n v="9912" u="1"/>
        <n v="2280" u="1"/>
        <n v="8352" u="1"/>
        <n v="8012" u="1"/>
        <n v="3907" u="1"/>
        <n v="7232" u="1"/>
        <n v="6712" u="1"/>
        <n v="12780" u="1"/>
        <n v="5932" u="1"/>
        <n v="11740" u="1"/>
        <n v="9140" u="1"/>
        <n v="4112" u="1"/>
        <n v="944" u="1"/>
        <n v="13568" u="1"/>
        <n v="10968" u="1"/>
        <n v="8888" u="1"/>
        <n v="7760" u="1"/>
        <n v="6460" u="1"/>
        <n v="1516" u="1"/>
        <n v="5940" u="1"/>
        <n v="11756" u="1"/>
        <n v="10196" u="1"/>
        <n v="8636" u="1"/>
        <n v="232" u="1"/>
        <n v="14104" u="1"/>
        <n v="880" u="1"/>
        <n v="3068" u="1"/>
        <n v="15412" u="1"/>
        <n v="1908" u="1"/>
        <n v="3395" u="1"/>
        <n v="6208" u="1"/>
        <n v="12292" u="1"/>
        <n v="5688" u="1"/>
        <n v="1388" u="1"/>
        <n v="8195" u="1"/>
        <n v="9172" u="1"/>
        <n v="13868" u="1"/>
        <n v="11268" u="1"/>
        <n v="5176" u="1"/>
        <n v="10228" u="1"/>
        <n v="8668" u="1"/>
        <n v="17088" u="1"/>
        <n v="13096" u="1"/>
        <n v="3076" u="1"/>
        <n v="9976" u="1"/>
        <n v="12450" u="1"/>
        <n v="11410" u="1"/>
        <n v="7524" u="1"/>
        <n v="7264" u="1"/>
        <n v="7004" u="1"/>
        <n v="5704" u="1"/>
        <n v="1132" u="1"/>
        <n v="3860" u="1"/>
        <n v="3340" u="1"/>
        <n v="8952" u="1"/>
        <n v="8432" u="1"/>
        <n v="2044" u="1"/>
        <n v="8052" u="1"/>
        <n v="7532" u="1"/>
        <n v="7272" u="1"/>
        <n v="10780" u="1"/>
        <n v="10260" u="1"/>
        <n v="1264" u="1"/>
        <n v="4152" u="1"/>
        <n v="3084" u="1"/>
        <n v="2564" u="1"/>
        <n v="10008" u="1"/>
        <n v="624" u="1"/>
        <n v="9488" u="1"/>
        <n v="8448" u="1"/>
        <n v="7020" u="1"/>
        <n v="13916" u="1"/>
        <n v="11836" u="1"/>
        <n v="10796" u="1"/>
        <n v="9236" u="1"/>
        <n v="4160" u="1"/>
        <n v="3088" u="1"/>
        <n v="10544" u="1"/>
        <n v="8984" u="1"/>
        <n v="560" u="1"/>
        <n v="7808" u="1"/>
        <n v="6508" u="1"/>
        <n v="10355" u="1"/>
        <n v="3352" u="1"/>
        <n v="12640" u="1"/>
        <n v="12120" u="1"/>
        <n v="89824" u="1"/>
        <n v="9063" u="1"/>
        <n v="10560" u="1"/>
        <n v="8480" u="1"/>
        <n v="7816" u="1"/>
        <n v="7296" u="1"/>
        <n v="11348" u="1"/>
        <n v="5216" u="1"/>
        <n v="10308" u="1"/>
        <n v="9788" u="1"/>
        <n v="4696" u="1"/>
        <n v="8748" u="1"/>
        <n v="3616" u="1"/>
        <n v="14216" u="1"/>
        <n v="6587" u="1"/>
        <n v="1792" u="1"/>
        <n v="6784" u="1"/>
        <n v="6264" u="1"/>
        <n v="11884" u="1"/>
        <n v="8244" u="1"/>
        <n v="13192" u="1"/>
        <n v="3100" u="1"/>
        <n v="11632" u="1"/>
        <n v="10592" u="1"/>
        <n v="2580" u="1"/>
        <n v="1924" u="1"/>
        <n v="6792" u="1"/>
        <n v="4515" u="1"/>
        <n v="11900" u="1"/>
        <n v="5752" u="1"/>
        <n v="11191" u="1"/>
        <n v="2844" u="1"/>
        <n v="9568" u="1"/>
        <n v="2324" u="1"/>
        <n v="9048" u="1"/>
        <n v="2064" u="1"/>
        <n v="7580" u="1"/>
        <n v="12956" u="1"/>
        <n v="4980" u="1"/>
        <n v="9836" u="1"/>
        <n v="12184" u="1"/>
        <n v="2848" u="1"/>
        <n v="10104" u="1"/>
        <n v="2068" u="1"/>
        <n v="6548" u="1"/>
        <n v="5768" u="1"/>
        <n v="1408" u="1"/>
        <n v="3892" u="1"/>
        <n v="956" u="1"/>
        <n v="14800" u="1"/>
        <n v="14280" u="1"/>
        <n v="10120" u="1"/>
        <n v="6556" u="1"/>
        <n v="6296" u="1"/>
        <n v="5776" u="1"/>
        <n v="8308" u="1"/>
        <n v="14296" u="1"/>
        <n v="11696" u="1"/>
        <n v="10136" u="1"/>
        <n v="8576" u="1"/>
        <n v="6564" u="1"/>
        <n v="5004" u="1"/>
        <n v="9884" u="1"/>
        <n v="8324" u="1"/>
        <n v="3120" u="1"/>
        <n v="7415" u="1"/>
        <n v="10152" u="1"/>
        <n v="9632" u="1"/>
        <n v="8592" u="1"/>
        <n v="8132" u="1"/>
        <n v="7612" u="1"/>
        <n v="12500" u="1"/>
        <n v="11460" u="1"/>
        <n v="5532" u="1"/>
        <n v="10420" u="1"/>
        <n v="1284" u="1"/>
        <n v="9900" u="1"/>
        <n v="9380" u="1"/>
        <n v="12831" u="1"/>
        <n v="12768" u="1"/>
        <n v="17220" u="1"/>
        <n v="2864" u="1"/>
        <n v="2344" u="1"/>
        <n v="8140" u="1"/>
        <n v="1936" u="1"/>
        <n v="7620" u="1"/>
        <n v="7360" u="1"/>
        <n v="6320" u="1"/>
        <n v="1416" u="1"/>
        <n v="8356" u="1"/>
        <n v="11744" u="1"/>
        <n v="6651" u="1"/>
        <n v="8624" u="1"/>
        <n v="8148" u="1"/>
        <n v="7888" u="1"/>
        <n v="7628" u="1"/>
        <n v="476" u="1"/>
        <n v="1548" u="1"/>
        <n v="12012" u="1"/>
        <n v="10972" u="1"/>
        <n v="8892" u="1"/>
        <n v="8372" u="1"/>
        <n v="14360" u="1"/>
        <n v="2872" u="1"/>
        <n v="7636" u="1"/>
        <n v="7376" u="1"/>
        <n v="14108" u="1"/>
        <n v="444" u="1"/>
        <n v="6856" u="1"/>
        <n v="9948" u="1"/>
        <n v="9176" u="1"/>
        <n v="8164" u="1"/>
        <n v="11004" u="1"/>
        <n v="5304" u="1"/>
        <n v="4264" u="1"/>
        <n v="3400" u="1"/>
        <n v="3140" u="1"/>
        <n v="2620" u="1"/>
        <n v="10232" u="1"/>
        <n v="2100" u="1"/>
        <n v="7912" u="1"/>
        <n v="6092" u="1"/>
        <n v="10500" u="1"/>
        <n v="1164" u="1"/>
        <n v="8420" u="1"/>
        <n v="3144" u="1"/>
        <n v="11808" u="1"/>
        <n v="9728" u="1"/>
        <n v="6880" u="1"/>
        <n v="1556" u="1"/>
        <n v="12076" u="1"/>
        <n v="9996" u="1"/>
        <n v="14944" u="1"/>
        <n v="10784" u="1"/>
        <n v="13652" u="1"/>
        <n v="6628" u="1"/>
        <n v="13132" u="1"/>
        <n v="5848" u="1"/>
        <n v="10012" u="1"/>
        <n v="8972" u="1"/>
        <n v="10280" u="1"/>
        <n v="8200" u="1"/>
        <n v="7936" u="1"/>
        <n v="7156" u="1"/>
        <n v="6116" u="1"/>
        <n v="5856" u="1"/>
        <n v="11588" u="1"/>
        <n v="11068" u="1"/>
        <n v="8531" u="1"/>
        <n v="5076" u="1"/>
        <n v="9508" u="1"/>
        <n v="8988" u="1"/>
        <n v="8216" u="1"/>
        <n v="7944" u="1"/>
        <n v="6644" u="1"/>
        <n v="6384" u="1"/>
        <n v="5084" u="1"/>
        <n v="10044" u="1"/>
        <n v="9004" u="1"/>
        <n v="42336" u="1"/>
        <n v="10312" u="1"/>
        <n v="13306" u="1"/>
        <n v="6912" u="1"/>
        <n v="11683" u="1"/>
        <n v="6132" u="1"/>
        <n v="2707" u="1"/>
        <n v="10580" u="1"/>
        <n v="8500" u="1"/>
        <n v="3424" u="1"/>
        <n v="10328" u="1"/>
        <n v="9288" u="1"/>
        <n v="7440" u="1"/>
        <n v="6920" u="1"/>
        <n v="6400" u="1"/>
        <n v="17036" u="1"/>
        <n v="11116" u="1"/>
        <n v="3948" u="1"/>
        <n v="3688" u="1"/>
        <n v="12424" u="1"/>
        <n v="11904" u="1"/>
        <n v="1828" u="1"/>
        <n v="7188" u="1"/>
        <n v="13212" u="1"/>
        <n v="416" u="1"/>
        <n v="5368" u="1"/>
        <n v="4848" u="1"/>
        <n v="9572" u="1"/>
        <n v="4328" u="1"/>
        <n v="8532" u="1"/>
        <n v="15040" u="1"/>
        <n v="8863" u="1"/>
        <n v="10880" u="1"/>
        <n v="10360" u="1"/>
        <n v="2132" u="1"/>
        <n v="7716" u="1"/>
        <n v="12708" u="1"/>
        <n v="5116" u="1"/>
        <n v="4856" u="1"/>
        <n v="9588" u="1"/>
        <n v="3696" u="1"/>
      </sharedItems>
    </cacheField>
    <cacheField name="THREADID" numFmtId="0" sqlType="6">
      <sharedItems containsSemiMixedTypes="0" containsString="0" containsNumber="1" containsInteger="1" minValue="5760" maxValue="7268" count="2">
        <n v="5760"/>
        <n v="7268"/>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82" u="1"/>
        <n v="2266" u="1"/>
        <n v="4470" u="1"/>
        <n v="2136" u="1"/>
        <n v="4210" u="1"/>
        <n v="517" u="1"/>
        <n v="2027" u="1"/>
        <n v="4023" u="1"/>
        <n v="1962" u="1"/>
        <n v="3893" u="1"/>
        <n v="482" u="1"/>
        <n v="1897" u="1"/>
        <n v="3763" u="1"/>
        <n v="1832" u="1"/>
        <n v="3633" u="1"/>
        <n v="1767" u="1"/>
        <n v="3503" u="1"/>
        <n v="4927" u="1"/>
        <n v="1702" u="1"/>
        <n v="3373" u="1"/>
        <n v="4667" u="1"/>
        <n v="417" u="1"/>
        <n v="1637" u="1"/>
        <n v="3243" u="1"/>
        <n v="4407" u="1"/>
        <n v="1572" u="1"/>
        <n v="3113" u="1"/>
        <n v="4147" u="1"/>
        <n v="1507" u="1"/>
        <n v="2983" u="1"/>
        <n v="94" u="1"/>
        <n v="1442" u="1"/>
        <n v="2853" u="1"/>
        <n v="352" u="1"/>
        <n v="1377" u="1"/>
        <n v="2723" u="1"/>
        <n v="1312" u="1"/>
        <n v="2593" u="1"/>
        <n v="1247" u="1"/>
        <n v="2463" u="1"/>
        <n v="4864" u="1"/>
        <n v="1182" u="1"/>
        <n v="2333" u="1"/>
        <n v="4604" u="1"/>
        <n v="287" u="1"/>
        <n v="1117" u="1"/>
        <n v="2203" u="1"/>
        <n v="4344" u="1"/>
        <n v="1052" u="1"/>
        <n v="2073" u="1"/>
        <n v="4090" u="1"/>
        <n v="3960" u="1"/>
        <n v="973" u="1"/>
        <n v="3830" u="1"/>
        <n v="239" u="1"/>
        <n v="3700" u="1"/>
        <n v="908" u="1"/>
        <n v="3570" u="1"/>
        <n v="3440" u="1"/>
        <n v="4801" u="1"/>
        <n v="843" u="1"/>
        <n v="3310" u="1"/>
        <n v="4541" u="1"/>
        <n v="3180" u="1"/>
        <n v="4281" u="1"/>
        <n v="778" u="1"/>
        <n v="3050" u="1"/>
        <n v="2920" u="1"/>
        <n v="713" u="1"/>
        <n v="2790" u="1"/>
        <n v="174" u="1"/>
        <n v="2660" u="1"/>
        <n v="648" u="1"/>
        <n v="2530" u="1"/>
        <n v="4998" u="1"/>
        <n v="2400" u="1"/>
        <n v="4738" u="1"/>
        <n v="583" u="1"/>
        <n v="2270" u="1"/>
        <n v="4478" u="1"/>
        <n v="2140" u="1"/>
        <n v="4218" u="1"/>
        <n v="518" u="1"/>
        <n v="2029" u="1"/>
        <n v="4027" u="1"/>
        <n v="1964" u="1"/>
        <n v="3897" u="1"/>
        <n v="1899" u="1"/>
        <n v="3767" u="1"/>
        <n v="1834" u="1"/>
        <n v="3637" u="1"/>
        <n v="450" u="1"/>
        <n v="1769" u="1"/>
        <n v="3507" u="1"/>
        <n v="4935" u="1"/>
        <n v="1704" u="1"/>
        <n v="3377" u="1"/>
        <n v="4675" u="1"/>
        <n v="1639" u="1"/>
        <n v="3247" u="1"/>
        <n v="4415" u="1"/>
        <n v="1574" u="1"/>
        <n v="3117" u="1"/>
        <n v="4155" u="1"/>
        <n v="385" u="1"/>
        <n v="1509" u="1"/>
        <n v="2987" u="1"/>
        <n v="1444" u="1"/>
        <n v="2857" u="1"/>
        <n v="1379" u="1"/>
        <n v="2727" u="1"/>
        <n v="86" u="1"/>
        <n v="1314" u="1"/>
        <n v="2597" u="1"/>
        <n v="320" u="1"/>
        <n v="1249" u="1"/>
        <n v="2467" u="1"/>
        <n v="4872" u="1"/>
        <n v="1184" u="1"/>
        <n v="2337" u="1"/>
        <n v="4612" u="1"/>
        <n v="1119" u="1"/>
        <n v="2207" u="1"/>
        <n v="4352" u="1"/>
        <n v="1054" u="1"/>
        <n v="2077" u="1"/>
        <n v="4094" u="1"/>
        <n v="3964" u="1"/>
        <n v="974" u="1"/>
        <n v="3834" u="1"/>
        <n v="3704" u="1"/>
        <n v="909" u="1"/>
        <n v="3574" u="1"/>
        <n v="223" u="1"/>
        <n v="3444" u="1"/>
        <n v="4809" u="1"/>
        <n v="844" u="1"/>
        <n v="3314" u="1"/>
        <n v="4549" u="1"/>
        <n v="3184" u="1"/>
        <n v="4289" u="1"/>
        <n v="779" u="1"/>
        <n v="3054" u="1"/>
        <n v="2924" u="1"/>
        <n v="714" u="1"/>
        <n v="2794" u="1"/>
        <n v="2664" u="1"/>
        <n v="649" u="1"/>
        <n v="2534" u="1"/>
        <n v="158" u="1"/>
        <n v="2404" u="1"/>
        <n v="4746" u="1"/>
        <n v="584" u="1"/>
        <n v="2274" u="1"/>
        <n v="4486" u="1"/>
        <n v="2144" u="1"/>
        <n v="4226" u="1"/>
        <n v="519" u="1"/>
        <n v="2031" u="1"/>
        <n v="4031" u="1"/>
        <n v="1966" u="1"/>
        <n v="3901" u="1"/>
        <n v="483" u="1"/>
        <n v="1901" u="1"/>
        <n v="3771" u="1"/>
        <n v="1836" u="1"/>
        <n v="3641" u="1"/>
        <n v="1771" u="1"/>
        <n v="3511" u="1"/>
        <n v="4943" u="1"/>
        <n v="1706" u="1"/>
        <n v="3381" u="1"/>
        <n v="4683" u="1"/>
        <n v="418" u="1"/>
        <n v="1641" u="1"/>
        <n v="3251" u="1"/>
        <n v="4423" u="1"/>
        <n v="1576" u="1"/>
        <n v="3121" u="1"/>
        <n v="4163" u="1"/>
        <n v="1511" u="1"/>
        <n v="2991" u="1"/>
        <n v="1446" u="1"/>
        <n v="2861" u="1"/>
        <n v="353" u="1"/>
        <n v="1381" u="1"/>
        <n v="2731" u="1"/>
        <n v="1316" u="1"/>
        <n v="2601" u="1"/>
        <n v="1251" u="1"/>
        <n v="2471" u="1"/>
        <n v="4880" u="1"/>
        <n v="78" u="1"/>
        <n v="1186" u="1"/>
        <n v="2341" u="1"/>
        <n v="4620" u="1"/>
        <n v="288" u="1"/>
        <n v="1121" u="1"/>
        <n v="2211" u="1"/>
        <n v="4360" u="1"/>
        <n v="1056" u="1"/>
        <n v="2081" u="1"/>
        <n v="4100" u="1"/>
        <n v="3968" u="1"/>
        <n v="975" u="1"/>
        <n v="3838" u="1"/>
        <n v="3708" u="1"/>
        <n v="910" u="1"/>
        <n v="3578" u="1"/>
        <n v="3448" u="1"/>
        <n v="4817" u="1"/>
        <n v="845" u="1"/>
        <n v="3318" u="1"/>
        <n v="4557" u="1"/>
        <n v="207" u="1"/>
        <n v="3188" u="1"/>
        <n v="4297" u="1"/>
        <n v="780" u="1"/>
        <n v="3058" u="1"/>
        <n v="2928" u="1"/>
        <n v="715" u="1"/>
        <n v="2798" u="1"/>
        <n v="2668" u="1"/>
        <n v="650" u="1"/>
        <n v="2538" u="1"/>
        <n v="2408" u="1"/>
        <n v="4754" u="1"/>
        <n v="585" u="1"/>
        <n v="2278" u="1"/>
        <n v="4494" u="1"/>
        <n v="142" u="1"/>
        <n v="2148" u="1"/>
        <n v="4234" u="1"/>
        <n v="520" u="1"/>
        <n v="2033" u="1"/>
        <n v="4035" u="1"/>
        <n v="1968" u="1"/>
        <n v="3905" u="1"/>
        <n v="1903" u="1"/>
        <n v="3775" u="1"/>
        <n v="1838" u="1"/>
        <n v="3645" u="1"/>
        <n v="451" u="1"/>
        <n v="1773" u="1"/>
        <n v="3515" u="1"/>
        <n v="4951" u="1"/>
        <n v="1708" u="1"/>
        <n v="3385" u="1"/>
        <n v="4691" u="1"/>
        <n v="1643" u="1"/>
        <n v="3255" u="1"/>
        <n v="4431" u="1"/>
        <n v="1578" u="1"/>
        <n v="3125" u="1"/>
        <n v="4171" u="1"/>
        <n v="386" u="1"/>
        <n v="1513" u="1"/>
        <n v="2995" u="1"/>
        <n v="1448" u="1"/>
        <n v="2865" u="1"/>
        <n v="1383" u="1"/>
        <n v="2735" u="1"/>
        <n v="1318" u="1"/>
        <n v="2605" u="1"/>
        <n v="321" u="1"/>
        <n v="1253" u="1"/>
        <n v="2475" u="1"/>
        <n v="4888" u="1"/>
        <n v="1188" u="1"/>
        <n v="2345" u="1"/>
        <n v="4628" u="1"/>
        <n v="1123" u="1"/>
        <n v="2215" u="1"/>
        <n v="4368" u="1"/>
        <n v="70" u="1"/>
        <n v="1058" u="1"/>
        <n v="2085" u="1"/>
        <n v="4108" u="1"/>
        <n v="256" u="1"/>
        <n v="3972" u="1"/>
        <n v="976" u="1"/>
        <n v="3842" u="1"/>
        <n v="3712" u="1"/>
        <n v="911" u="1"/>
        <n v="3582" u="1"/>
        <n v="3452" u="1"/>
        <n v="4825" u="1"/>
        <n v="846" u="1"/>
        <n v="3322" u="1"/>
        <n v="4565" u="1"/>
        <n v="3192" u="1"/>
        <n v="4305" u="1"/>
        <n v="781" u="1"/>
        <n v="3062" u="1"/>
        <n v="191" u="1"/>
        <n v="2932" u="1"/>
        <n v="716" u="1"/>
        <n v="2802" u="1"/>
        <n v="2672" u="1"/>
        <n v="651" u="1"/>
        <n v="2542" u="1"/>
        <n v="2412" u="1"/>
        <n v="4762" u="1"/>
        <n v="586" u="1"/>
        <n v="2282" u="1"/>
        <n v="4502" u="1"/>
        <n v="2152" u="1"/>
        <n v="4242" u="1"/>
        <n v="521" u="1"/>
        <n v="2035" u="1"/>
        <n v="4039" u="1"/>
        <n v="127" u="1"/>
        <n v="1970" u="1"/>
        <n v="3909" u="1"/>
        <n v="484" u="1"/>
        <n v="1905" u="1"/>
        <n v="3779" u="1"/>
        <n v="1840" u="1"/>
        <n v="3649" u="1"/>
        <n v="1775" u="1"/>
        <n v="3519" u="1"/>
        <n v="4959" u="1"/>
        <n v="1710" u="1"/>
        <n v="3389" u="1"/>
        <n v="4699" u="1"/>
        <n v="419" u="1"/>
        <n v="1645" u="1"/>
        <n v="3259" u="1"/>
        <n v="4439" u="1"/>
        <n v="1580" u="1"/>
        <n v="3129" u="1"/>
        <n v="4179" u="1"/>
        <n v="1515" u="1"/>
        <n v="2999" u="1"/>
        <n v="1450" u="1"/>
        <n v="2869" u="1"/>
        <n v="354" u="1"/>
        <n v="1385" u="1"/>
        <n v="2739" u="1"/>
        <n v="1320" u="1"/>
        <n v="2609" u="1"/>
        <n v="1255" u="1"/>
        <n v="2479" u="1"/>
        <n v="4896" u="1"/>
        <n v="1190" u="1"/>
        <n v="2349" u="1"/>
        <n v="4636" u="1"/>
        <n v="289" u="1"/>
        <n v="1125" u="1"/>
        <n v="2219" u="1"/>
        <n v="4376" u="1"/>
        <n v="1060" u="1"/>
        <n v="2089" u="1"/>
        <n v="4116" u="1"/>
        <n v="3976" u="1"/>
        <n v="63" u="1"/>
        <n v="977" u="1"/>
        <n v="3846" u="1"/>
        <n v="240" u="1"/>
        <n v="3716" u="1"/>
        <n v="912" u="1"/>
        <n v="3586" u="1"/>
        <n v="3456" u="1"/>
        <n v="4833" u="1"/>
        <n v="847" u="1"/>
        <n v="3326" u="1"/>
        <n v="4573" u="1"/>
        <n v="3196" u="1"/>
        <n v="4313" u="1"/>
        <n v="782" u="1"/>
        <n v="3066" u="1"/>
        <n v="2936" u="1"/>
        <n v="717" u="1"/>
        <n v="2806" u="1"/>
        <n v="175" u="1"/>
        <n v="2676" u="1"/>
        <n v="652" u="1"/>
        <n v="2546" u="1"/>
        <n v="2416" u="1"/>
        <n v="4770" u="1"/>
        <n v="587" u="1"/>
        <n v="2286" u="1"/>
        <n v="4510" u="1"/>
        <n v="2156" u="1"/>
        <n v="4250" u="1"/>
        <n v="522" u="1"/>
        <n v="2037" u="1"/>
        <n v="4043" u="1"/>
        <n v="1972" u="1"/>
        <n v="3913" u="1"/>
        <n v="1907" u="1"/>
        <n v="3783" u="1"/>
        <n v="119" u="1"/>
        <n v="1842" u="1"/>
        <n v="3653" u="1"/>
        <n v="452" u="1"/>
        <n v="1777" u="1"/>
        <n v="3523" u="1"/>
        <n v="4967" u="1"/>
        <n v="1712" u="1"/>
        <n v="3393" u="1"/>
        <n v="4707" u="1"/>
        <n v="1647" u="1"/>
        <n v="3263" u="1"/>
        <n v="4447" u="1"/>
        <n v="1582" u="1"/>
        <n v="3133" u="1"/>
        <n v="4187" u="1"/>
        <n v="387" u="1"/>
        <n v="1517" u="1"/>
        <n v="3003" u="1"/>
        <n v="1452" u="1"/>
        <n v="2873" u="1"/>
        <n v="1387" u="1"/>
        <n v="2743" u="1"/>
        <n v="1322" u="1"/>
        <n v="2613" u="1"/>
        <n v="322" u="1"/>
        <n v="1257" u="1"/>
        <n v="2483" u="1"/>
        <n v="4904" u="1"/>
        <n v="1192" u="1"/>
        <n v="2353" u="1"/>
        <n v="4644" u="1"/>
        <n v="1127" u="1"/>
        <n v="2223" u="1"/>
        <n v="4384" u="1"/>
        <n v="1062" u="1"/>
        <n v="2093" u="1"/>
        <n v="4124" u="1"/>
        <n v="257" u="1"/>
        <n v="3980" u="1"/>
        <n v="978" u="1"/>
        <n v="3850" u="1"/>
        <n v="3720" u="1"/>
        <n v="59" u="1"/>
        <n v="913" u="1"/>
        <n v="3590" u="1"/>
        <n v="224" u="1"/>
        <n v="3460" u="1"/>
        <n v="4841" u="1"/>
        <n v="848" u="1"/>
        <n v="3330" u="1"/>
        <n v="4581" u="1"/>
        <n v="3200" u="1"/>
        <n v="4321" u="1"/>
        <n v="783" u="1"/>
        <n v="3070" u="1"/>
        <n v="2940" u="1"/>
        <n v="718" u="1"/>
        <n v="2810" u="1"/>
        <n v="2680" u="1"/>
        <n v="653" u="1"/>
        <n v="2550" u="1"/>
        <n v="159" u="1"/>
        <n v="2420" u="1"/>
        <n v="4778" u="1"/>
        <n v="588" u="1"/>
        <n v="2290" u="1"/>
        <n v="4518" u="1"/>
        <n v="2160" u="1"/>
        <n v="4258" u="1"/>
        <n v="523" u="1"/>
        <n v="2039" u="1"/>
        <n v="4047" u="1"/>
        <n v="1974" u="1"/>
        <n v="3917" u="1"/>
        <n v="485" u="1"/>
        <n v="1909" u="1"/>
        <n v="3787" u="1"/>
        <n v="1844" u="1"/>
        <n v="3657" u="1"/>
        <n v="1779" u="1"/>
        <n v="3527" u="1"/>
        <n v="4975" u="1"/>
        <n v="111" u="1"/>
        <n v="1714" u="1"/>
        <n v="3397" u="1"/>
        <n v="4715" u="1"/>
        <n v="420" u="1"/>
        <n v="1649" u="1"/>
        <n v="3267" u="1"/>
        <n v="4455" u="1"/>
        <n v="1584" u="1"/>
        <n v="3137" u="1"/>
        <n v="4195" u="1"/>
        <n v="1519" u="1"/>
        <n v="3007" u="1"/>
        <n v="1454" u="1"/>
        <n v="2877" u="1"/>
        <n v="355" u="1"/>
        <n v="1389" u="1"/>
        <n v="2747" u="1"/>
        <n v="1324" u="1"/>
        <n v="2617" u="1"/>
        <n v="1259" u="1"/>
        <n v="2487" u="1"/>
        <n v="4912" u="1"/>
        <n v="1194" u="1"/>
        <n v="2357" u="1"/>
        <n v="4652" u="1"/>
        <n v="290" u="1"/>
        <n v="1129" u="1"/>
        <n v="2227" u="1"/>
        <n v="4392" u="1"/>
        <n v="1064" u="1"/>
        <n v="2097" u="1"/>
        <n v="4132" u="1"/>
        <n v="3984" u="1"/>
        <n v="979" u="1"/>
        <n v="3854" u="1"/>
        <n v="3724" u="1"/>
        <n v="914" u="1"/>
        <n v="3594" u="1"/>
        <n v="3464" u="1"/>
        <n v="4849" u="1"/>
        <n v="55" u="1"/>
        <n v="849" u="1"/>
        <n v="3334" u="1"/>
        <n v="4589" u="1"/>
        <n v="208" u="1"/>
        <n v="3204" u="1"/>
        <n v="4329" u="1"/>
        <n v="784" u="1"/>
        <n v="3074" u="1"/>
        <n v="2944" u="1"/>
        <n v="719" u="1"/>
        <n v="2814" u="1"/>
        <n v="2684" u="1"/>
        <n v="654" u="1"/>
        <n v="2554" u="1"/>
        <n v="2424" u="1"/>
        <n v="4786" u="1"/>
        <n v="589" u="1"/>
        <n v="2294" u="1"/>
        <n v="4526" u="1"/>
        <n v="143" u="1"/>
        <n v="2164" u="1"/>
        <n v="4266" u="1"/>
        <n v="524" u="1"/>
        <n v="2041" u="1"/>
        <n v="4051" u="1"/>
        <n v="1976" u="1"/>
        <n v="3921" u="1"/>
        <n v="1911" u="1"/>
        <n v="3791" u="1"/>
        <n v="1846" u="1"/>
        <n v="3661" u="1"/>
        <n v="453" u="1"/>
        <n v="1781" u="1"/>
        <n v="3531" u="1"/>
        <n v="4983" u="1"/>
        <n v="1716" u="1"/>
        <n v="3401" u="1"/>
        <n v="4723" u="1"/>
        <n v="1651" u="1"/>
        <n v="3271" u="1"/>
        <n v="4463" u="1"/>
        <n v="103" u="1"/>
        <n v="1586" u="1"/>
        <n v="3141" u="1"/>
        <n v="4203" u="1"/>
        <n v="388" u="1"/>
        <n v="1521" u="1"/>
        <n v="3011" u="1"/>
        <n v="1456" u="1"/>
        <n v="2881" u="1"/>
        <n v="1391" u="1"/>
        <n v="2751" u="1"/>
        <n v="1326" u="1"/>
        <n v="2621" u="1"/>
        <n v="323" u="1"/>
        <n v="1261" u="1"/>
        <n v="2491" u="1"/>
        <n v="4920" u="1"/>
        <n v="1196" u="1"/>
        <n v="2361" u="1"/>
        <n v="4660" u="1"/>
        <n v="1131" u="1"/>
        <n v="2231" u="1"/>
        <n v="4400" u="1"/>
        <n v="1066" u="1"/>
        <n v="2101" u="1"/>
        <n v="4140" u="1"/>
        <n v="258" u="1"/>
        <n v="3988" u="1"/>
        <n v="980" u="1"/>
        <n v="3858" u="1"/>
        <n v="3728" u="1"/>
        <n v="915" u="1"/>
        <n v="3598" u="1"/>
        <n v="3468" u="1"/>
        <n v="4857" u="1"/>
        <n v="850" u="1"/>
        <n v="3338" u="1"/>
        <n v="4597" u="1"/>
        <n v="3208" u="1"/>
        <n v="4337" u="1"/>
        <n v="51" u="1"/>
        <n v="785" u="1"/>
        <n v="3078" u="1"/>
        <n v="192" u="1"/>
        <n v="2948" u="1"/>
        <n v="720" u="1"/>
        <n v="2818" u="1"/>
        <n v="2688" u="1"/>
        <n v="655" u="1"/>
        <n v="2558" u="1"/>
        <n v="2428" u="1"/>
        <n v="4794" u="1"/>
        <n v="590" u="1"/>
        <n v="2298" u="1"/>
        <n v="4534" u="1"/>
        <n v="2168" u="1"/>
        <n v="4274" u="1"/>
        <n v="525" u="1"/>
        <n v="2043" u="1"/>
        <n v="4055" u="1"/>
        <n v="1978" u="1"/>
        <n v="3925" u="1"/>
        <n v="486" u="1"/>
        <n v="1913" u="1"/>
        <n v="3795" u="1"/>
        <n v="1848" u="1"/>
        <n v="3665" u="1"/>
        <n v="1783" u="1"/>
        <n v="3535" u="1"/>
        <n v="4991" u="1"/>
        <n v="1718" u="1"/>
        <n v="3405" u="1"/>
        <n v="4731" u="1"/>
        <n v="421" u="1"/>
        <n v="1653" u="1"/>
        <n v="3275" u="1"/>
        <n v="4471" u="1"/>
        <n v="1588" u="1"/>
        <n v="3145" u="1"/>
        <n v="4211" u="1"/>
        <n v="1523" u="1"/>
        <n v="3015" u="1"/>
        <n v="95" u="1"/>
        <n v="1458" u="1"/>
        <n v="2885" u="1"/>
        <n v="356" u="1"/>
        <n v="1393" u="1"/>
        <n v="2755" u="1"/>
        <n v="1328" u="1"/>
        <n v="2625" u="1"/>
        <n v="1263" u="1"/>
        <n v="2495" u="1"/>
        <n v="4928" u="1"/>
        <n v="1198" u="1"/>
        <n v="2365" u="1"/>
        <n v="4668" u="1"/>
        <n v="291" u="1"/>
        <n v="1133" u="1"/>
        <n v="2235" u="1"/>
        <n v="4408" u="1"/>
        <n v="1068" u="1"/>
        <n v="2105" u="1"/>
        <n v="4148" u="1"/>
        <n v="3992" u="1"/>
        <n v="981" u="1"/>
        <n v="3862" u="1"/>
        <n v="241" u="1"/>
        <n v="3732" u="1"/>
        <n v="916" u="1"/>
        <n v="3602" u="1"/>
        <n v="3472" u="1"/>
        <n v="4865" u="1"/>
        <n v="851" u="1"/>
        <n v="3342" u="1"/>
        <n v="4605" u="1"/>
        <n v="3212" u="1"/>
        <n v="4345" u="1"/>
        <n v="786" u="1"/>
        <n v="3082" u="1"/>
        <n v="2952" u="1"/>
        <n v="721" u="1"/>
        <n v="2822" u="1"/>
        <n v="176" u="1"/>
        <n v="2692" u="1"/>
        <n v="656" u="1"/>
        <n v="2562" u="1"/>
        <n v="2432" u="1"/>
        <n v="4802" u="1"/>
        <n v="591" u="1"/>
        <n v="2302" u="1"/>
        <n v="4542" u="1"/>
        <n v="2172" u="1"/>
        <n v="4282" u="1"/>
        <n v="526" u="1"/>
        <n v="2045" u="1"/>
        <n v="4059" u="1"/>
        <n v="1980" u="1"/>
        <n v="3929" u="1"/>
        <n v="1915" u="1"/>
        <n v="3799" u="1"/>
        <n v="1850" u="1"/>
        <n v="3669" u="1"/>
        <n v="454" u="1"/>
        <n v="1785" u="1"/>
        <n v="3539" u="1"/>
        <n v="4999" u="1"/>
        <n v="1720" u="1"/>
        <n v="3409" u="1"/>
        <n v="4739" u="1"/>
        <n v="1655" u="1"/>
        <n v="3279" u="1"/>
        <n v="4479" u="1"/>
        <n v="1590" u="1"/>
        <n v="3149" u="1"/>
        <n v="4219" u="1"/>
        <n v="389" u="1"/>
        <n v="1525" u="1"/>
        <n v="3019" u="1"/>
        <n v="1460" u="1"/>
        <n v="2889" u="1"/>
        <n v="1395" u="1"/>
        <n v="2759" u="1"/>
        <n v="87" u="1"/>
        <n v="1330" u="1"/>
        <n v="2629" u="1"/>
        <n v="324" u="1"/>
        <n v="1265" u="1"/>
        <n v="2499" u="1"/>
        <n v="4936" u="1"/>
        <n v="1200" u="1"/>
        <n v="2369" u="1"/>
        <n v="4676" u="1"/>
        <n v="1135" u="1"/>
        <n v="2239" u="1"/>
        <n v="4416" u="1"/>
        <n v="1070" u="1"/>
        <n v="2109" u="1"/>
        <n v="4156" u="1"/>
        <n v="259" u="1"/>
        <n v="3996" u="1"/>
        <n v="982" u="1"/>
        <n v="3866" u="1"/>
        <n v="3736" u="1"/>
        <n v="917" u="1"/>
        <n v="3606" u="1"/>
        <n v="225" u="1"/>
        <n v="3476" u="1"/>
        <n v="4873" u="1"/>
        <n v="852" u="1"/>
        <n v="3346" u="1"/>
        <n v="4613" u="1"/>
        <n v="3216" u="1"/>
        <n v="4353" u="1"/>
        <n v="787" u="1"/>
        <n v="3086" u="1"/>
        <n v="2956" u="1"/>
        <n v="722" u="1"/>
        <n v="2826" u="1"/>
        <n v="2696" u="1"/>
        <n v="657" u="1"/>
        <n v="2566" u="1"/>
        <n v="160" u="1"/>
        <n v="2436" u="1"/>
        <n v="4810" u="1"/>
        <n v="592" u="1"/>
        <n v="2306" u="1"/>
        <n v="4550" u="1"/>
        <n v="2176" u="1"/>
        <n v="4290" u="1"/>
        <n v="527" u="1"/>
        <n v="2047" u="1"/>
        <n v="4063" u="1"/>
        <n v="1982" u="1"/>
        <n v="3933" u="1"/>
        <n v="487" u="1"/>
        <n v="1917" u="1"/>
        <n v="3803" u="1"/>
        <n v="1852" u="1"/>
        <n v="3673" u="1"/>
        <n v="1787" u="1"/>
        <n v="3543" u="1"/>
        <n v="1722" u="1"/>
        <n v="3413" u="1"/>
        <n v="4747" u="1"/>
        <n v="422" u="1"/>
        <n v="1657" u="1"/>
        <n v="3283" u="1"/>
        <n v="4487" u="1"/>
        <n v="1592" u="1"/>
        <n v="3153" u="1"/>
        <n v="4227" u="1"/>
        <n v="1527" u="1"/>
        <n v="3023" u="1"/>
        <n v="1462" u="1"/>
        <n v="2893" u="1"/>
        <n v="357" u="1"/>
        <n v="1397" u="1"/>
        <n v="2763" u="1"/>
        <n v="1332" u="1"/>
        <n v="2633" u="1"/>
        <n v="1267" u="1"/>
        <n v="2503" u="1"/>
        <n v="4944" u="1"/>
        <n v="79" u="1"/>
        <n v="1202" u="1"/>
        <n v="2373" u="1"/>
        <n v="4684" u="1"/>
        <n v="292" u="1"/>
        <n v="1137" u="1"/>
        <n v="2243" u="1"/>
        <n v="4424" u="1"/>
        <n v="1072" u="1"/>
        <n v="2113" u="1"/>
        <n v="4164" u="1"/>
        <n v="4000" u="1"/>
        <n v="983" u="1"/>
        <n v="3870" u="1"/>
        <n v="3740" u="1"/>
        <n v="918" u="1"/>
        <n v="3610" u="1"/>
        <n v="3480" u="1"/>
        <n v="4881" u="1"/>
        <n v="853" u="1"/>
        <n v="3350" u="1"/>
        <n v="4621" u="1"/>
        <n v="209" u="1"/>
        <n v="3220" u="1"/>
        <n v="4361" u="1"/>
        <n v="788" u="1"/>
        <n v="3090" u="1"/>
        <n v="4101" u="1"/>
        <n v="2960" u="1"/>
        <n v="723" u="1"/>
        <n v="2830" u="1"/>
        <n v="2700" u="1"/>
        <n v="658" u="1"/>
        <n v="2570" u="1"/>
        <n v="2440" u="1"/>
        <n v="4818" u="1"/>
        <n v="593" u="1"/>
        <n v="2310" u="1"/>
        <n v="4558" u="1"/>
        <n v="144" u="1"/>
        <n v="2180" u="1"/>
        <n v="4298" u="1"/>
        <n v="528" u="1"/>
        <n v="2050" u="1"/>
        <n v="4067" u="1"/>
        <n v="1984" u="1"/>
        <n v="3937" u="1"/>
        <n v="1919" u="1"/>
        <n v="3807" u="1"/>
        <n v="1854" u="1"/>
        <n v="3677" u="1"/>
        <n v="455" u="1"/>
        <n v="1789" u="1"/>
        <n v="3547" u="1"/>
        <n v="1724" u="1"/>
        <n v="3417" u="1"/>
        <n v="4755" u="1"/>
        <n v="1659" u="1"/>
        <n v="3287" u="1"/>
        <n v="4495" u="1"/>
        <n v="1594" u="1"/>
        <n v="3157" u="1"/>
        <n v="4235" u="1"/>
        <n v="390" u="1"/>
        <n v="1529" u="1"/>
        <n v="3027" u="1"/>
        <n v="1464" u="1"/>
        <n v="2897" u="1"/>
        <n v="1399" u="1"/>
        <n v="2767" u="1"/>
        <n v="1334" u="1"/>
        <n v="2637" u="1"/>
        <n v="325" u="1"/>
        <n v="1269" u="1"/>
        <n v="2507" u="1"/>
        <n v="4952" u="1"/>
        <n v="1204" u="1"/>
        <n v="2377" u="1"/>
        <n v="4692" u="1"/>
        <n v="1139" u="1"/>
        <n v="2247" u="1"/>
        <n v="4432" u="1"/>
        <n v="71" u="1"/>
        <n v="1074" u="1"/>
        <n v="2117" u="1"/>
        <n v="4172" u="1"/>
        <n v="260" u="1"/>
        <n v="4004" u="1"/>
        <n v="984" u="1"/>
        <n v="3874" u="1"/>
        <n v="3744" u="1"/>
        <n v="919" u="1"/>
        <n v="3614" u="1"/>
        <n v="3484" u="1"/>
        <n v="4889" u="1"/>
        <n v="854" u="1"/>
        <n v="3354" u="1"/>
        <n v="4629" u="1"/>
        <n v="3224" u="1"/>
        <n v="4369" u="1"/>
        <n v="789" u="1"/>
        <n v="3094" u="1"/>
        <n v="4109" u="1"/>
        <n v="193" u="1"/>
        <n v="2964" u="1"/>
        <n v="724" u="1"/>
        <n v="2834" u="1"/>
        <n v="2704" u="1"/>
        <n v="659" u="1"/>
        <n v="2574" u="1"/>
        <n v="2444" u="1"/>
        <n v="4826" u="1"/>
        <n v="594" u="1"/>
        <n v="2314" u="1"/>
        <n v="4566" u="1"/>
        <n v="2184" u="1"/>
        <n v="4306" u="1"/>
        <n v="529" u="1"/>
        <n v="2054" u="1"/>
        <n v="4071" u="1"/>
        <n v="128" u="1"/>
        <n v="1986" u="1"/>
        <n v="3941" u="1"/>
        <n v="488" u="1"/>
        <n v="1921" u="1"/>
        <n v="3811" u="1"/>
        <n v="1856" u="1"/>
        <n v="3681" u="1"/>
        <n v="1791" u="1"/>
        <n v="3551" u="1"/>
        <n v="1726" u="1"/>
        <n v="3421" u="1"/>
        <n v="4763" u="1"/>
        <n v="423" u="1"/>
        <n v="1661" u="1"/>
        <n v="3291" u="1"/>
        <n v="4503" u="1"/>
        <n v="1596" u="1"/>
        <n v="3161" u="1"/>
        <n v="4243" u="1"/>
        <n v="1531" u="1"/>
        <n v="3031" u="1"/>
        <n v="1466" u="1"/>
        <n v="2901" u="1"/>
        <n v="358" u="1"/>
        <n v="1401" u="1"/>
        <n v="2771" u="1"/>
        <n v="1336" u="1"/>
        <n v="2641" u="1"/>
        <n v="1271" u="1"/>
        <n v="2511" u="1"/>
        <n v="4960" u="1"/>
        <n v="1206" u="1"/>
        <n v="2381" u="1"/>
        <n v="4700" u="1"/>
        <n v="293" u="1"/>
        <n v="1141" u="1"/>
        <n v="2251" u="1"/>
        <n v="4440" u="1"/>
        <n v="1076" u="1"/>
        <n v="2121" u="1"/>
        <n v="4180" u="1"/>
        <n v="4008" u="1"/>
        <n v="985" u="1"/>
        <n v="3878" u="1"/>
        <n v="242" u="1"/>
        <n v="3748" u="1"/>
        <n v="920" u="1"/>
        <n v="3618" u="1"/>
        <n v="3488" u="1"/>
        <n v="4897" u="1"/>
        <n v="855" u="1"/>
        <n v="3358" u="1"/>
        <n v="4637" u="1"/>
        <n v="3228" u="1"/>
        <n v="4377" u="1"/>
        <n v="790" u="1"/>
        <n v="3098" u="1"/>
        <n v="4117" u="1"/>
        <n v="2968" u="1"/>
        <n v="725" u="1"/>
        <n v="2838" u="1"/>
        <n v="177" u="1"/>
        <n v="2708" u="1"/>
        <n v="660" u="1"/>
        <n v="2578" u="1"/>
        <n v="2448" u="1"/>
        <n v="4834" u="1"/>
        <n v="595" u="1"/>
        <n v="2318" u="1"/>
        <n v="4574" u="1"/>
        <n v="2188" u="1"/>
        <n v="4314" u="1"/>
        <n v="530" u="1"/>
        <n v="2058" u="1"/>
        <n v="4075" u="1"/>
        <n v="1988" u="1"/>
        <n v="3945" u="1"/>
        <n v="1923" u="1"/>
        <n v="3815" u="1"/>
        <n v="120" u="1"/>
        <n v="1858" u="1"/>
        <n v="3685" u="1"/>
        <n v="456" u="1"/>
        <n v="1793" u="1"/>
        <n v="3555" u="1"/>
        <n v="1728" u="1"/>
        <n v="3425" u="1"/>
        <n v="4771" u="1"/>
        <n v="1663" u="1"/>
        <n v="3295" u="1"/>
        <n v="4511" u="1"/>
        <n v="1598" u="1"/>
        <n v="3165" u="1"/>
        <n v="4251" u="1"/>
        <n v="391" u="1"/>
        <n v="1533" u="1"/>
        <n v="3035" u="1"/>
        <n v="1468" u="1"/>
        <n v="2905" u="1"/>
        <n v="1403" u="1"/>
        <n v="2775" u="1"/>
        <n v="1338" u="1"/>
        <n v="2645" u="1"/>
        <n v="326" u="1"/>
        <n v="1273" u="1"/>
        <n v="2515" u="1"/>
        <n v="4968" u="1"/>
        <n v="1208" u="1"/>
        <n v="2385" u="1"/>
        <n v="4708" u="1"/>
        <n v="1143" u="1"/>
        <n v="2255" u="1"/>
        <n v="4448" u="1"/>
        <n v="1078" u="1"/>
        <n v="2125" u="1"/>
        <n v="4188" u="1"/>
        <n v="261" u="1"/>
        <n v="4012" u="1"/>
        <n v="986" u="1"/>
        <n v="3882" u="1"/>
        <n v="3752" u="1"/>
        <n v="921" u="1"/>
        <n v="3622" u="1"/>
        <n v="226" u="1"/>
        <n v="3492" u="1"/>
        <n v="4905" u="1"/>
        <n v="856" u="1"/>
        <n v="3362" u="1"/>
        <n v="4645" u="1"/>
        <n v="3232" u="1"/>
        <n v="4385" u="1"/>
        <n v="791" u="1"/>
        <n v="3102" u="1"/>
        <n v="4125" u="1"/>
        <n v="2972" u="1"/>
        <n v="726" u="1"/>
        <n v="2842" u="1"/>
        <n v="2712" u="1"/>
        <n v="661" u="1"/>
        <n v="2582" u="1"/>
        <n v="161" u="1"/>
        <n v="2452" u="1"/>
        <n v="4842" u="1"/>
        <n v="596" u="1"/>
        <n v="2322" u="1"/>
        <n v="4582" u="1"/>
        <n v="2192" u="1"/>
        <n v="4322" u="1"/>
        <n v="531" u="1"/>
        <n v="2062" u="1"/>
        <n v="4079" u="1"/>
        <n v="1990" u="1"/>
        <n v="3949" u="1"/>
        <n v="489" u="1"/>
        <n v="1925" u="1"/>
        <n v="3819" u="1"/>
        <n v="1860" u="1"/>
        <n v="3689" u="1"/>
        <n v="1795" u="1"/>
        <n v="3559" u="1"/>
        <n v="112" u="1"/>
        <n v="1730" u="1"/>
        <n v="3429" u="1"/>
        <n v="4779" u="1"/>
        <n v="424" u="1"/>
        <n v="1665" u="1"/>
        <n v="3299" u="1"/>
        <n v="4519" u="1"/>
        <n v="1600" u="1"/>
        <n v="3169" u="1"/>
        <n v="4259" u="1"/>
        <n v="1535" u="1"/>
        <n v="3039" u="1"/>
        <n v="1470" u="1"/>
        <n v="2909" u="1"/>
        <n v="359" u="1"/>
        <n v="1405" u="1"/>
        <n v="2779" u="1"/>
        <n v="1340" u="1"/>
        <n v="2649" u="1"/>
        <n v="1275" u="1"/>
        <n v="2519" u="1"/>
        <n v="4976" u="1"/>
        <n v="1210" u="1"/>
        <n v="2389" u="1"/>
        <n v="4716" u="1"/>
        <n v="294" u="1"/>
        <n v="1145" u="1"/>
        <n v="2259" u="1"/>
        <n v="4456" u="1"/>
        <n v="1080" u="1"/>
        <n v="2129" u="1"/>
        <n v="4196" u="1"/>
        <n v="4016" u="1"/>
        <n v="987" u="1"/>
        <n v="3886" u="1"/>
        <n v="3756" u="1"/>
        <n v="922" u="1"/>
        <n v="3626" u="1"/>
        <n v="3496" u="1"/>
        <n v="4913" u="1"/>
        <n v="857" u="1"/>
        <n v="3366" u="1"/>
        <n v="4653" u="1"/>
        <n v="210" u="1"/>
        <n v="3236" u="1"/>
        <n v="4393" u="1"/>
        <n v="792" u="1"/>
        <n v="3106" u="1"/>
        <n v="4133" u="1"/>
        <n v="2976" u="1"/>
        <n v="727" u="1"/>
        <n v="2846" u="1"/>
        <n v="2716" u="1"/>
        <n v="662" u="1"/>
        <n v="2586" u="1"/>
        <n v="2456" u="1"/>
        <n v="4850" u="1"/>
        <n v="597" u="1"/>
        <n v="2326" u="1"/>
        <n v="4590" u="1"/>
        <n v="145" u="1"/>
        <n v="2196" u="1"/>
        <n v="4330" u="1"/>
        <n v="532" u="1"/>
        <n v="2066" u="1"/>
        <n v="4083" u="1"/>
        <n v="1992" u="1"/>
        <n v="3953" u="1"/>
        <n v="1927" u="1"/>
        <n v="3823" u="1"/>
        <n v="1862" u="1"/>
        <n v="3693" u="1"/>
        <n v="457" u="1"/>
        <n v="1797" u="1"/>
        <n v="3563" u="1"/>
        <n v="1732" u="1"/>
        <n v="3433" u="1"/>
        <n v="4787" u="1"/>
        <n v="1667" u="1"/>
        <n v="3303" u="1"/>
        <n v="4527" u="1"/>
        <n v="104" u="1"/>
        <n v="1602" u="1"/>
        <n v="3173" u="1"/>
        <n v="4267" u="1"/>
        <n v="392" u="1"/>
        <n v="1537" u="1"/>
        <n v="3043" u="1"/>
        <n v="1472" u="1"/>
        <n v="2913" u="1"/>
        <n v="1407" u="1"/>
        <n v="2783" u="1"/>
        <n v="1342" u="1"/>
        <n v="2653" u="1"/>
        <n v="327" u="1"/>
        <n v="1277" u="1"/>
        <n v="2523" u="1"/>
        <n v="4984" u="1"/>
        <n v="1212" u="1"/>
        <n v="2393" u="1"/>
        <n v="4724" u="1"/>
        <n v="1147" u="1"/>
        <n v="2263" u="1"/>
        <n v="4464" u="1"/>
        <n v="1082" u="1"/>
        <n v="2133" u="1"/>
        <n v="4204" u="1"/>
        <n v="262" u="1"/>
        <n v="4020" u="1"/>
        <n v="988" u="1"/>
        <n v="3890" u="1"/>
        <n v="3760" u="1"/>
        <n v="923" u="1"/>
        <n v="3630" u="1"/>
        <n v="3500" u="1"/>
        <n v="4921" u="1"/>
        <n v="858" u="1"/>
        <n v="3370" u="1"/>
        <n v="4661" u="1"/>
        <n v="3240" u="1"/>
        <n v="4401" u="1"/>
        <n v="793" u="1"/>
        <n v="3110" u="1"/>
        <n v="4141" u="1"/>
        <n v="194" u="1"/>
        <n v="2980" u="1"/>
        <n v="728" u="1"/>
        <n v="2850" u="1"/>
        <n v="2720" u="1"/>
        <n v="663" u="1"/>
        <n v="2590" u="1"/>
        <n v="2460" u="1"/>
        <n v="4858" u="1"/>
        <n v="598" u="1"/>
        <n v="2330" u="1"/>
        <n v="4598" u="1"/>
        <n v="2200" u="1"/>
        <n v="4338" u="1"/>
        <n v="533" u="1"/>
        <n v="2070" u="1"/>
        <n v="4087" u="1"/>
        <n v="129" u="1"/>
        <n v="1994" u="1"/>
        <n v="3957" u="1"/>
        <n v="490" u="1"/>
        <n v="1929" u="1"/>
        <n v="3827" u="1"/>
        <n v="1864" u="1"/>
        <n v="3697" u="1"/>
        <n v="1799" u="1"/>
        <n v="3567" u="1"/>
        <n v="1734" u="1"/>
        <n v="3437" u="1"/>
        <n v="4795" u="1"/>
        <n v="425" u="1"/>
        <n v="1669" u="1"/>
        <n v="3307" u="1"/>
        <n v="4535" u="1"/>
        <n v="1604" u="1"/>
        <n v="3177" u="1"/>
        <n v="4275" u="1"/>
        <n v="1539" u="1"/>
        <n v="3047" u="1"/>
        <n v="96" u="1"/>
        <n v="1474" u="1"/>
        <n v="2917" u="1"/>
        <n v="360" u="1"/>
        <n v="1409" u="1"/>
        <n v="2787" u="1"/>
        <n v="1344" u="1"/>
        <n v="2657" u="1"/>
        <n v="1279" u="1"/>
        <n v="2527" u="1"/>
        <n v="4992" u="1"/>
        <n v="1214" u="1"/>
        <n v="2397" u="1"/>
        <n v="4732" u="1"/>
        <n v="295" u="1"/>
        <n v="1149" u="1"/>
        <n v="2267" u="1"/>
        <n v="4472" u="1"/>
        <n v="1084" u="1"/>
        <n v="2137" u="1"/>
        <n v="4212" u="1"/>
        <n v="4024" u="1"/>
        <n v="989" u="1"/>
        <n v="3894" u="1"/>
        <n v="243" u="1"/>
        <n v="3764" u="1"/>
        <n v="924" u="1"/>
        <n v="3634" u="1"/>
        <n v="3504" u="1"/>
        <n v="4929" u="1"/>
        <n v="859" u="1"/>
        <n v="3374" u="1"/>
        <n v="4669" u="1"/>
        <n v="3244" u="1"/>
        <n v="4409" u="1"/>
        <n v="794" u="1"/>
        <n v="3114" u="1"/>
        <n v="4149" u="1"/>
        <n v="2984" u="1"/>
        <n v="729" u="1"/>
        <n v="2854" u="1"/>
        <n v="178" u="1"/>
        <n v="2724" u="1"/>
        <n v="664" u="1"/>
        <n v="2594" u="1"/>
        <n v="2464" u="1"/>
        <n v="4866" u="1"/>
        <n v="599" u="1"/>
        <n v="2334" u="1"/>
        <n v="4606" u="1"/>
        <n v="2204" u="1"/>
        <n v="4346" u="1"/>
        <n v="534" u="1"/>
        <n v="2074" u="1"/>
        <n v="4091" u="1"/>
        <n v="1996" u="1"/>
        <n v="3961" u="1"/>
        <n v="1931" u="1"/>
        <n v="3831" u="1"/>
        <n v="1866" u="1"/>
        <n v="3701" u="1"/>
        <n v="458" u="1"/>
        <n v="1801" u="1"/>
        <n v="3571" u="1"/>
        <n v="1736" u="1"/>
        <n v="3441" u="1"/>
        <n v="4803" u="1"/>
        <n v="1671" u="1"/>
        <n v="3311" u="1"/>
        <n v="4543" u="1"/>
        <n v="1606" u="1"/>
        <n v="3181" u="1"/>
        <n v="4283" u="1"/>
        <n v="393" u="1"/>
        <n v="1541" u="1"/>
        <n v="3051" u="1"/>
        <n v="1476" u="1"/>
        <n v="2921" u="1"/>
        <n v="1411" u="1"/>
        <n v="2791" u="1"/>
        <n v="88" u="1"/>
        <n v="1346" u="1"/>
        <n v="2661" u="1"/>
        <n v="328" u="1"/>
        <n v="1281" u="1"/>
        <n v="2531" u="1"/>
        <n v="1216" u="1"/>
        <n v="2401" u="1"/>
        <n v="4740" u="1"/>
        <n v="1151" u="1"/>
        <n v="2271" u="1"/>
        <n v="4480" u="1"/>
        <n v="1086" u="1"/>
        <n v="2141" u="1"/>
        <n v="4220" u="1"/>
        <n v="263" u="1"/>
        <n v="4028" u="1"/>
        <n v="990" u="1"/>
        <n v="3898" u="1"/>
        <n v="3768" u="1"/>
        <n v="925" u="1"/>
        <n v="3638" u="1"/>
        <n v="227" u="1"/>
        <n v="3508" u="1"/>
        <n v="4937" u="1"/>
        <n v="860" u="1"/>
        <n v="3378" u="1"/>
        <n v="4677" u="1"/>
        <n v="3248" u="1"/>
        <n v="4417" u="1"/>
        <n v="795" u="1"/>
        <n v="3118" u="1"/>
        <n v="4157" u="1"/>
        <n v="2988" u="1"/>
        <n v="730" u="1"/>
        <n v="2858" u="1"/>
        <n v="2728" u="1"/>
        <n v="665" u="1"/>
        <n v="2598" u="1"/>
        <n v="162" u="1"/>
        <n v="2468" u="1"/>
        <n v="4874" u="1"/>
        <n v="600" u="1"/>
        <n v="2338" u="1"/>
        <n v="4614" u="1"/>
        <n v="2208" u="1"/>
        <n v="4354" u="1"/>
        <n v="535" u="1"/>
        <n v="2078" u="1"/>
        <n v="4095" u="1"/>
        <n v="1998" u="1"/>
        <n v="3965" u="1"/>
        <n v="491" u="1"/>
        <n v="1933" u="1"/>
        <n v="3835" u="1"/>
        <n v="1868" u="1"/>
        <n v="3705" u="1"/>
        <n v="1803" u="1"/>
        <n v="3575" u="1"/>
        <n v="1738" u="1"/>
        <n v="3445" u="1"/>
        <n v="4811" u="1"/>
        <n v="426" u="1"/>
        <n v="1673" u="1"/>
        <n v="3315" u="1"/>
        <n v="4551" u="1"/>
        <n v="1608" u="1"/>
        <n v="3185" u="1"/>
        <n v="4291" u="1"/>
        <n v="1543" u="1"/>
        <n v="3055" u="1"/>
        <n v="1478" u="1"/>
        <n v="2925" u="1"/>
        <n v="361" u="1"/>
        <n v="1413" u="1"/>
        <n v="2795" u="1"/>
        <n v="1348" u="1"/>
        <n v="2665" u="1"/>
        <n v="1283" u="1"/>
        <n v="2535" u="1"/>
        <n v="80" u="1"/>
        <n v="1218" u="1"/>
        <n v="2405" u="1"/>
        <n v="4748" u="1"/>
        <n v="296" u="1"/>
        <n v="1153" u="1"/>
        <n v="2275" u="1"/>
        <n v="4488" u="1"/>
        <n v="1088" u="1"/>
        <n v="2145" u="1"/>
        <n v="4228" u="1"/>
        <n v="4032" u="1"/>
        <n v="991" u="1"/>
        <n v="3902" u="1"/>
        <n v="3772" u="1"/>
        <n v="926" u="1"/>
        <n v="3642" u="1"/>
        <n v="3512" u="1"/>
        <n v="4945" u="1"/>
        <n v="861" u="1"/>
        <n v="3382" u="1"/>
        <n v="4685" u="1"/>
        <n v="211" u="1"/>
        <n v="3252" u="1"/>
        <n v="4425" u="1"/>
        <n v="796" u="1"/>
        <n v="3122" u="1"/>
        <n v="4165" u="1"/>
        <n v="2992" u="1"/>
        <n v="731" u="1"/>
        <n v="2862" u="1"/>
        <n v="2732" u="1"/>
        <n v="666" u="1"/>
        <n v="2602" u="1"/>
        <n v="2472" u="1"/>
        <n v="4882" u="1"/>
        <n v="601" u="1"/>
        <n v="2342" u="1"/>
        <n v="4622" u="1"/>
        <n v="146" u="1"/>
        <n v="2212" u="1"/>
        <n v="4362" u="1"/>
        <n v="536" u="1"/>
        <n v="2082" u="1"/>
        <n v="4102" u="1"/>
        <n v="2000" u="1"/>
        <n v="3969" u="1"/>
        <n v="1935" u="1"/>
        <n v="3839" u="1"/>
        <n v="1870" u="1"/>
        <n v="3709" u="1"/>
        <n v="459" u="1"/>
        <n v="1805" u="1"/>
        <n v="3579" u="1"/>
        <n v="1740" u="1"/>
        <n v="3449" u="1"/>
        <n v="4819" u="1"/>
        <n v="1675" u="1"/>
        <n v="3319" u="1"/>
        <n v="4559" u="1"/>
        <n v="1610" u="1"/>
        <n v="3189" u="1"/>
        <n v="4299" u="1"/>
        <n v="394" u="1"/>
        <n v="1545" u="1"/>
        <n v="3059" u="1"/>
        <n v="1480" u="1"/>
        <n v="2929" u="1"/>
        <n v="1415" u="1"/>
        <n v="2799" u="1"/>
        <n v="1350" u="1"/>
        <n v="2669" u="1"/>
        <n v="329" u="1"/>
        <n v="1285" u="1"/>
        <n v="2539" u="1"/>
        <n v="1220" u="1"/>
        <n v="2409" u="1"/>
        <n v="4756" u="1"/>
        <n v="1155" u="1"/>
        <n v="2279" u="1"/>
        <n v="4496" u="1"/>
        <n v="72" u="1"/>
        <n v="1090" u="1"/>
        <n v="2149" u="1"/>
        <n v="4236" u="1"/>
        <n v="264" u="1"/>
        <n v="1025" u="1"/>
        <n v="4036" u="1"/>
        <n v="992" u="1"/>
        <n v="3906" u="1"/>
        <n v="3776" u="1"/>
        <n v="927" u="1"/>
        <n v="3646" u="1"/>
        <n v="3516" u="1"/>
        <n v="4953" u="1"/>
        <n v="862" u="1"/>
        <n v="3386" u="1"/>
        <n v="4693" u="1"/>
        <n v="3256" u="1"/>
        <n v="4433" u="1"/>
        <n v="797" u="1"/>
        <n v="3126" u="1"/>
        <n v="4173" u="1"/>
        <n v="195" u="1"/>
        <n v="2996" u="1"/>
        <n v="732" u="1"/>
        <n v="2866" u="1"/>
        <n v="2736" u="1"/>
        <n v="667" u="1"/>
        <n v="2606" u="1"/>
        <n v="2476" u="1"/>
        <n v="4890" u="1"/>
        <n v="602" u="1"/>
        <n v="2346" u="1"/>
        <n v="4630" u="1"/>
        <n v="2216" u="1"/>
        <n v="4370" u="1"/>
        <n v="537" u="1"/>
        <n v="2086" u="1"/>
        <n v="4110" u="1"/>
        <n v="130" u="1"/>
        <n v="2002" u="1"/>
        <n v="3973" u="1"/>
        <n v="492" u="1"/>
        <n v="1937" u="1"/>
        <n v="3843" u="1"/>
        <n v="1872" u="1"/>
        <n v="3713" u="1"/>
        <n v="1807" u="1"/>
        <n v="3583" u="1"/>
        <n v="1742" u="1"/>
        <n v="3453" u="1"/>
        <n v="4827" u="1"/>
        <n v="427" u="1"/>
        <n v="1677" u="1"/>
        <n v="3323" u="1"/>
        <n v="4567" u="1"/>
        <n v="1612" u="1"/>
        <n v="3193" u="1"/>
        <n v="4307" u="1"/>
        <n v="1547" u="1"/>
        <n v="3063" u="1"/>
        <n v="1482" u="1"/>
        <n v="2933" u="1"/>
        <n v="362" u="1"/>
        <n v="1417" u="1"/>
        <n v="2803" u="1"/>
        <n v="1352" u="1"/>
        <n v="2673" u="1"/>
        <n v="1287" u="1"/>
        <n v="2543" u="1"/>
        <n v="1222" u="1"/>
        <n v="2413" u="1"/>
        <n v="4764" u="1"/>
        <n v="297" u="1"/>
        <n v="1157" u="1"/>
        <n v="2283" u="1"/>
        <n v="4504" u="1"/>
        <n v="1092" u="1"/>
        <n v="2153" u="1"/>
        <n v="4244" u="1"/>
        <n v="1027" u="1"/>
        <n v="4040" u="1"/>
        <n v="64" u="1"/>
        <n v="993" u="1"/>
        <n v="3910" u="1"/>
        <n v="244" u="1"/>
        <n v="3780" u="1"/>
        <n v="928" u="1"/>
        <n v="3650" u="1"/>
        <n v="3520" u="1"/>
        <n v="4961" u="1"/>
        <n v="863" u="1"/>
        <n v="3390" u="1"/>
        <n v="4701" u="1"/>
        <n v="3260" u="1"/>
        <n v="4441" u="1"/>
        <n v="798" u="1"/>
        <n v="3130" u="1"/>
        <n v="4181" u="1"/>
        <n v="3000" u="1"/>
        <n v="733" u="1"/>
        <n v="2870" u="1"/>
        <n v="179" u="1"/>
        <n v="2740" u="1"/>
        <n v="668" u="1"/>
        <n v="2610" u="1"/>
        <n v="2480" u="1"/>
        <n v="4898" u="1"/>
        <n v="603" u="1"/>
        <n v="2350" u="1"/>
        <n v="4638" u="1"/>
        <n v="2220" u="1"/>
        <n v="4378" u="1"/>
        <n v="538" u="1"/>
        <n v="2090" u="1"/>
        <n v="4118" u="1"/>
        <n v="2004" u="1"/>
        <n v="3977" u="1"/>
        <n v="1939" u="1"/>
        <n v="3847" u="1"/>
        <n v="121" u="1"/>
        <n v="1874" u="1"/>
        <n v="3717" u="1"/>
        <n v="460" u="1"/>
        <n v="1809" u="1"/>
        <n v="3587" u="1"/>
        <n v="1744" u="1"/>
        <n v="3457" u="1"/>
        <n v="4835" u="1"/>
        <n v="1679" u="1"/>
        <n v="3327" u="1"/>
        <n v="4575" u="1"/>
        <n v="1614" u="1"/>
        <n v="3197" u="1"/>
        <n v="4315" u="1"/>
        <n v="395" u="1"/>
        <n v="1549" u="1"/>
        <n v="3067" u="1"/>
        <n v="1484" u="1"/>
        <n v="2937" u="1"/>
        <n v="1419" u="1"/>
        <n v="2807" u="1"/>
        <n v="1354" u="1"/>
        <n v="2677" u="1"/>
        <n v="330" u="1"/>
        <n v="1289" u="1"/>
        <n v="2547" u="1"/>
        <n v="1224" u="1"/>
        <n v="2417" u="1"/>
        <n v="4772" u="1"/>
        <n v="1159" u="1"/>
        <n v="2287" u="1"/>
        <n v="4512" u="1"/>
        <n v="1094" u="1"/>
        <n v="2157" u="1"/>
        <n v="4252" u="1"/>
        <n v="265" u="1"/>
        <n v="1029" u="1"/>
        <n v="4044" u="1"/>
        <n v="994" u="1"/>
        <n v="3914" u="1"/>
        <n v="3784" u="1"/>
        <n v="60" u="1"/>
        <n v="929" u="1"/>
        <n v="3654" u="1"/>
        <n v="228" u="1"/>
        <n v="3524" u="1"/>
        <n v="4969" u="1"/>
        <n v="864" u="1"/>
        <n v="3394" u="1"/>
        <n v="4709" u="1"/>
        <n v="3264" u="1"/>
        <n v="4449" u="1"/>
        <n v="799" u="1"/>
        <n v="3134" u="1"/>
        <n v="4189" u="1"/>
        <n v="3004" u="1"/>
        <n v="734" u="1"/>
        <n v="2874" u="1"/>
        <n v="2744" u="1"/>
        <n v="669" u="1"/>
        <n v="2614" u="1"/>
        <n v="163" u="1"/>
        <n v="2484" u="1"/>
        <n v="4906" u="1"/>
        <n v="604" u="1"/>
        <n v="2354" u="1"/>
        <n v="4646" u="1"/>
        <n v="2224" u="1"/>
        <n v="4386" u="1"/>
        <n v="539" u="1"/>
        <n v="2094" u="1"/>
        <n v="4126" u="1"/>
        <n v="2006" u="1"/>
        <n v="3981" u="1"/>
        <n v="493" u="1"/>
        <n v="1941" u="1"/>
        <n v="3851" u="1"/>
        <n v="1876" u="1"/>
        <n v="3721" u="1"/>
        <n v="1811" u="1"/>
        <n v="3591" u="1"/>
        <n v="113" u="1"/>
        <n v="1746" u="1"/>
        <n v="3461" u="1"/>
        <n v="4843" u="1"/>
        <n v="428" u="1"/>
        <n v="1681" u="1"/>
        <n v="3331" u="1"/>
        <n v="4583" u="1"/>
        <n v="1616" u="1"/>
        <n v="3201" u="1"/>
        <n v="4323" u="1"/>
        <n v="1551" u="1"/>
        <n v="3071" u="1"/>
        <n v="1486" u="1"/>
        <n v="2941" u="1"/>
        <n v="363" u="1"/>
        <n v="1421" u="1"/>
        <n v="2811" u="1"/>
        <n v="1356" u="1"/>
        <n v="2681" u="1"/>
        <n v="1291" u="1"/>
        <n v="2551" u="1"/>
        <n v="1226" u="1"/>
        <n v="2421" u="1"/>
        <n v="4780" u="1"/>
        <n v="298" u="1"/>
        <n v="1161" u="1"/>
        <n v="2291" u="1"/>
        <n v="4520" u="1"/>
        <n v="1096" u="1"/>
        <n v="2161" u="1"/>
        <n v="4260" u="1"/>
        <n v="1031" u="1"/>
        <n v="4048" u="1"/>
        <n v="995" u="1"/>
        <n v="3918" u="1"/>
        <n v="3788" u="1"/>
        <n v="930" u="1"/>
        <n v="3658" u="1"/>
        <n v="3528" u="1"/>
        <n v="4977" u="1"/>
        <n v="56" u="1"/>
        <n v="865" u="1"/>
        <n v="3398" u="1"/>
        <n v="4717" u="1"/>
        <n v="212" u="1"/>
        <n v="3268" u="1"/>
        <n v="4457" u="1"/>
        <n v="800" u="1"/>
        <n v="3138" u="1"/>
        <n v="4197" u="1"/>
        <n v="3008" u="1"/>
        <n v="735" u="1"/>
        <n v="2878" u="1"/>
        <n v="2748" u="1"/>
        <n v="670" u="1"/>
        <n v="2618" u="1"/>
        <n v="2488" u="1"/>
        <n v="4914" u="1"/>
        <n v="605" u="1"/>
        <n v="2358" u="1"/>
        <n v="4654" u="1"/>
        <n v="147" u="1"/>
        <n v="2228" u="1"/>
        <n v="4394" u="1"/>
        <n v="540" u="1"/>
        <n v="2098" u="1"/>
        <n v="4134" u="1"/>
        <n v="2008" u="1"/>
        <n v="3985" u="1"/>
        <n v="1943" u="1"/>
        <n v="3855" u="1"/>
        <n v="1878" u="1"/>
        <n v="3725" u="1"/>
        <n v="461" u="1"/>
        <n v="1813" u="1"/>
        <n v="3595" u="1"/>
        <n v="1748" u="1"/>
        <n v="3465" u="1"/>
        <n v="4851" u="1"/>
        <n v="1683" u="1"/>
        <n v="3335" u="1"/>
        <n v="4591" u="1"/>
        <n v="105" u="1"/>
        <n v="1618" u="1"/>
        <n v="3205" u="1"/>
        <n v="4331" u="1"/>
        <n v="396" u="1"/>
        <n v="1553" u="1"/>
        <n v="3075" u="1"/>
        <n v="1488" u="1"/>
        <n v="2945" u="1"/>
        <n v="1423" u="1"/>
        <n v="2815" u="1"/>
        <n v="1358" u="1"/>
        <n v="2685" u="1"/>
        <n v="331" u="1"/>
        <n v="1293" u="1"/>
        <n v="2555" u="1"/>
        <n v="1228" u="1"/>
        <n v="2425" u="1"/>
        <n v="4788" u="1"/>
        <n v="1163" u="1"/>
        <n v="2295" u="1"/>
        <n v="4528" u="1"/>
        <n v="1098" u="1"/>
        <n v="2165" u="1"/>
        <n v="4268" u="1"/>
        <n v="266" u="1"/>
        <n v="1033" u="1"/>
        <n v="4052" u="1"/>
        <n v="996" u="1"/>
        <n v="3922" u="1"/>
        <n v="3792" u="1"/>
        <n v="931" u="1"/>
        <n v="3662" u="1"/>
        <n v="3532" u="1"/>
        <n v="4985" u="1"/>
        <n v="866" u="1"/>
        <n v="3402" u="1"/>
        <n v="4725" u="1"/>
        <n v="3272" u="1"/>
        <n v="4465" u="1"/>
        <n v="52" u="1"/>
        <n v="801" u="1"/>
        <n v="3142" u="1"/>
        <n v="4205" u="1"/>
        <n v="196" u="1"/>
        <n v="3012" u="1"/>
        <n v="736" u="1"/>
        <n v="2882" u="1"/>
        <n v="2752" u="1"/>
        <n v="671" u="1"/>
        <n v="2622" u="1"/>
        <n v="2492" u="1"/>
        <n v="4922" u="1"/>
        <n v="606" u="1"/>
        <n v="2362" u="1"/>
        <n v="4662" u="1"/>
        <n v="2232" u="1"/>
        <n v="4402" u="1"/>
        <n v="541" u="1"/>
        <n v="2102" u="1"/>
        <n v="4142" u="1"/>
        <n v="131" u="1"/>
        <n v="2010" u="1"/>
        <n v="3989" u="1"/>
        <n v="494" u="1"/>
        <n v="1945" u="1"/>
        <n v="3859" u="1"/>
        <n v="1880" u="1"/>
        <n v="3729" u="1"/>
        <n v="1815" u="1"/>
        <n v="3599" u="1"/>
        <n v="1750" u="1"/>
        <n v="3469" u="1"/>
        <n v="4859" u="1"/>
        <n v="429" u="1"/>
        <n v="1685" u="1"/>
        <n v="3339" u="1"/>
        <n v="4599" u="1"/>
        <n v="1620" u="1"/>
        <n v="3209" u="1"/>
        <n v="4339" u="1"/>
        <n v="1555" u="1"/>
        <n v="3079" u="1"/>
        <n v="97" u="1"/>
        <n v="1490" u="1"/>
        <n v="2949" u="1"/>
        <n v="364" u="1"/>
        <n v="1425" u="1"/>
        <n v="2819" u="1"/>
        <n v="1360" u="1"/>
        <n v="2689" u="1"/>
        <n v="1295" u="1"/>
        <n v="2559" u="1"/>
        <n v="1230" u="1"/>
        <n v="2429" u="1"/>
        <n v="4796" u="1"/>
        <n v="299" u="1"/>
        <n v="1165" u="1"/>
        <n v="2299" u="1"/>
        <n v="4536" u="1"/>
        <n v="1100" u="1"/>
        <n v="2169" u="1"/>
        <n v="4276" u="1"/>
        <n v="1035" u="1"/>
        <n v="4056" u="1"/>
        <n v="997" u="1"/>
        <n v="3926" u="1"/>
        <n v="245" u="1"/>
        <n v="3796" u="1"/>
        <n v="932" u="1"/>
        <n v="3666" u="1"/>
        <n v="3536" u="1"/>
        <n v="4993" u="1"/>
        <n v="867" u="1"/>
        <n v="3406" u="1"/>
        <n v="4733" u="1"/>
        <n v="3276" u="1"/>
        <n v="4473" u="1"/>
        <n v="802" u="1"/>
        <n v="3146" u="1"/>
        <n v="4213" u="1"/>
        <n v="3016" u="1"/>
        <n v="737" u="1"/>
        <n v="2886" u="1"/>
        <n v="180" u="1"/>
        <n v="2756" u="1"/>
        <n v="672" u="1"/>
        <n v="2626" u="1"/>
        <n v="2496" u="1"/>
        <n v="4930" u="1"/>
        <n v="607" u="1"/>
        <n v="2366" u="1"/>
        <n v="4670" u="1"/>
        <n v="2236" u="1"/>
        <n v="4410" u="1"/>
        <n v="542" u="1"/>
        <n v="2106" u="1"/>
        <n v="4150" u="1"/>
        <n v="2012" u="1"/>
        <n v="3993" u="1"/>
        <n v="1947" u="1"/>
        <n v="3863" u="1"/>
        <n v="1882" u="1"/>
        <n v="3733" u="1"/>
        <n v="462" u="1"/>
        <n v="1817" u="1"/>
        <n v="3603" u="1"/>
        <n v="1752" u="1"/>
        <n v="3473" u="1"/>
        <n v="4867" u="1"/>
        <n v="1687" u="1"/>
        <n v="3343" u="1"/>
        <n v="4607" u="1"/>
        <n v="1622" u="1"/>
        <n v="3213" u="1"/>
        <n v="4347" u="1"/>
        <n v="397" u="1"/>
        <n v="1557" u="1"/>
        <n v="3083" u="1"/>
        <n v="1492" u="1"/>
        <n v="2953" u="1"/>
        <n v="1427" u="1"/>
        <n v="2823" u="1"/>
        <n v="89" u="1"/>
        <n v="1362" u="1"/>
        <n v="2693" u="1"/>
        <n v="332" u="1"/>
        <n v="1297" u="1"/>
        <n v="2563" u="1"/>
        <n v="1232" u="1"/>
        <n v="2433" u="1"/>
        <n v="4804" u="1"/>
        <n v="1167" u="1"/>
        <n v="2303" u="1"/>
        <n v="4544" u="1"/>
        <n v="1102" u="1"/>
        <n v="2173" u="1"/>
        <n v="4284" u="1"/>
        <n v="267" u="1"/>
        <n v="1037" u="1"/>
        <n v="4060" u="1"/>
        <n v="998" u="1"/>
        <n v="3930" u="1"/>
        <n v="3800" u="1"/>
        <n v="933" u="1"/>
        <n v="3670" u="1"/>
        <n v="229" u="1"/>
        <n v="3540" u="1"/>
        <n v="868" u="1"/>
        <n v="3410" u="1"/>
        <n v="4741" u="1"/>
        <n v="3280" u="1"/>
        <n v="4481" u="1"/>
        <n v="803" u="1"/>
        <n v="3150" u="1"/>
        <n v="4221" u="1"/>
        <n v="3020" u="1"/>
        <n v="738" u="1"/>
        <n v="2890" u="1"/>
        <n v="2760" u="1"/>
        <n v="673" u="1"/>
        <n v="2630" u="1"/>
        <n v="164" u="1"/>
        <n v="2500" u="1"/>
        <n v="4938" u="1"/>
        <n v="608" u="1"/>
        <n v="2370" u="1"/>
        <n v="4678" u="1"/>
        <n v="2240" u="1"/>
        <n v="4418" u="1"/>
        <n v="543" u="1"/>
        <n v="2110" u="1"/>
        <n v="4158" u="1"/>
        <n v="2014" u="1"/>
        <n v="3997" u="1"/>
        <n v="495" u="1"/>
        <n v="1949" u="1"/>
        <n v="3867" u="1"/>
        <n v="1884" u="1"/>
        <n v="3737" u="1"/>
        <n v="1819" u="1"/>
        <n v="3607" u="1"/>
        <n v="1754" u="1"/>
        <n v="3477" u="1"/>
        <n v="4875" u="1"/>
        <n v="430" u="1"/>
        <n v="1689" u="1"/>
        <n v="3347" u="1"/>
        <n v="4615" u="1"/>
        <n v="1624" u="1"/>
        <n v="3217" u="1"/>
        <n v="4355" u="1"/>
        <n v="1559" u="1"/>
        <n v="3087" u="1"/>
        <n v="1494" u="1"/>
        <n v="2957" u="1"/>
        <n v="365" u="1"/>
        <n v="1429" u="1"/>
        <n v="2827" u="1"/>
        <n v="1364" u="1"/>
        <n v="2697" u="1"/>
        <n v="1299" u="1"/>
        <n v="2567" u="1"/>
        <n v="81" u="1"/>
        <n v="1234" u="1"/>
        <n v="2437" u="1"/>
        <n v="4812" u="1"/>
        <n v="300" u="1"/>
        <n v="1169" u="1"/>
        <n v="2307" u="1"/>
        <n v="4552" u="1"/>
        <n v="1104" u="1"/>
        <n v="2177" u="1"/>
        <n v="4292" u="1"/>
        <n v="1039" u="1"/>
        <n v="4064" u="1"/>
        <n v="999" u="1"/>
        <n v="3934" u="1"/>
        <n v="3804" u="1"/>
        <n v="934" u="1"/>
        <n v="3674" u="1"/>
        <n v="3544" u="1"/>
        <n v="869" u="1"/>
        <n v="3414" u="1"/>
        <n v="4749" u="1"/>
        <n v="213" u="1"/>
        <n v="3284" u="1"/>
        <n v="4489" u="1"/>
        <n v="804" u="1"/>
        <n v="3154" u="1"/>
        <n v="4229" u="1"/>
        <n v="3024" u="1"/>
        <n v="739" u="1"/>
        <n v="2894" u="1"/>
        <n v="2764" u="1"/>
        <n v="674" u="1"/>
        <n v="2634" u="1"/>
        <n v="2504" u="1"/>
        <n v="4946" u="1"/>
        <n v="609" u="1"/>
        <n v="2374" u="1"/>
        <n v="4686" u="1"/>
        <n v="148" u="1"/>
        <n v="2244" u="1"/>
        <n v="4426" u="1"/>
        <n v="544" u="1"/>
        <n v="2114" u="1"/>
        <n v="4166" u="1"/>
        <n v="2016" u="1"/>
        <n v="4001" u="1"/>
        <n v="1951" u="1"/>
        <n v="3871" u="1"/>
        <n v="1886" u="1"/>
        <n v="3741" u="1"/>
        <n v="463" u="1"/>
        <n v="1821" u="1"/>
        <n v="3611" u="1"/>
        <n v="1756" u="1"/>
        <n v="3481" u="1"/>
        <n v="4883" u="1"/>
        <n v="1691" u="1"/>
        <n v="3351" u="1"/>
        <n v="4623" u="1"/>
        <n v="1626" u="1"/>
        <n v="3221" u="1"/>
        <n v="4363" u="1"/>
        <n v="398" u="1"/>
        <n v="1561" u="1"/>
        <n v="3091" u="1"/>
        <n v="4103" u="1"/>
        <n v="1496" u="1"/>
        <n v="2961" u="1"/>
        <n v="1431" u="1"/>
        <n v="2831" u="1"/>
        <n v="1366" u="1"/>
        <n v="2701" u="1"/>
        <n v="333" u="1"/>
        <n v="1301" u="1"/>
        <n v="2571" u="1"/>
        <n v="1236" u="1"/>
        <n v="2441" u="1"/>
        <n v="4820" u="1"/>
        <n v="1171" u="1"/>
        <n v="2311" u="1"/>
        <n v="4560" u="1"/>
        <n v="73" u="1"/>
        <n v="1106" u="1"/>
        <n v="2181" u="1"/>
        <n v="4300" u="1"/>
        <n v="268" u="1"/>
        <n v="1041" u="1"/>
        <n v="2051" u="1"/>
        <n v="4068" u="1"/>
        <n v="1000" u="1"/>
        <n v="3938" u="1"/>
        <n v="3808" u="1"/>
        <n v="935" u="1"/>
        <n v="3678" u="1"/>
        <n v="3548" u="1"/>
        <n v="870" u="1"/>
        <n v="3418" u="1"/>
        <n v="4757" u="1"/>
        <n v="3288" u="1"/>
        <n v="4497" u="1"/>
        <n v="805" u="1"/>
        <n v="3158" u="1"/>
        <n v="4237" u="1"/>
        <n v="197" u="1"/>
        <n v="3028" u="1"/>
        <n v="740" u="1"/>
        <n v="2898" u="1"/>
        <n v="2768" u="1"/>
        <n v="675" u="1"/>
        <n v="2638" u="1"/>
        <n v="2508" u="1"/>
        <n v="4954" u="1"/>
        <n v="610" u="1"/>
        <n v="2378" u="1"/>
        <n v="4694" u="1"/>
        <n v="2248" u="1"/>
        <n v="4434" u="1"/>
        <n v="545" u="1"/>
        <n v="2118" u="1"/>
        <n v="4174" u="1"/>
        <n v="132" u="1"/>
        <n v="2018" u="1"/>
        <n v="4005" u="1"/>
        <n v="496" u="1"/>
        <n v="1953" u="1"/>
        <n v="3875" u="1"/>
        <n v="1888" u="1"/>
        <n v="3745" u="1"/>
        <n v="1823" u="1"/>
        <n v="3615" u="1"/>
        <n v="1758" u="1"/>
        <n v="3485" u="1"/>
        <n v="4891" u="1"/>
        <n v="431" u="1"/>
        <n v="1693" u="1"/>
        <n v="3355" u="1"/>
        <n v="4631" u="1"/>
        <n v="1628" u="1"/>
        <n v="3225" u="1"/>
        <n v="4371" u="1"/>
        <n v="1563" u="1"/>
        <n v="3095" u="1"/>
        <n v="4111" u="1"/>
        <n v="1498" u="1"/>
        <n v="2965" u="1"/>
        <n v="366" u="1"/>
        <n v="1433" u="1"/>
        <n v="2835" u="1"/>
        <n v="1368" u="1"/>
        <n v="2705" u="1"/>
        <n v="1303" u="1"/>
        <n v="2575" u="1"/>
        <n v="1238" u="1"/>
        <n v="2445" u="1"/>
        <n v="4828" u="1"/>
        <n v="301" u="1"/>
        <n v="1173" u="1"/>
        <n v="2315" u="1"/>
        <n v="4568" u="1"/>
        <n v="1108" u="1"/>
        <n v="2185" u="1"/>
        <n v="4308" u="1"/>
        <n v="1043" u="1"/>
        <n v="2055" u="1"/>
        <n v="4072" u="1"/>
        <n v="65" u="1"/>
        <n v="1001" u="1"/>
        <n v="3942" u="1"/>
        <n v="246" u="1"/>
        <n v="3812" u="1"/>
        <n v="936" u="1"/>
        <n v="3682" u="1"/>
        <n v="3552" u="1"/>
        <n v="871" u="1"/>
        <n v="3422" u="1"/>
        <n v="4765" u="1"/>
        <n v="3292" u="1"/>
        <n v="4505" u="1"/>
        <n v="806" u="1"/>
        <n v="3162" u="1"/>
        <n v="4245" u="1"/>
        <n v="3032" u="1"/>
        <n v="741" u="1"/>
        <n v="2902" u="1"/>
        <n v="181" u="1"/>
        <n v="2772" u="1"/>
        <n v="676" u="1"/>
        <n v="2642" u="1"/>
        <n v="2512" u="1"/>
        <n v="4962" u="1"/>
        <n v="611" u="1"/>
        <n v="2382" u="1"/>
        <n v="4702" u="1"/>
        <n v="2252" u="1"/>
        <n v="4442" u="1"/>
        <n v="546" u="1"/>
        <n v="2122" u="1"/>
        <n v="4182" u="1"/>
        <n v="2020" u="1"/>
        <n v="4009" u="1"/>
        <n v="1955" u="1"/>
        <n v="3879" u="1"/>
        <n v="122" u="1"/>
        <n v="1890" u="1"/>
        <n v="3749" u="1"/>
        <n v="464" u="1"/>
        <n v="1825" u="1"/>
        <n v="3619" u="1"/>
        <n v="1760" u="1"/>
        <n v="3489" u="1"/>
        <n v="4899" u="1"/>
        <n v="1695" u="1"/>
        <n v="3359" u="1"/>
        <n v="4639" u="1"/>
        <n v="1630" u="1"/>
        <n v="3229" u="1"/>
        <n v="4379" u="1"/>
        <n v="399" u="1"/>
        <n v="1565" u="1"/>
        <n v="3099" u="1"/>
        <n v="4119" u="1"/>
        <n v="1500" u="1"/>
        <n v="2969" u="1"/>
        <n v="1435" u="1"/>
        <n v="2839" u="1"/>
        <n v="1370" u="1"/>
        <n v="2709" u="1"/>
        <n v="334" u="1"/>
        <n v="1305" u="1"/>
        <n v="2579" u="1"/>
        <n v="1240" u="1"/>
        <n v="2449" u="1"/>
        <n v="4836" u="1"/>
        <n v="1175" u="1"/>
        <n v="2319" u="1"/>
        <n v="4576" u="1"/>
        <n v="1110" u="1"/>
        <n v="2189" u="1"/>
        <n v="4316" u="1"/>
        <n v="269" u="1"/>
        <n v="1045" u="1"/>
        <n v="2059" u="1"/>
        <n v="4076" u="1"/>
        <n v="1002" u="1"/>
        <n v="3946" u="1"/>
        <n v="3816" u="1"/>
        <n v="937" u="1"/>
        <n v="3686" u="1"/>
        <n v="230" u="1"/>
        <n v="3556" u="1"/>
        <n v="872" u="1"/>
        <n v="3426" u="1"/>
        <n v="4773" u="1"/>
        <n v="3296" u="1"/>
        <n v="4513" u="1"/>
        <n v="807" u="1"/>
        <n v="3166" u="1"/>
        <n v="4253" u="1"/>
        <n v="3036" u="1"/>
        <n v="742" u="1"/>
        <n v="2906" u="1"/>
        <n v="2776" u="1"/>
        <n v="677" u="1"/>
        <n v="2646" u="1"/>
        <n v="165" u="1"/>
        <n v="2516" u="1"/>
        <n v="4970" u="1"/>
        <n v="612" u="1"/>
        <n v="2386" u="1"/>
        <n v="4710" u="1"/>
        <n v="2256" u="1"/>
        <n v="4450" u="1"/>
        <n v="547" u="1"/>
        <n v="2126" u="1"/>
        <n v="4190" u="1"/>
        <n v="2022" u="1"/>
        <n v="4013" u="1"/>
        <n v="497" u="1"/>
        <n v="1957" u="1"/>
        <n v="3883" u="1"/>
        <n v="1892" u="1"/>
        <n v="3753" u="1"/>
        <n v="1827" u="1"/>
        <n v="3623" u="1"/>
        <n v="114" u="1"/>
        <n v="1762" u="1"/>
        <n v="3493" u="1"/>
        <n v="4907" u="1"/>
        <n v="432" u="1"/>
        <n v="1697" u="1"/>
        <n v="3363" u="1"/>
        <n v="4647" u="1"/>
        <n v="1632" u="1"/>
        <n v="3233" u="1"/>
        <n v="4387" u="1"/>
        <n v="1567" u="1"/>
        <n v="3103" u="1"/>
        <n v="4127" u="1"/>
        <n v="1502" u="1"/>
        <n v="2973" u="1"/>
        <n v="367" u="1"/>
        <n v="1437" u="1"/>
        <n v="2843" u="1"/>
        <n v="1372" u="1"/>
        <n v="2713" u="1"/>
        <n v="1307" u="1"/>
        <n v="2583" u="1"/>
        <n v="1242" u="1"/>
        <n v="2453" u="1"/>
        <n v="4844" u="1"/>
        <n v="302" u="1"/>
        <n v="1177" u="1"/>
        <n v="2323" u="1"/>
        <n v="4584" u="1"/>
        <n v="1112" u="1"/>
        <n v="2193" u="1"/>
        <n v="4324" u="1"/>
        <n v="1047" u="1"/>
        <n v="2063" u="1"/>
        <n v="4080" u="1"/>
        <n v="1003" u="1"/>
        <n v="3950" u="1"/>
        <n v="3820" u="1"/>
        <n v="938" u="1"/>
        <n v="3690" u="1"/>
        <n v="3560" u="1"/>
        <n v="873" u="1"/>
        <n v="3430" u="1"/>
        <n v="4781" u="1"/>
        <n v="214" u="1"/>
        <n v="3300" u="1"/>
        <n v="4521" u="1"/>
        <n v="808" u="1"/>
        <n v="3170" u="1"/>
        <n v="4261" u="1"/>
        <n v="3040" u="1"/>
        <n v="743" u="1"/>
        <n v="2910" u="1"/>
        <n v="2780" u="1"/>
        <n v="678" u="1"/>
        <n v="2650" u="1"/>
        <n v="2520" u="1"/>
        <n v="4978" u="1"/>
        <n v="613" u="1"/>
        <n v="2390" u="1"/>
        <n v="4718" u="1"/>
        <n v="149" u="1"/>
        <n v="2260" u="1"/>
        <n v="4458" u="1"/>
        <n v="548" u="1"/>
        <n v="2130" u="1"/>
        <n v="4198" u="1"/>
        <n v="2024" u="1"/>
        <n v="4017" u="1"/>
        <n v="1959" u="1"/>
        <n v="3887" u="1"/>
        <n v="1894" u="1"/>
        <n v="3757" u="1"/>
        <n v="465" u="1"/>
        <n v="1829" u="1"/>
        <n v="3627" u="1"/>
        <n v="1764" u="1"/>
        <n v="3497" u="1"/>
        <n v="4915" u="1"/>
        <n v="1699" u="1"/>
        <n v="3367" u="1"/>
        <n v="4655" u="1"/>
        <n v="106" u="1"/>
        <n v="1634" u="1"/>
        <n v="3237" u="1"/>
        <n v="4395" u="1"/>
        <n v="400" u="1"/>
        <n v="1569" u="1"/>
        <n v="3107" u="1"/>
        <n v="4135" u="1"/>
        <n v="1504" u="1"/>
        <n v="2977" u="1"/>
        <n v="1439" u="1"/>
        <n v="2847" u="1"/>
        <n v="1374" u="1"/>
        <n v="2717" u="1"/>
        <n v="335" u="1"/>
        <n v="1309" u="1"/>
        <n v="2587" u="1"/>
        <n v="1244" u="1"/>
        <n v="2457" u="1"/>
        <n v="4852" u="1"/>
        <n v="1179" u="1"/>
        <n v="2327" u="1"/>
        <n v="4592" u="1"/>
        <n v="1114" u="1"/>
        <n v="2197" u="1"/>
        <n v="4332" u="1"/>
        <n v="270" u="1"/>
        <n v="1049" u="1"/>
        <n v="2067" u="1"/>
        <n v="4084" u="1"/>
        <n v="1004" u="1"/>
        <n v="3954" u="1"/>
        <n v="3824" u="1"/>
        <n v="939" u="1"/>
        <n v="3694" u="1"/>
        <n v="3564" u="1"/>
        <n v="874" u="1"/>
        <n v="3434" u="1"/>
        <n v="4789" u="1"/>
        <n v="3304" u="1"/>
        <n v="4529" u="1"/>
        <n v="809" u="1"/>
        <n v="3174" u="1"/>
        <n v="4269" u="1"/>
        <n v="198" u="1"/>
        <n v="3044" u="1"/>
        <n v="744" u="1"/>
        <n v="2914" u="1"/>
        <n v="2784" u="1"/>
        <n v="679" u="1"/>
        <n v="2654" u="1"/>
        <n v="2524" u="1"/>
        <n v="4986" u="1"/>
        <n v="614" u="1"/>
        <n v="2394" u="1"/>
        <n v="4726" u="1"/>
        <n v="2264" u="1"/>
        <n v="4466" u="1"/>
        <n v="549" u="1"/>
        <n v="2134" u="1"/>
        <n v="4206" u="1"/>
        <n v="133" u="1"/>
        <n v="2026" u="1"/>
        <n v="4021" u="1"/>
        <n v="498" u="1"/>
        <n v="1961" u="1"/>
        <n v="3891" u="1"/>
        <n v="1896" u="1"/>
        <n v="3761" u="1"/>
        <n v="1831" u="1"/>
        <n v="3631" u="1"/>
        <n v="1766" u="1"/>
        <n v="3501" u="1"/>
        <n v="4923" u="1"/>
        <n v="433" u="1"/>
        <n v="1701" u="1"/>
        <n v="3371" u="1"/>
        <n v="4663" u="1"/>
        <n v="1636" u="1"/>
        <n v="3241" u="1"/>
        <n v="4403" u="1"/>
        <n v="1571" u="1"/>
        <n v="3111" u="1"/>
        <n v="4143" u="1"/>
        <n v="98" u="1"/>
        <n v="1506" u="1"/>
        <n v="2981" u="1"/>
        <n v="368" u="1"/>
        <n v="1441" u="1"/>
        <n v="2851" u="1"/>
        <n v="1376" u="1"/>
        <n v="2721" u="1"/>
        <n v="1311" u="1"/>
        <n v="2591" u="1"/>
        <n v="1246" u="1"/>
        <n v="2461" u="1"/>
        <n v="4860" u="1"/>
        <n v="303" u="1"/>
        <n v="1181" u="1"/>
        <n v="2331" u="1"/>
        <n v="4600" u="1"/>
        <n v="1116" u="1"/>
        <n v="2201" u="1"/>
        <n v="4340" u="1"/>
        <n v="1051" u="1"/>
        <n v="2071" u="1"/>
        <n v="4088" u="1"/>
        <n v="1005" u="1"/>
        <n v="3958" u="1"/>
        <n v="247" u="1"/>
        <n v="3828" u="1"/>
        <n v="940" u="1"/>
        <n v="3698" u="1"/>
        <n v="3568" u="1"/>
        <n v="875" u="1"/>
        <n v="3438" u="1"/>
        <n v="4797" u="1"/>
        <n v="3308" u="1"/>
        <n v="4537" u="1"/>
        <n v="810" u="1"/>
        <n v="3178" u="1"/>
        <n v="4277" u="1"/>
        <n v="3048" u="1"/>
        <n v="745" u="1"/>
        <n v="2918" u="1"/>
        <n v="182" u="1"/>
        <n v="2788" u="1"/>
        <n v="680" u="1"/>
        <n v="2658" u="1"/>
        <n v="2528" u="1"/>
        <n v="4994" u="1"/>
        <n v="615" u="1"/>
        <n v="2398" u="1"/>
        <n v="4734" u="1"/>
        <n v="2268" u="1"/>
        <n v="4474" u="1"/>
        <n v="550" u="1"/>
        <n v="2138" u="1"/>
        <n v="4214" u="1"/>
        <n v="2028" u="1"/>
        <n v="4025" u="1"/>
        <n v="1963" u="1"/>
        <n v="3895" u="1"/>
        <n v="1898" u="1"/>
        <n v="3765" u="1"/>
        <n v="466" u="1"/>
        <n v="1833" u="1"/>
        <n v="3635" u="1"/>
        <n v="1768" u="1"/>
        <n v="3505" u="1"/>
        <n v="4931" u="1"/>
        <n v="1703" u="1"/>
        <n v="3375" u="1"/>
        <n v="4671" u="1"/>
        <n v="1638" u="1"/>
        <n v="3245" u="1"/>
        <n v="4411" u="1"/>
        <n v="401" u="1"/>
        <n v="1573" u="1"/>
        <n v="3115" u="1"/>
        <n v="4151" u="1"/>
        <n v="1508" u="1"/>
        <n v="2985" u="1"/>
        <n v="1443" u="1"/>
        <n v="2855" u="1"/>
        <n v="90" u="1"/>
        <n v="1378" u="1"/>
        <n v="2725" u="1"/>
        <n v="336" u="1"/>
        <n v="1313" u="1"/>
        <n v="2595" u="1"/>
        <n v="1248" u="1"/>
        <n v="2465" u="1"/>
        <n v="4868" u="1"/>
        <n v="1183" u="1"/>
        <n v="2335" u="1"/>
        <n v="4608" u="1"/>
        <n v="1118" u="1"/>
        <n v="2205" u="1"/>
        <n v="4348" u="1"/>
        <n v="271" u="1"/>
        <n v="1053" u="1"/>
        <n v="2075" u="1"/>
        <n v="4092" u="1"/>
        <n v="1006" u="1"/>
        <n v="3962" u="1"/>
        <n v="3832" u="1"/>
        <n v="941" u="1"/>
        <n v="3702" u="1"/>
        <n v="231" u="1"/>
        <n v="3572" u="1"/>
        <n v="876" u="1"/>
        <n v="3442" u="1"/>
        <n v="4805" u="1"/>
        <n v="3312" u="1"/>
        <n v="4545" u="1"/>
        <n v="811" u="1"/>
        <n v="3182" u="1"/>
        <n v="4285" u="1"/>
        <n v="3052" u="1"/>
        <n v="746" u="1"/>
        <n v="2922" u="1"/>
        <n v="2792" u="1"/>
        <n v="681" u="1"/>
        <n v="2662" u="1"/>
        <n v="166" u="1"/>
        <n v="2532" u="1"/>
        <n v="616" u="1"/>
        <n v="2402" u="1"/>
        <n v="4742" u="1"/>
        <n v="2272" u="1"/>
        <n v="4482" u="1"/>
        <n v="551" u="1"/>
        <n v="2142" u="1"/>
        <n v="4222" u="1"/>
        <n v="2030" u="1"/>
        <n v="4029" u="1"/>
        <n v="499" u="1"/>
        <n v="1965" u="1"/>
        <n v="3899" u="1"/>
        <n v="1900" u="1"/>
        <n v="3769" u="1"/>
        <n v="1835" u="1"/>
        <n v="3639" u="1"/>
        <n v="1770" u="1"/>
        <n v="3509" u="1"/>
        <n v="4939" u="1"/>
        <n v="434" u="1"/>
        <n v="1705" u="1"/>
        <n v="3379" u="1"/>
        <n v="4679" u="1"/>
        <n v="1640" u="1"/>
        <n v="3249" u="1"/>
        <n v="4419" u="1"/>
        <n v="1575" u="1"/>
        <n v="3119" u="1"/>
        <n v="4159" u="1"/>
        <n v="1510" u="1"/>
        <n v="2989" u="1"/>
        <n v="369" u="1"/>
        <n v="1445" u="1"/>
        <n v="2859" u="1"/>
        <n v="1380" u="1"/>
        <n v="2729" u="1"/>
        <n v="1315" u="1"/>
        <n v="2599" u="1"/>
        <n v="82" u="1"/>
        <n v="1250" u="1"/>
        <n v="2469" u="1"/>
        <n v="4876" u="1"/>
        <n v="304" u="1"/>
        <n v="1185" u="1"/>
        <n v="2339" u="1"/>
        <n v="4616" u="1"/>
        <n v="1120" u="1"/>
        <n v="2209" u="1"/>
        <n v="4356" u="1"/>
        <n v="1055" u="1"/>
        <n v="2079" u="1"/>
        <n v="4096" u="1"/>
        <n v="1007" u="1"/>
        <n v="3966" u="1"/>
        <n v="3836" u="1"/>
        <n v="942" u="1"/>
        <n v="3706" u="1"/>
        <n v="3576" u="1"/>
        <n v="877" u="1"/>
        <n v="3446" u="1"/>
        <n v="4813" u="1"/>
        <n v="215" u="1"/>
        <n v="3316" u="1"/>
        <n v="4553" u="1"/>
        <n v="812" u="1"/>
        <n v="3186" u="1"/>
        <n v="4293" u="1"/>
        <n v="3056" u="1"/>
        <n v="747" u="1"/>
        <n v="2926" u="1"/>
        <n v="2796" u="1"/>
        <n v="682" u="1"/>
        <n v="2666" u="1"/>
        <n v="2536" u="1"/>
        <n v="617" u="1"/>
        <n v="2406" u="1"/>
        <n v="4750" u="1"/>
        <n v="150" u="1"/>
        <n v="2276" u="1"/>
        <n v="4490" u="1"/>
        <n v="552" u="1"/>
        <n v="2146" u="1"/>
        <n v="4230" u="1"/>
        <n v="2032" u="1"/>
        <n v="4033" u="1"/>
        <n v="1967" u="1"/>
        <n v="3903" u="1"/>
        <n v="1902" u="1"/>
        <n v="3773" u="1"/>
        <n v="467" u="1"/>
        <n v="1837" u="1"/>
        <n v="3643" u="1"/>
        <n v="1772" u="1"/>
        <n v="3513" u="1"/>
        <n v="4947" u="1"/>
        <n v="1707" u="1"/>
        <n v="3383" u="1"/>
        <n v="4687" u="1"/>
        <n v="1642" u="1"/>
        <n v="3253" u="1"/>
        <n v="4427" u="1"/>
        <n v="402" u="1"/>
        <n v="1577" u="1"/>
        <n v="3123" u="1"/>
        <n v="4167" u="1"/>
        <n v="1512" u="1"/>
        <n v="2993" u="1"/>
        <n v="1447" u="1"/>
        <n v="2863" u="1"/>
        <n v="1382" u="1"/>
        <n v="2733" u="1"/>
        <n v="337" u="1"/>
        <n v="1317" u="1"/>
        <n v="2603" u="1"/>
        <n v="1252" u="1"/>
        <n v="2473" u="1"/>
        <n v="4884" u="1"/>
        <n v="1187" u="1"/>
        <n v="2343" u="1"/>
        <n v="4624" u="1"/>
        <n v="74" u="1"/>
        <n v="1122" u="1"/>
        <n v="2213" u="1"/>
        <n v="4364" u="1"/>
        <n v="272" u="1"/>
        <n v="1057" u="1"/>
        <n v="2083" u="1"/>
        <n v="4104" u="1"/>
        <n v="1008" u="1"/>
        <n v="3970" u="1"/>
        <n v="3840" u="1"/>
        <n v="943" u="1"/>
        <n v="3710" u="1"/>
        <n v="3580" u="1"/>
        <n v="878" u="1"/>
        <n v="3450" u="1"/>
        <n v="4821" u="1"/>
        <n v="3320" u="1"/>
        <n v="4561" u="1"/>
        <n v="813" u="1"/>
        <n v="3190" u="1"/>
        <n v="4301" u="1"/>
        <n v="199" u="1"/>
        <n v="3060" u="1"/>
        <n v="748" u="1"/>
        <n v="2930" u="1"/>
        <n v="2800" u="1"/>
        <n v="683" u="1"/>
        <n v="2670" u="1"/>
        <n v="2540" u="1"/>
        <n v="618" u="1"/>
        <n v="2410" u="1"/>
        <n v="4758" u="1"/>
        <n v="2280" u="1"/>
        <n v="4498" u="1"/>
        <n v="553" u="1"/>
        <n v="2150" u="1"/>
        <n v="4238" u="1"/>
        <n v="134" u="1"/>
        <n v="2034" u="1"/>
        <n v="4037" u="1"/>
        <n v="500" u="1"/>
        <n v="1969" u="1"/>
        <n v="3907" u="1"/>
        <n v="1904" u="1"/>
        <n v="3777" u="1"/>
        <n v="1839" u="1"/>
        <n v="3647" u="1"/>
        <n v="1774" u="1"/>
        <n v="3517" u="1"/>
        <n v="4955" u="1"/>
        <n v="435" u="1"/>
        <n v="1709" u="1"/>
        <n v="3387" u="1"/>
        <n v="4695" u="1"/>
        <n v="1644" u="1"/>
        <n v="3257" u="1"/>
        <n v="4435" u="1"/>
        <n v="1579" u="1"/>
        <n v="3127" u="1"/>
        <n v="4175" u="1"/>
        <n v="1514" u="1"/>
        <n v="2997" u="1"/>
        <n v="370" u="1"/>
        <n v="1449" u="1"/>
        <n v="2867" u="1"/>
        <n v="1384" u="1"/>
        <n v="2737" u="1"/>
        <n v="1319" u="1"/>
        <n v="2607" u="1"/>
        <n v="1254" u="1"/>
        <n v="2477" u="1"/>
        <n v="4892" u="1"/>
        <n v="305" u="1"/>
        <n v="1189" u="1"/>
        <n v="2347" u="1"/>
        <n v="4632" u="1"/>
        <n v="1124" u="1"/>
        <n v="2217" u="1"/>
        <n v="4372" u="1"/>
        <n v="1059" u="1"/>
        <n v="2087" u="1"/>
        <n v="4112" u="1"/>
        <n v="66" u="1"/>
        <n v="1009" u="1"/>
        <n v="3974" u="1"/>
        <n v="248" u="1"/>
        <n v="3844" u="1"/>
        <n v="944" u="1"/>
        <n v="3714" u="1"/>
        <n v="3584" u="1"/>
        <n v="879" u="1"/>
        <n v="3454" u="1"/>
        <n v="4829" u="1"/>
        <n v="3324" u="1"/>
        <n v="4569" u="1"/>
        <n v="814" u="1"/>
        <n v="3194" u="1"/>
        <n v="4309" u="1"/>
        <n v="3064" u="1"/>
        <n v="749" u="1"/>
        <n v="2934" u="1"/>
        <n v="183" u="1"/>
        <n v="2804" u="1"/>
        <n v="684" u="1"/>
        <n v="2674" u="1"/>
        <n v="2544" u="1"/>
        <n v="619" u="1"/>
        <n v="2414" u="1"/>
        <n v="4766" u="1"/>
        <n v="2284" u="1"/>
        <n v="4506" u="1"/>
        <n v="554" u="1"/>
        <n v="2154" u="1"/>
        <n v="4246" u="1"/>
        <n v="2036" u="1"/>
        <n v="4041" u="1"/>
        <n v="1971" u="1"/>
        <n v="3911" u="1"/>
        <n v="123" u="1"/>
        <n v="1906" u="1"/>
        <n v="3781" u="1"/>
        <n v="468" u="1"/>
        <n v="1841" u="1"/>
        <n v="3651" u="1"/>
        <n v="1776" u="1"/>
        <n v="3521" u="1"/>
        <n v="4963" u="1"/>
        <n v="1711" u="1"/>
        <n v="3391" u="1"/>
        <n v="4703" u="1"/>
        <n v="1646" u="1"/>
        <n v="3261" u="1"/>
        <n v="4443" u="1"/>
        <n v="403" u="1"/>
        <n v="1581" u="1"/>
        <n v="3131" u="1"/>
        <n v="4183" u="1"/>
        <n v="1516" u="1"/>
        <n v="3001" u="1"/>
        <n v="1451" u="1"/>
        <n v="2871" u="1"/>
        <n v="1386" u="1"/>
        <n v="2741" u="1"/>
        <n v="338" u="1"/>
        <n v="1321" u="1"/>
        <n v="2611" u="1"/>
        <n v="1256" u="1"/>
        <n v="2481" u="1"/>
        <n v="4900" u="1"/>
        <n v="1191" u="1"/>
        <n v="2351" u="1"/>
        <n v="4640" u="1"/>
        <n v="1126" u="1"/>
        <n v="2221" u="1"/>
        <n v="4380" u="1"/>
        <n v="273" u="1"/>
        <n v="1061" u="1"/>
        <n v="2091" u="1"/>
        <n v="4120" u="1"/>
        <n v="1010" u="1"/>
        <n v="3978" u="1"/>
        <n v="3848" u="1"/>
        <n v="61" u="1"/>
        <n v="945" u="1"/>
        <n v="3718" u="1"/>
        <n v="232" u="1"/>
        <n v="3588" u="1"/>
        <n v="880" u="1"/>
        <n v="3458" u="1"/>
        <n v="4837" u="1"/>
        <n v="3328" u="1"/>
        <n v="4577" u="1"/>
        <n v="815" u="1"/>
        <n v="3198" u="1"/>
        <n v="4317" u="1"/>
        <n v="3068" u="1"/>
        <n v="750" u="1"/>
        <n v="2938" u="1"/>
        <n v="2808" u="1"/>
        <n v="685" u="1"/>
        <n v="2678" u="1"/>
        <n v="167" u="1"/>
        <n v="2548" u="1"/>
        <n v="620" u="1"/>
        <n v="2418" u="1"/>
        <n v="4774" u="1"/>
        <n v="2288" u="1"/>
        <n v="4514" u="1"/>
        <n v="555" u="1"/>
        <n v="2158" u="1"/>
        <n v="4254" u="1"/>
        <n v="2038" u="1"/>
        <n v="4045" u="1"/>
        <n v="501" u="1"/>
        <n v="1973" u="1"/>
        <n v="3915" u="1"/>
        <n v="1908" u="1"/>
        <n v="3785" u="1"/>
        <n v="1843" u="1"/>
        <n v="3655" u="1"/>
        <n v="115" u="1"/>
        <n v="1778" u="1"/>
        <n v="3525" u="1"/>
        <n v="4971" u="1"/>
        <n v="436" u="1"/>
        <n v="1713" u="1"/>
        <n v="3395" u="1"/>
        <n v="4711" u="1"/>
        <n v="1648" u="1"/>
        <n v="3265" u="1"/>
        <n v="4451" u="1"/>
        <n v="1583" u="1"/>
        <n v="3135" u="1"/>
        <n v="4191" u="1"/>
        <n v="1518" u="1"/>
        <n v="3005" u="1"/>
        <n v="371" u="1"/>
        <n v="1453" u="1"/>
        <n v="2875" u="1"/>
        <n v="1388" u="1"/>
        <n v="2745" u="1"/>
        <n v="1323" u="1"/>
        <n v="2615" u="1"/>
        <n v="1258" u="1"/>
        <n v="2485" u="1"/>
        <n v="4908" u="1"/>
        <n v="306" u="1"/>
        <n v="1193" u="1"/>
        <n v="2355" u="1"/>
        <n v="4648" u="1"/>
        <n v="1128" u="1"/>
        <n v="2225" u="1"/>
        <n v="4388" u="1"/>
        <n v="1063" u="1"/>
        <n v="2095" u="1"/>
        <n v="4128" u="1"/>
        <n v="1011" u="1"/>
        <n v="3982" u="1"/>
        <n v="3852" u="1"/>
        <n v="946" u="1"/>
        <n v="3722" u="1"/>
        <n v="3592" u="1"/>
        <n v="57" u="1"/>
        <n v="881" u="1"/>
        <n v="3462" u="1"/>
        <n v="4845" u="1"/>
        <n v="216" u="1"/>
        <n v="3332" u="1"/>
        <n v="4585" u="1"/>
        <n v="816" u="1"/>
        <n v="3202" u="1"/>
        <n v="4325" u="1"/>
        <n v="3072" u="1"/>
        <n v="751" u="1"/>
        <n v="2942" u="1"/>
        <n v="2812" u="1"/>
        <n v="686" u="1"/>
        <n v="2682" u="1"/>
        <n v="2552" u="1"/>
        <n v="621" u="1"/>
        <n v="2422" u="1"/>
        <n v="4782" u="1"/>
        <n v="151" u="1"/>
        <n v="2292" u="1"/>
        <n v="4522" u="1"/>
        <n v="556" u="1"/>
        <n v="2162" u="1"/>
        <n v="4262" u="1"/>
        <n v="2040" u="1"/>
        <n v="4049" u="1"/>
        <n v="1975" u="1"/>
        <n v="3919" u="1"/>
        <n v="1910" u="1"/>
        <n v="3789" u="1"/>
        <n v="469" u="1"/>
        <n v="1845" u="1"/>
        <n v="3659" u="1"/>
        <n v="1780" u="1"/>
        <n v="3529" u="1"/>
        <n v="4979" u="1"/>
        <n v="1715" u="1"/>
        <n v="3399" u="1"/>
        <n v="4719" u="1"/>
        <n v="107" u="1"/>
        <n v="1650" u="1"/>
        <n v="3269" u="1"/>
        <n v="4459" u="1"/>
        <n v="404" u="1"/>
        <n v="1585" u="1"/>
        <n v="3139" u="1"/>
        <n v="4199" u="1"/>
        <n v="1520" u="1"/>
        <n v="3009" u="1"/>
        <n v="1455" u="1"/>
        <n v="2879" u="1"/>
        <n v="1390" u="1"/>
        <n v="2749" u="1"/>
        <n v="339" u="1"/>
        <n v="1325" u="1"/>
        <n v="2619" u="1"/>
        <n v="1260" u="1"/>
        <n v="2489" u="1"/>
        <n v="4916" u="1"/>
        <n v="1195" u="1"/>
        <n v="2359" u="1"/>
        <n v="4656" u="1"/>
        <n v="1130" u="1"/>
        <n v="2229" u="1"/>
        <n v="4396" u="1"/>
        <n v="274" u="1"/>
        <n v="1065" u="1"/>
        <n v="2099" u="1"/>
        <n v="4136" u="1"/>
        <n v="1012" u="1"/>
        <n v="3986" u="1"/>
        <n v="3856" u="1"/>
        <n v="947" u="1"/>
        <n v="3726" u="1"/>
        <n v="3596" u="1"/>
        <n v="882" u="1"/>
        <n v="3466" u="1"/>
        <n v="4853" u="1"/>
        <n v="3336" u="1"/>
        <n v="4593" u="1"/>
        <n v="53" u="1"/>
        <n v="817" u="1"/>
        <n v="3206" u="1"/>
        <n v="4333" u="1"/>
        <n v="200" u="1"/>
        <n v="3076" u="1"/>
        <n v="752" u="1"/>
        <n v="2946" u="1"/>
        <n v="2816" u="1"/>
        <n v="687" u="1"/>
        <n v="2686" u="1"/>
        <n v="2556" u="1"/>
        <n v="622" u="1"/>
        <n v="2426" u="1"/>
        <n v="4790" u="1"/>
        <n v="2296" u="1"/>
        <n v="4530" u="1"/>
        <n v="557" u="1"/>
        <n v="2166" u="1"/>
        <n v="4270" u="1"/>
        <n v="135" u="1"/>
        <n v="2042" u="1"/>
        <n v="4053" u="1"/>
        <n v="502" u="1"/>
        <n v="1977" u="1"/>
        <n v="3923" u="1"/>
        <n v="1912" u="1"/>
        <n v="3793" u="1"/>
        <n v="1847" u="1"/>
        <n v="3663" u="1"/>
        <n v="1782" u="1"/>
        <n v="3533" u="1"/>
        <n v="4987" u="1"/>
        <n v="437" u="1"/>
        <n v="1717" u="1"/>
        <n v="3403" u="1"/>
        <n v="4727" u="1"/>
        <n v="1652" u="1"/>
        <n v="3273" u="1"/>
        <n v="4467" u="1"/>
        <n v="1587" u="1"/>
        <n v="3143" u="1"/>
        <n v="4207" u="1"/>
        <n v="99" u="1"/>
        <n v="1522" u="1"/>
        <n v="3013" u="1"/>
        <n v="372" u="1"/>
        <n v="1457" u="1"/>
        <n v="2883" u="1"/>
        <n v="1392" u="1"/>
        <n v="2753" u="1"/>
        <n v="1327" u="1"/>
        <n v="2623" u="1"/>
        <n v="1262" u="1"/>
        <n v="2493" u="1"/>
        <n v="4924" u="1"/>
        <n v="307" u="1"/>
        <n v="1197" u="1"/>
        <n v="2363" u="1"/>
        <n v="4664" u="1"/>
        <n v="1132" u="1"/>
        <n v="2233" u="1"/>
        <n v="4404" u="1"/>
        <n v="1067" u="1"/>
        <n v="2103" u="1"/>
        <n v="4144" u="1"/>
        <n v="1013" u="1"/>
        <n v="3990" u="1"/>
        <n v="249" u="1"/>
        <n v="3860" u="1"/>
        <n v="948" u="1"/>
        <n v="3730" u="1"/>
        <n v="3600" u="1"/>
        <n v="883" u="1"/>
        <n v="3470" u="1"/>
        <n v="4861" u="1"/>
        <n v="3340" u="1"/>
        <n v="4601" u="1"/>
        <n v="818" u="1"/>
        <n v="3210" u="1"/>
        <n v="4341" u="1"/>
        <n v="3080" u="1"/>
        <n v="753" u="1"/>
        <n v="2950" u="1"/>
        <n v="184" u="1"/>
        <n v="2820" u="1"/>
        <n v="688" u="1"/>
        <n v="2690" u="1"/>
        <n v="2560" u="1"/>
        <n v="623" u="1"/>
        <n v="2430" u="1"/>
        <n v="4798" u="1"/>
        <n v="2300" u="1"/>
        <n v="4538" u="1"/>
        <n v="558" u="1"/>
        <n v="2170" u="1"/>
        <n v="4278" u="1"/>
        <n v="2044" u="1"/>
        <n v="4057" u="1"/>
        <n v="1979" u="1"/>
        <n v="3927" u="1"/>
        <n v="1914" u="1"/>
        <n v="3797" u="1"/>
        <n v="470" u="1"/>
        <n v="1849" u="1"/>
        <n v="3667" u="1"/>
        <n v="1784" u="1"/>
        <n v="3537" u="1"/>
        <n v="4995" u="1"/>
        <n v="1719" u="1"/>
        <n v="3407" u="1"/>
        <n v="4735" u="1"/>
        <n v="1654" u="1"/>
        <n v="3277" u="1"/>
        <n v="4475" u="1"/>
        <n v="405" u="1"/>
        <n v="1589" u="1"/>
        <n v="3147" u="1"/>
        <n v="4215" u="1"/>
        <n v="1524" u="1"/>
        <n v="3017" u="1"/>
        <n v="1459" u="1"/>
        <n v="2887" u="1"/>
        <n v="91" u="1"/>
        <n v="1394" u="1"/>
        <n v="2757" u="1"/>
        <n v="340" u="1"/>
        <n v="1329" u="1"/>
        <n v="2627" u="1"/>
        <n v="1264" u="1"/>
        <n v="2497" u="1"/>
        <n v="4932" u="1"/>
        <n v="1199" u="1"/>
        <n v="2367" u="1"/>
        <n v="4672" u="1"/>
        <n v="1134" u="1"/>
        <n v="2237" u="1"/>
        <n v="4412" u="1"/>
        <n v="275" u="1"/>
        <n v="1069" u="1"/>
        <n v="2107" u="1"/>
        <n v="4152" u="1"/>
        <n v="1014" u="1"/>
        <n v="3994" u="1"/>
        <n v="3864" u="1"/>
        <n v="949" u="1"/>
        <n v="3734" u="1"/>
        <n v="233" u="1"/>
        <n v="3604" u="1"/>
        <n v="884" u="1"/>
        <n v="3474" u="1"/>
        <n v="4869" u="1"/>
        <n v="3344" u="1"/>
        <n v="4609" u="1"/>
        <n v="819" u="1"/>
        <n v="3214" u="1"/>
        <n v="4349" u="1"/>
        <n v="3084" u="1"/>
        <n v="754" u="1"/>
        <n v="2954" u="1"/>
        <n v="2824" u="1"/>
        <n v="689" u="1"/>
        <n v="2694" u="1"/>
        <n v="168" u="1"/>
        <n v="2564" u="1"/>
        <n v="624" u="1"/>
        <n v="2434" u="1"/>
        <n v="4806" u="1"/>
        <n v="2304" u="1"/>
        <n v="4546" u="1"/>
        <n v="559" u="1"/>
        <n v="2174" u="1"/>
        <n v="4286" u="1"/>
        <n v="2046" u="1"/>
        <n v="4061" u="1"/>
        <n v="503" u="1"/>
        <n v="1981" u="1"/>
        <n v="3931" u="1"/>
        <n v="1916" u="1"/>
        <n v="3801" u="1"/>
        <n v="1851" u="1"/>
        <n v="3671" u="1"/>
        <n v="1786" u="1"/>
        <n v="3541" u="1"/>
        <n v="438" u="1"/>
        <n v="1721" u="1"/>
        <n v="3411" u="1"/>
        <n v="4743" u="1"/>
        <n v="1656" u="1"/>
        <n v="3281" u="1"/>
        <n v="4483" u="1"/>
        <n v="1591" u="1"/>
        <n v="3151" u="1"/>
        <n v="4223" u="1"/>
        <n v="1526" u="1"/>
        <n v="3021" u="1"/>
        <n v="373" u="1"/>
        <n v="1461" u="1"/>
        <n v="2891" u="1"/>
        <n v="1396" u="1"/>
        <n v="2761" u="1"/>
        <n v="1331" u="1"/>
        <n v="2631" u="1"/>
        <n v="83" u="1"/>
        <n v="1266" u="1"/>
        <n v="2501" u="1"/>
        <n v="4940" u="1"/>
        <n v="308" u="1"/>
        <n v="1201" u="1"/>
        <n v="2371" u="1"/>
        <n v="4680" u="1"/>
        <n v="1136" u="1"/>
        <n v="2241" u="1"/>
        <n v="4420" u="1"/>
        <n v="1071" u="1"/>
        <n v="2111" u="1"/>
        <n v="4160" u="1"/>
        <n v="1015" u="1"/>
        <n v="3998" u="1"/>
        <n v="3868" u="1"/>
        <n v="950" u="1"/>
        <n v="3738" u="1"/>
        <n v="3608" u="1"/>
        <n v="885" u="1"/>
        <n v="3478" u="1"/>
        <n v="4877" u="1"/>
        <n v="217" u="1"/>
        <n v="3348" u="1"/>
        <n v="4617" u="1"/>
        <n v="820" u="1"/>
        <n v="3218" u="1"/>
        <n v="4357" u="1"/>
        <n v="3088" u="1"/>
        <n v="4097" u="1"/>
        <n v="755" u="1"/>
        <n v="2958" u="1"/>
        <n v="2828" u="1"/>
        <n v="690" u="1"/>
        <n v="2698" u="1"/>
        <n v="2568" u="1"/>
        <n v="625" u="1"/>
        <n v="2438" u="1"/>
        <n v="4814" u="1"/>
        <n v="152" u="1"/>
        <n v="2308" u="1"/>
        <n v="4554" u="1"/>
        <n v="560" u="1"/>
        <n v="2178" u="1"/>
        <n v="4294" u="1"/>
        <n v="2048" u="1"/>
        <n v="4065" u="1"/>
        <n v="1983" u="1"/>
        <n v="3935" u="1"/>
        <n v="1918" u="1"/>
        <n v="3805" u="1"/>
        <n v="471" u="1"/>
        <n v="1853" u="1"/>
        <n v="3675" u="1"/>
        <n v="1788" u="1"/>
        <n v="3545" u="1"/>
        <n v="1723" u="1"/>
        <n v="3415" u="1"/>
        <n v="4751" u="1"/>
        <n v="1658" u="1"/>
        <n v="3285" u="1"/>
        <n v="4491" u="1"/>
        <n v="406" u="1"/>
        <n v="1593" u="1"/>
        <n v="3155" u="1"/>
        <n v="4231" u="1"/>
        <n v="1528" u="1"/>
        <n v="3025" u="1"/>
        <n v="1463" u="1"/>
        <n v="2895" u="1"/>
        <n v="1398" u="1"/>
        <n v="2765" u="1"/>
        <n v="341" u="1"/>
        <n v="1333" u="1"/>
        <n v="2635" u="1"/>
        <n v="1268" u="1"/>
        <n v="2505" u="1"/>
        <n v="4948" u="1"/>
        <n v="1203" u="1"/>
        <n v="2375" u="1"/>
        <n v="4688" u="1"/>
        <n v="75" u="1"/>
        <n v="1138" u="1"/>
        <n v="2245" u="1"/>
        <n v="4428" u="1"/>
        <n v="276" u="1"/>
        <n v="1073" u="1"/>
        <n v="2115" u="1"/>
        <n v="4168" u="1"/>
        <n v="1016" u="1"/>
        <n v="4002" u="1"/>
        <n v="3872" u="1"/>
        <n v="951" u="1"/>
        <n v="3742" u="1"/>
        <n v="3612" u="1"/>
        <n v="886" u="1"/>
        <n v="3482" u="1"/>
        <n v="4885" u="1"/>
        <n v="3352" u="1"/>
        <n v="4625" u="1"/>
        <n v="821" u="1"/>
        <n v="3222" u="1"/>
        <n v="4365" u="1"/>
        <n v="201" u="1"/>
        <n v="3092" u="1"/>
        <n v="4105" u="1"/>
        <n v="756" u="1"/>
        <n v="2962" u="1"/>
        <n v="2832" u="1"/>
        <n v="691" u="1"/>
        <n v="2702" u="1"/>
        <n v="2572" u="1"/>
        <n v="626" u="1"/>
        <n v="2442" u="1"/>
        <n v="4822" u="1"/>
        <n v="2312" u="1"/>
        <n v="4562" u="1"/>
        <n v="561" u="1"/>
        <n v="2182" u="1"/>
        <n v="4302" u="1"/>
        <n v="136" u="1"/>
        <n v="2052" u="1"/>
        <n v="4069" u="1"/>
        <n v="504" u="1"/>
        <n v="1985" u="1"/>
        <n v="3939" u="1"/>
        <n v="1920" u="1"/>
        <n v="3809" u="1"/>
        <n v="1855" u="1"/>
        <n v="3679" u="1"/>
        <n v="1790" u="1"/>
        <n v="3549" u="1"/>
        <n v="439" u="1"/>
        <n v="1725" u="1"/>
        <n v="3419" u="1"/>
        <n v="4759" u="1"/>
        <n v="1660" u="1"/>
        <n v="3289" u="1"/>
        <n v="4499" u="1"/>
        <n v="1595" u="1"/>
        <n v="3159" u="1"/>
        <n v="4239" u="1"/>
        <n v="1530" u="1"/>
        <n v="3029" u="1"/>
        <n v="374" u="1"/>
        <n v="1465" u="1"/>
        <n v="2899" u="1"/>
        <n v="1400" u="1"/>
        <n v="2769" u="1"/>
        <n v="1335" u="1"/>
        <n v="2639" u="1"/>
        <n v="1270" u="1"/>
        <n v="2509" u="1"/>
        <n v="4956" u="1"/>
        <n v="309" u="1"/>
        <n v="1205" u="1"/>
        <n v="2379" u="1"/>
        <n v="4696" u="1"/>
        <n v="1140" u="1"/>
        <n v="2249" u="1"/>
        <n v="4436" u="1"/>
        <n v="1075" u="1"/>
        <n v="2119" u="1"/>
        <n v="4176" u="1"/>
        <n v="67" u="1"/>
        <n v="1017" u="1"/>
        <n v="4006" u="1"/>
        <n v="250" u="1"/>
        <n v="3876" u="1"/>
        <n v="952" u="1"/>
        <n v="3746" u="1"/>
        <n v="3616" u="1"/>
        <n v="887" u="1"/>
        <n v="3486" u="1"/>
        <n v="4893" u="1"/>
        <n v="3356" u="1"/>
        <n v="4633" u="1"/>
        <n v="822" u="1"/>
        <n v="3226" u="1"/>
        <n v="4373" u="1"/>
        <n v="3096" u="1"/>
        <n v="4113" u="1"/>
        <n v="757" u="1"/>
        <n v="2966" u="1"/>
        <n v="185" u="1"/>
        <n v="2836" u="1"/>
        <n v="692" u="1"/>
        <n v="2706" u="1"/>
        <n v="2576" u="1"/>
        <n v="627" u="1"/>
        <n v="2446" u="1"/>
        <n v="4830" u="1"/>
        <n v="2316" u="1"/>
        <n v="4570" u="1"/>
        <n v="562" u="1"/>
        <n v="2186" u="1"/>
        <n v="4310" u="1"/>
        <n v="2056" u="1"/>
        <n v="4073" u="1"/>
        <n v="1987" u="1"/>
        <n v="3943" u="1"/>
        <n v="124" u="1"/>
        <n v="1922" u="1"/>
        <n v="3813" u="1"/>
        <n v="472" u="1"/>
        <n v="1857" u="1"/>
        <n v="3683" u="1"/>
        <n v="1792" u="1"/>
        <n v="3553" u="1"/>
        <n v="1727" u="1"/>
        <n v="3423" u="1"/>
        <n v="4767" u="1"/>
        <n v="1662" u="1"/>
        <n v="3293" u="1"/>
        <n v="4507" u="1"/>
        <n v="407" u="1"/>
        <n v="1597" u="1"/>
        <n v="3163" u="1"/>
        <n v="4247" u="1"/>
        <n v="1532" u="1"/>
        <n v="3033" u="1"/>
        <n v="1467" u="1"/>
        <n v="2903" u="1"/>
        <n v="1402" u="1"/>
        <n v="2773" u="1"/>
        <n v="342" u="1"/>
        <n v="1337" u="1"/>
        <n v="2643" u="1"/>
        <n v="1272" u="1"/>
        <n v="2513" u="1"/>
        <n v="4964" u="1"/>
        <n v="1207" u="1"/>
        <n v="2383" u="1"/>
        <n v="4704" u="1"/>
        <n v="1142" u="1"/>
        <n v="2253" u="1"/>
        <n v="4444" u="1"/>
        <n v="277" u="1"/>
        <n v="1077" u="1"/>
        <n v="2123" u="1"/>
        <n v="4184" u="1"/>
        <n v="1018" u="1"/>
        <n v="4010" u="1"/>
        <n v="3880" u="1"/>
        <n v="953" u="1"/>
        <n v="3750" u="1"/>
        <n v="234" u="1"/>
        <n v="3620" u="1"/>
        <n v="888" u="1"/>
        <n v="3490" u="1"/>
        <n v="4901" u="1"/>
        <n v="3360" u="1"/>
        <n v="4641" u="1"/>
        <n v="823" u="1"/>
        <n v="3230" u="1"/>
        <n v="4381" u="1"/>
        <n v="3100" u="1"/>
        <n v="4121" u="1"/>
        <n v="758" u="1"/>
        <n v="2970" u="1"/>
        <n v="2840" u="1"/>
        <n v="693" u="1"/>
        <n v="2710" u="1"/>
        <n v="169" u="1"/>
        <n v="2580" u="1"/>
        <n v="628" u="1"/>
        <n v="2450" u="1"/>
        <n v="4838" u="1"/>
        <n v="2320" u="1"/>
        <n v="4578" u="1"/>
        <n v="563" u="1"/>
        <n v="2190" u="1"/>
        <n v="4318" u="1"/>
        <n v="2060" u="1"/>
        <n v="4077" u="1"/>
        <n v="505" u="1"/>
        <n v="1989" u="1"/>
        <n v="3947" u="1"/>
        <n v="1924" u="1"/>
        <n v="3817" u="1"/>
        <n v="1859" u="1"/>
        <n v="3687" u="1"/>
        <n v="116" u="1"/>
        <n v="1794" u="1"/>
        <n v="3557" u="1"/>
        <n v="440" u="1"/>
        <n v="1729" u="1"/>
        <n v="3427" u="1"/>
        <n v="4775" u="1"/>
        <n v="1664" u="1"/>
        <n v="3297" u="1"/>
        <n v="4515" u="1"/>
        <n v="1599" u="1"/>
        <n v="3167" u="1"/>
        <n v="4255" u="1"/>
        <n v="1534" u="1"/>
        <n v="3037" u="1"/>
        <n v="375" u="1"/>
        <n v="1469" u="1"/>
        <n v="2907" u="1"/>
        <n v="1404" u="1"/>
        <n v="2777" u="1"/>
        <n v="1339" u="1"/>
        <n v="2647" u="1"/>
        <n v="1274" u="1"/>
        <n v="2517" u="1"/>
        <n v="4972" u="1"/>
        <n v="310" u="1"/>
        <n v="1209" u="1"/>
        <n v="2387" u="1"/>
        <n v="4712" u="1"/>
        <n v="1144" u="1"/>
        <n v="2257" u="1"/>
        <n v="4452" u="1"/>
        <n v="1079" u="1"/>
        <n v="2127" u="1"/>
        <n v="4192" u="1"/>
        <n v="1019" u="1"/>
        <n v="4014" u="1"/>
        <n v="3884" u="1"/>
        <n v="954" u="1"/>
        <n v="3754" u="1"/>
        <n v="3624" u="1"/>
        <n v="889" u="1"/>
        <n v="3494" u="1"/>
        <n v="4909" u="1"/>
        <n v="218" u="1"/>
        <n v="3364" u="1"/>
        <n v="4649" u="1"/>
        <n v="824" u="1"/>
        <n v="3234" u="1"/>
        <n v="4389" u="1"/>
        <n v="3104" u="1"/>
        <n v="4129" u="1"/>
        <n v="759" u="1"/>
        <n v="2974" u="1"/>
        <n v="2844" u="1"/>
        <n v="694" u="1"/>
        <n v="2714" u="1"/>
        <n v="2584" u="1"/>
        <n v="629" u="1"/>
        <n v="2454" u="1"/>
        <n v="4846" u="1"/>
        <n v="153" u="1"/>
        <n v="2324" u="1"/>
        <n v="4586" u="1"/>
        <n v="564" u="1"/>
        <n v="2194" u="1"/>
        <n v="4326" u="1"/>
        <n v="2064" u="1"/>
        <n v="4081" u="1"/>
        <n v="1991" u="1"/>
        <n v="3951" u="1"/>
        <n v="1926" u="1"/>
        <n v="3821" u="1"/>
        <n v="473" u="1"/>
        <n v="1861" u="1"/>
        <n v="3691" u="1"/>
        <n v="1796" u="1"/>
        <n v="3561" u="1"/>
        <n v="1731" u="1"/>
        <n v="3431" u="1"/>
        <n v="4783" u="1"/>
        <n v="108" u="1"/>
        <n v="1666" u="1"/>
        <n v="3301" u="1"/>
        <n v="4523" u="1"/>
        <n v="408" u="1"/>
        <n v="1601" u="1"/>
        <n v="3171" u="1"/>
        <n v="4263" u="1"/>
        <n v="1536" u="1"/>
        <n v="3041" u="1"/>
        <n v="1471" u="1"/>
        <n v="2911" u="1"/>
        <n v="1406" u="1"/>
        <n v="2781" u="1"/>
        <n v="343" u="1"/>
        <n v="1341" u="1"/>
        <n v="2651" u="1"/>
        <n v="1276" u="1"/>
        <n v="2521" u="1"/>
        <n v="4980" u="1"/>
        <n v="1211" u="1"/>
        <n v="2391" u="1"/>
        <n v="4720" u="1"/>
        <n v="1146" u="1"/>
        <n v="2261" u="1"/>
        <n v="4460" u="1"/>
        <n v="278" u="1"/>
        <n v="1081" u="1"/>
        <n v="2131" u="1"/>
        <n v="4200" u="1"/>
        <n v="1020" u="1"/>
        <n v="4018" u="1"/>
        <n v="3888" u="1"/>
        <n v="955" u="1"/>
        <n v="3758" u="1"/>
        <n v="3628" u="1"/>
        <n v="890" u="1"/>
        <n v="3498" u="1"/>
        <n v="4917" u="1"/>
        <n v="3368" u="1"/>
        <n v="4657" u="1"/>
        <n v="825" u="1"/>
        <n v="3238" u="1"/>
        <n v="4397" u="1"/>
        <n v="202" u="1"/>
        <n v="3108" u="1"/>
        <n v="4137" u="1"/>
        <n v="760" u="1"/>
        <n v="2978" u="1"/>
        <n v="2848" u="1"/>
        <n v="695" u="1"/>
        <n v="2718" u="1"/>
        <n v="2588" u="1"/>
        <n v="630" u="1"/>
        <n v="2458" u="1"/>
        <n v="4854" u="1"/>
        <n v="2328" u="1"/>
        <n v="4594" u="1"/>
        <n v="565" u="1"/>
        <n v="2198" u="1"/>
        <n v="4334" u="1"/>
        <n v="137" u="1"/>
        <n v="2068" u="1"/>
        <n v="4085" u="1"/>
        <n v="506" u="1"/>
        <n v="1993" u="1"/>
        <n v="3955" u="1"/>
        <n v="1928" u="1"/>
        <n v="3825" u="1"/>
        <n v="1863" u="1"/>
        <n v="3695" u="1"/>
        <n v="1798" u="1"/>
        <n v="3565" u="1"/>
        <n v="441" u="1"/>
        <n v="1733" u="1"/>
        <n v="3435" u="1"/>
        <n v="4791" u="1"/>
        <n v="1668" u="1"/>
        <n v="3305" u="1"/>
        <n v="4531" u="1"/>
        <n v="1603" u="1"/>
        <n v="3175" u="1"/>
        <n v="4271" u="1"/>
        <n v="100" u="1"/>
        <n v="1538" u="1"/>
        <n v="3045" u="1"/>
        <n v="376" u="1"/>
        <n v="1473" u="1"/>
        <n v="2915" u="1"/>
        <n v="1408" u="1"/>
        <n v="2785" u="1"/>
        <n v="1343" u="1"/>
        <n v="2655" u="1"/>
        <n v="1278" u="1"/>
        <n v="2525" u="1"/>
        <n v="4988" u="1"/>
        <n v="311" u="1"/>
        <n v="1213" u="1"/>
        <n v="2395" u="1"/>
        <n v="4728" u="1"/>
        <n v="1148" u="1"/>
        <n v="2265" u="1"/>
        <n v="4468" u="1"/>
        <n v="1083" u="1"/>
        <n v="2135" u="1"/>
        <n v="4208" u="1"/>
        <n v="1021" u="1"/>
        <n v="4022" u="1"/>
        <n v="251" u="1"/>
        <n v="3892" u="1"/>
        <n v="956" u="1"/>
        <n v="3762" u="1"/>
        <n v="3632" u="1"/>
        <n v="891" u="1"/>
        <n v="3502" u="1"/>
        <n v="4925" u="1"/>
        <n v="3372" u="1"/>
        <n v="4665" u="1"/>
        <n v="826" u="1"/>
        <n v="3242" u="1"/>
        <n v="4405" u="1"/>
        <n v="3112" u="1"/>
        <n v="4145" u="1"/>
        <n v="761" u="1"/>
        <n v="2982" u="1"/>
        <n v="186" u="1"/>
        <n v="2852" u="1"/>
        <n v="696" u="1"/>
        <n v="2722" u="1"/>
        <n v="2592" u="1"/>
        <n v="631" u="1"/>
        <n v="2462" u="1"/>
        <n v="4862" u="1"/>
        <n v="2332" u="1"/>
        <n v="4602" u="1"/>
        <n v="566" u="1"/>
        <n v="2202" u="1"/>
        <n v="4342" u="1"/>
        <n v="2072" u="1"/>
        <n v="4089" u="1"/>
        <n v="1995" u="1"/>
        <n v="3959" u="1"/>
        <n v="1930" u="1"/>
        <n v="3829" u="1"/>
        <n v="474" u="1"/>
        <n v="1865" u="1"/>
        <n v="3699" u="1"/>
        <n v="1800" u="1"/>
        <n v="3569" u="1"/>
        <n v="1735" u="1"/>
        <n v="3439" u="1"/>
        <n v="4799" u="1"/>
        <n v="1670" u="1"/>
        <n v="3309" u="1"/>
        <n v="4539" u="1"/>
        <n v="409" u="1"/>
        <n v="1605" u="1"/>
        <n v="3179" u="1"/>
        <n v="4279" u="1"/>
        <n v="1540" u="1"/>
        <n v="3049" u="1"/>
        <n v="1475" u="1"/>
        <n v="2919" u="1"/>
        <n v="92" u="1"/>
        <n v="1410" u="1"/>
        <n v="2789" u="1"/>
        <n v="344" u="1"/>
        <n v="1345" u="1"/>
        <n v="2659" u="1"/>
        <n v="1280" u="1"/>
        <n v="2529" u="1"/>
        <n v="4996" u="1"/>
        <n v="1215" u="1"/>
        <n v="2399" u="1"/>
        <n v="4736" u="1"/>
        <n v="1150" u="1"/>
        <n v="2269" u="1"/>
        <n v="4476" u="1"/>
        <n v="279" u="1"/>
        <n v="1085" u="1"/>
        <n v="2139" u="1"/>
        <n v="4216" u="1"/>
        <n v="1022" u="1"/>
        <n v="4026" u="1"/>
        <n v="3896" u="1"/>
        <n v="957" u="1"/>
        <n v="3766" u="1"/>
        <n v="235" u="1"/>
        <n v="3636" u="1"/>
        <n v="892" u="1"/>
        <n v="3506" u="1"/>
        <n v="4933" u="1"/>
        <n v="3376" u="1"/>
        <n v="4673" u="1"/>
        <n v="827" u="1"/>
        <n v="3246" u="1"/>
        <n v="4413" u="1"/>
        <n v="3116" u="1"/>
        <n v="4153" u="1"/>
        <n v="762" u="1"/>
        <n v="2986" u="1"/>
        <n v="2856" u="1"/>
        <n v="697" u="1"/>
        <n v="2726" u="1"/>
        <n v="170" u="1"/>
        <n v="2596" u="1"/>
        <n v="632" u="1"/>
        <n v="2466" u="1"/>
        <n v="4870" u="1"/>
        <n v="2336" u="1"/>
        <n v="4610" u="1"/>
        <n v="567" u="1"/>
        <n v="2206" u="1"/>
        <n v="4350" u="1"/>
        <n v="2076" u="1"/>
        <n v="4093" u="1"/>
        <n v="507" u="1"/>
        <n v="1997" u="1"/>
        <n v="3963" u="1"/>
        <n v="1932" u="1"/>
        <n v="3833" u="1"/>
        <n v="1867" u="1"/>
        <n v="3703" u="1"/>
        <n v="1802" u="1"/>
        <n v="3573" u="1"/>
        <n v="442" u="1"/>
        <n v="1737" u="1"/>
        <n v="3443" u="1"/>
        <n v="4807" u="1"/>
        <n v="1672" u="1"/>
        <n v="3313" u="1"/>
        <n v="4547" u="1"/>
        <n v="1607" u="1"/>
        <n v="3183" u="1"/>
        <n v="4287" u="1"/>
        <n v="1542" u="1"/>
        <n v="3053" u="1"/>
        <n v="377" u="1"/>
        <n v="1477" u="1"/>
        <n v="2923" u="1"/>
        <n v="1412" u="1"/>
        <n v="2793" u="1"/>
        <n v="1347" u="1"/>
        <n v="2663" u="1"/>
        <n v="84" u="1"/>
        <n v="1282" u="1"/>
        <n v="2533" u="1"/>
        <n v="312" u="1"/>
        <n v="1217" u="1"/>
        <n v="2403" u="1"/>
        <n v="4744" u="1"/>
        <n v="1152" u="1"/>
        <n v="2273" u="1"/>
        <n v="4484" u="1"/>
        <n v="1087" u="1"/>
        <n v="2143" u="1"/>
        <n v="4224" u="1"/>
        <n v="1023" u="1"/>
        <n v="4030" u="1"/>
        <n v="3900" u="1"/>
        <n v="958" u="1"/>
        <n v="3770" u="1"/>
        <n v="3640" u="1"/>
        <n v="893" u="1"/>
        <n v="3510" u="1"/>
        <n v="4941" u="1"/>
        <n v="219" u="1"/>
        <n v="3380" u="1"/>
        <n v="4681" u="1"/>
        <n v="828" u="1"/>
        <n v="3250" u="1"/>
        <n v="4421" u="1"/>
        <n v="3120" u="1"/>
        <n v="4161" u="1"/>
        <n v="763" u="1"/>
        <n v="2990" u="1"/>
        <n v="2860" u="1"/>
        <n v="698" u="1"/>
        <n v="2730" u="1"/>
        <n v="2600" u="1"/>
        <n v="633" u="1"/>
        <n v="2470" u="1"/>
        <n v="4878" u="1"/>
        <n v="154" u="1"/>
        <n v="2340" u="1"/>
        <n v="4618" u="1"/>
        <n v="568" u="1"/>
        <n v="2210" u="1"/>
        <n v="4358" u="1"/>
        <n v="2080" u="1"/>
        <n v="4098" u="1"/>
        <n v="1999" u="1"/>
        <n v="3967" u="1"/>
        <n v="1934" u="1"/>
        <n v="3837" u="1"/>
        <n v="475" u="1"/>
        <n v="1869" u="1"/>
        <n v="3707" u="1"/>
        <n v="1804" u="1"/>
        <n v="3577" u="1"/>
        <n v="1739" u="1"/>
        <n v="3447" u="1"/>
        <n v="4815" u="1"/>
        <n v="1674" u="1"/>
        <n v="3317" u="1"/>
        <n v="4555" u="1"/>
        <n v="410" u="1"/>
        <n v="1609" u="1"/>
        <n v="3187" u="1"/>
        <n v="4295" u="1"/>
        <n v="1544" u="1"/>
        <n v="3057" u="1"/>
        <n v="1479" u="1"/>
        <n v="2927" u="1"/>
        <n v="1414" u="1"/>
        <n v="2797" u="1"/>
        <n v="345" u="1"/>
        <n v="1349" u="1"/>
        <n v="2667" u="1"/>
        <n v="1284" u="1"/>
        <n v="2537" u="1"/>
        <n v="1219" u="1"/>
        <n v="2407" u="1"/>
        <n v="4752" u="1"/>
        <n v="76" u="1"/>
        <n v="1154" u="1"/>
        <n v="2277" u="1"/>
        <n v="4492" u="1"/>
        <n v="280" u="1"/>
        <n v="1089" u="1"/>
        <n v="2147" u="1"/>
        <n v="4232" u="1"/>
        <n v="1024" u="1"/>
        <n v="4034" u="1"/>
        <n v="3904" u="1"/>
        <n v="959" u="1"/>
        <n v="3774" u="1"/>
        <n v="3644" u="1"/>
        <n v="894" u="1"/>
        <n v="3514" u="1"/>
        <n v="4949" u="1"/>
        <n v="3384" u="1"/>
        <n v="4689" u="1"/>
        <n v="829" u="1"/>
        <n v="3254" u="1"/>
        <n v="4429" u="1"/>
        <n v="203" u="1"/>
        <n v="3124" u="1"/>
        <n v="4169" u="1"/>
        <n v="764" u="1"/>
        <n v="2994" u="1"/>
        <n v="2864" u="1"/>
        <n v="699" u="1"/>
        <n v="2734" u="1"/>
        <n v="2604" u="1"/>
        <n v="634" u="1"/>
        <n v="2474" u="1"/>
        <n v="4886" u="1"/>
        <n v="2344" u="1"/>
        <n v="4626" u="1"/>
        <n v="569" u="1"/>
        <n v="2214" u="1"/>
        <n v="4366" u="1"/>
        <n v="138" u="1"/>
        <n v="2084" u="1"/>
        <n v="4106" u="1"/>
        <n v="508" u="1"/>
        <n v="2001" u="1"/>
        <n v="3971" u="1"/>
        <n v="1936" u="1"/>
        <n v="3841" u="1"/>
        <n v="1871" u="1"/>
        <n v="3711" u="1"/>
        <n v="1806" u="1"/>
        <n v="3581" u="1"/>
        <n v="443" u="1"/>
        <n v="1741" u="1"/>
        <n v="3451" u="1"/>
        <n v="4823" u="1"/>
        <n v="1676" u="1"/>
        <n v="3321" u="1"/>
        <n v="4563" u="1"/>
        <n v="1611" u="1"/>
        <n v="3191" u="1"/>
        <n v="4303" u="1"/>
        <n v="1546" u="1"/>
        <n v="3061" u="1"/>
        <n v="378" u="1"/>
        <n v="1481" u="1"/>
        <n v="2931" u="1"/>
        <n v="1416" u="1"/>
        <n v="2801" u="1"/>
        <n v="1351" u="1"/>
        <n v="2671" u="1"/>
        <n v="1286" u="1"/>
        <n v="2541" u="1"/>
        <n v="313" u="1"/>
        <n v="1221" u="1"/>
        <n v="2411" u="1"/>
        <n v="4760" u="1"/>
        <n v="1156" u="1"/>
        <n v="2281" u="1"/>
        <n v="4500" u="1"/>
        <n v="1091" u="1"/>
        <n v="2151" u="1"/>
        <n v="4240" u="1"/>
        <n v="68" u="1"/>
        <n v="1026" u="1"/>
        <n v="4038" u="1"/>
        <n v="252" u="1"/>
        <n v="3908" u="1"/>
        <n v="960" u="1"/>
        <n v="3778" u="1"/>
        <n v="3648" u="1"/>
        <n v="895" u="1"/>
        <n v="3518" u="1"/>
        <n v="4957" u="1"/>
        <n v="3388" u="1"/>
        <n v="4697" u="1"/>
        <n v="830" u="1"/>
        <n v="3258" u="1"/>
        <n v="4437" u="1"/>
        <n v="3128" u="1"/>
        <n v="4177" u="1"/>
        <n v="765" u="1"/>
        <n v="2998" u="1"/>
        <n v="187" u="1"/>
        <n v="2868" u="1"/>
        <n v="700" u="1"/>
        <n v="2738" u="1"/>
        <n v="2608" u="1"/>
        <n v="635" u="1"/>
        <n v="2478" u="1"/>
        <n v="4894" u="1"/>
        <n v="2348" u="1"/>
        <n v="4634" u="1"/>
        <n v="570" u="1"/>
        <n v="2218" u="1"/>
        <n v="4374" u="1"/>
        <n v="2088" u="1"/>
        <n v="4114" u="1"/>
        <n v="2003" u="1"/>
        <n v="3975" u="1"/>
        <n v="125" u="1"/>
        <n v="1938" u="1"/>
        <n v="3845" u="1"/>
        <n v="476" u="1"/>
        <n v="1873" u="1"/>
        <n v="3715" u="1"/>
        <n v="1808" u="1"/>
        <n v="3585" u="1"/>
        <n v="1743" u="1"/>
        <n v="3455" u="1"/>
        <n v="4831" u="1"/>
        <n v="1678" u="1"/>
        <n v="3325" u="1"/>
        <n v="4571" u="1"/>
        <n v="411" u="1"/>
        <n v="1613" u="1"/>
        <n v="3195" u="1"/>
        <n v="4311" u="1"/>
        <n v="1548" u="1"/>
        <n v="3065" u="1"/>
        <n v="1483" u="1"/>
        <n v="2935" u="1"/>
        <n v="1418" u="1"/>
        <n v="2805" u="1"/>
        <n v="346" u="1"/>
        <n v="1353" u="1"/>
        <n v="2675" u="1"/>
        <n v="1288" u="1"/>
        <n v="2545" u="1"/>
        <n v="1223" u="1"/>
        <n v="2415" u="1"/>
        <n v="4768" u="1"/>
        <n v="1158" u="1"/>
        <n v="2285" u="1"/>
        <n v="4508" u="1"/>
        <n v="281" u="1"/>
        <n v="1093" u="1"/>
        <n v="2155" u="1"/>
        <n v="4248" u="1"/>
        <n v="1028" u="1"/>
        <n v="4042" u="1"/>
        <n v="3912" u="1"/>
        <n v="62" u="1"/>
        <n v="961" u="1"/>
        <n v="3782" u="1"/>
        <n v="236" u="1"/>
        <n v="3652" u="1"/>
        <n v="896" u="1"/>
        <n v="3522" u="1"/>
        <n v="4965" u="1"/>
        <n v="3392" u="1"/>
        <n v="4705" u="1"/>
        <n v="831" u="1"/>
        <n v="3262" u="1"/>
        <n v="4445" u="1"/>
        <n v="3132" u="1"/>
        <n v="4185" u="1"/>
        <n v="766" u="1"/>
        <n v="3002" u="1"/>
        <n v="2872" u="1"/>
        <n v="701" u="1"/>
        <n v="2742" u="1"/>
        <n v="171" u="1"/>
        <n v="2612" u="1"/>
        <n v="636" u="1"/>
        <n v="2482" u="1"/>
        <n v="4902" u="1"/>
        <n v="2352" u="1"/>
        <n v="4642" u="1"/>
        <n v="571" u="1"/>
        <n v="2222" u="1"/>
        <n v="4382" u="1"/>
        <n v="2092" u="1"/>
        <n v="4122" u="1"/>
        <n v="509" u="1"/>
        <n v="2005" u="1"/>
        <n v="3979" u="1"/>
        <n v="1940" u="1"/>
        <n v="3849" u="1"/>
        <n v="1875" u="1"/>
        <n v="3719" u="1"/>
        <n v="117" u="1"/>
        <n v="1810" u="1"/>
        <n v="3589" u="1"/>
        <n v="444" u="1"/>
        <n v="1745" u="1"/>
        <n v="3459" u="1"/>
        <n v="4839" u="1"/>
        <n v="1680" u="1"/>
        <n v="3329" u="1"/>
        <n v="4579" u="1"/>
        <n v="1615" u="1"/>
        <n v="3199" u="1"/>
        <n v="4319" u="1"/>
        <n v="1550" u="1"/>
        <n v="3069" u="1"/>
        <n v="379" u="1"/>
        <n v="1485" u="1"/>
        <n v="2939" u="1"/>
        <n v="1420" u="1"/>
        <n v="2809" u="1"/>
        <n v="1355" u="1"/>
        <n v="2679" u="1"/>
        <n v="1290" u="1"/>
        <n v="2549" u="1"/>
        <n v="314" u="1"/>
        <n v="1225" u="1"/>
        <n v="2419" u="1"/>
        <n v="4776" u="1"/>
        <n v="1160" u="1"/>
        <n v="2289" u="1"/>
        <n v="4516" u="1"/>
        <n v="1095" u="1"/>
        <n v="2159" u="1"/>
        <n v="4256" u="1"/>
        <n v="1030" u="1"/>
        <n v="4046" u="1"/>
        <n v="3916" u="1"/>
        <n v="962" u="1"/>
        <n v="3786" u="1"/>
        <n v="3656" u="1"/>
        <n v="58" u="1"/>
        <n v="897" u="1"/>
        <n v="3526" u="1"/>
        <n v="4973" u="1"/>
        <n v="220" u="1"/>
        <n v="3396" u="1"/>
        <n v="4713" u="1"/>
        <n v="832" u="1"/>
        <n v="3266" u="1"/>
        <n v="4453" u="1"/>
        <n v="3136" u="1"/>
        <n v="4193" u="1"/>
        <n v="767" u="1"/>
        <n v="3006" u="1"/>
        <n v="2876" u="1"/>
        <n v="702" u="1"/>
        <n v="2746" u="1"/>
        <n v="2616" u="1"/>
        <n v="637" u="1"/>
        <n v="2486" u="1"/>
        <n v="4910" u="1"/>
        <n v="155" u="1"/>
        <n v="2356" u="1"/>
        <n v="4650" u="1"/>
        <n v="572" u="1"/>
        <n v="2226" u="1"/>
        <n v="4390" u="1"/>
        <n v="2096" u="1"/>
        <n v="4130" u="1"/>
        <n v="2007" u="1"/>
        <n v="3983" u="1"/>
        <n v="1942" u="1"/>
        <n v="3853" u="1"/>
        <n v="477" u="1"/>
        <n v="1877" u="1"/>
        <n v="3723" u="1"/>
        <n v="1812" u="1"/>
        <n v="3593" u="1"/>
        <n v="1747" u="1"/>
        <n v="3463" u="1"/>
        <n v="4847" u="1"/>
        <n v="109" u="1"/>
        <n v="1682" u="1"/>
        <n v="3333" u="1"/>
        <n v="4587" u="1"/>
        <n v="412" u="1"/>
        <n v="1617" u="1"/>
        <n v="3203" u="1"/>
        <n v="4327" u="1"/>
        <n v="1552" u="1"/>
        <n v="3073" u="1"/>
        <n v="1487" u="1"/>
        <n v="2943" u="1"/>
        <n v="1422" u="1"/>
        <n v="2813" u="1"/>
        <n v="347" u="1"/>
        <n v="1357" u="1"/>
        <n v="2683" u="1"/>
        <n v="1292" u="1"/>
        <n v="2553" u="1"/>
        <n v="1227" u="1"/>
        <n v="2423" u="1"/>
        <n v="4784" u="1"/>
        <n v="1162" u="1"/>
        <n v="2293" u="1"/>
        <n v="4524" u="1"/>
        <n v="282" u="1"/>
        <n v="1097" u="1"/>
        <n v="2163" u="1"/>
        <n v="4264" u="1"/>
        <n v="1032" u="1"/>
        <n v="4050" u="1"/>
        <n v="3920" u="1"/>
        <n v="963" u="1"/>
        <n v="3790" u="1"/>
        <n v="3660" u="1"/>
        <n v="898" u="1"/>
        <n v="3530" u="1"/>
        <n v="4981" u="1"/>
        <n v="3400" u="1"/>
        <n v="4721" u="1"/>
        <n v="54" u="1"/>
        <n v="833" u="1"/>
        <n v="3270" u="1"/>
        <n v="4461" u="1"/>
        <n v="204" u="1"/>
        <n v="3140" u="1"/>
        <n v="4201" u="1"/>
        <n v="768" u="1"/>
        <n v="3010" u="1"/>
        <n v="2880" u="1"/>
        <n v="703" u="1"/>
        <n v="2750" u="1"/>
        <n v="2620" u="1"/>
        <n v="638" u="1"/>
        <n v="2490" u="1"/>
        <n v="4918" u="1"/>
        <n v="2360" u="1"/>
        <n v="4658" u="1"/>
        <n v="573" u="1"/>
        <n v="2230" u="1"/>
        <n v="4398" u="1"/>
        <n v="139" u="1"/>
        <n v="2100" u="1"/>
        <n v="4138" u="1"/>
        <n v="510" u="1"/>
        <n v="2009" u="1"/>
        <n v="3987" u="1"/>
        <n v="1944" u="1"/>
        <n v="3857" u="1"/>
        <n v="1879" u="1"/>
        <n v="3727" u="1"/>
        <n v="1814" u="1"/>
        <n v="3597" u="1"/>
        <n v="445" u="1"/>
        <n v="1749" u="1"/>
        <n v="3467" u="1"/>
        <n v="4855" u="1"/>
        <n v="1684" u="1"/>
        <n v="3337" u="1"/>
        <n v="4595" u="1"/>
        <n v="1619" u="1"/>
        <n v="3207" u="1"/>
        <n v="4335" u="1"/>
        <n v="101" u="1"/>
        <n v="1554" u="1"/>
        <n v="3077" u="1"/>
        <n v="380" u="1"/>
        <n v="1489" u="1"/>
        <n v="2947" u="1"/>
        <n v="1424" u="1"/>
        <n v="2817" u="1"/>
        <n v="1359" u="1"/>
        <n v="2687" u="1"/>
        <n v="1294" u="1"/>
        <n v="2557" u="1"/>
        <n v="315" u="1"/>
        <n v="1229" u="1"/>
        <n v="2427" u="1"/>
        <n v="4792" u="1"/>
        <n v="1164" u="1"/>
        <n v="2297" u="1"/>
        <n v="4532" u="1"/>
        <n v="1099" u="1"/>
        <n v="2167" u="1"/>
        <n v="4272" u="1"/>
        <n v="1034" u="1"/>
        <n v="4054" u="1"/>
        <n v="253" u="1"/>
        <n v="3924" u="1"/>
        <n v="964" u="1"/>
        <n v="3794" u="1"/>
        <n v="3664" u="1"/>
        <n v="899" u="1"/>
        <n v="3534" u="1"/>
        <n v="4989" u="1"/>
        <n v="3404" u="1"/>
        <n v="4729" u="1"/>
        <n v="834" u="1"/>
        <n v="3274" u="1"/>
        <n v="4469" u="1"/>
        <n v="3144" u="1"/>
        <n v="4209" u="1"/>
        <n v="50" u="1"/>
        <n v="769" u="1"/>
        <n v="3014" u="1"/>
        <n v="188" u="1"/>
        <n v="2884" u="1"/>
        <n v="704" u="1"/>
        <n v="2754" u="1"/>
        <n v="2624" u="1"/>
        <n v="639" u="1"/>
        <n v="2494" u="1"/>
        <n v="4926" u="1"/>
        <n v="2364" u="1"/>
        <n v="4666" u="1"/>
        <n v="574" u="1"/>
        <n v="2234" u="1"/>
        <n v="4406" u="1"/>
        <n v="2104" u="1"/>
        <n v="4146" u="1"/>
        <n v="2011" u="1"/>
        <n v="3991" u="1"/>
        <n v="1946" u="1"/>
        <n v="3861" u="1"/>
        <n v="478" u="1"/>
        <n v="1881" u="1"/>
        <n v="3731" u="1"/>
        <n v="1816" u="1"/>
        <n v="3601" u="1"/>
        <n v="1751" u="1"/>
        <n v="3471" u="1"/>
        <n v="4863" u="1"/>
        <n v="1686" u="1"/>
        <n v="3341" u="1"/>
        <n v="4603" u="1"/>
        <n v="413" u="1"/>
        <n v="1621" u="1"/>
        <n v="3211" u="1"/>
        <n v="4343" u="1"/>
        <n v="1556" u="1"/>
        <n v="3081" u="1"/>
        <n v="1491" u="1"/>
        <n v="2951" u="1"/>
        <n v="93" u="1"/>
        <n v="1426" u="1"/>
        <n v="2821" u="1"/>
        <n v="348" u="1"/>
        <n v="1361" u="1"/>
        <n v="2691" u="1"/>
        <n v="1296" u="1"/>
        <n v="2561" u="1"/>
        <n v="1231" u="1"/>
        <n v="2431" u="1"/>
        <n v="4800" u="1"/>
        <n v="1166" u="1"/>
        <n v="2301" u="1"/>
        <n v="4540" u="1"/>
        <n v="283" u="1"/>
        <n v="1101" u="1"/>
        <n v="2171" u="1"/>
        <n v="4280" u="1"/>
        <n v="1036" u="1"/>
        <n v="4058" u="1"/>
        <n v="3928" u="1"/>
        <n v="965" u="1"/>
        <n v="3798" u="1"/>
        <n v="237" u="1"/>
        <n v="3668" u="1"/>
        <n v="900" u="1"/>
        <n v="3538" u="1"/>
        <n v="4997" u="1"/>
        <n v="3408" u="1"/>
        <n v="4737" u="1"/>
        <n v="835" u="1"/>
        <n v="3278" u="1"/>
        <n v="4477" u="1"/>
        <n v="3148" u="1"/>
        <n v="4217" u="1"/>
        <n v="770" u="1"/>
        <n v="3018" u="1"/>
        <n v="2888" u="1"/>
        <n v="705" u="1"/>
        <n v="2758" u="1"/>
        <n v="172" u="1"/>
        <n v="2628" u="1"/>
        <n v="640" u="1"/>
        <n v="2498" u="1"/>
        <n v="4934" u="1"/>
        <n v="2368" u="1"/>
        <n v="4674" u="1"/>
        <n v="575" u="1"/>
        <n v="2238" u="1"/>
        <n v="4414" u="1"/>
        <n v="2108" u="1"/>
        <n v="4154" u="1"/>
        <n v="511" u="1"/>
        <n v="2013" u="1"/>
        <n v="3995" u="1"/>
        <n v="1948" u="1"/>
        <n v="3865" u="1"/>
        <n v="1883" u="1"/>
        <n v="3735" u="1"/>
        <n v="1818" u="1"/>
        <n v="3605" u="1"/>
        <n v="446" u="1"/>
        <n v="1753" u="1"/>
        <n v="3475" u="1"/>
        <n v="4871" u="1"/>
        <n v="1688" u="1"/>
        <n v="3345" u="1"/>
        <n v="4611" u="1"/>
        <n v="1623" u="1"/>
        <n v="3215" u="1"/>
        <n v="4351" u="1"/>
        <n v="1558" u="1"/>
        <n v="3085" u="1"/>
        <n v="381" u="1"/>
        <n v="1493" u="1"/>
        <n v="2955" u="1"/>
        <n v="1428" u="1"/>
        <n v="2825" u="1"/>
        <n v="1363" u="1"/>
        <n v="2695" u="1"/>
        <n v="85" u="1"/>
        <n v="1298" u="1"/>
        <n v="2565" u="1"/>
        <n v="316" u="1"/>
        <n v="1233" u="1"/>
        <n v="2435" u="1"/>
        <n v="4808" u="1"/>
        <n v="1168" u="1"/>
        <n v="2305" u="1"/>
        <n v="4548" u="1"/>
        <n v="1103" u="1"/>
        <n v="2175" u="1"/>
        <n v="4288" u="1"/>
        <n v="1038" u="1"/>
        <n v="4062" u="1"/>
        <n v="3932" u="1"/>
        <n v="966" u="1"/>
        <n v="3802" u="1"/>
        <n v="3672" u="1"/>
        <n v="901" u="1"/>
        <n v="3542" u="1"/>
        <n v="221" u="1"/>
        <n v="3412" u="1"/>
        <n v="4745" u="1"/>
        <n v="836" u="1"/>
        <n v="3282" u="1"/>
        <n v="4485" u="1"/>
        <n v="3152" u="1"/>
        <n v="4225" u="1"/>
        <n v="771" u="1"/>
        <n v="3022" u="1"/>
        <n v="2892" u="1"/>
        <n v="706" u="1"/>
        <n v="2762" u="1"/>
        <n v="2632" u="1"/>
        <n v="641" u="1"/>
        <n v="2502" u="1"/>
        <n v="4942" u="1"/>
        <n v="156" u="1"/>
        <n v="2372" u="1"/>
        <n v="4682" u="1"/>
        <n v="576" u="1"/>
        <n v="2242" u="1"/>
        <n v="4422" u="1"/>
        <n v="2112" u="1"/>
        <n v="4162" u="1"/>
        <n v="2015" u="1"/>
        <n v="3999" u="1"/>
        <n v="1950" u="1"/>
        <n v="3869" u="1"/>
        <n v="479" u="1"/>
        <n v="1885" u="1"/>
        <n v="3739" u="1"/>
        <n v="1820" u="1"/>
        <n v="3609" u="1"/>
        <n v="1755" u="1"/>
        <n v="3479" u="1"/>
        <n v="4879" u="1"/>
        <n v="1690" u="1"/>
        <n v="3349" u="1"/>
        <n v="4619" u="1"/>
        <n v="414" u="1"/>
        <n v="1625" u="1"/>
        <n v="3219" u="1"/>
        <n v="4359" u="1"/>
        <n v="1560" u="1"/>
        <n v="3089" u="1"/>
        <n v="4099" u="1"/>
        <n v="1495" u="1"/>
        <n v="2959" u="1"/>
        <n v="1430" u="1"/>
        <n v="2829" u="1"/>
        <n v="349" u="1"/>
        <n v="1365" u="1"/>
        <n v="2699" u="1"/>
        <n v="1300" u="1"/>
        <n v="2569" u="1"/>
        <n v="1235" u="1"/>
        <n v="2439" u="1"/>
        <n v="4816" u="1"/>
        <n v="77" u="1"/>
        <n v="1170" u="1"/>
        <n v="2309" u="1"/>
        <n v="4556" u="1"/>
        <n v="284" u="1"/>
        <n v="1105" u="1"/>
        <n v="2179" u="1"/>
        <n v="4296" u="1"/>
        <n v="1040" u="1"/>
        <n v="2049" u="1"/>
        <n v="4066" u="1"/>
        <n v="3936" u="1"/>
        <n v="967" u="1"/>
        <n v="3806" u="1"/>
        <n v="3676" u="1"/>
        <n v="902" u="1"/>
        <n v="3546" u="1"/>
        <n v="3416" u="1"/>
        <n v="4753" u="1"/>
        <n v="837" u="1"/>
        <n v="3286" u="1"/>
        <n v="4493" u="1"/>
        <n v="205" u="1"/>
        <n v="3156" u="1"/>
        <n v="4233" u="1"/>
        <n v="772" u="1"/>
        <n v="3026" u="1"/>
        <n v="2896" u="1"/>
        <n v="707" u="1"/>
        <n v="2766" u="1"/>
        <n v="2636" u="1"/>
        <n v="642" u="1"/>
        <n v="2506" u="1"/>
        <n v="4950" u="1"/>
        <n v="2376" u="1"/>
        <n v="4690" u="1"/>
        <n v="577" u="1"/>
        <n v="2246" u="1"/>
        <n v="4430" u="1"/>
        <n v="140" u="1"/>
        <n v="2116" u="1"/>
        <n v="4170" u="1"/>
        <n v="512" u="1"/>
        <n v="2017" u="1"/>
        <n v="4003" u="1"/>
        <n v="1952" u="1"/>
        <n v="3873" u="1"/>
        <n v="1887" u="1"/>
        <n v="3743" u="1"/>
        <n v="1822" u="1"/>
        <n v="3613" u="1"/>
        <n v="447" u="1"/>
        <n v="1757" u="1"/>
        <n v="3483" u="1"/>
        <n v="4887" u="1"/>
        <n v="1692" u="1"/>
        <n v="3353" u="1"/>
        <n v="4627" u="1"/>
        <n v="1627" u="1"/>
        <n v="3223" u="1"/>
        <n v="4367" u="1"/>
        <n v="1562" u="1"/>
        <n v="3093" u="1"/>
        <n v="4107" u="1"/>
        <n v="382" u="1"/>
        <n v="1497" u="1"/>
        <n v="2963" u="1"/>
        <n v="1432" u="1"/>
        <n v="2833" u="1"/>
        <n v="1367" u="1"/>
        <n v="2703" u="1"/>
        <n v="1302" u="1"/>
        <n v="2573" u="1"/>
        <n v="317" u="1"/>
        <n v="1237" u="1"/>
        <n v="2443" u="1"/>
        <n v="4824" u="1"/>
        <n v="1172" u="1"/>
        <n v="2313" u="1"/>
        <n v="4564" u="1"/>
        <n v="1107" u="1"/>
        <n v="2183" u="1"/>
        <n v="4304" u="1"/>
        <n v="69" u="1"/>
        <n v="1042" u="1"/>
        <n v="2053" u="1"/>
        <n v="4070" u="1"/>
        <n v="254" u="1"/>
        <n v="3940" u="1"/>
        <n v="968" u="1"/>
        <n v="3810" u="1"/>
        <n v="3680" u="1"/>
        <n v="903" u="1"/>
        <n v="3550" u="1"/>
        <n v="3420" u="1"/>
        <n v="4761" u="1"/>
        <n v="838" u="1"/>
        <n v="3290" u="1"/>
        <n v="4501" u="1"/>
        <n v="3160" u="1"/>
        <n v="4241" u="1"/>
        <n v="773" u="1"/>
        <n v="3030" u="1"/>
        <n v="189" u="1"/>
        <n v="2900" u="1"/>
        <n v="708" u="1"/>
        <n v="2770" u="1"/>
        <n v="2640" u="1"/>
        <n v="643" u="1"/>
        <n v="2510" u="1"/>
        <n v="4958" u="1"/>
        <n v="2380" u="1"/>
        <n v="4698" u="1"/>
        <n v="578" u="1"/>
        <n v="2250" u="1"/>
        <n v="4438" u="1"/>
        <n v="2120" u="1"/>
        <n v="4178" u="1"/>
        <n v="513" u="1"/>
        <n v="2019" u="1"/>
        <n v="4007" u="1"/>
        <n v="126" u="1"/>
        <n v="1954" u="1"/>
        <n v="3877" u="1"/>
        <n v="480" u="1"/>
        <n v="1889" u="1"/>
        <n v="3747" u="1"/>
        <n v="1824" u="1"/>
        <n v="3617" u="1"/>
        <n v="1759" u="1"/>
        <n v="3487" u="1"/>
        <n v="4895" u="1"/>
        <n v="1694" u="1"/>
        <n v="3357" u="1"/>
        <n v="4635" u="1"/>
        <n v="415" u="1"/>
        <n v="1629" u="1"/>
        <n v="3227" u="1"/>
        <n v="4375" u="1"/>
        <n v="1564" u="1"/>
        <n v="3097" u="1"/>
        <n v="4115" u="1"/>
        <n v="1499" u="1"/>
        <n v="2967" u="1"/>
        <n v="1434" u="1"/>
        <n v="2837" u="1"/>
        <n v="350" u="1"/>
        <n v="1369" u="1"/>
        <n v="2707" u="1"/>
        <n v="1304" u="1"/>
        <n v="2577" u="1"/>
        <n v="1239" u="1"/>
        <n v="2447" u="1"/>
        <n v="4832" u="1"/>
        <n v="1174" u="1"/>
        <n v="2317" u="1"/>
        <n v="4572" u="1"/>
        <n v="285" u="1"/>
        <n v="1109" u="1"/>
        <n v="2187" u="1"/>
        <n v="4312" u="1"/>
        <n v="1044" u="1"/>
        <n v="2057" u="1"/>
        <n v="4074" u="1"/>
        <n v="3944" u="1"/>
        <n v="969" u="1"/>
        <n v="3814" u="1"/>
        <n v="238" u="1"/>
        <n v="3684" u="1"/>
        <n v="904" u="1"/>
        <n v="3554" u="1"/>
        <n v="3424" u="1"/>
        <n v="4769" u="1"/>
        <n v="839" u="1"/>
        <n v="3294" u="1"/>
        <n v="4509" u="1"/>
        <n v="3164" u="1"/>
        <n v="4249" u="1"/>
        <n v="774" u="1"/>
        <n v="3034" u="1"/>
        <n v="2904" u="1"/>
        <n v="709" u="1"/>
        <n v="2774" u="1"/>
        <n v="173" u="1"/>
        <n v="2644" u="1"/>
        <n v="644" u="1"/>
        <n v="2514" u="1"/>
        <n v="4966" u="1"/>
        <n v="2384" u="1"/>
        <n v="4706" u="1"/>
        <n v="579" u="1"/>
        <n v="2254" u="1"/>
        <n v="4446" u="1"/>
        <n v="2124" u="1"/>
        <n v="4186" u="1"/>
        <n v="514" u="1"/>
        <n v="2021" u="1"/>
        <n v="4011" u="1"/>
        <n v="1956" u="1"/>
        <n v="3881" u="1"/>
        <n v="1891" u="1"/>
        <n v="3751" u="1"/>
        <n v="118" u="1"/>
        <n v="1826" u="1"/>
        <n v="3621" u="1"/>
        <n v="448" u="1"/>
        <n v="1761" u="1"/>
        <n v="3491" u="1"/>
        <n v="4903" u="1"/>
        <n v="1696" u="1"/>
        <n v="3361" u="1"/>
        <n v="4643" u="1"/>
        <n v="1631" u="1"/>
        <n v="3231" u="1"/>
        <n v="4383" u="1"/>
        <n v="1566" u="1"/>
        <n v="3101" u="1"/>
        <n v="4123" u="1"/>
        <n v="383" u="1"/>
        <n v="1501" u="1"/>
        <n v="2971" u="1"/>
        <n v="1436" u="1"/>
        <n v="2841" u="1"/>
        <n v="1371" u="1"/>
        <n v="2711" u="1"/>
        <n v="1306" u="1"/>
        <n v="2581" u="1"/>
        <n v="318" u="1"/>
        <n v="1241" u="1"/>
        <n v="2451" u="1"/>
        <n v="4840" u="1"/>
        <n v="1176" u="1"/>
        <n v="2321" u="1"/>
        <n v="4580" u="1"/>
        <n v="1111" u="1"/>
        <n v="2191" u="1"/>
        <n v="4320" u="1"/>
        <n v="1046" u="1"/>
        <n v="2061" u="1"/>
        <n v="4078" u="1"/>
        <n v="3948" u="1"/>
        <n v="970" u="1"/>
        <n v="3818" u="1"/>
        <n v="3688" u="1"/>
        <n v="905" u="1"/>
        <n v="3558" u="1"/>
        <n v="222" u="1"/>
        <n v="3428" u="1"/>
        <n v="4777" u="1"/>
        <n v="840" u="1"/>
        <n v="3298" u="1"/>
        <n v="4517" u="1"/>
        <n v="3168" u="1"/>
        <n v="4257" u="1"/>
        <n v="775" u="1"/>
        <n v="3038" u="1"/>
        <n v="2908" u="1"/>
        <n v="710" u="1"/>
        <n v="2778" u="1"/>
        <n v="2648" u="1"/>
        <n v="645" u="1"/>
        <n v="2518" u="1"/>
        <n v="4974" u="1"/>
        <n v="157" u="1"/>
        <n v="2388" u="1"/>
        <n v="4714" u="1"/>
        <n v="580" u="1"/>
        <n v="2258" u="1"/>
        <n v="4454" u="1"/>
        <n v="2128" u="1"/>
        <n v="4194" u="1"/>
        <n v="515" u="1"/>
        <n v="2023" u="1"/>
        <n v="4015" u="1"/>
        <n v="1958" u="1"/>
        <n v="3885" u="1"/>
        <n v="481" u="1"/>
        <n v="1893" u="1"/>
        <n v="3755" u="1"/>
        <n v="1828" u="1"/>
        <n v="3625" u="1"/>
        <n v="1763" u="1"/>
        <n v="3495" u="1"/>
        <n v="4911" u="1"/>
        <n v="110" u="1"/>
        <n v="1698" u="1"/>
        <n v="3365" u="1"/>
        <n v="4651" u="1"/>
        <n v="416" u="1"/>
        <n v="1633" u="1"/>
        <n v="3235" u="1"/>
        <n v="4391" u="1"/>
        <n v="1568" u="1"/>
        <n v="3105" u="1"/>
        <n v="4131" u="1"/>
        <n v="1503" u="1"/>
        <n v="2975" u="1"/>
        <n v="1438" u="1"/>
        <n v="2845" u="1"/>
        <n v="351" u="1"/>
        <n v="1373" u="1"/>
        <n v="2715" u="1"/>
        <n v="1308" u="1"/>
        <n v="2585" u="1"/>
        <n v="1243" u="1"/>
        <n v="2455" u="1"/>
        <n v="4848" u="1"/>
        <n v="1178" u="1"/>
        <n v="2325" u="1"/>
        <n v="4588" u="1"/>
        <n v="286" u="1"/>
        <n v="1113" u="1"/>
        <n v="2195" u="1"/>
        <n v="4328" u="1"/>
        <n v="1048" u="1"/>
        <n v="2065" u="1"/>
        <n v="4082" u="1"/>
        <n v="3952" u="1"/>
        <n v="971" u="1"/>
        <n v="3822" u="1"/>
        <n v="3692" u="1"/>
        <n v="906" u="1"/>
        <n v="3562" u="1"/>
        <n v="3432" u="1"/>
        <n v="4785" u="1"/>
        <n v="841" u="1"/>
        <n v="3302" u="1"/>
        <n v="4525" u="1"/>
        <n v="206" u="1"/>
        <n v="3172" u="1"/>
        <n v="4265" u="1"/>
        <n v="776" u="1"/>
        <n v="3042" u="1"/>
        <n v="2912" u="1"/>
        <n v="711" u="1"/>
        <n v="2782" u="1"/>
        <n v="2652" u="1"/>
        <n v="646" u="1"/>
        <n v="2522" u="1"/>
        <n v="4982" u="1"/>
        <n v="2392" u="1"/>
        <n v="4722" u="1"/>
        <n v="581" u="1"/>
        <n v="2262" u="1"/>
        <n v="4462" u="1"/>
        <n v="141" u="1"/>
        <n v="2132" u="1"/>
        <n v="4202" u="1"/>
        <n v="516" u="1"/>
        <n v="2025" u="1"/>
        <n v="4019" u="1"/>
        <n v="1960" u="1"/>
        <n v="3889" u="1"/>
        <n v="1895" u="1"/>
        <n v="3759" u="1"/>
        <n v="1830" u="1"/>
        <n v="3629" u="1"/>
        <n v="449" u="1"/>
        <n v="1765" u="1"/>
        <n v="3499" u="1"/>
        <n v="4919" u="1"/>
        <n v="1700" u="1"/>
        <n v="3369" u="1"/>
        <n v="4659" u="1"/>
        <n v="1635" u="1"/>
        <n v="3239" u="1"/>
        <n v="4399" u="1"/>
        <n v="102" u="1"/>
        <n v="1570" u="1"/>
        <n v="3109" u="1"/>
        <n v="4139" u="1"/>
        <n v="384" u="1"/>
        <n v="1505" u="1"/>
        <n v="2979" u="1"/>
        <n v="1440" u="1"/>
        <n v="2849" u="1"/>
        <n v="1375" u="1"/>
        <n v="2719" u="1"/>
        <n v="1310" u="1"/>
        <n v="2589" u="1"/>
        <n v="319" u="1"/>
        <n v="1245" u="1"/>
        <n v="2459" u="1"/>
        <n v="4856" u="1"/>
        <n v="1180" u="1"/>
        <n v="2329" u="1"/>
        <n v="4596" u="1"/>
        <n v="1115" u="1"/>
        <n v="2199" u="1"/>
        <n v="4336" u="1"/>
        <n v="1050" u="1"/>
        <n v="2069" u="1"/>
        <n v="4086" u="1"/>
        <n v="255" u="1"/>
        <n v="3956" u="1"/>
        <n v="972" u="1"/>
        <n v="3826" u="1"/>
        <n v="3696" u="1"/>
        <n v="907" u="1"/>
        <n v="3566" u="1"/>
        <n v="3436" u="1"/>
        <n v="4793" u="1"/>
        <n v="842" u="1"/>
        <n v="3306" u="1"/>
        <n v="4533" u="1"/>
        <n v="3176" u="1"/>
        <n v="4273" u="1"/>
        <n v="777" u="1"/>
        <n v="3046" u="1"/>
        <n v="190" u="1"/>
        <n v="2916" u="1"/>
        <n v="712" u="1"/>
        <n v="2786" u="1"/>
        <n v="2656" u="1"/>
        <n v="647" u="1"/>
        <n v="2526" u="1"/>
        <n v="4990" u="1"/>
        <n v="2396" u="1"/>
        <n v="4730" u="1"/>
      </sharedItems>
    </cacheField>
    <cacheField name="DURATION" numFmtId="0" sqlType="6">
      <sharedItems containsSemiMixedTypes="0" containsString="0" containsNumber="1" containsInteger="1" minValue="1374" maxValue="15627"/>
    </cacheField>
    <cacheField name="MSE_T" numFmtId="0" sqlType="6">
      <sharedItems containsSemiMixedTypes="0" containsString="0" containsNumber="1" minValue="8.6308136815205203E-5" maxValue="3.7741724401712397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9.xml><?xml version="1.0" encoding="utf-8"?>
<pivotCacheDefinition xmlns="http://schemas.openxmlformats.org/spreadsheetml/2006/main" xmlns:r="http://schemas.openxmlformats.org/officeDocument/2006/relationships" saveData="0" refreshedBy="gcaglion" refreshedDate="43787.533206365741" createdVersion="5" refreshedVersion="5" minRefreshableVersion="3" recordCount="53144">
  <cacheSource type="external" connectionId="16"/>
  <cacheFields count="20">
    <cacheField name="PROCESSID" numFmtId="0" sqlType="6">
      <sharedItems containsSemiMixedTypes="0" containsString="0" containsNumber="1" containsInteger="1" minValue="188" maxValue="17492" count="87">
        <n v="9396"/>
        <n v="10156"/>
        <n v="8600"/>
        <n v="12904"/>
        <n v="10912"/>
        <n v="7132"/>
        <n v="7568"/>
        <n v="11648"/>
        <n v="13092"/>
        <n v="6432"/>
        <n v="1260"/>
        <n v="15248"/>
        <n v="7224"/>
        <n v="4060"/>
        <n v="8360"/>
        <n v="7567"/>
        <n v="3492"/>
        <n v="11728"/>
        <n v="440" u="1"/>
        <n v="12028" u="1"/>
        <n v="13306" u="1"/>
        <n v="6882" u="1"/>
        <n v="7384" u="1"/>
        <n v="5548" u="1"/>
        <n v="8000" u="1"/>
        <n v="12068" u="1"/>
        <n v="15552" u="1"/>
        <n v="188" u="1"/>
        <n v="8888" u="1"/>
        <n v="13148" u="1"/>
        <n v="7660" u="1"/>
        <n v="9400" u="1"/>
        <n v="3644" u="1"/>
        <n v="6955" u="1"/>
        <n v="9836" u="1"/>
        <n v="436" u="1"/>
        <n v="11692" u="1"/>
        <n v="15820" u="1"/>
        <n v="14476" u="1"/>
        <n v="10236" u="1"/>
        <n v="8892" u="1"/>
        <n v="10540" u="1"/>
        <n v="13096" u="1"/>
        <n v="13167" u="1"/>
        <n v="10124" u="1"/>
        <n v="7776" u="1"/>
        <n v="1836" u="1"/>
        <n v="12903" u="1"/>
        <n v="10783" u="1"/>
        <n v="2552" u="1"/>
        <n v="264" u="1"/>
        <n v="12644" u="1"/>
        <n v="13496" u="1"/>
        <n v="14348" u="1"/>
        <n v="8531" u="1"/>
        <n v="9956" u="1"/>
        <n v="7484" u="1"/>
        <n v="7664" u="1"/>
        <n v="13952" u="1"/>
        <n v="5288" u="1"/>
        <n v="7532" u="1"/>
        <n v="10848" u="1"/>
        <n v="13764" u="1"/>
        <n v="9240" u="1"/>
        <n v="13216" u="1"/>
        <n v="13500" u="1"/>
        <n v="9960" u="1"/>
        <n v="2700" u="1"/>
        <n v="17036" u="1"/>
        <n v="9620" u="1"/>
        <n v="9980" u="1"/>
        <n v="17492" u="1"/>
        <n v="1915" u="1"/>
        <n v="6824" u="1"/>
        <n v="8580" u="1"/>
        <n v="8732" u="1"/>
        <n v="14483" u="1"/>
        <n v="6796" u="1"/>
        <n v="15624" u="1"/>
        <n v="2076" u="1"/>
        <n v="6588" u="1"/>
        <n v="13220" u="1"/>
        <n v="14072" u="1"/>
        <n v="9320" u="1"/>
        <n v="11308" u="1"/>
        <n v="12728" u="1"/>
        <n v="14716" u="1"/>
      </sharedItems>
    </cacheField>
    <cacheField name="THREADID" numFmtId="0" sqlType="6">
      <sharedItems containsSemiMixedTypes="0" containsString="0" containsNumber="1" containsInteger="1" minValue="784" maxValue="14732" count="18">
        <n v="7360"/>
        <n v="7268"/>
        <n v="5760"/>
        <n v="9424"/>
        <n v="1608"/>
        <n v="10348"/>
        <n v="11196"/>
        <n v="13800"/>
        <n v="13848"/>
        <n v="7412"/>
        <n v="10752"/>
        <n v="14732"/>
        <n v="10880"/>
        <n v="784"/>
        <n v="14180"/>
        <n v="11328"/>
        <n v="7356"/>
        <n v="8732"/>
      </sharedItems>
    </cacheField>
    <cacheField name="SEQUENCEID" numFmtId="0" sqlType="6">
      <sharedItems containsSemiMixedTypes="0" containsString="0" containsNumber="1" containsInteger="1" minValue="0" maxValue="24" count="25">
        <n v="0"/>
        <n v="13" u="1"/>
        <n v="5" u="1"/>
        <n v="14" u="1"/>
        <n v="15" u="1"/>
        <n v="2" u="1"/>
        <n v="6" u="1"/>
        <n v="16" u="1"/>
        <n v="17" u="1"/>
        <n v="18" u="1"/>
        <n v="19" u="1"/>
        <n v="7" u="1"/>
        <n v="20" u="1"/>
        <n v="21" u="1"/>
        <n v="22" u="1"/>
        <n v="1" u="1"/>
        <n v="23" u="1"/>
        <n v="3" u="1"/>
        <n v="8" u="1"/>
        <n v="24" u="1"/>
        <n v="9" u="1"/>
        <n v="10" u="1"/>
        <n v="11" u="1"/>
        <n v="4" u="1"/>
        <n v="12" u="1"/>
      </sharedItems>
    </cacheField>
    <cacheField name="NETPROCESSID" numFmtId="0" sqlType="6">
      <sharedItems containsSemiMixedTypes="0" containsString="0" containsNumber="1" containsInteger="1" minValue="0" maxValue="0" count="1">
        <n v="0"/>
      </sharedItems>
    </cacheField>
    <cacheField name="NETTHREADID" numFmtId="0" sqlType="6">
      <sharedItems containsSemiMixedTypes="0" containsString="0" containsNumber="1" containsInteger="1" minValue="0" maxValue="0" count="1">
        <n v="0"/>
      </sharedItems>
    </cacheField>
    <cacheField name="MSER" numFmtId="0" sqlType="6">
      <sharedItems containsSemiMixedTypes="0" containsString="0" containsNumber="1" minValue="2.33920527534792E-5" maxValue="1.0104042477905801E-2" count="16">
        <n v="6.3559557020198594E-5"/>
        <n v="1.1299437610432499E-3"/>
        <n v="7.8914985351730097E-5"/>
        <n v="4.6705720014870201E-3"/>
        <n v="1.0104042477905801E-2"/>
        <n v="1.00754760205746E-3"/>
        <n v="8.1108353333547701E-4"/>
        <n v="2.33920527534792E-5"/>
        <n v="8.11930731288157E-5"/>
        <n v="6.6797616891562904E-3"/>
        <n v="4.0252305916510501E-4"/>
        <n v="6.9035106571391203E-4"/>
        <n v="6.0499407118186398E-4"/>
        <n v="3.69260582374409E-4"/>
        <n v="3.7172983866184901E-4"/>
        <n v="3.7587166298180802E-4"/>
      </sharedItems>
    </cacheField>
    <cacheField name="POS" numFmtId="0" sqlType="6">
      <sharedItems containsSemiMixedTypes="0" containsString="0" containsNumber="1" containsInteger="1" minValue="0" maxValue="14999" count="1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551"/>
        <n v="552"/>
        <n v="553"/>
        <n v="554"/>
        <n v="555"/>
        <n v="556"/>
        <n v="557"/>
        <n v="558"/>
        <n v="559"/>
        <n v="560"/>
        <n v="561"/>
        <n v="562"/>
        <n v="563"/>
        <n v="564"/>
        <n v="565"/>
        <n v="566"/>
        <n v="567"/>
        <n v="568"/>
        <n v="569"/>
        <n v="570"/>
        <n v="571"/>
        <n v="572"/>
        <n v="573"/>
        <n v="574"/>
        <n v="575"/>
        <n v="576"/>
        <n v="577"/>
        <n v="1543"/>
        <n v="1544"/>
        <n v="1545"/>
        <n v="1546"/>
        <n v="1547"/>
        <n v="1548"/>
        <n v="1549"/>
        <n v="1550"/>
        <n v="1551"/>
        <n v="1552"/>
        <n v="1553"/>
        <n v="1554"/>
        <n v="1555"/>
        <n v="1556"/>
        <n v="1557"/>
        <n v="1558"/>
        <n v="1559"/>
        <n v="1560"/>
        <n v="1561"/>
        <n v="1562"/>
        <n v="1563"/>
        <n v="1564"/>
        <n v="1565"/>
        <n v="1566"/>
        <n v="1567"/>
        <n v="1568"/>
        <n v="1569"/>
        <n v="2535"/>
        <n v="2536"/>
        <n v="2537"/>
        <n v="2538"/>
        <n v="2539"/>
        <n v="2540"/>
        <n v="2541"/>
        <n v="2542"/>
        <n v="2543"/>
        <n v="2544"/>
        <n v="2545"/>
        <n v="2546"/>
        <n v="2547"/>
        <n v="2548"/>
        <n v="2549"/>
        <n v="2550"/>
        <n v="2551"/>
        <n v="2552"/>
        <n v="2553"/>
        <n v="2554"/>
        <n v="2555"/>
        <n v="2556"/>
        <n v="2557"/>
        <n v="2558"/>
        <n v="2559"/>
        <n v="2560"/>
        <n v="2561"/>
        <n v="3527"/>
        <n v="3528"/>
        <n v="3529"/>
        <n v="3530"/>
        <n v="3531"/>
        <n v="3532"/>
        <n v="3533"/>
        <n v="3534"/>
        <n v="3535"/>
        <n v="3536"/>
        <n v="3537"/>
        <n v="3538"/>
        <n v="3539"/>
        <n v="3540"/>
        <n v="3541"/>
        <n v="3542"/>
        <n v="3543"/>
        <n v="3544"/>
        <n v="3545"/>
        <n v="3546"/>
        <n v="3547"/>
        <n v="3548"/>
        <n v="3549"/>
        <n v="3550"/>
        <n v="3551"/>
        <n v="3552"/>
        <n v="3553"/>
        <n v="4519"/>
        <n v="4520"/>
        <n v="4521"/>
        <n v="4522"/>
        <n v="4523"/>
        <n v="4524"/>
        <n v="4525"/>
        <n v="4526"/>
        <n v="4527"/>
        <n v="4528"/>
        <n v="4529"/>
        <n v="4530"/>
        <n v="4531"/>
        <n v="4532"/>
        <n v="4533"/>
        <n v="4534"/>
        <n v="4535"/>
        <n v="4536"/>
        <n v="4537"/>
        <n v="4538"/>
        <n v="4539"/>
        <n v="4540"/>
        <n v="4541"/>
        <n v="4542"/>
        <n v="4543"/>
        <n v="4544"/>
        <n v="4545"/>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980"/>
        <n v="4981"/>
        <n v="4982"/>
        <n v="4983"/>
        <n v="4984"/>
        <n v="4985"/>
        <n v="4986"/>
        <n v="4987"/>
        <n v="4988"/>
        <n v="4989"/>
        <n v="4990"/>
        <n v="4991"/>
        <n v="4992"/>
        <n v="4993"/>
        <n v="4994"/>
        <n v="4995"/>
        <n v="4996"/>
        <n v="4997"/>
        <n v="4998"/>
        <n v="4999"/>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500"/>
        <n v="501"/>
        <n v="502"/>
        <n v="503"/>
        <n v="504"/>
        <n v="505"/>
        <n v="506"/>
        <n v="507"/>
        <n v="508"/>
        <n v="509"/>
        <n v="510"/>
        <n v="511"/>
        <n v="512"/>
        <n v="513"/>
        <n v="514"/>
        <n v="51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516"/>
        <n v="517"/>
        <n v="518"/>
        <n v="519"/>
        <n v="520"/>
        <n v="521"/>
        <n v="522"/>
        <n v="523"/>
        <n v="524"/>
        <n v="525"/>
        <n v="526"/>
        <n v="527"/>
        <n v="528"/>
        <n v="529"/>
        <n v="530"/>
        <n v="531"/>
        <n v="532"/>
        <n v="533"/>
        <n v="534"/>
        <n v="535"/>
        <n v="536"/>
        <n v="537"/>
        <n v="538"/>
        <n v="539"/>
        <n v="540"/>
        <n v="541"/>
        <n v="542"/>
        <n v="543"/>
        <n v="544"/>
        <n v="545"/>
        <n v="546"/>
        <n v="547"/>
        <n v="548"/>
        <n v="549"/>
        <n v="550"/>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5570"/>
        <n v="5571"/>
        <n v="5572"/>
        <n v="5573"/>
        <n v="5574"/>
        <n v="5575"/>
        <n v="5576"/>
        <n v="5577"/>
        <n v="5578"/>
        <n v="5579"/>
        <n v="5580"/>
        <n v="5581"/>
        <n v="5582"/>
        <n v="5583"/>
        <n v="5584"/>
        <n v="5585"/>
        <n v="5586"/>
        <n v="5587"/>
        <n v="5588"/>
        <n v="5589"/>
        <n v="5590"/>
        <n v="5591"/>
        <n v="5592"/>
        <n v="5593"/>
        <n v="5594"/>
        <n v="5595"/>
        <n v="5596"/>
        <n v="5597"/>
        <n v="5598"/>
        <n v="5599"/>
        <n v="5600"/>
        <n v="5601"/>
        <n v="5602"/>
        <n v="5603"/>
        <n v="5604"/>
        <n v="5605"/>
        <n v="5606"/>
        <n v="5607"/>
        <n v="5608"/>
        <n v="5609"/>
        <n v="5610"/>
        <n v="5611"/>
        <n v="5612"/>
        <n v="5613"/>
        <n v="5614"/>
        <n v="5615"/>
        <n v="5616"/>
        <n v="5617"/>
        <n v="5618"/>
        <n v="5619"/>
        <n v="5620"/>
        <n v="5621"/>
        <n v="5622"/>
        <n v="5623"/>
        <n v="5624"/>
        <n v="5625"/>
        <n v="5626"/>
        <n v="5627"/>
        <n v="5628"/>
        <n v="5629"/>
        <n v="6537"/>
        <n v="6538"/>
        <n v="6539"/>
        <n v="6540"/>
        <n v="6541"/>
        <n v="6542"/>
        <n v="6543"/>
        <n v="6544"/>
        <n v="6545"/>
        <n v="6546"/>
        <n v="6547"/>
        <n v="6548"/>
        <n v="6549"/>
        <n v="6550"/>
        <n v="6551"/>
        <n v="6552"/>
        <n v="6553"/>
        <n v="6554"/>
        <n v="6555"/>
        <n v="6556"/>
        <n v="6557"/>
        <n v="6558"/>
        <n v="6559"/>
        <n v="6560"/>
        <n v="6561"/>
        <n v="6562"/>
        <n v="6563"/>
        <n v="6564"/>
        <n v="6565"/>
        <n v="6566"/>
        <n v="6567"/>
        <n v="6568"/>
        <n v="6569"/>
        <n v="6570"/>
        <n v="6571"/>
        <n v="6572"/>
        <n v="6573"/>
        <n v="6574"/>
        <n v="6575"/>
        <n v="6576"/>
        <n v="6577"/>
        <n v="6578"/>
        <n v="6579"/>
        <n v="6580"/>
        <n v="6581"/>
        <n v="6582"/>
        <n v="6583"/>
        <n v="6584"/>
        <n v="6585"/>
        <n v="6586"/>
        <n v="6587"/>
        <n v="6588"/>
        <n v="6589"/>
        <n v="6590"/>
        <n v="6591"/>
        <n v="6592"/>
        <n v="6593"/>
        <n v="6594"/>
        <n v="6595"/>
        <n v="6596"/>
        <n v="6597"/>
        <n v="7506"/>
        <n v="7507"/>
        <n v="7508"/>
        <n v="7509"/>
        <n v="7510"/>
        <n v="7511"/>
        <n v="7512"/>
        <n v="7513"/>
        <n v="7514"/>
        <n v="7515"/>
        <n v="7516"/>
        <n v="7517"/>
        <n v="7518"/>
        <n v="7519"/>
        <n v="7520"/>
        <n v="7521"/>
        <n v="7522"/>
        <n v="7523"/>
        <n v="7524"/>
        <n v="7525"/>
        <n v="7526"/>
        <n v="7527"/>
        <n v="7528"/>
        <n v="7529"/>
        <n v="7530"/>
        <n v="7531"/>
        <n v="7532"/>
        <n v="7533"/>
        <n v="7534"/>
        <n v="7535"/>
        <n v="7536"/>
        <n v="7537"/>
        <n v="7538"/>
        <n v="7539"/>
        <n v="7540"/>
        <n v="7541"/>
        <n v="7542"/>
        <n v="7543"/>
        <n v="7544"/>
        <n v="7545"/>
        <n v="7546"/>
        <n v="7547"/>
        <n v="7548"/>
        <n v="7549"/>
        <n v="7550"/>
        <n v="7551"/>
        <n v="7552"/>
        <n v="7553"/>
        <n v="7554"/>
        <n v="7555"/>
        <n v="7556"/>
        <n v="7557"/>
        <n v="7558"/>
        <n v="7559"/>
        <n v="7560"/>
        <n v="7561"/>
        <n v="7562"/>
        <n v="7563"/>
        <n v="7564"/>
        <n v="7565"/>
        <n v="7566"/>
        <n v="8474"/>
        <n v="8475"/>
        <n v="8476"/>
        <n v="8477"/>
        <n v="8478"/>
        <n v="8479"/>
        <n v="8480"/>
        <n v="8481"/>
        <n v="8482"/>
        <n v="8483"/>
        <n v="8484"/>
        <n v="8485"/>
        <n v="8486"/>
        <n v="8487"/>
        <n v="8488"/>
        <n v="8489"/>
        <n v="8490"/>
        <n v="8491"/>
        <n v="8492"/>
        <n v="8493"/>
        <n v="8494"/>
        <n v="8495"/>
        <n v="8496"/>
        <n v="8497"/>
        <n v="8498"/>
        <n v="8499"/>
        <n v="8500"/>
        <n v="8501"/>
        <n v="8502"/>
        <n v="8503"/>
        <n v="8504"/>
        <n v="8505"/>
        <n v="8506"/>
        <n v="8507"/>
        <n v="8508"/>
        <n v="8509"/>
        <n v="8510"/>
        <n v="8511"/>
        <n v="8512"/>
        <n v="8513"/>
        <n v="8514"/>
        <n v="8515"/>
        <n v="8516"/>
        <n v="8517"/>
        <n v="8518"/>
        <n v="8519"/>
        <n v="8520"/>
        <n v="8521"/>
        <n v="8522"/>
        <n v="8523"/>
        <n v="8524"/>
        <n v="8525"/>
        <n v="8526"/>
        <n v="8527"/>
        <n v="8528"/>
        <n v="8529"/>
        <n v="8530"/>
        <n v="8531"/>
        <n v="8532"/>
        <n v="8533"/>
        <n v="8534"/>
        <n v="9440"/>
        <n v="9441"/>
        <n v="9442"/>
        <n v="9443"/>
        <n v="9444"/>
        <n v="9445"/>
        <n v="9446"/>
        <n v="9447"/>
        <n v="9448"/>
        <n v="9449"/>
        <n v="9450"/>
        <n v="9451"/>
        <n v="9452"/>
        <n v="9453"/>
        <n v="9454"/>
        <n v="9455"/>
        <n v="9456"/>
        <n v="9457"/>
        <n v="9458"/>
        <n v="9459"/>
        <n v="9460"/>
        <n v="9461"/>
        <n v="9462"/>
        <n v="9463"/>
        <n v="9464"/>
        <n v="9465"/>
        <n v="9466"/>
        <n v="9467"/>
        <n v="9468"/>
        <n v="9469"/>
        <n v="9470"/>
        <n v="9471"/>
        <n v="9472"/>
        <n v="9473"/>
        <n v="9474"/>
        <n v="9475"/>
        <n v="9476"/>
        <n v="9477"/>
        <n v="9478"/>
        <n v="9479"/>
        <n v="9480"/>
        <n v="9481"/>
        <n v="9482"/>
        <n v="9483"/>
        <n v="9484"/>
        <n v="9485"/>
        <n v="9486"/>
        <n v="9487"/>
        <n v="9488"/>
        <n v="9489"/>
        <n v="9490"/>
        <n v="9491"/>
        <n v="9492"/>
        <n v="9493"/>
        <n v="9494"/>
        <n v="9495"/>
        <n v="9496"/>
        <n v="9497"/>
        <n v="9498"/>
        <n v="9499"/>
        <n v="10402"/>
        <n v="10403"/>
        <n v="10404"/>
        <n v="10405"/>
        <n v="10406"/>
        <n v="10407"/>
        <n v="10408"/>
        <n v="10409"/>
        <n v="10410"/>
        <n v="10411"/>
        <n v="10412"/>
        <n v="10413"/>
        <n v="10414"/>
        <n v="10415"/>
        <n v="10416"/>
        <n v="10417"/>
        <n v="10418"/>
        <n v="10419"/>
        <n v="10420"/>
        <n v="10421"/>
        <n v="10422"/>
        <n v="10423"/>
        <n v="10424"/>
        <n v="10425"/>
        <n v="10426"/>
        <n v="10427"/>
        <n v="10428"/>
        <n v="10429"/>
        <n v="10430"/>
        <n v="10431"/>
        <n v="10432"/>
        <n v="10433"/>
        <n v="10434"/>
        <n v="10435"/>
        <n v="10436"/>
        <n v="10437"/>
        <n v="10438"/>
        <n v="10439"/>
        <n v="10440"/>
        <n v="10441"/>
        <n v="10442"/>
        <n v="10443"/>
        <n v="10444"/>
        <n v="10445"/>
        <n v="10446"/>
        <n v="10447"/>
        <n v="10448"/>
        <n v="10449"/>
        <n v="10450"/>
        <n v="10451"/>
        <n v="10452"/>
        <n v="10453"/>
        <n v="10454"/>
        <n v="10455"/>
        <n v="10456"/>
        <n v="10457"/>
        <n v="10458"/>
        <n v="10459"/>
        <n v="10460"/>
        <n v="10461"/>
        <n v="11362"/>
        <n v="11363"/>
        <n v="11364"/>
        <n v="11365"/>
        <n v="11366"/>
        <n v="11367"/>
        <n v="11368"/>
        <n v="11369"/>
        <n v="11370"/>
        <n v="11371"/>
        <n v="11372"/>
        <n v="11373"/>
        <n v="11374"/>
        <n v="11375"/>
        <n v="11376"/>
        <n v="11377"/>
        <n v="11378"/>
        <n v="11379"/>
        <n v="11380"/>
        <n v="11381"/>
        <n v="11382"/>
        <n v="11383"/>
        <n v="11384"/>
        <n v="11385"/>
        <n v="11386"/>
        <n v="11387"/>
        <n v="11388"/>
        <n v="11389"/>
        <n v="11390"/>
        <n v="11391"/>
        <n v="11392"/>
        <n v="11393"/>
        <n v="11394"/>
        <n v="11395"/>
        <n v="11396"/>
        <n v="11397"/>
        <n v="11398"/>
        <n v="11399"/>
        <n v="11400"/>
        <n v="11401"/>
        <n v="11402"/>
        <n v="11403"/>
        <n v="11404"/>
        <n v="11405"/>
        <n v="11406"/>
        <n v="11407"/>
        <n v="11408"/>
        <n v="11409"/>
        <n v="11410"/>
        <n v="11411"/>
        <n v="11412"/>
        <n v="11413"/>
        <n v="11414"/>
        <n v="11415"/>
        <n v="11416"/>
        <n v="11417"/>
        <n v="11418"/>
        <n v="11419"/>
        <n v="11420"/>
        <n v="11421"/>
        <n v="12322"/>
        <n v="12323"/>
        <n v="12324"/>
        <n v="12325"/>
        <n v="12326"/>
        <n v="12327"/>
        <n v="12328"/>
        <n v="12329"/>
        <n v="12330"/>
        <n v="12331"/>
        <n v="12332"/>
        <n v="12333"/>
        <n v="12334"/>
        <n v="12335"/>
        <n v="12336"/>
        <n v="12337"/>
        <n v="12338"/>
        <n v="12339"/>
        <n v="12340"/>
        <n v="12341"/>
        <n v="12342"/>
        <n v="12343"/>
        <n v="12344"/>
        <n v="12345"/>
        <n v="12346"/>
        <n v="12347"/>
        <n v="12348"/>
        <n v="12349"/>
        <n v="12350"/>
        <n v="12351"/>
        <n v="12352"/>
        <n v="12353"/>
        <n v="12354"/>
        <n v="12355"/>
        <n v="12356"/>
        <n v="12357"/>
        <n v="12358"/>
        <n v="12359"/>
        <n v="12360"/>
        <n v="12361"/>
        <n v="12362"/>
        <n v="12363"/>
        <n v="12364"/>
        <n v="12365"/>
        <n v="12366"/>
        <n v="12367"/>
        <n v="12368"/>
        <n v="12369"/>
        <n v="12370"/>
        <n v="12371"/>
        <n v="12372"/>
        <n v="12373"/>
        <n v="12374"/>
        <n v="12375"/>
        <n v="12376"/>
        <n v="12377"/>
        <n v="12378"/>
        <n v="12379"/>
        <n v="12380"/>
        <n v="12381"/>
        <n v="13282"/>
        <n v="13283"/>
        <n v="13284"/>
        <n v="13285"/>
        <n v="13286"/>
        <n v="13287"/>
        <n v="13288"/>
        <n v="13289"/>
        <n v="13290"/>
        <n v="13291"/>
        <n v="13292"/>
        <n v="13293"/>
        <n v="13294"/>
        <n v="13295"/>
        <n v="13296"/>
        <n v="13297"/>
        <n v="13298"/>
        <n v="13299"/>
        <n v="13300"/>
        <n v="13301"/>
        <n v="13302"/>
        <n v="13303"/>
        <n v="13304"/>
        <n v="13305"/>
        <n v="13306"/>
        <n v="13307"/>
        <n v="13308"/>
        <n v="13309"/>
        <n v="13310"/>
        <n v="13311"/>
        <n v="13312"/>
        <n v="13313"/>
        <n v="13314"/>
        <n v="13315"/>
        <n v="13316"/>
        <n v="13317"/>
        <n v="13318"/>
        <n v="13319"/>
        <n v="13320"/>
        <n v="13321"/>
        <n v="13322"/>
        <n v="13323"/>
        <n v="13324"/>
        <n v="13325"/>
        <n v="13326"/>
        <n v="13327"/>
        <n v="13328"/>
        <n v="13329"/>
        <n v="13330"/>
        <n v="13331"/>
        <n v="13332"/>
        <n v="13333"/>
        <n v="13334"/>
        <n v="13335"/>
        <n v="13336"/>
        <n v="13337"/>
        <n v="13338"/>
        <n v="13339"/>
        <n v="13340"/>
        <n v="13341"/>
        <n v="14242"/>
        <n v="14243"/>
        <n v="14244"/>
        <n v="14245"/>
        <n v="14246"/>
        <n v="14247"/>
        <n v="14248"/>
        <n v="14249"/>
        <n v="14250"/>
        <n v="14251"/>
        <n v="14252"/>
        <n v="14253"/>
        <n v="14254"/>
        <n v="14255"/>
        <n v="14256"/>
        <n v="14257"/>
        <n v="14258"/>
        <n v="14259"/>
        <n v="14260"/>
        <n v="14261"/>
        <n v="14262"/>
        <n v="14263"/>
        <n v="14264"/>
        <n v="14265"/>
        <n v="14266"/>
        <n v="14267"/>
        <n v="14268"/>
        <n v="14269"/>
        <n v="14270"/>
        <n v="14271"/>
        <n v="14272"/>
        <n v="14273"/>
        <n v="14274"/>
        <n v="14275"/>
        <n v="14276"/>
        <n v="14277"/>
        <n v="14278"/>
        <n v="14279"/>
        <n v="14280"/>
        <n v="14281"/>
        <n v="14282"/>
        <n v="14283"/>
        <n v="14284"/>
        <n v="14285"/>
        <n v="14286"/>
        <n v="14287"/>
        <n v="14288"/>
        <n v="14289"/>
        <n v="14290"/>
        <n v="14291"/>
        <n v="14292"/>
        <n v="14293"/>
        <n v="14294"/>
        <n v="14295"/>
        <n v="14296"/>
        <n v="14297"/>
        <n v="14298"/>
        <n v="14299"/>
        <n v="14300"/>
        <n v="14301"/>
        <n v="5630"/>
        <n v="5631"/>
        <n v="5632"/>
        <n v="5633"/>
        <n v="5634"/>
        <n v="5635"/>
        <n v="5636"/>
        <n v="5637"/>
        <n v="5638"/>
        <n v="5639"/>
        <n v="5640"/>
        <n v="5641"/>
        <n v="5642"/>
        <n v="5643"/>
        <n v="5644"/>
        <n v="5645"/>
        <n v="5646"/>
        <n v="5647"/>
        <n v="5648"/>
        <n v="5649"/>
        <n v="5650"/>
        <n v="5651"/>
        <n v="5652"/>
        <n v="5653"/>
        <n v="5654"/>
        <n v="5655"/>
        <n v="5656"/>
        <n v="5657"/>
        <n v="5658"/>
        <n v="5659"/>
        <n v="5660"/>
        <n v="5661"/>
        <n v="5662"/>
        <n v="5663"/>
        <n v="5664"/>
        <n v="5665"/>
        <n v="5666"/>
        <n v="5667"/>
        <n v="5668"/>
        <n v="5669"/>
        <n v="5670"/>
        <n v="5671"/>
        <n v="5672"/>
        <n v="5673"/>
        <n v="5674"/>
        <n v="5675"/>
        <n v="5676"/>
        <n v="5677"/>
        <n v="5678"/>
        <n v="5679"/>
        <n v="5680"/>
        <n v="5681"/>
        <n v="5682"/>
        <n v="5683"/>
        <n v="5684"/>
        <n v="5685"/>
        <n v="5686"/>
        <n v="5687"/>
        <n v="5688"/>
        <n v="5689"/>
        <n v="5690"/>
        <n v="6598"/>
        <n v="6599"/>
        <n v="6600"/>
        <n v="6601"/>
        <n v="6602"/>
        <n v="6603"/>
        <n v="6604"/>
        <n v="6605"/>
        <n v="6606"/>
        <n v="6607"/>
        <n v="6608"/>
        <n v="6609"/>
        <n v="6610"/>
        <n v="6611"/>
        <n v="6612"/>
        <n v="6613"/>
        <n v="6614"/>
        <n v="6615"/>
        <n v="6616"/>
        <n v="6617"/>
        <n v="6618"/>
        <n v="6619"/>
        <n v="6620"/>
        <n v="6621"/>
        <n v="6622"/>
        <n v="6623"/>
        <n v="6624"/>
        <n v="6625"/>
        <n v="6626"/>
        <n v="6627"/>
        <n v="6628"/>
        <n v="6629"/>
        <n v="6630"/>
        <n v="6631"/>
        <n v="6632"/>
        <n v="6633"/>
        <n v="6634"/>
        <n v="6635"/>
        <n v="6636"/>
        <n v="6637"/>
        <n v="6638"/>
        <n v="6639"/>
        <n v="6640"/>
        <n v="6641"/>
        <n v="6642"/>
        <n v="6643"/>
        <n v="6644"/>
        <n v="6645"/>
        <n v="6646"/>
        <n v="6647"/>
        <n v="6648"/>
        <n v="6649"/>
        <n v="6650"/>
        <n v="6651"/>
        <n v="6652"/>
        <n v="6653"/>
        <n v="6654"/>
        <n v="6655"/>
        <n v="6656"/>
        <n v="6657"/>
        <n v="6658"/>
        <n v="7567"/>
        <n v="7568"/>
        <n v="7569"/>
        <n v="7570"/>
        <n v="7571"/>
        <n v="7572"/>
        <n v="7573"/>
        <n v="7574"/>
        <n v="7575"/>
        <n v="7576"/>
        <n v="7577"/>
        <n v="7578"/>
        <n v="7579"/>
        <n v="7580"/>
        <n v="7581"/>
        <n v="7582"/>
        <n v="7583"/>
        <n v="7584"/>
        <n v="7585"/>
        <n v="7586"/>
        <n v="7587"/>
        <n v="7588"/>
        <n v="7589"/>
        <n v="7590"/>
        <n v="7591"/>
        <n v="7592"/>
        <n v="7593"/>
        <n v="7594"/>
        <n v="7595"/>
        <n v="7596"/>
        <n v="7597"/>
        <n v="7598"/>
        <n v="7599"/>
        <n v="7600"/>
        <n v="7601"/>
        <n v="7602"/>
        <n v="7603"/>
        <n v="7604"/>
        <n v="7605"/>
        <n v="7606"/>
        <n v="7607"/>
        <n v="7608"/>
        <n v="7609"/>
        <n v="7610"/>
        <n v="7611"/>
        <n v="7612"/>
        <n v="7613"/>
        <n v="7614"/>
        <n v="7615"/>
        <n v="7616"/>
        <n v="7617"/>
        <n v="7618"/>
        <n v="7619"/>
        <n v="7620"/>
        <n v="7621"/>
        <n v="7622"/>
        <n v="7623"/>
        <n v="7624"/>
        <n v="7625"/>
        <n v="7626"/>
        <n v="7627"/>
        <n v="8535"/>
        <n v="8536"/>
        <n v="8537"/>
        <n v="8538"/>
        <n v="8539"/>
        <n v="8540"/>
        <n v="8541"/>
        <n v="8542"/>
        <n v="8543"/>
        <n v="8544"/>
        <n v="8545"/>
        <n v="8546"/>
        <n v="8547"/>
        <n v="8548"/>
        <n v="8549"/>
        <n v="8550"/>
        <n v="8551"/>
        <n v="8552"/>
        <n v="8553"/>
        <n v="8554"/>
        <n v="8555"/>
        <n v="8556"/>
        <n v="8557"/>
        <n v="8558"/>
        <n v="8559"/>
        <n v="8560"/>
        <n v="8561"/>
        <n v="8562"/>
        <n v="8563"/>
        <n v="8564"/>
        <n v="8565"/>
        <n v="8566"/>
        <n v="8567"/>
        <n v="8568"/>
        <n v="8569"/>
        <n v="8570"/>
        <n v="8571"/>
        <n v="8572"/>
        <n v="8573"/>
        <n v="8574"/>
        <n v="8575"/>
        <n v="8576"/>
        <n v="8577"/>
        <n v="8578"/>
        <n v="8579"/>
        <n v="8580"/>
        <n v="8581"/>
        <n v="8582"/>
        <n v="8583"/>
        <n v="8584"/>
        <n v="8585"/>
        <n v="8586"/>
        <n v="8587"/>
        <n v="8588"/>
        <n v="8589"/>
        <n v="8590"/>
        <n v="8591"/>
        <n v="8592"/>
        <n v="8593"/>
        <n v="8594"/>
        <n v="8595"/>
        <n v="9500"/>
        <n v="9501"/>
        <n v="9502"/>
        <n v="9503"/>
        <n v="9504"/>
        <n v="9505"/>
        <n v="9506"/>
        <n v="9507"/>
        <n v="9508"/>
        <n v="9509"/>
        <n v="9510"/>
        <n v="9511"/>
        <n v="9512"/>
        <n v="9513"/>
        <n v="9514"/>
        <n v="9515"/>
        <n v="9516"/>
        <n v="9517"/>
        <n v="9518"/>
        <n v="9519"/>
        <n v="9520"/>
        <n v="9521"/>
        <n v="9522"/>
        <n v="9523"/>
        <n v="9524"/>
        <n v="9525"/>
        <n v="9526"/>
        <n v="9527"/>
        <n v="9528"/>
        <n v="9529"/>
        <n v="9530"/>
        <n v="9531"/>
        <n v="9532"/>
        <n v="9533"/>
        <n v="9534"/>
        <n v="9535"/>
        <n v="9536"/>
        <n v="9537"/>
        <n v="9538"/>
        <n v="9539"/>
        <n v="9540"/>
        <n v="9541"/>
        <n v="9542"/>
        <n v="9543"/>
        <n v="9544"/>
        <n v="9545"/>
        <n v="9546"/>
        <n v="9547"/>
        <n v="9548"/>
        <n v="9549"/>
        <n v="9550"/>
        <n v="9551"/>
        <n v="9552"/>
        <n v="9553"/>
        <n v="9554"/>
        <n v="9555"/>
        <n v="9556"/>
        <n v="9557"/>
        <n v="9558"/>
        <n v="9559"/>
        <n v="9560"/>
        <n v="10462"/>
        <n v="10463"/>
        <n v="10464"/>
        <n v="10465"/>
        <n v="10466"/>
        <n v="10467"/>
        <n v="10468"/>
        <n v="10469"/>
        <n v="10470"/>
        <n v="10471"/>
        <n v="10472"/>
        <n v="10473"/>
        <n v="10474"/>
        <n v="10475"/>
        <n v="10476"/>
        <n v="10477"/>
        <n v="10478"/>
        <n v="10479"/>
        <n v="10480"/>
        <n v="10481"/>
        <n v="10482"/>
        <n v="10483"/>
        <n v="10484"/>
        <n v="10485"/>
        <n v="10486"/>
        <n v="10487"/>
        <n v="10488"/>
        <n v="10489"/>
        <n v="10490"/>
        <n v="10491"/>
        <n v="10492"/>
        <n v="10493"/>
        <n v="10494"/>
        <n v="10495"/>
        <n v="10496"/>
        <n v="10497"/>
        <n v="10498"/>
        <n v="10499"/>
        <n v="10500"/>
        <n v="10501"/>
        <n v="10502"/>
        <n v="10503"/>
        <n v="10504"/>
        <n v="10505"/>
        <n v="10506"/>
        <n v="10507"/>
        <n v="10508"/>
        <n v="10509"/>
        <n v="10510"/>
        <n v="10511"/>
        <n v="10512"/>
        <n v="10513"/>
        <n v="10514"/>
        <n v="10515"/>
        <n v="10516"/>
        <n v="10517"/>
        <n v="10518"/>
        <n v="10519"/>
        <n v="10520"/>
        <n v="10521"/>
        <n v="11422"/>
        <n v="11423"/>
        <n v="11424"/>
        <n v="11425"/>
        <n v="11426"/>
        <n v="11427"/>
        <n v="11428"/>
        <n v="11429"/>
        <n v="11430"/>
        <n v="11431"/>
        <n v="11432"/>
        <n v="11433"/>
        <n v="11434"/>
        <n v="11435"/>
        <n v="11436"/>
        <n v="11437"/>
        <n v="11438"/>
        <n v="11439"/>
        <n v="11440"/>
        <n v="11441"/>
        <n v="11442"/>
        <n v="11443"/>
        <n v="11444"/>
        <n v="11445"/>
        <n v="11446"/>
        <n v="11447"/>
        <n v="11448"/>
        <n v="11449"/>
        <n v="11450"/>
        <n v="11451"/>
        <n v="11452"/>
        <n v="11453"/>
        <n v="11454"/>
        <n v="11455"/>
        <n v="11456"/>
        <n v="11457"/>
        <n v="11458"/>
        <n v="11459"/>
        <n v="11460"/>
        <n v="11461"/>
        <n v="11462"/>
        <n v="11463"/>
        <n v="11464"/>
        <n v="11465"/>
        <n v="11466"/>
        <n v="11467"/>
        <n v="11468"/>
        <n v="11469"/>
        <n v="11470"/>
        <n v="11471"/>
        <n v="11472"/>
        <n v="11473"/>
        <n v="11474"/>
        <n v="11475"/>
        <n v="11476"/>
        <n v="11477"/>
        <n v="11478"/>
        <n v="11479"/>
        <n v="11480"/>
        <n v="11481"/>
        <n v="12382"/>
        <n v="12383"/>
        <n v="12384"/>
        <n v="12385"/>
        <n v="12386"/>
        <n v="12387"/>
        <n v="12388"/>
        <n v="12389"/>
        <n v="12390"/>
        <n v="12391"/>
        <n v="12392"/>
        <n v="12393"/>
        <n v="12394"/>
        <n v="12395"/>
        <n v="12396"/>
        <n v="12397"/>
        <n v="12398"/>
        <n v="12399"/>
        <n v="12400"/>
        <n v="12401"/>
        <n v="12402"/>
        <n v="12403"/>
        <n v="12404"/>
        <n v="12405"/>
        <n v="12406"/>
        <n v="12407"/>
        <n v="12408"/>
        <n v="12409"/>
        <n v="12410"/>
        <n v="12411"/>
        <n v="12412"/>
        <n v="12413"/>
        <n v="12414"/>
        <n v="12415"/>
        <n v="12416"/>
        <n v="12417"/>
        <n v="12418"/>
        <n v="12419"/>
        <n v="12420"/>
        <n v="12421"/>
        <n v="12422"/>
        <n v="12423"/>
        <n v="12424"/>
        <n v="12425"/>
        <n v="12426"/>
        <n v="12427"/>
        <n v="12428"/>
        <n v="12429"/>
        <n v="12430"/>
        <n v="12431"/>
        <n v="12432"/>
        <n v="12433"/>
        <n v="12434"/>
        <n v="12435"/>
        <n v="12436"/>
        <n v="12437"/>
        <n v="12438"/>
        <n v="12439"/>
        <n v="12440"/>
        <n v="12441"/>
        <n v="13342"/>
        <n v="13343"/>
        <n v="13344"/>
        <n v="13345"/>
        <n v="13346"/>
        <n v="13347"/>
        <n v="13348"/>
        <n v="13349"/>
        <n v="13350"/>
        <n v="13351"/>
        <n v="13352"/>
        <n v="13353"/>
        <n v="13354"/>
        <n v="13355"/>
        <n v="13356"/>
        <n v="13357"/>
        <n v="13358"/>
        <n v="13359"/>
        <n v="13360"/>
        <n v="13361"/>
        <n v="13362"/>
        <n v="13363"/>
        <n v="13364"/>
        <n v="13365"/>
        <n v="13366"/>
        <n v="13367"/>
        <n v="13368"/>
        <n v="13369"/>
        <n v="13370"/>
        <n v="13371"/>
        <n v="13372"/>
        <n v="13373"/>
        <n v="13374"/>
        <n v="13375"/>
        <n v="13376"/>
        <n v="13377"/>
        <n v="13378"/>
        <n v="13379"/>
        <n v="13380"/>
        <n v="13381"/>
        <n v="13382"/>
        <n v="13383"/>
        <n v="13384"/>
        <n v="13385"/>
        <n v="13386"/>
        <n v="13387"/>
        <n v="13388"/>
        <n v="13389"/>
        <n v="13390"/>
        <n v="13391"/>
        <n v="13392"/>
        <n v="13393"/>
        <n v="13394"/>
        <n v="13395"/>
        <n v="13396"/>
        <n v="13397"/>
        <n v="13398"/>
        <n v="13399"/>
        <n v="13400"/>
        <n v="13401"/>
        <n v="14302"/>
        <n v="14303"/>
        <n v="14304"/>
        <n v="14305"/>
        <n v="14306"/>
        <n v="14307"/>
        <n v="14308"/>
        <n v="14309"/>
        <n v="14310"/>
        <n v="14311"/>
        <n v="14312"/>
        <n v="14313"/>
        <n v="14314"/>
        <n v="14315"/>
        <n v="14316"/>
        <n v="14317"/>
        <n v="14318"/>
        <n v="14319"/>
        <n v="14320"/>
        <n v="14321"/>
        <n v="14322"/>
        <n v="14323"/>
        <n v="14324"/>
        <n v="14325"/>
        <n v="14326"/>
        <n v="14327"/>
        <n v="14328"/>
        <n v="14329"/>
        <n v="14330"/>
        <n v="14331"/>
        <n v="14332"/>
        <n v="14333"/>
        <n v="14334"/>
        <n v="14335"/>
        <n v="14336"/>
        <n v="14337"/>
        <n v="14338"/>
        <n v="14339"/>
        <n v="14340"/>
        <n v="14341"/>
        <n v="14342"/>
        <n v="14343"/>
        <n v="14344"/>
        <n v="14345"/>
        <n v="14346"/>
        <n v="14347"/>
        <n v="14348"/>
        <n v="14349"/>
        <n v="14350"/>
        <n v="14351"/>
        <n v="14352"/>
        <n v="14353"/>
        <n v="14354"/>
        <n v="14355"/>
        <n v="14356"/>
        <n v="14357"/>
        <n v="14358"/>
        <n v="14359"/>
        <n v="14360"/>
        <n v="14361"/>
        <n v="5691"/>
        <n v="5692"/>
        <n v="5693"/>
        <n v="5694"/>
        <n v="5695"/>
        <n v="5696"/>
        <n v="5697"/>
        <n v="5698"/>
        <n v="5699"/>
        <n v="5700"/>
        <n v="5701"/>
        <n v="5702"/>
        <n v="5703"/>
        <n v="5704"/>
        <n v="5705"/>
        <n v="5706"/>
        <n v="5707"/>
        <n v="5708"/>
        <n v="5709"/>
        <n v="5710"/>
        <n v="5711"/>
        <n v="5712"/>
        <n v="5713"/>
        <n v="5714"/>
        <n v="5715"/>
        <n v="5716"/>
        <n v="5717"/>
        <n v="5718"/>
        <n v="5719"/>
        <n v="5720"/>
        <n v="5721"/>
        <n v="5722"/>
        <n v="5723"/>
        <n v="5724"/>
        <n v="5725"/>
        <n v="5726"/>
        <n v="5727"/>
        <n v="5728"/>
        <n v="5729"/>
        <n v="5730"/>
        <n v="5731"/>
        <n v="5732"/>
        <n v="5733"/>
        <n v="5734"/>
        <n v="5735"/>
        <n v="5736"/>
        <n v="5737"/>
        <n v="5738"/>
        <n v="5739"/>
        <n v="5740"/>
        <n v="5741"/>
        <n v="5742"/>
        <n v="5743"/>
        <n v="5744"/>
        <n v="5745"/>
        <n v="5746"/>
        <n v="5747"/>
        <n v="5748"/>
        <n v="5749"/>
        <n v="5750"/>
        <n v="6659"/>
        <n v="6660"/>
        <n v="6661"/>
        <n v="6662"/>
        <n v="6663"/>
        <n v="6664"/>
        <n v="6665"/>
        <n v="6666"/>
        <n v="6667"/>
        <n v="6668"/>
        <n v="6669"/>
        <n v="6670"/>
        <n v="6671"/>
        <n v="6672"/>
        <n v="6673"/>
        <n v="6674"/>
        <n v="6675"/>
        <n v="6676"/>
        <n v="6677"/>
        <n v="6678"/>
        <n v="6679"/>
        <n v="6680"/>
        <n v="6681"/>
        <n v="6682"/>
        <n v="6683"/>
        <n v="6684"/>
        <n v="6685"/>
        <n v="6686"/>
        <n v="6687"/>
        <n v="6688"/>
        <n v="6689"/>
        <n v="6690"/>
        <n v="6691"/>
        <n v="6692"/>
        <n v="6693"/>
        <n v="6694"/>
        <n v="6695"/>
        <n v="6696"/>
        <n v="6697"/>
        <n v="6698"/>
        <n v="6699"/>
        <n v="6700"/>
        <n v="6701"/>
        <n v="6702"/>
        <n v="6703"/>
        <n v="6704"/>
        <n v="6705"/>
        <n v="6706"/>
        <n v="6707"/>
        <n v="6708"/>
        <n v="6709"/>
        <n v="6710"/>
        <n v="6711"/>
        <n v="6712"/>
        <n v="6713"/>
        <n v="6714"/>
        <n v="6715"/>
        <n v="6716"/>
        <n v="6717"/>
        <n v="6718"/>
        <n v="7628"/>
        <n v="7629"/>
        <n v="7630"/>
        <n v="7631"/>
        <n v="7632"/>
        <n v="7633"/>
        <n v="7634"/>
        <n v="7635"/>
        <n v="7636"/>
        <n v="7637"/>
        <n v="7638"/>
        <n v="7639"/>
        <n v="7640"/>
        <n v="7641"/>
        <n v="7642"/>
        <n v="7643"/>
        <n v="7644"/>
        <n v="7645"/>
        <n v="7646"/>
        <n v="7647"/>
        <n v="7648"/>
        <n v="7649"/>
        <n v="7650"/>
        <n v="7651"/>
        <n v="7652"/>
        <n v="7653"/>
        <n v="7654"/>
        <n v="7655"/>
        <n v="7656"/>
        <n v="7657"/>
        <n v="7658"/>
        <n v="7659"/>
        <n v="7660"/>
        <n v="7661"/>
        <n v="7662"/>
        <n v="7663"/>
        <n v="7664"/>
        <n v="7665"/>
        <n v="7666"/>
        <n v="7667"/>
        <n v="7668"/>
        <n v="7669"/>
        <n v="7670"/>
        <n v="7671"/>
        <n v="7672"/>
        <n v="7673"/>
        <n v="7674"/>
        <n v="7675"/>
        <n v="7676"/>
        <n v="7677"/>
        <n v="7678"/>
        <n v="7679"/>
        <n v="7680"/>
        <n v="7681"/>
        <n v="7682"/>
        <n v="7683"/>
        <n v="7684"/>
        <n v="7685"/>
        <n v="7686"/>
        <n v="7687"/>
        <n v="8596"/>
        <n v="8597"/>
        <n v="8598"/>
        <n v="8599"/>
        <n v="8600"/>
        <n v="8601"/>
        <n v="8602"/>
        <n v="8603"/>
        <n v="8604"/>
        <n v="8605"/>
        <n v="8606"/>
        <n v="8607"/>
        <n v="8608"/>
        <n v="8609"/>
        <n v="8610"/>
        <n v="8611"/>
        <n v="8612"/>
        <n v="8613"/>
        <n v="8614"/>
        <n v="8615"/>
        <n v="8616"/>
        <n v="8617"/>
        <n v="8618"/>
        <n v="8619"/>
        <n v="8620"/>
        <n v="8621"/>
        <n v="8622"/>
        <n v="8623"/>
        <n v="8624"/>
        <n v="8625"/>
        <n v="8626"/>
        <n v="8627"/>
        <n v="8628"/>
        <n v="8629"/>
        <n v="8630"/>
        <n v="8631"/>
        <n v="8632"/>
        <n v="8633"/>
        <n v="8634"/>
        <n v="8635"/>
        <n v="8636"/>
        <n v="8637"/>
        <n v="8638"/>
        <n v="8639"/>
        <n v="8640"/>
        <n v="8641"/>
        <n v="8642"/>
        <n v="8643"/>
        <n v="8644"/>
        <n v="8645"/>
        <n v="8646"/>
        <n v="8647"/>
        <n v="8648"/>
        <n v="8649"/>
        <n v="8650"/>
        <n v="8651"/>
        <n v="8652"/>
        <n v="8653"/>
        <n v="8654"/>
        <n v="8655"/>
        <n v="8656"/>
        <n v="9561"/>
        <n v="9562"/>
        <n v="9563"/>
        <n v="9564"/>
        <n v="9565"/>
        <n v="9566"/>
        <n v="9567"/>
        <n v="9568"/>
        <n v="9569"/>
        <n v="9570"/>
        <n v="9571"/>
        <n v="9572"/>
        <n v="9573"/>
        <n v="9574"/>
        <n v="9575"/>
        <n v="9576"/>
        <n v="9577"/>
        <n v="9578"/>
        <n v="9579"/>
        <n v="9580"/>
        <n v="9581"/>
        <n v="9582"/>
        <n v="9583"/>
        <n v="9584"/>
        <n v="9585"/>
        <n v="9586"/>
        <n v="9587"/>
        <n v="9588"/>
        <n v="9589"/>
        <n v="9590"/>
        <n v="9591"/>
        <n v="9592"/>
        <n v="9593"/>
        <n v="9594"/>
        <n v="9595"/>
        <n v="9596"/>
        <n v="9597"/>
        <n v="9598"/>
        <n v="9599"/>
        <n v="9600"/>
        <n v="9601"/>
        <n v="9602"/>
        <n v="9603"/>
        <n v="9604"/>
        <n v="9605"/>
        <n v="9606"/>
        <n v="9607"/>
        <n v="9608"/>
        <n v="9609"/>
        <n v="9610"/>
        <n v="9611"/>
        <n v="9612"/>
        <n v="9613"/>
        <n v="9614"/>
        <n v="9615"/>
        <n v="9616"/>
        <n v="9617"/>
        <n v="9618"/>
        <n v="9619"/>
        <n v="9620"/>
        <n v="10522"/>
        <n v="10523"/>
        <n v="10524"/>
        <n v="10525"/>
        <n v="10526"/>
        <n v="10527"/>
        <n v="10528"/>
        <n v="10529"/>
        <n v="10530"/>
        <n v="10531"/>
        <n v="10532"/>
        <n v="10533"/>
        <n v="10534"/>
        <n v="10535"/>
        <n v="10536"/>
        <n v="10537"/>
        <n v="10538"/>
        <n v="10539"/>
        <n v="10540"/>
        <n v="10541"/>
        <n v="10542"/>
        <n v="10543"/>
        <n v="10544"/>
        <n v="10545"/>
        <n v="10546"/>
        <n v="10547"/>
        <n v="10548"/>
        <n v="10549"/>
        <n v="10550"/>
        <n v="10551"/>
        <n v="10552"/>
        <n v="10553"/>
        <n v="10554"/>
        <n v="10555"/>
        <n v="10556"/>
        <n v="10557"/>
        <n v="10558"/>
        <n v="10559"/>
        <n v="10560"/>
        <n v="10561"/>
        <n v="10562"/>
        <n v="10563"/>
        <n v="10564"/>
        <n v="10565"/>
        <n v="10566"/>
        <n v="10567"/>
        <n v="10568"/>
        <n v="10569"/>
        <n v="10570"/>
        <n v="10571"/>
        <n v="10572"/>
        <n v="10573"/>
        <n v="10574"/>
        <n v="10575"/>
        <n v="10576"/>
        <n v="10577"/>
        <n v="10578"/>
        <n v="10579"/>
        <n v="10580"/>
        <n v="10581"/>
        <n v="11482"/>
        <n v="11483"/>
        <n v="11484"/>
        <n v="11485"/>
        <n v="11486"/>
        <n v="11487"/>
        <n v="11488"/>
        <n v="11489"/>
        <n v="11490"/>
        <n v="11491"/>
        <n v="11492"/>
        <n v="11493"/>
        <n v="11494"/>
        <n v="11495"/>
        <n v="11496"/>
        <n v="11497"/>
        <n v="11498"/>
        <n v="11499"/>
        <n v="11500"/>
        <n v="11501"/>
        <n v="11502"/>
        <n v="11503"/>
        <n v="11504"/>
        <n v="11505"/>
        <n v="11506"/>
        <n v="11507"/>
        <n v="11508"/>
        <n v="11509"/>
        <n v="11510"/>
        <n v="11511"/>
        <n v="11512"/>
        <n v="11513"/>
        <n v="11514"/>
        <n v="11515"/>
        <n v="11516"/>
        <n v="11517"/>
        <n v="11518"/>
        <n v="11519"/>
        <n v="11520"/>
        <n v="11521"/>
        <n v="11522"/>
        <n v="11523"/>
        <n v="11524"/>
        <n v="11525"/>
        <n v="11526"/>
        <n v="11527"/>
        <n v="11528"/>
        <n v="11529"/>
        <n v="11530"/>
        <n v="11531"/>
        <n v="11532"/>
        <n v="11533"/>
        <n v="11534"/>
        <n v="11535"/>
        <n v="11536"/>
        <n v="11537"/>
        <n v="11538"/>
        <n v="11539"/>
        <n v="11540"/>
        <n v="11541"/>
        <n v="12442"/>
        <n v="12443"/>
        <n v="12444"/>
        <n v="12445"/>
        <n v="12446"/>
        <n v="12447"/>
        <n v="12448"/>
        <n v="12449"/>
        <n v="12450"/>
        <n v="12451"/>
        <n v="12452"/>
        <n v="12453"/>
        <n v="12454"/>
        <n v="12455"/>
        <n v="12456"/>
        <n v="12457"/>
        <n v="12458"/>
        <n v="12459"/>
        <n v="12460"/>
        <n v="12461"/>
        <n v="12462"/>
        <n v="12463"/>
        <n v="12464"/>
        <n v="12465"/>
        <n v="12466"/>
        <n v="12467"/>
        <n v="12468"/>
        <n v="12469"/>
        <n v="12470"/>
        <n v="12471"/>
        <n v="12472"/>
        <n v="12473"/>
        <n v="12474"/>
        <n v="12475"/>
        <n v="12476"/>
        <n v="12477"/>
        <n v="12478"/>
        <n v="12479"/>
        <n v="12480"/>
        <n v="12481"/>
        <n v="12482"/>
        <n v="12483"/>
        <n v="12484"/>
        <n v="12485"/>
        <n v="12486"/>
        <n v="12487"/>
        <n v="12488"/>
        <n v="12489"/>
        <n v="12490"/>
        <n v="12491"/>
        <n v="12492"/>
        <n v="12493"/>
        <n v="12494"/>
        <n v="12495"/>
        <n v="12496"/>
        <n v="12497"/>
        <n v="12498"/>
        <n v="12499"/>
        <n v="12500"/>
        <n v="12501"/>
        <n v="13402"/>
        <n v="13403"/>
        <n v="13404"/>
        <n v="13405"/>
        <n v="13406"/>
        <n v="13407"/>
        <n v="13408"/>
        <n v="13409"/>
        <n v="13410"/>
        <n v="13411"/>
        <n v="13412"/>
        <n v="13413"/>
        <n v="13414"/>
        <n v="13415"/>
        <n v="13416"/>
        <n v="13417"/>
        <n v="13418"/>
        <n v="13419"/>
        <n v="13420"/>
        <n v="13421"/>
        <n v="13422"/>
        <n v="13423"/>
        <n v="13424"/>
        <n v="13425"/>
        <n v="13426"/>
        <n v="13427"/>
        <n v="13428"/>
        <n v="13429"/>
        <n v="13430"/>
        <n v="13431"/>
        <n v="13432"/>
        <n v="13433"/>
        <n v="13434"/>
        <n v="13435"/>
        <n v="13436"/>
        <n v="13437"/>
        <n v="13438"/>
        <n v="13439"/>
        <n v="13440"/>
        <n v="13441"/>
        <n v="13442"/>
        <n v="13443"/>
        <n v="13444"/>
        <n v="13445"/>
        <n v="13446"/>
        <n v="13447"/>
        <n v="13448"/>
        <n v="13449"/>
        <n v="13450"/>
        <n v="13451"/>
        <n v="13452"/>
        <n v="13453"/>
        <n v="13454"/>
        <n v="13455"/>
        <n v="13456"/>
        <n v="13457"/>
        <n v="13458"/>
        <n v="13459"/>
        <n v="13460"/>
        <n v="13461"/>
        <n v="14362"/>
        <n v="14363"/>
        <n v="14364"/>
        <n v="14365"/>
        <n v="14366"/>
        <n v="14367"/>
        <n v="14368"/>
        <n v="14369"/>
        <n v="14370"/>
        <n v="14371"/>
        <n v="14372"/>
        <n v="14373"/>
        <n v="14374"/>
        <n v="14375"/>
        <n v="14376"/>
        <n v="14377"/>
        <n v="14378"/>
        <n v="14379"/>
        <n v="14380"/>
        <n v="14381"/>
        <n v="14382"/>
        <n v="14383"/>
        <n v="14384"/>
        <n v="14385"/>
        <n v="14386"/>
        <n v="14387"/>
        <n v="14388"/>
        <n v="14389"/>
        <n v="14390"/>
        <n v="14391"/>
        <n v="14392"/>
        <n v="14393"/>
        <n v="14394"/>
        <n v="14395"/>
        <n v="14396"/>
        <n v="14397"/>
        <n v="14398"/>
        <n v="14399"/>
        <n v="14400"/>
        <n v="14401"/>
        <n v="14402"/>
        <n v="14403"/>
        <n v="14404"/>
        <n v="14405"/>
        <n v="14406"/>
        <n v="14407"/>
        <n v="14408"/>
        <n v="14409"/>
        <n v="14410"/>
        <n v="14411"/>
        <n v="14412"/>
        <n v="14413"/>
        <n v="14414"/>
        <n v="14415"/>
        <n v="14416"/>
        <n v="14417"/>
        <n v="14418"/>
        <n v="14419"/>
        <n v="14420"/>
        <n v="14421"/>
        <n v="5751"/>
        <n v="5752"/>
        <n v="5753"/>
        <n v="5754"/>
        <n v="5755"/>
        <n v="5756"/>
        <n v="5757"/>
        <n v="5758"/>
        <n v="5759"/>
        <n v="5760"/>
        <n v="5761"/>
        <n v="5762"/>
        <n v="5763"/>
        <n v="5764"/>
        <n v="5765"/>
        <n v="5766"/>
        <n v="5767"/>
        <n v="5768"/>
        <n v="5769"/>
        <n v="5770"/>
        <n v="5771"/>
        <n v="5772"/>
        <n v="5773"/>
        <n v="5774"/>
        <n v="5775"/>
        <n v="5776"/>
        <n v="5777"/>
        <n v="5778"/>
        <n v="5779"/>
        <n v="5780"/>
        <n v="5781"/>
        <n v="5782"/>
        <n v="5783"/>
        <n v="5784"/>
        <n v="5785"/>
        <n v="5786"/>
        <n v="5787"/>
        <n v="5788"/>
        <n v="5789"/>
        <n v="5790"/>
        <n v="5791"/>
        <n v="5792"/>
        <n v="5793"/>
        <n v="5794"/>
        <n v="5795"/>
        <n v="5796"/>
        <n v="5797"/>
        <n v="5798"/>
        <n v="5799"/>
        <n v="5800"/>
        <n v="5801"/>
        <n v="5802"/>
        <n v="5803"/>
        <n v="5804"/>
        <n v="5805"/>
        <n v="5806"/>
        <n v="5807"/>
        <n v="5808"/>
        <n v="5809"/>
        <n v="5810"/>
        <n v="6719"/>
        <n v="6720"/>
        <n v="6721"/>
        <n v="6722"/>
        <n v="6723"/>
        <n v="6724"/>
        <n v="6725"/>
        <n v="6726"/>
        <n v="6727"/>
        <n v="6728"/>
        <n v="6729"/>
        <n v="6730"/>
        <n v="6731"/>
        <n v="6732"/>
        <n v="6733"/>
        <n v="6734"/>
        <n v="6735"/>
        <n v="6736"/>
        <n v="6737"/>
        <n v="6738"/>
        <n v="6739"/>
        <n v="6740"/>
        <n v="6741"/>
        <n v="6742"/>
        <n v="6743"/>
        <n v="6744"/>
        <n v="6745"/>
        <n v="6746"/>
        <n v="6747"/>
        <n v="6748"/>
        <n v="6749"/>
        <n v="6750"/>
        <n v="6751"/>
        <n v="6752"/>
        <n v="6753"/>
        <n v="6754"/>
        <n v="6755"/>
        <n v="6756"/>
        <n v="6757"/>
        <n v="6758"/>
        <n v="6759"/>
        <n v="6760"/>
        <n v="6761"/>
        <n v="6762"/>
        <n v="6763"/>
        <n v="6764"/>
        <n v="6765"/>
        <n v="6766"/>
        <n v="6767"/>
        <n v="6768"/>
        <n v="6769"/>
        <n v="6770"/>
        <n v="6771"/>
        <n v="6772"/>
        <n v="6773"/>
        <n v="6774"/>
        <n v="6775"/>
        <n v="6776"/>
        <n v="6777"/>
        <n v="6778"/>
        <n v="7688"/>
        <n v="7689"/>
        <n v="7690"/>
        <n v="7691"/>
        <n v="7692"/>
        <n v="7693"/>
        <n v="7694"/>
        <n v="7695"/>
        <n v="7696"/>
        <n v="7697"/>
        <n v="7698"/>
        <n v="7699"/>
        <n v="7700"/>
        <n v="7701"/>
        <n v="7702"/>
        <n v="7703"/>
        <n v="7704"/>
        <n v="7705"/>
        <n v="7706"/>
        <n v="7707"/>
        <n v="7708"/>
        <n v="7709"/>
        <n v="7710"/>
        <n v="7711"/>
        <n v="7712"/>
        <n v="7713"/>
        <n v="7714"/>
        <n v="7715"/>
        <n v="7716"/>
        <n v="7717"/>
        <n v="7718"/>
        <n v="7719"/>
        <n v="7720"/>
        <n v="7721"/>
        <n v="7722"/>
        <n v="7723"/>
        <n v="7724"/>
        <n v="7725"/>
        <n v="7726"/>
        <n v="7727"/>
        <n v="7728"/>
        <n v="7729"/>
        <n v="7730"/>
        <n v="7731"/>
        <n v="7732"/>
        <n v="7733"/>
        <n v="7734"/>
        <n v="7735"/>
        <n v="7736"/>
        <n v="7737"/>
        <n v="7738"/>
        <n v="7739"/>
        <n v="7740"/>
        <n v="7741"/>
        <n v="7742"/>
        <n v="7743"/>
        <n v="7744"/>
        <n v="7745"/>
        <n v="7746"/>
        <n v="7747"/>
        <n v="8657"/>
        <n v="8658"/>
        <n v="8659"/>
        <n v="8660"/>
        <n v="8661"/>
        <n v="8662"/>
        <n v="8663"/>
        <n v="8664"/>
        <n v="8665"/>
        <n v="8666"/>
        <n v="8667"/>
        <n v="8668"/>
        <n v="8669"/>
        <n v="8670"/>
        <n v="8671"/>
        <n v="8672"/>
        <n v="8673"/>
        <n v="8674"/>
        <n v="8675"/>
        <n v="8676"/>
        <n v="8677"/>
        <n v="8678"/>
        <n v="8679"/>
        <n v="8680"/>
        <n v="8681"/>
        <n v="8682"/>
        <n v="8683"/>
        <n v="8684"/>
        <n v="8685"/>
        <n v="8686"/>
        <n v="8687"/>
        <n v="8688"/>
        <n v="8689"/>
        <n v="8690"/>
        <n v="8691"/>
        <n v="8692"/>
        <n v="8693"/>
        <n v="8694"/>
        <n v="8695"/>
        <n v="8696"/>
        <n v="8697"/>
        <n v="8698"/>
        <n v="8699"/>
        <n v="8700"/>
        <n v="8701"/>
        <n v="8702"/>
        <n v="8703"/>
        <n v="8704"/>
        <n v="8705"/>
        <n v="8706"/>
        <n v="8707"/>
        <n v="8708"/>
        <n v="8709"/>
        <n v="8710"/>
        <n v="8711"/>
        <n v="8712"/>
        <n v="8713"/>
        <n v="8714"/>
        <n v="8715"/>
        <n v="8716"/>
        <n v="9621"/>
        <n v="9622"/>
        <n v="9623"/>
        <n v="9624"/>
        <n v="9625"/>
        <n v="9626"/>
        <n v="9627"/>
        <n v="9628"/>
        <n v="9629"/>
        <n v="9630"/>
        <n v="9631"/>
        <n v="9632"/>
        <n v="9633"/>
        <n v="9634"/>
        <n v="9635"/>
        <n v="9636"/>
        <n v="9637"/>
        <n v="9638"/>
        <n v="9639"/>
        <n v="9640"/>
        <n v="9641"/>
        <n v="9642"/>
        <n v="9643"/>
        <n v="9644"/>
        <n v="9645"/>
        <n v="9646"/>
        <n v="9647"/>
        <n v="9648"/>
        <n v="9649"/>
        <n v="9650"/>
        <n v="9651"/>
        <n v="9652"/>
        <n v="9653"/>
        <n v="9654"/>
        <n v="9655"/>
        <n v="9656"/>
        <n v="9657"/>
        <n v="9658"/>
        <n v="9659"/>
        <n v="9660"/>
        <n v="9661"/>
        <n v="9662"/>
        <n v="9663"/>
        <n v="9664"/>
        <n v="9665"/>
        <n v="9666"/>
        <n v="9667"/>
        <n v="9668"/>
        <n v="9669"/>
        <n v="9670"/>
        <n v="9671"/>
        <n v="9672"/>
        <n v="9673"/>
        <n v="9674"/>
        <n v="9675"/>
        <n v="9676"/>
        <n v="9677"/>
        <n v="9678"/>
        <n v="9679"/>
        <n v="9680"/>
        <n v="10582"/>
        <n v="10583"/>
        <n v="10584"/>
        <n v="10585"/>
        <n v="10586"/>
        <n v="10587"/>
        <n v="10588"/>
        <n v="10589"/>
        <n v="10590"/>
        <n v="10591"/>
        <n v="10592"/>
        <n v="10593"/>
        <n v="10594"/>
        <n v="10595"/>
        <n v="10596"/>
        <n v="10597"/>
        <n v="10598"/>
        <n v="10599"/>
        <n v="10600"/>
        <n v="10601"/>
        <n v="10602"/>
        <n v="10603"/>
        <n v="10604"/>
        <n v="10605"/>
        <n v="10606"/>
        <n v="10607"/>
        <n v="10608"/>
        <n v="10609"/>
        <n v="10610"/>
        <n v="10611"/>
        <n v="10612"/>
        <n v="10613"/>
        <n v="10614"/>
        <n v="10615"/>
        <n v="10616"/>
        <n v="10617"/>
        <n v="10618"/>
        <n v="10619"/>
        <n v="10620"/>
        <n v="10621"/>
        <n v="10622"/>
        <n v="10623"/>
        <n v="10624"/>
        <n v="10625"/>
        <n v="10626"/>
        <n v="10627"/>
        <n v="10628"/>
        <n v="10629"/>
        <n v="10630"/>
        <n v="10631"/>
        <n v="10632"/>
        <n v="10633"/>
        <n v="10634"/>
        <n v="10635"/>
        <n v="10636"/>
        <n v="10637"/>
        <n v="10638"/>
        <n v="10639"/>
        <n v="10640"/>
        <n v="10641"/>
        <n v="11542"/>
        <n v="11543"/>
        <n v="11544"/>
        <n v="11545"/>
        <n v="11546"/>
        <n v="11547"/>
        <n v="11548"/>
        <n v="11549"/>
        <n v="11550"/>
        <n v="11551"/>
        <n v="11552"/>
        <n v="11553"/>
        <n v="11554"/>
        <n v="11555"/>
        <n v="11556"/>
        <n v="11557"/>
        <n v="11558"/>
        <n v="11559"/>
        <n v="11560"/>
        <n v="11561"/>
        <n v="11562"/>
        <n v="11563"/>
        <n v="11564"/>
        <n v="11565"/>
        <n v="11566"/>
        <n v="11567"/>
        <n v="11568"/>
        <n v="11569"/>
        <n v="11570"/>
        <n v="11571"/>
        <n v="11572"/>
        <n v="11573"/>
        <n v="11574"/>
        <n v="11575"/>
        <n v="11576"/>
        <n v="11577"/>
        <n v="11578"/>
        <n v="11579"/>
        <n v="11580"/>
        <n v="11581"/>
        <n v="11582"/>
        <n v="11583"/>
        <n v="11584"/>
        <n v="11585"/>
        <n v="11586"/>
        <n v="11587"/>
        <n v="11588"/>
        <n v="11589"/>
        <n v="11590"/>
        <n v="11591"/>
        <n v="11592"/>
        <n v="11593"/>
        <n v="11594"/>
        <n v="11595"/>
        <n v="11596"/>
        <n v="11597"/>
        <n v="11598"/>
        <n v="11599"/>
        <n v="11600"/>
        <n v="11601"/>
        <n v="12502"/>
        <n v="12503"/>
        <n v="12504"/>
        <n v="12505"/>
        <n v="12506"/>
        <n v="12507"/>
        <n v="12508"/>
        <n v="12509"/>
        <n v="12510"/>
        <n v="12511"/>
        <n v="12512"/>
        <n v="12513"/>
        <n v="12514"/>
        <n v="12515"/>
        <n v="12516"/>
        <n v="12517"/>
        <n v="12518"/>
        <n v="12519"/>
        <n v="12520"/>
        <n v="12521"/>
        <n v="12522"/>
        <n v="12523"/>
        <n v="12524"/>
        <n v="12525"/>
        <n v="12526"/>
        <n v="12527"/>
        <n v="12528"/>
        <n v="12529"/>
        <n v="12530"/>
        <n v="12531"/>
        <n v="12532"/>
        <n v="12533"/>
        <n v="12534"/>
        <n v="12535"/>
        <n v="12536"/>
        <n v="12537"/>
        <n v="12538"/>
        <n v="12539"/>
        <n v="12540"/>
        <n v="12541"/>
        <n v="12542"/>
        <n v="12543"/>
        <n v="12544"/>
        <n v="12545"/>
        <n v="12546"/>
        <n v="12547"/>
        <n v="12548"/>
        <n v="12549"/>
        <n v="12550"/>
        <n v="12551"/>
        <n v="12552"/>
        <n v="12553"/>
        <n v="12554"/>
        <n v="12555"/>
        <n v="12556"/>
        <n v="12557"/>
        <n v="12558"/>
        <n v="12559"/>
        <n v="12560"/>
        <n v="12561"/>
        <n v="13462"/>
        <n v="13463"/>
        <n v="13464"/>
        <n v="13465"/>
        <n v="13466"/>
        <n v="13467"/>
        <n v="13468"/>
        <n v="13469"/>
        <n v="13470"/>
        <n v="13471"/>
        <n v="13472"/>
        <n v="13473"/>
        <n v="13474"/>
        <n v="13475"/>
        <n v="13476"/>
        <n v="13477"/>
        <n v="13478"/>
        <n v="13479"/>
        <n v="13480"/>
        <n v="13481"/>
        <n v="13482"/>
        <n v="13483"/>
        <n v="13484"/>
        <n v="13485"/>
        <n v="13486"/>
        <n v="13487"/>
        <n v="13488"/>
        <n v="13489"/>
        <n v="13490"/>
        <n v="13491"/>
        <n v="13492"/>
        <n v="13493"/>
        <n v="13494"/>
        <n v="13495"/>
        <n v="13496"/>
        <n v="13497"/>
        <n v="13498"/>
        <n v="13499"/>
        <n v="13500"/>
        <n v="13501"/>
        <n v="13502"/>
        <n v="13503"/>
        <n v="13504"/>
        <n v="13505"/>
        <n v="13506"/>
        <n v="13507"/>
        <n v="13508"/>
        <n v="13509"/>
        <n v="13510"/>
        <n v="13511"/>
        <n v="13512"/>
        <n v="13513"/>
        <n v="13514"/>
        <n v="13515"/>
        <n v="13516"/>
        <n v="13517"/>
        <n v="13518"/>
        <n v="13519"/>
        <n v="13520"/>
        <n v="13521"/>
        <n v="14422"/>
        <n v="14423"/>
        <n v="14424"/>
        <n v="14425"/>
        <n v="14426"/>
        <n v="14427"/>
        <n v="14428"/>
        <n v="14429"/>
        <n v="14430"/>
        <n v="14431"/>
        <n v="14432"/>
        <n v="14433"/>
        <n v="14434"/>
        <n v="14435"/>
        <n v="14436"/>
        <n v="14437"/>
        <n v="14438"/>
        <n v="14439"/>
        <n v="14440"/>
        <n v="14441"/>
        <n v="14442"/>
        <n v="14443"/>
        <n v="14444"/>
        <n v="14445"/>
        <n v="14446"/>
        <n v="14447"/>
        <n v="14448"/>
        <n v="14449"/>
        <n v="14450"/>
        <n v="14451"/>
        <n v="14452"/>
        <n v="14453"/>
        <n v="14454"/>
        <n v="14455"/>
        <n v="14456"/>
        <n v="14457"/>
        <n v="14458"/>
        <n v="14459"/>
        <n v="14460"/>
        <n v="14461"/>
        <n v="14462"/>
        <n v="14463"/>
        <n v="14464"/>
        <n v="14465"/>
        <n v="14466"/>
        <n v="14467"/>
        <n v="14468"/>
        <n v="14469"/>
        <n v="14470"/>
        <n v="14471"/>
        <n v="14472"/>
        <n v="14473"/>
        <n v="14474"/>
        <n v="14475"/>
        <n v="14476"/>
        <n v="14477"/>
        <n v="14478"/>
        <n v="14479"/>
        <n v="14480"/>
        <n v="14481"/>
        <n v="5811"/>
        <n v="5812"/>
        <n v="5813"/>
        <n v="5814"/>
        <n v="5815"/>
        <n v="5816"/>
        <n v="5817"/>
        <n v="5818"/>
        <n v="5819"/>
        <n v="5820"/>
        <n v="5821"/>
        <n v="5822"/>
        <n v="5823"/>
        <n v="5824"/>
        <n v="5825"/>
        <n v="5826"/>
        <n v="5827"/>
        <n v="5828"/>
        <n v="5829"/>
        <n v="5830"/>
        <n v="5831"/>
        <n v="5832"/>
        <n v="5833"/>
        <n v="5834"/>
        <n v="5835"/>
        <n v="5836"/>
        <n v="5837"/>
        <n v="5838"/>
        <n v="5839"/>
        <n v="5840"/>
        <n v="5841"/>
        <n v="5842"/>
        <n v="5843"/>
        <n v="5844"/>
        <n v="5845"/>
        <n v="5846"/>
        <n v="5847"/>
        <n v="5848"/>
        <n v="5849"/>
        <n v="5850"/>
        <n v="5851"/>
        <n v="5852"/>
        <n v="5853"/>
        <n v="5854"/>
        <n v="5855"/>
        <n v="5856"/>
        <n v="5857"/>
        <n v="5858"/>
        <n v="5859"/>
        <n v="5860"/>
        <n v="5861"/>
        <n v="5862"/>
        <n v="5863"/>
        <n v="5864"/>
        <n v="5865"/>
        <n v="5866"/>
        <n v="5867"/>
        <n v="5868"/>
        <n v="5869"/>
        <n v="5870"/>
        <n v="6779"/>
        <n v="6780"/>
        <n v="6781"/>
        <n v="6782"/>
        <n v="6783"/>
        <n v="6784"/>
        <n v="6785"/>
        <n v="6786"/>
        <n v="6787"/>
        <n v="6788"/>
        <n v="6789"/>
        <n v="6790"/>
        <n v="6791"/>
        <n v="6792"/>
        <n v="6793"/>
        <n v="6794"/>
        <n v="6795"/>
        <n v="6796"/>
        <n v="6797"/>
        <n v="6798"/>
        <n v="6799"/>
        <n v="6800"/>
        <n v="6801"/>
        <n v="6802"/>
        <n v="6803"/>
        <n v="6804"/>
        <n v="6805"/>
        <n v="6806"/>
        <n v="6807"/>
        <n v="6808"/>
        <n v="6809"/>
        <n v="6810"/>
        <n v="6811"/>
        <n v="6812"/>
        <n v="6813"/>
        <n v="6814"/>
        <n v="6815"/>
        <n v="6816"/>
        <n v="6817"/>
        <n v="6818"/>
        <n v="6819"/>
        <n v="6820"/>
        <n v="6821"/>
        <n v="6822"/>
        <n v="6823"/>
        <n v="6824"/>
        <n v="6825"/>
        <n v="6826"/>
        <n v="6827"/>
        <n v="6828"/>
        <n v="6829"/>
        <n v="6830"/>
        <n v="6831"/>
        <n v="6832"/>
        <n v="6833"/>
        <n v="6834"/>
        <n v="6835"/>
        <n v="6836"/>
        <n v="6837"/>
        <n v="6838"/>
        <n v="6839"/>
        <n v="7748"/>
        <n v="7749"/>
        <n v="7750"/>
        <n v="7751"/>
        <n v="7752"/>
        <n v="7753"/>
        <n v="7754"/>
        <n v="7755"/>
        <n v="7756"/>
        <n v="7757"/>
        <n v="7758"/>
        <n v="7759"/>
        <n v="7760"/>
        <n v="7761"/>
        <n v="7762"/>
        <n v="7763"/>
        <n v="7764"/>
        <n v="7765"/>
        <n v="7766"/>
        <n v="7767"/>
        <n v="7768"/>
        <n v="7769"/>
        <n v="7770"/>
        <n v="7771"/>
        <n v="7772"/>
        <n v="7773"/>
        <n v="7774"/>
        <n v="7775"/>
        <n v="7776"/>
        <n v="7777"/>
        <n v="7778"/>
        <n v="7779"/>
        <n v="7780"/>
        <n v="7781"/>
        <n v="7782"/>
        <n v="7783"/>
        <n v="7784"/>
        <n v="7785"/>
        <n v="7786"/>
        <n v="7787"/>
        <n v="7788"/>
        <n v="7789"/>
        <n v="7790"/>
        <n v="7791"/>
        <n v="7792"/>
        <n v="7793"/>
        <n v="7794"/>
        <n v="7795"/>
        <n v="7796"/>
        <n v="7797"/>
        <n v="7798"/>
        <n v="7799"/>
        <n v="7800"/>
        <n v="7801"/>
        <n v="7802"/>
        <n v="7803"/>
        <n v="7804"/>
        <n v="7805"/>
        <n v="7806"/>
        <n v="7807"/>
        <n v="7808"/>
        <n v="8717"/>
        <n v="8718"/>
        <n v="8719"/>
        <n v="8720"/>
        <n v="8721"/>
        <n v="8722"/>
        <n v="8723"/>
        <n v="8724"/>
        <n v="8725"/>
        <n v="8726"/>
        <n v="8727"/>
        <n v="8728"/>
        <n v="8729"/>
        <n v="8730"/>
        <n v="8731"/>
        <n v="8732"/>
        <n v="8733"/>
        <n v="8734"/>
        <n v="8735"/>
        <n v="8736"/>
        <n v="8737"/>
        <n v="8738"/>
        <n v="8739"/>
        <n v="8740"/>
        <n v="8741"/>
        <n v="8742"/>
        <n v="8743"/>
        <n v="8744"/>
        <n v="8745"/>
        <n v="8746"/>
        <n v="8747"/>
        <n v="8748"/>
        <n v="8749"/>
        <n v="8750"/>
        <n v="8751"/>
        <n v="8752"/>
        <n v="8753"/>
        <n v="8754"/>
        <n v="8755"/>
        <n v="8756"/>
        <n v="8757"/>
        <n v="8758"/>
        <n v="8759"/>
        <n v="8760"/>
        <n v="8761"/>
        <n v="8762"/>
        <n v="8763"/>
        <n v="8764"/>
        <n v="8765"/>
        <n v="8766"/>
        <n v="8767"/>
        <n v="8768"/>
        <n v="8769"/>
        <n v="8770"/>
        <n v="8771"/>
        <n v="8772"/>
        <n v="8773"/>
        <n v="8774"/>
        <n v="8775"/>
        <n v="8776"/>
        <n v="9681"/>
        <n v="9682"/>
        <n v="9683"/>
        <n v="9684"/>
        <n v="9685"/>
        <n v="9686"/>
        <n v="9687"/>
        <n v="9688"/>
        <n v="9689"/>
        <n v="9690"/>
        <n v="9691"/>
        <n v="9692"/>
        <n v="9693"/>
        <n v="9694"/>
        <n v="9695"/>
        <n v="9696"/>
        <n v="9697"/>
        <n v="9698"/>
        <n v="9699"/>
        <n v="9700"/>
        <n v="9701"/>
        <n v="9702"/>
        <n v="9703"/>
        <n v="9704"/>
        <n v="9705"/>
        <n v="9706"/>
        <n v="9707"/>
        <n v="9708"/>
        <n v="9709"/>
        <n v="9710"/>
        <n v="9711"/>
        <n v="9712"/>
        <n v="9713"/>
        <n v="9714"/>
        <n v="9715"/>
        <n v="9716"/>
        <n v="9717"/>
        <n v="9718"/>
        <n v="9719"/>
        <n v="9720"/>
        <n v="9721"/>
        <n v="9722"/>
        <n v="9723"/>
        <n v="9724"/>
        <n v="9725"/>
        <n v="9726"/>
        <n v="9727"/>
        <n v="9728"/>
        <n v="9729"/>
        <n v="9730"/>
        <n v="9731"/>
        <n v="9732"/>
        <n v="9733"/>
        <n v="9734"/>
        <n v="9735"/>
        <n v="9736"/>
        <n v="9737"/>
        <n v="9738"/>
        <n v="9739"/>
        <n v="9740"/>
        <n v="9741"/>
        <n v="10642"/>
        <n v="10643"/>
        <n v="10644"/>
        <n v="10645"/>
        <n v="10646"/>
        <n v="10647"/>
        <n v="10648"/>
        <n v="10649"/>
        <n v="10650"/>
        <n v="10651"/>
        <n v="10652"/>
        <n v="10653"/>
        <n v="10654"/>
        <n v="10655"/>
        <n v="10656"/>
        <n v="10657"/>
        <n v="10658"/>
        <n v="10659"/>
        <n v="10660"/>
        <n v="10661"/>
        <n v="10662"/>
        <n v="10663"/>
        <n v="10664"/>
        <n v="10665"/>
        <n v="10666"/>
        <n v="10667"/>
        <n v="10668"/>
        <n v="10669"/>
        <n v="10670"/>
        <n v="10671"/>
        <n v="10672"/>
        <n v="10673"/>
        <n v="10674"/>
        <n v="10675"/>
        <n v="10676"/>
        <n v="10677"/>
        <n v="10678"/>
        <n v="10679"/>
        <n v="10680"/>
        <n v="10681"/>
        <n v="10682"/>
        <n v="10683"/>
        <n v="10684"/>
        <n v="10685"/>
        <n v="10686"/>
        <n v="10687"/>
        <n v="10688"/>
        <n v="10689"/>
        <n v="10690"/>
        <n v="10691"/>
        <n v="10692"/>
        <n v="10693"/>
        <n v="10694"/>
        <n v="10695"/>
        <n v="10696"/>
        <n v="10697"/>
        <n v="10698"/>
        <n v="10699"/>
        <n v="10700"/>
        <n v="10701"/>
        <n v="11602"/>
        <n v="11603"/>
        <n v="11604"/>
        <n v="11605"/>
        <n v="11606"/>
        <n v="11607"/>
        <n v="11608"/>
        <n v="11609"/>
        <n v="11610"/>
        <n v="11611"/>
        <n v="11612"/>
        <n v="11613"/>
        <n v="11614"/>
        <n v="11615"/>
        <n v="11616"/>
        <n v="11617"/>
        <n v="11618"/>
        <n v="11619"/>
        <n v="11620"/>
        <n v="11621"/>
        <n v="11622"/>
        <n v="11623"/>
        <n v="11624"/>
        <n v="11625"/>
        <n v="11626"/>
        <n v="11627"/>
        <n v="11628"/>
        <n v="11629"/>
        <n v="11630"/>
        <n v="11631"/>
        <n v="11632"/>
        <n v="11633"/>
        <n v="11634"/>
        <n v="11635"/>
        <n v="11636"/>
        <n v="11637"/>
        <n v="11638"/>
        <n v="11639"/>
        <n v="11640"/>
        <n v="11641"/>
        <n v="11642"/>
        <n v="11643"/>
        <n v="11644"/>
        <n v="11645"/>
        <n v="11646"/>
        <n v="11647"/>
        <n v="11648"/>
        <n v="11649"/>
        <n v="11650"/>
        <n v="11651"/>
        <n v="11652"/>
        <n v="11653"/>
        <n v="11654"/>
        <n v="11655"/>
        <n v="11656"/>
        <n v="11657"/>
        <n v="11658"/>
        <n v="11659"/>
        <n v="11660"/>
        <n v="11661"/>
        <n v="12562"/>
        <n v="12563"/>
        <n v="12564"/>
        <n v="12565"/>
        <n v="12566"/>
        <n v="12567"/>
        <n v="12568"/>
        <n v="12569"/>
        <n v="12570"/>
        <n v="12571"/>
        <n v="12572"/>
        <n v="12573"/>
        <n v="12574"/>
        <n v="12575"/>
        <n v="12576"/>
        <n v="12577"/>
        <n v="12578"/>
        <n v="12579"/>
        <n v="12580"/>
        <n v="12581"/>
        <n v="12582"/>
        <n v="12583"/>
        <n v="12584"/>
        <n v="12585"/>
        <n v="12586"/>
        <n v="12587"/>
        <n v="12588"/>
        <n v="12589"/>
        <n v="12590"/>
        <n v="12591"/>
        <n v="12592"/>
        <n v="12593"/>
        <n v="12594"/>
        <n v="12595"/>
        <n v="12596"/>
        <n v="12597"/>
        <n v="12598"/>
        <n v="12599"/>
        <n v="12600"/>
        <n v="12601"/>
        <n v="12602"/>
        <n v="12603"/>
        <n v="12604"/>
        <n v="12605"/>
        <n v="12606"/>
        <n v="12607"/>
        <n v="12608"/>
        <n v="12609"/>
        <n v="12610"/>
        <n v="12611"/>
        <n v="12612"/>
        <n v="12613"/>
        <n v="12614"/>
        <n v="12615"/>
        <n v="12616"/>
        <n v="12617"/>
        <n v="12618"/>
        <n v="12619"/>
        <n v="12620"/>
        <n v="12621"/>
        <n v="13522"/>
        <n v="13523"/>
        <n v="13524"/>
        <n v="13525"/>
        <n v="13526"/>
        <n v="13527"/>
        <n v="13528"/>
        <n v="13529"/>
        <n v="13530"/>
        <n v="13531"/>
        <n v="13532"/>
        <n v="13533"/>
        <n v="13534"/>
        <n v="13535"/>
        <n v="13536"/>
        <n v="13537"/>
        <n v="13538"/>
        <n v="13539"/>
        <n v="13540"/>
        <n v="13541"/>
        <n v="13542"/>
        <n v="13543"/>
        <n v="13544"/>
        <n v="13545"/>
        <n v="13546"/>
        <n v="13547"/>
        <n v="13548"/>
        <n v="13549"/>
        <n v="13550"/>
        <n v="13551"/>
        <n v="13552"/>
        <n v="13553"/>
        <n v="13554"/>
        <n v="13555"/>
        <n v="13556"/>
        <n v="13557"/>
        <n v="13558"/>
        <n v="13559"/>
        <n v="13560"/>
        <n v="13561"/>
        <n v="13562"/>
        <n v="13563"/>
        <n v="13564"/>
        <n v="13565"/>
        <n v="13566"/>
        <n v="13567"/>
        <n v="13568"/>
        <n v="13569"/>
        <n v="13570"/>
        <n v="13571"/>
        <n v="13572"/>
        <n v="13573"/>
        <n v="13574"/>
        <n v="13575"/>
        <n v="13576"/>
        <n v="13577"/>
        <n v="13578"/>
        <n v="13579"/>
        <n v="13580"/>
        <n v="13581"/>
        <n v="14482"/>
        <n v="14483"/>
        <n v="14484"/>
        <n v="14485"/>
        <n v="14486"/>
        <n v="14487"/>
        <n v="14488"/>
        <n v="14489"/>
        <n v="14490"/>
        <n v="14491"/>
        <n v="14492"/>
        <n v="14493"/>
        <n v="14494"/>
        <n v="14495"/>
        <n v="14496"/>
        <n v="14497"/>
        <n v="14498"/>
        <n v="14499"/>
        <n v="14500"/>
        <n v="14501"/>
        <n v="14502"/>
        <n v="14503"/>
        <n v="14504"/>
        <n v="14505"/>
        <n v="14506"/>
        <n v="14507"/>
        <n v="14508"/>
        <n v="14509"/>
        <n v="14510"/>
        <n v="14511"/>
        <n v="14512"/>
        <n v="14513"/>
        <n v="14514"/>
        <n v="14515"/>
        <n v="14516"/>
        <n v="14517"/>
        <n v="14518"/>
        <n v="14519"/>
        <n v="14520"/>
        <n v="14521"/>
        <n v="14522"/>
        <n v="14523"/>
        <n v="14524"/>
        <n v="14525"/>
        <n v="14526"/>
        <n v="14527"/>
        <n v="14528"/>
        <n v="14529"/>
        <n v="14530"/>
        <n v="14531"/>
        <n v="14532"/>
        <n v="14533"/>
        <n v="14534"/>
        <n v="14535"/>
        <n v="14536"/>
        <n v="14537"/>
        <n v="14538"/>
        <n v="14539"/>
        <n v="14540"/>
        <n v="14541"/>
        <n v="5871"/>
        <n v="5872"/>
        <n v="5873"/>
        <n v="5874"/>
        <n v="5875"/>
        <n v="5876"/>
        <n v="5877"/>
        <n v="5878"/>
        <n v="5879"/>
        <n v="5880"/>
        <n v="5881"/>
        <n v="5882"/>
        <n v="5883"/>
        <n v="5884"/>
        <n v="5885"/>
        <n v="5886"/>
        <n v="5887"/>
        <n v="5888"/>
        <n v="5889"/>
        <n v="5890"/>
        <n v="5891"/>
        <n v="5892"/>
        <n v="5893"/>
        <n v="5894"/>
        <n v="5895"/>
        <n v="5896"/>
        <n v="5897"/>
        <n v="5898"/>
        <n v="5899"/>
        <n v="5900"/>
        <n v="5901"/>
        <n v="5902"/>
        <n v="5903"/>
        <n v="5904"/>
        <n v="5905"/>
        <n v="5906"/>
        <n v="5907"/>
        <n v="5908"/>
        <n v="5909"/>
        <n v="5910"/>
        <n v="5911"/>
        <n v="5912"/>
        <n v="5913"/>
        <n v="5914"/>
        <n v="5915"/>
        <n v="5916"/>
        <n v="5917"/>
        <n v="5918"/>
        <n v="5919"/>
        <n v="5920"/>
        <n v="5921"/>
        <n v="5922"/>
        <n v="5923"/>
        <n v="5924"/>
        <n v="5925"/>
        <n v="5926"/>
        <n v="5927"/>
        <n v="5928"/>
        <n v="5929"/>
        <n v="5930"/>
        <n v="6840"/>
        <n v="6841"/>
        <n v="6842"/>
        <n v="6843"/>
        <n v="6844"/>
        <n v="6845"/>
        <n v="6846"/>
        <n v="6847"/>
        <n v="6848"/>
        <n v="6849"/>
        <n v="6850"/>
        <n v="6851"/>
        <n v="6852"/>
        <n v="6853"/>
        <n v="6854"/>
        <n v="6855"/>
        <n v="6856"/>
        <n v="6857"/>
        <n v="6858"/>
        <n v="6859"/>
        <n v="6860"/>
        <n v="6861"/>
        <n v="6862"/>
        <n v="6863"/>
        <n v="6864"/>
        <n v="6865"/>
        <n v="6866"/>
        <n v="6867"/>
        <n v="6868"/>
        <n v="6869"/>
        <n v="6870"/>
        <n v="6871"/>
        <n v="6872"/>
        <n v="6873"/>
        <n v="6874"/>
        <n v="6875"/>
        <n v="6876"/>
        <n v="6877"/>
        <n v="6878"/>
        <n v="6879"/>
        <n v="6880"/>
        <n v="6881"/>
        <n v="6882"/>
        <n v="6883"/>
        <n v="6884"/>
        <n v="6885"/>
        <n v="6886"/>
        <n v="6887"/>
        <n v="6888"/>
        <n v="6889"/>
        <n v="6890"/>
        <n v="6891"/>
        <n v="6892"/>
        <n v="6893"/>
        <n v="6894"/>
        <n v="6895"/>
        <n v="6896"/>
        <n v="6897"/>
        <n v="6898"/>
        <n v="6899"/>
        <n v="7809"/>
        <n v="7810"/>
        <n v="7811"/>
        <n v="7812"/>
        <n v="7813"/>
        <n v="7814"/>
        <n v="7815"/>
        <n v="7816"/>
        <n v="7817"/>
        <n v="7818"/>
        <n v="7819"/>
        <n v="7820"/>
        <n v="7821"/>
        <n v="7822"/>
        <n v="7823"/>
        <n v="7824"/>
        <n v="7825"/>
        <n v="7826"/>
        <n v="7827"/>
        <n v="7828"/>
        <n v="7829"/>
        <n v="7830"/>
        <n v="7831"/>
        <n v="7832"/>
        <n v="7833"/>
        <n v="7834"/>
        <n v="7835"/>
        <n v="7836"/>
        <n v="7837"/>
        <n v="7838"/>
        <n v="7839"/>
        <n v="7840"/>
        <n v="7841"/>
        <n v="7842"/>
        <n v="7843"/>
        <n v="7844"/>
        <n v="7845"/>
        <n v="7846"/>
        <n v="7847"/>
        <n v="7848"/>
        <n v="7849"/>
        <n v="7850"/>
        <n v="7851"/>
        <n v="7852"/>
        <n v="7853"/>
        <n v="7854"/>
        <n v="7855"/>
        <n v="7856"/>
        <n v="7857"/>
        <n v="7858"/>
        <n v="7859"/>
        <n v="7860"/>
        <n v="7861"/>
        <n v="7862"/>
        <n v="7863"/>
        <n v="7864"/>
        <n v="7865"/>
        <n v="7866"/>
        <n v="7867"/>
        <n v="7868"/>
        <n v="8777"/>
        <n v="8778"/>
        <n v="8779"/>
        <n v="8780"/>
        <n v="8781"/>
        <n v="8782"/>
        <n v="8783"/>
        <n v="8784"/>
        <n v="8785"/>
        <n v="8786"/>
        <n v="8787"/>
        <n v="8788"/>
        <n v="8789"/>
        <n v="8790"/>
        <n v="8791"/>
        <n v="8792"/>
        <n v="8793"/>
        <n v="8794"/>
        <n v="8795"/>
        <n v="8796"/>
        <n v="8797"/>
        <n v="8798"/>
        <n v="8799"/>
        <n v="8800"/>
        <n v="8801"/>
        <n v="8802"/>
        <n v="8803"/>
        <n v="8804"/>
        <n v="8805"/>
        <n v="8806"/>
        <n v="8807"/>
        <n v="8808"/>
        <n v="8809"/>
        <n v="8810"/>
        <n v="8811"/>
        <n v="8812"/>
        <n v="8813"/>
        <n v="8814"/>
        <n v="8815"/>
        <n v="8816"/>
        <n v="8817"/>
        <n v="8818"/>
        <n v="8819"/>
        <n v="8820"/>
        <n v="8821"/>
        <n v="8822"/>
        <n v="8823"/>
        <n v="8824"/>
        <n v="8825"/>
        <n v="8826"/>
        <n v="8827"/>
        <n v="8828"/>
        <n v="8829"/>
        <n v="8830"/>
        <n v="8831"/>
        <n v="8832"/>
        <n v="8833"/>
        <n v="8834"/>
        <n v="8835"/>
        <n v="8836"/>
        <n v="9742"/>
        <n v="9743"/>
        <n v="9744"/>
        <n v="9745"/>
        <n v="9746"/>
        <n v="9747"/>
        <n v="9748"/>
        <n v="9749"/>
        <n v="9750"/>
        <n v="9751"/>
        <n v="9752"/>
        <n v="9753"/>
        <n v="9754"/>
        <n v="9755"/>
        <n v="9756"/>
        <n v="9757"/>
        <n v="9758"/>
        <n v="9759"/>
        <n v="9760"/>
        <n v="9761"/>
        <n v="9762"/>
        <n v="9763"/>
        <n v="9764"/>
        <n v="9765"/>
        <n v="9766"/>
        <n v="9767"/>
        <n v="9768"/>
        <n v="9769"/>
        <n v="9770"/>
        <n v="9771"/>
        <n v="9772"/>
        <n v="9773"/>
        <n v="9774"/>
        <n v="9775"/>
        <n v="9776"/>
        <n v="9777"/>
        <n v="9778"/>
        <n v="9779"/>
        <n v="9780"/>
        <n v="9781"/>
        <n v="9782"/>
        <n v="9783"/>
        <n v="9784"/>
        <n v="9785"/>
        <n v="9786"/>
        <n v="9787"/>
        <n v="9788"/>
        <n v="9789"/>
        <n v="9790"/>
        <n v="9791"/>
        <n v="9792"/>
        <n v="9793"/>
        <n v="9794"/>
        <n v="9795"/>
        <n v="9796"/>
        <n v="9797"/>
        <n v="9798"/>
        <n v="9799"/>
        <n v="9800"/>
        <n v="9801"/>
        <n v="10702"/>
        <n v="10703"/>
        <n v="10704"/>
        <n v="10705"/>
        <n v="10706"/>
        <n v="10707"/>
        <n v="10708"/>
        <n v="10709"/>
        <n v="10710"/>
        <n v="10711"/>
        <n v="10712"/>
        <n v="10713"/>
        <n v="10714"/>
        <n v="10715"/>
        <n v="10716"/>
        <n v="10717"/>
        <n v="10718"/>
        <n v="10719"/>
        <n v="10720"/>
        <n v="10721"/>
        <n v="10722"/>
        <n v="10723"/>
        <n v="10724"/>
        <n v="10725"/>
        <n v="10726"/>
        <n v="10727"/>
        <n v="10728"/>
        <n v="10729"/>
        <n v="10730"/>
        <n v="10731"/>
        <n v="10732"/>
        <n v="10733"/>
        <n v="10734"/>
        <n v="10735"/>
        <n v="10736"/>
        <n v="10737"/>
        <n v="10738"/>
        <n v="10739"/>
        <n v="10740"/>
        <n v="10741"/>
        <n v="10742"/>
        <n v="10743"/>
        <n v="10744"/>
        <n v="10745"/>
        <n v="10746"/>
        <n v="10747"/>
        <n v="10748"/>
        <n v="10749"/>
        <n v="10750"/>
        <n v="10751"/>
        <n v="10752"/>
        <n v="10753"/>
        <n v="10754"/>
        <n v="10755"/>
        <n v="10756"/>
        <n v="10757"/>
        <n v="10758"/>
        <n v="10759"/>
        <n v="10760"/>
        <n v="10761"/>
        <n v="11662"/>
        <n v="11663"/>
        <n v="11664"/>
        <n v="11665"/>
        <n v="11666"/>
        <n v="11667"/>
        <n v="11668"/>
        <n v="11669"/>
        <n v="11670"/>
        <n v="11671"/>
        <n v="11672"/>
        <n v="11673"/>
        <n v="11674"/>
        <n v="11675"/>
        <n v="11676"/>
        <n v="11677"/>
        <n v="11678"/>
        <n v="11679"/>
        <n v="11680"/>
        <n v="11681"/>
        <n v="11682"/>
        <n v="11683"/>
        <n v="11684"/>
        <n v="11685"/>
        <n v="11686"/>
        <n v="11687"/>
        <n v="11688"/>
        <n v="11689"/>
        <n v="11690"/>
        <n v="11691"/>
        <n v="11692"/>
        <n v="11693"/>
        <n v="11694"/>
        <n v="11695"/>
        <n v="11696"/>
        <n v="11697"/>
        <n v="11698"/>
        <n v="11699"/>
        <n v="11700"/>
        <n v="11701"/>
        <n v="11702"/>
        <n v="11703"/>
        <n v="11704"/>
        <n v="11705"/>
        <n v="11706"/>
        <n v="11707"/>
        <n v="11708"/>
        <n v="11709"/>
        <n v="11710"/>
        <n v="11711"/>
        <n v="11712"/>
        <n v="11713"/>
        <n v="11714"/>
        <n v="11715"/>
        <n v="11716"/>
        <n v="11717"/>
        <n v="11718"/>
        <n v="11719"/>
        <n v="11720"/>
        <n v="11721"/>
        <n v="12622"/>
        <n v="12623"/>
        <n v="12624"/>
        <n v="12625"/>
        <n v="12626"/>
        <n v="12627"/>
        <n v="12628"/>
        <n v="12629"/>
        <n v="12630"/>
        <n v="12631"/>
        <n v="12632"/>
        <n v="12633"/>
        <n v="12634"/>
        <n v="12635"/>
        <n v="12636"/>
        <n v="12637"/>
        <n v="12638"/>
        <n v="12639"/>
        <n v="12640"/>
        <n v="12641"/>
        <n v="12642"/>
        <n v="12643"/>
        <n v="12644"/>
        <n v="12645"/>
        <n v="12646"/>
        <n v="12647"/>
        <n v="12648"/>
        <n v="12649"/>
        <n v="12650"/>
        <n v="12651"/>
        <n v="12652"/>
        <n v="12653"/>
        <n v="12654"/>
        <n v="12655"/>
        <n v="12656"/>
        <n v="12657"/>
        <n v="12658"/>
        <n v="12659"/>
        <n v="12660"/>
        <n v="12661"/>
        <n v="12662"/>
        <n v="12663"/>
        <n v="12664"/>
        <n v="12665"/>
        <n v="12666"/>
        <n v="12667"/>
        <n v="12668"/>
        <n v="12669"/>
        <n v="12670"/>
        <n v="12671"/>
        <n v="12672"/>
        <n v="12673"/>
        <n v="12674"/>
        <n v="12675"/>
        <n v="12676"/>
        <n v="12677"/>
        <n v="12678"/>
        <n v="12679"/>
        <n v="12680"/>
        <n v="12681"/>
        <n v="13582"/>
        <n v="13583"/>
        <n v="13584"/>
        <n v="13585"/>
        <n v="13586"/>
        <n v="13587"/>
        <n v="13588"/>
        <n v="13589"/>
        <n v="13590"/>
        <n v="13591"/>
        <n v="13592"/>
        <n v="13593"/>
        <n v="13594"/>
        <n v="13595"/>
        <n v="13596"/>
        <n v="13597"/>
        <n v="13598"/>
        <n v="13599"/>
        <n v="13600"/>
        <n v="13601"/>
        <n v="13602"/>
        <n v="13603"/>
        <n v="13604"/>
        <n v="13605"/>
        <n v="13606"/>
        <n v="13607"/>
        <n v="13608"/>
        <n v="13609"/>
        <n v="13610"/>
        <n v="13611"/>
        <n v="13612"/>
        <n v="13613"/>
        <n v="13614"/>
        <n v="13615"/>
        <n v="13616"/>
        <n v="13617"/>
        <n v="13618"/>
        <n v="13619"/>
        <n v="13620"/>
        <n v="13621"/>
        <n v="13622"/>
        <n v="13623"/>
        <n v="13624"/>
        <n v="13625"/>
        <n v="13626"/>
        <n v="13627"/>
        <n v="13628"/>
        <n v="13629"/>
        <n v="13630"/>
        <n v="13631"/>
        <n v="13632"/>
        <n v="13633"/>
        <n v="13634"/>
        <n v="13635"/>
        <n v="13636"/>
        <n v="13637"/>
        <n v="13638"/>
        <n v="13639"/>
        <n v="13640"/>
        <n v="13641"/>
        <n v="14542"/>
        <n v="14543"/>
        <n v="14544"/>
        <n v="14545"/>
        <n v="14546"/>
        <n v="14547"/>
        <n v="14548"/>
        <n v="14549"/>
        <n v="14550"/>
        <n v="14551"/>
        <n v="14552"/>
        <n v="14553"/>
        <n v="14554"/>
        <n v="14555"/>
        <n v="14556"/>
        <n v="14557"/>
        <n v="14558"/>
        <n v="14559"/>
        <n v="14560"/>
        <n v="14561"/>
        <n v="14562"/>
        <n v="14563"/>
        <n v="14564"/>
        <n v="14565"/>
        <n v="14566"/>
        <n v="14567"/>
        <n v="14568"/>
        <n v="14569"/>
        <n v="14570"/>
        <n v="14571"/>
        <n v="14572"/>
        <n v="14573"/>
        <n v="14574"/>
        <n v="14575"/>
        <n v="14576"/>
        <n v="14577"/>
        <n v="14578"/>
        <n v="14579"/>
        <n v="14580"/>
        <n v="14581"/>
        <n v="14582"/>
        <n v="14583"/>
        <n v="14584"/>
        <n v="14585"/>
        <n v="14586"/>
        <n v="14587"/>
        <n v="14588"/>
        <n v="14589"/>
        <n v="14590"/>
        <n v="14591"/>
        <n v="14592"/>
        <n v="14593"/>
        <n v="14594"/>
        <n v="14595"/>
        <n v="14596"/>
        <n v="14597"/>
        <n v="14598"/>
        <n v="14599"/>
        <n v="14600"/>
        <n v="14601"/>
        <n v="5000"/>
        <n v="5001"/>
        <n v="5002"/>
        <n v="5003"/>
        <n v="5004"/>
        <n v="5005"/>
        <n v="5006"/>
        <n v="5007"/>
        <n v="5008"/>
        <n v="5009"/>
        <n v="5010"/>
        <n v="5011"/>
        <n v="5012"/>
        <n v="5013"/>
        <n v="5014"/>
        <n v="5015"/>
        <n v="5016"/>
        <n v="5017"/>
        <n v="5018"/>
        <n v="5019"/>
        <n v="5020"/>
        <n v="5021"/>
        <n v="5022"/>
        <n v="5023"/>
        <n v="5024"/>
        <n v="5025"/>
        <n v="5931"/>
        <n v="5932"/>
        <n v="5933"/>
        <n v="5934"/>
        <n v="5935"/>
        <n v="5936"/>
        <n v="5937"/>
        <n v="5938"/>
        <n v="5939"/>
        <n v="5940"/>
        <n v="5941"/>
        <n v="5942"/>
        <n v="5943"/>
        <n v="5944"/>
        <n v="5945"/>
        <n v="5946"/>
        <n v="5947"/>
        <n v="5948"/>
        <n v="5949"/>
        <n v="5950"/>
        <n v="5951"/>
        <n v="5952"/>
        <n v="5953"/>
        <n v="5954"/>
        <n v="5955"/>
        <n v="5956"/>
        <n v="5957"/>
        <n v="5958"/>
        <n v="5959"/>
        <n v="5960"/>
        <n v="5961"/>
        <n v="5962"/>
        <n v="5963"/>
        <n v="5964"/>
        <n v="5965"/>
        <n v="5966"/>
        <n v="5967"/>
        <n v="5968"/>
        <n v="5969"/>
        <n v="5970"/>
        <n v="5971"/>
        <n v="5972"/>
        <n v="5973"/>
        <n v="5974"/>
        <n v="5975"/>
        <n v="5976"/>
        <n v="5977"/>
        <n v="5978"/>
        <n v="5979"/>
        <n v="5980"/>
        <n v="5981"/>
        <n v="5982"/>
        <n v="5983"/>
        <n v="5984"/>
        <n v="5985"/>
        <n v="5986"/>
        <n v="5987"/>
        <n v="5988"/>
        <n v="5989"/>
        <n v="5990"/>
        <n v="6900"/>
        <n v="6901"/>
        <n v="6902"/>
        <n v="6903"/>
        <n v="6904"/>
        <n v="6905"/>
        <n v="6906"/>
        <n v="6907"/>
        <n v="6908"/>
        <n v="6909"/>
        <n v="6910"/>
        <n v="6911"/>
        <n v="6912"/>
        <n v="6913"/>
        <n v="6914"/>
        <n v="6915"/>
        <n v="6916"/>
        <n v="6917"/>
        <n v="6918"/>
        <n v="6919"/>
        <n v="6920"/>
        <n v="6921"/>
        <n v="6922"/>
        <n v="6923"/>
        <n v="6924"/>
        <n v="6925"/>
        <n v="6926"/>
        <n v="6927"/>
        <n v="6928"/>
        <n v="6929"/>
        <n v="6930"/>
        <n v="6931"/>
        <n v="6932"/>
        <n v="6933"/>
        <n v="6934"/>
        <n v="6935"/>
        <n v="6936"/>
        <n v="6937"/>
        <n v="6938"/>
        <n v="6939"/>
        <n v="6940"/>
        <n v="6941"/>
        <n v="6942"/>
        <n v="6943"/>
        <n v="6944"/>
        <n v="6945"/>
        <n v="6946"/>
        <n v="6947"/>
        <n v="6948"/>
        <n v="6949"/>
        <n v="6950"/>
        <n v="6951"/>
        <n v="6952"/>
        <n v="6953"/>
        <n v="6954"/>
        <n v="6955"/>
        <n v="6956"/>
        <n v="6957"/>
        <n v="6958"/>
        <n v="6959"/>
        <n v="6960"/>
        <n v="7869"/>
        <n v="7870"/>
        <n v="7871"/>
        <n v="7872"/>
        <n v="7873"/>
        <n v="7874"/>
        <n v="7875"/>
        <n v="7876"/>
        <n v="7877"/>
        <n v="7878"/>
        <n v="7879"/>
        <n v="7880"/>
        <n v="7881"/>
        <n v="7882"/>
        <n v="7883"/>
        <n v="7884"/>
        <n v="7885"/>
        <n v="7886"/>
        <n v="7887"/>
        <n v="7888"/>
        <n v="7889"/>
        <n v="7890"/>
        <n v="7891"/>
        <n v="7892"/>
        <n v="7893"/>
        <n v="7894"/>
        <n v="7895"/>
        <n v="7896"/>
        <n v="7897"/>
        <n v="7898"/>
        <n v="7899"/>
        <n v="7900"/>
        <n v="7901"/>
        <n v="7902"/>
        <n v="7903"/>
        <n v="7904"/>
        <n v="7905"/>
        <n v="7906"/>
        <n v="7907"/>
        <n v="7908"/>
        <n v="7909"/>
        <n v="7910"/>
        <n v="7911"/>
        <n v="7912"/>
        <n v="7913"/>
        <n v="7914"/>
        <n v="7915"/>
        <n v="7916"/>
        <n v="7917"/>
        <n v="7918"/>
        <n v="7919"/>
        <n v="7920"/>
        <n v="7921"/>
        <n v="7922"/>
        <n v="7923"/>
        <n v="7924"/>
        <n v="7925"/>
        <n v="7926"/>
        <n v="7927"/>
        <n v="7928"/>
        <n v="7929"/>
        <n v="8837"/>
        <n v="8838"/>
        <n v="8839"/>
        <n v="8840"/>
        <n v="8841"/>
        <n v="8842"/>
        <n v="8843"/>
        <n v="8844"/>
        <n v="8845"/>
        <n v="8846"/>
        <n v="8847"/>
        <n v="8848"/>
        <n v="8849"/>
        <n v="8850"/>
        <n v="8851"/>
        <n v="8852"/>
        <n v="8853"/>
        <n v="8854"/>
        <n v="8855"/>
        <n v="8856"/>
        <n v="8857"/>
        <n v="8858"/>
        <n v="8859"/>
        <n v="8860"/>
        <n v="8861"/>
        <n v="8862"/>
        <n v="8863"/>
        <n v="8864"/>
        <n v="8865"/>
        <n v="8866"/>
        <n v="8867"/>
        <n v="8868"/>
        <n v="8869"/>
        <n v="8870"/>
        <n v="8871"/>
        <n v="8872"/>
        <n v="8873"/>
        <n v="8874"/>
        <n v="8875"/>
        <n v="8876"/>
        <n v="8877"/>
        <n v="8878"/>
        <n v="8879"/>
        <n v="8880"/>
        <n v="8881"/>
        <n v="8882"/>
        <n v="8883"/>
        <n v="8884"/>
        <n v="8885"/>
        <n v="8886"/>
        <n v="8887"/>
        <n v="8888"/>
        <n v="8889"/>
        <n v="8890"/>
        <n v="8891"/>
        <n v="8892"/>
        <n v="8893"/>
        <n v="8894"/>
        <n v="8895"/>
        <n v="8896"/>
        <n v="9802"/>
        <n v="9803"/>
        <n v="9804"/>
        <n v="9805"/>
        <n v="9806"/>
        <n v="9807"/>
        <n v="9808"/>
        <n v="9809"/>
        <n v="9810"/>
        <n v="9811"/>
        <n v="9812"/>
        <n v="9813"/>
        <n v="9814"/>
        <n v="9815"/>
        <n v="9816"/>
        <n v="9817"/>
        <n v="9818"/>
        <n v="9819"/>
        <n v="9820"/>
        <n v="9821"/>
        <n v="9822"/>
        <n v="9823"/>
        <n v="9824"/>
        <n v="9825"/>
        <n v="9826"/>
        <n v="9827"/>
        <n v="9828"/>
        <n v="9829"/>
        <n v="9830"/>
        <n v="9831"/>
        <n v="9832"/>
        <n v="9833"/>
        <n v="9834"/>
        <n v="9835"/>
        <n v="9836"/>
        <n v="9837"/>
        <n v="9838"/>
        <n v="9839"/>
        <n v="9840"/>
        <n v="9841"/>
        <n v="9842"/>
        <n v="9843"/>
        <n v="9844"/>
        <n v="9845"/>
        <n v="9846"/>
        <n v="9847"/>
        <n v="9848"/>
        <n v="9849"/>
        <n v="9850"/>
        <n v="9851"/>
        <n v="9852"/>
        <n v="9853"/>
        <n v="9854"/>
        <n v="9855"/>
        <n v="9856"/>
        <n v="9857"/>
        <n v="9858"/>
        <n v="9859"/>
        <n v="9860"/>
        <n v="9861"/>
        <n v="10762"/>
        <n v="10763"/>
        <n v="10764"/>
        <n v="10765"/>
        <n v="10766"/>
        <n v="10767"/>
        <n v="10768"/>
        <n v="10769"/>
        <n v="10770"/>
        <n v="10771"/>
        <n v="10772"/>
        <n v="10773"/>
        <n v="10774"/>
        <n v="10775"/>
        <n v="10776"/>
        <n v="10777"/>
        <n v="10778"/>
        <n v="10779"/>
        <n v="10780"/>
        <n v="10781"/>
        <n v="10782"/>
        <n v="10783"/>
        <n v="10784"/>
        <n v="10785"/>
        <n v="10786"/>
        <n v="10787"/>
        <n v="10788"/>
        <n v="10789"/>
        <n v="10790"/>
        <n v="10791"/>
        <n v="10792"/>
        <n v="10793"/>
        <n v="10794"/>
        <n v="10795"/>
        <n v="10796"/>
        <n v="10797"/>
        <n v="10798"/>
        <n v="10799"/>
        <n v="10800"/>
        <n v="10801"/>
        <n v="10802"/>
        <n v="10803"/>
        <n v="10804"/>
        <n v="10805"/>
        <n v="10806"/>
        <n v="10807"/>
        <n v="10808"/>
        <n v="10809"/>
        <n v="10810"/>
        <n v="10811"/>
        <n v="10812"/>
        <n v="10813"/>
        <n v="10814"/>
        <n v="10815"/>
        <n v="10816"/>
        <n v="10817"/>
        <n v="10818"/>
        <n v="10819"/>
        <n v="10820"/>
        <n v="10821"/>
        <n v="11722"/>
        <n v="11723"/>
        <n v="11724"/>
        <n v="11725"/>
        <n v="11726"/>
        <n v="11727"/>
        <n v="11728"/>
        <n v="11729"/>
        <n v="11730"/>
        <n v="11731"/>
        <n v="11732"/>
        <n v="11733"/>
        <n v="11734"/>
        <n v="11735"/>
        <n v="11736"/>
        <n v="11737"/>
        <n v="11738"/>
        <n v="11739"/>
        <n v="11740"/>
        <n v="11741"/>
        <n v="11742"/>
        <n v="11743"/>
        <n v="11744"/>
        <n v="11745"/>
        <n v="11746"/>
        <n v="11747"/>
        <n v="11748"/>
        <n v="11749"/>
        <n v="11750"/>
        <n v="11751"/>
        <n v="11752"/>
        <n v="11753"/>
        <n v="11754"/>
        <n v="11755"/>
        <n v="11756"/>
        <n v="11757"/>
        <n v="11758"/>
        <n v="11759"/>
        <n v="11760"/>
        <n v="11761"/>
        <n v="11762"/>
        <n v="11763"/>
        <n v="11764"/>
        <n v="11765"/>
        <n v="11766"/>
        <n v="11767"/>
        <n v="11768"/>
        <n v="11769"/>
        <n v="11770"/>
        <n v="11771"/>
        <n v="11772"/>
        <n v="11773"/>
        <n v="11774"/>
        <n v="11775"/>
        <n v="11776"/>
        <n v="11777"/>
        <n v="11778"/>
        <n v="11779"/>
        <n v="11780"/>
        <n v="11781"/>
        <n v="12682"/>
        <n v="12683"/>
        <n v="12684"/>
        <n v="12685"/>
        <n v="12686"/>
        <n v="12687"/>
        <n v="12688"/>
        <n v="12689"/>
        <n v="12690"/>
        <n v="12691"/>
        <n v="12692"/>
        <n v="12693"/>
        <n v="12694"/>
        <n v="12695"/>
        <n v="12696"/>
        <n v="12697"/>
        <n v="12698"/>
        <n v="12699"/>
        <n v="12700"/>
        <n v="12701"/>
        <n v="12702"/>
        <n v="12703"/>
        <n v="12704"/>
        <n v="12705"/>
        <n v="12706"/>
        <n v="12707"/>
        <n v="12708"/>
        <n v="12709"/>
        <n v="12710"/>
        <n v="12711"/>
        <n v="12712"/>
        <n v="12713"/>
        <n v="12714"/>
        <n v="12715"/>
        <n v="12716"/>
        <n v="12717"/>
        <n v="12718"/>
        <n v="12719"/>
        <n v="12720"/>
        <n v="12721"/>
        <n v="12722"/>
        <n v="12723"/>
        <n v="12724"/>
        <n v="12725"/>
        <n v="12726"/>
        <n v="12727"/>
        <n v="12728"/>
        <n v="12729"/>
        <n v="12730"/>
        <n v="12731"/>
        <n v="12732"/>
        <n v="12733"/>
        <n v="12734"/>
        <n v="12735"/>
        <n v="12736"/>
        <n v="12737"/>
        <n v="12738"/>
        <n v="12739"/>
        <n v="12740"/>
        <n v="12741"/>
        <n v="13642"/>
        <n v="13643"/>
        <n v="13644"/>
        <n v="13645"/>
        <n v="13646"/>
        <n v="13647"/>
        <n v="13648"/>
        <n v="13649"/>
        <n v="13650"/>
        <n v="13651"/>
        <n v="13652"/>
        <n v="13653"/>
        <n v="13654"/>
        <n v="13655"/>
        <n v="13656"/>
        <n v="13657"/>
        <n v="13658"/>
        <n v="13659"/>
        <n v="13660"/>
        <n v="13661"/>
        <n v="13662"/>
        <n v="13663"/>
        <n v="13664"/>
        <n v="13665"/>
        <n v="13666"/>
        <n v="13667"/>
        <n v="13668"/>
        <n v="13669"/>
        <n v="13670"/>
        <n v="13671"/>
        <n v="13672"/>
        <n v="13673"/>
        <n v="13674"/>
        <n v="13675"/>
        <n v="13676"/>
        <n v="13677"/>
        <n v="13678"/>
        <n v="13679"/>
        <n v="13680"/>
        <n v="13681"/>
        <n v="13682"/>
        <n v="13683"/>
        <n v="13684"/>
        <n v="13685"/>
        <n v="13686"/>
        <n v="13687"/>
        <n v="13688"/>
        <n v="13689"/>
        <n v="13690"/>
        <n v="13691"/>
        <n v="13692"/>
        <n v="13693"/>
        <n v="13694"/>
        <n v="13695"/>
        <n v="13696"/>
        <n v="13697"/>
        <n v="13698"/>
        <n v="13699"/>
        <n v="13700"/>
        <n v="13701"/>
        <n v="14602"/>
        <n v="14603"/>
        <n v="14604"/>
        <n v="14605"/>
        <n v="14606"/>
        <n v="14607"/>
        <n v="14608"/>
        <n v="14609"/>
        <n v="14610"/>
        <n v="14611"/>
        <n v="14612"/>
        <n v="14613"/>
        <n v="14614"/>
        <n v="14615"/>
        <n v="14616"/>
        <n v="14617"/>
        <n v="14618"/>
        <n v="14619"/>
        <n v="14620"/>
        <n v="14621"/>
        <n v="14622"/>
        <n v="14623"/>
        <n v="14624"/>
        <n v="14625"/>
        <n v="14626"/>
        <n v="14627"/>
        <n v="14628"/>
        <n v="14629"/>
        <n v="14630"/>
        <n v="14631"/>
        <n v="14632"/>
        <n v="14633"/>
        <n v="14634"/>
        <n v="14635"/>
        <n v="14636"/>
        <n v="14637"/>
        <n v="14638"/>
        <n v="14639"/>
        <n v="14640"/>
        <n v="14641"/>
        <n v="14642"/>
        <n v="14643"/>
        <n v="14644"/>
        <n v="14645"/>
        <n v="14646"/>
        <n v="14647"/>
        <n v="14648"/>
        <n v="14649"/>
        <n v="14650"/>
        <n v="14651"/>
        <n v="14652"/>
        <n v="14653"/>
        <n v="14654"/>
        <n v="14655"/>
        <n v="14656"/>
        <n v="14657"/>
        <n v="14658"/>
        <n v="14659"/>
        <n v="14660"/>
        <n v="14661"/>
        <n v="5026"/>
        <n v="5027"/>
        <n v="5028"/>
        <n v="5029"/>
        <n v="5030"/>
        <n v="5031"/>
        <n v="5032"/>
        <n v="5033"/>
        <n v="5034"/>
        <n v="5035"/>
        <n v="5036"/>
        <n v="5037"/>
        <n v="5038"/>
        <n v="5039"/>
        <n v="5040"/>
        <n v="5041"/>
        <n v="5042"/>
        <n v="5043"/>
        <n v="5044"/>
        <n v="5045"/>
        <n v="5046"/>
        <n v="5047"/>
        <n v="5048"/>
        <n v="5049"/>
        <n v="5050"/>
        <n v="5051"/>
        <n v="5052"/>
        <n v="5053"/>
        <n v="5054"/>
        <n v="5055"/>
        <n v="5056"/>
        <n v="5057"/>
        <n v="5058"/>
        <n v="5059"/>
        <n v="5060"/>
        <n v="5061"/>
        <n v="5062"/>
        <n v="5063"/>
        <n v="5064"/>
        <n v="5065"/>
        <n v="5066"/>
        <n v="5067"/>
        <n v="5068"/>
        <n v="5069"/>
        <n v="5070"/>
        <n v="5071"/>
        <n v="5072"/>
        <n v="5073"/>
        <n v="5074"/>
        <n v="5075"/>
        <n v="5076"/>
        <n v="5077"/>
        <n v="5078"/>
        <n v="5079"/>
        <n v="5080"/>
        <n v="5081"/>
        <n v="5082"/>
        <n v="5083"/>
        <n v="5084"/>
        <n v="5085"/>
        <n v="5991"/>
        <n v="5992"/>
        <n v="5993"/>
        <n v="5994"/>
        <n v="5995"/>
        <n v="5996"/>
        <n v="5997"/>
        <n v="5998"/>
        <n v="5999"/>
        <n v="6000"/>
        <n v="6001"/>
        <n v="6002"/>
        <n v="6003"/>
        <n v="6004"/>
        <n v="6005"/>
        <n v="6006"/>
        <n v="6007"/>
        <n v="6008"/>
        <n v="6009"/>
        <n v="6010"/>
        <n v="6011"/>
        <n v="6012"/>
        <n v="6013"/>
        <n v="6014"/>
        <n v="6015"/>
        <n v="6016"/>
        <n v="6017"/>
        <n v="6018"/>
        <n v="6019"/>
        <n v="6020"/>
        <n v="6021"/>
        <n v="6022"/>
        <n v="6023"/>
        <n v="6024"/>
        <n v="6025"/>
        <n v="6026"/>
        <n v="6027"/>
        <n v="6028"/>
        <n v="6029"/>
        <n v="6030"/>
        <n v="6031"/>
        <n v="6032"/>
        <n v="6033"/>
        <n v="6034"/>
        <n v="6035"/>
        <n v="6036"/>
        <n v="6037"/>
        <n v="6038"/>
        <n v="6039"/>
        <n v="6040"/>
        <n v="6041"/>
        <n v="6042"/>
        <n v="6043"/>
        <n v="6044"/>
        <n v="6045"/>
        <n v="6046"/>
        <n v="6047"/>
        <n v="6048"/>
        <n v="6049"/>
        <n v="6050"/>
        <n v="6051"/>
        <n v="6961"/>
        <n v="6962"/>
        <n v="6963"/>
        <n v="6964"/>
        <n v="6965"/>
        <n v="6966"/>
        <n v="6967"/>
        <n v="6968"/>
        <n v="6969"/>
        <n v="6970"/>
        <n v="6971"/>
        <n v="6972"/>
        <n v="6973"/>
        <n v="6974"/>
        <n v="6975"/>
        <n v="6976"/>
        <n v="6977"/>
        <n v="6978"/>
        <n v="6979"/>
        <n v="6980"/>
        <n v="6981"/>
        <n v="6982"/>
        <n v="6983"/>
        <n v="6984"/>
        <n v="6985"/>
        <n v="6986"/>
        <n v="6987"/>
        <n v="6988"/>
        <n v="6989"/>
        <n v="6990"/>
        <n v="6991"/>
        <n v="6992"/>
        <n v="6993"/>
        <n v="6994"/>
        <n v="6995"/>
        <n v="6996"/>
        <n v="6997"/>
        <n v="6998"/>
        <n v="6999"/>
        <n v="7000"/>
        <n v="7001"/>
        <n v="7002"/>
        <n v="7003"/>
        <n v="7004"/>
        <n v="7005"/>
        <n v="7006"/>
        <n v="7007"/>
        <n v="7008"/>
        <n v="7009"/>
        <n v="7010"/>
        <n v="7011"/>
        <n v="7012"/>
        <n v="7013"/>
        <n v="7014"/>
        <n v="7015"/>
        <n v="7016"/>
        <n v="7017"/>
        <n v="7018"/>
        <n v="7019"/>
        <n v="7020"/>
        <n v="7930"/>
        <n v="7931"/>
        <n v="7932"/>
        <n v="7933"/>
        <n v="7934"/>
        <n v="7935"/>
        <n v="7936"/>
        <n v="7937"/>
        <n v="7938"/>
        <n v="7939"/>
        <n v="7940"/>
        <n v="7941"/>
        <n v="7942"/>
        <n v="7943"/>
        <n v="7944"/>
        <n v="7945"/>
        <n v="7946"/>
        <n v="7947"/>
        <n v="7948"/>
        <n v="7949"/>
        <n v="7950"/>
        <n v="7951"/>
        <n v="7952"/>
        <n v="7953"/>
        <n v="7954"/>
        <n v="7955"/>
        <n v="7956"/>
        <n v="7957"/>
        <n v="7958"/>
        <n v="7959"/>
        <n v="7960"/>
        <n v="7961"/>
        <n v="7962"/>
        <n v="7963"/>
        <n v="7964"/>
        <n v="7965"/>
        <n v="7966"/>
        <n v="7967"/>
        <n v="7968"/>
        <n v="7969"/>
        <n v="7970"/>
        <n v="7971"/>
        <n v="7972"/>
        <n v="7973"/>
        <n v="7974"/>
        <n v="7975"/>
        <n v="7976"/>
        <n v="7977"/>
        <n v="7978"/>
        <n v="7979"/>
        <n v="7980"/>
        <n v="7981"/>
        <n v="7982"/>
        <n v="7983"/>
        <n v="7984"/>
        <n v="7985"/>
        <n v="7986"/>
        <n v="7987"/>
        <n v="7988"/>
        <n v="7989"/>
        <n v="8897"/>
        <n v="8898"/>
        <n v="8899"/>
        <n v="8900"/>
        <n v="8901"/>
        <n v="8902"/>
        <n v="8903"/>
        <n v="8904"/>
        <n v="8905"/>
        <n v="8906"/>
        <n v="8907"/>
        <n v="8908"/>
        <n v="8909"/>
        <n v="8910"/>
        <n v="8911"/>
        <n v="8912"/>
        <n v="8913"/>
        <n v="8914"/>
        <n v="8915"/>
        <n v="8916"/>
        <n v="8917"/>
        <n v="8918"/>
        <n v="8919"/>
        <n v="8920"/>
        <n v="8921"/>
        <n v="8922"/>
        <n v="8923"/>
        <n v="8924"/>
        <n v="8925"/>
        <n v="8926"/>
        <n v="8927"/>
        <n v="8928"/>
        <n v="8929"/>
        <n v="8930"/>
        <n v="8931"/>
        <n v="8932"/>
        <n v="8933"/>
        <n v="8934"/>
        <n v="8935"/>
        <n v="8936"/>
        <n v="8937"/>
        <n v="8938"/>
        <n v="8939"/>
        <n v="8940"/>
        <n v="8941"/>
        <n v="8942"/>
        <n v="8943"/>
        <n v="8944"/>
        <n v="8945"/>
        <n v="8946"/>
        <n v="8947"/>
        <n v="8948"/>
        <n v="8949"/>
        <n v="8950"/>
        <n v="8951"/>
        <n v="8952"/>
        <n v="8953"/>
        <n v="8954"/>
        <n v="8955"/>
        <n v="8956"/>
        <n v="8957"/>
        <n v="9862"/>
        <n v="9863"/>
        <n v="9864"/>
        <n v="9865"/>
        <n v="9866"/>
        <n v="9867"/>
        <n v="9868"/>
        <n v="9869"/>
        <n v="9870"/>
        <n v="9871"/>
        <n v="9872"/>
        <n v="9873"/>
        <n v="9874"/>
        <n v="9875"/>
        <n v="9876"/>
        <n v="9877"/>
        <n v="9878"/>
        <n v="9879"/>
        <n v="9880"/>
        <n v="9881"/>
        <n v="9882"/>
        <n v="9883"/>
        <n v="9884"/>
        <n v="9885"/>
        <n v="9886"/>
        <n v="9887"/>
        <n v="9888"/>
        <n v="9889"/>
        <n v="9890"/>
        <n v="9891"/>
        <n v="9892"/>
        <n v="9893"/>
        <n v="9894"/>
        <n v="9895"/>
        <n v="9896"/>
        <n v="9897"/>
        <n v="9898"/>
        <n v="9899"/>
        <n v="9900"/>
        <n v="9901"/>
        <n v="9902"/>
        <n v="9903"/>
        <n v="9904"/>
        <n v="9905"/>
        <n v="9906"/>
        <n v="9907"/>
        <n v="9908"/>
        <n v="9909"/>
        <n v="9910"/>
        <n v="9911"/>
        <n v="9912"/>
        <n v="9913"/>
        <n v="9914"/>
        <n v="9915"/>
        <n v="9916"/>
        <n v="9917"/>
        <n v="9918"/>
        <n v="9919"/>
        <n v="9920"/>
        <n v="9921"/>
        <n v="10822"/>
        <n v="10823"/>
        <n v="10824"/>
        <n v="10825"/>
        <n v="10826"/>
        <n v="10827"/>
        <n v="10828"/>
        <n v="10829"/>
        <n v="10830"/>
        <n v="10831"/>
        <n v="10832"/>
        <n v="10833"/>
        <n v="10834"/>
        <n v="10835"/>
        <n v="10836"/>
        <n v="10837"/>
        <n v="10838"/>
        <n v="10839"/>
        <n v="10840"/>
        <n v="10841"/>
        <n v="10842"/>
        <n v="10843"/>
        <n v="10844"/>
        <n v="10845"/>
        <n v="10846"/>
        <n v="10847"/>
        <n v="10848"/>
        <n v="10849"/>
        <n v="10850"/>
        <n v="10851"/>
        <n v="10852"/>
        <n v="10853"/>
        <n v="10854"/>
        <n v="10855"/>
        <n v="10856"/>
        <n v="10857"/>
        <n v="10858"/>
        <n v="10859"/>
        <n v="10860"/>
        <n v="10861"/>
        <n v="10862"/>
        <n v="10863"/>
        <n v="10864"/>
        <n v="10865"/>
        <n v="10866"/>
        <n v="10867"/>
        <n v="10868"/>
        <n v="10869"/>
        <n v="10870"/>
        <n v="10871"/>
        <n v="10872"/>
        <n v="10873"/>
        <n v="10874"/>
        <n v="10875"/>
        <n v="10876"/>
        <n v="10877"/>
        <n v="10878"/>
        <n v="10879"/>
        <n v="10880"/>
        <n v="10881"/>
        <n v="11782"/>
        <n v="11783"/>
        <n v="11784"/>
        <n v="11785"/>
        <n v="11786"/>
        <n v="11787"/>
        <n v="11788"/>
        <n v="11789"/>
        <n v="11790"/>
        <n v="11791"/>
        <n v="11792"/>
        <n v="11793"/>
        <n v="11794"/>
        <n v="11795"/>
        <n v="11796"/>
        <n v="11797"/>
        <n v="11798"/>
        <n v="11799"/>
        <n v="11800"/>
        <n v="11801"/>
        <n v="11802"/>
        <n v="11803"/>
        <n v="11804"/>
        <n v="11805"/>
        <n v="11806"/>
        <n v="11807"/>
        <n v="11808"/>
        <n v="11809"/>
        <n v="11810"/>
        <n v="11811"/>
        <n v="11812"/>
        <n v="11813"/>
        <n v="11814"/>
        <n v="11815"/>
        <n v="11816"/>
        <n v="11817"/>
        <n v="11818"/>
        <n v="11819"/>
        <n v="11820"/>
        <n v="11821"/>
        <n v="11822"/>
        <n v="11823"/>
        <n v="11824"/>
        <n v="11825"/>
        <n v="11826"/>
        <n v="11827"/>
        <n v="11828"/>
        <n v="11829"/>
        <n v="11830"/>
        <n v="11831"/>
        <n v="11832"/>
        <n v="11833"/>
        <n v="11834"/>
        <n v="11835"/>
        <n v="11836"/>
        <n v="11837"/>
        <n v="11838"/>
        <n v="11839"/>
        <n v="11840"/>
        <n v="11841"/>
        <n v="12742"/>
        <n v="12743"/>
        <n v="12744"/>
        <n v="12745"/>
        <n v="12746"/>
        <n v="12747"/>
        <n v="12748"/>
        <n v="12749"/>
        <n v="12750"/>
        <n v="12751"/>
        <n v="12752"/>
        <n v="12753"/>
        <n v="12754"/>
        <n v="12755"/>
        <n v="12756"/>
        <n v="12757"/>
        <n v="12758"/>
        <n v="12759"/>
        <n v="12760"/>
        <n v="12761"/>
        <n v="12762"/>
        <n v="12763"/>
        <n v="12764"/>
        <n v="12765"/>
        <n v="12766"/>
        <n v="12767"/>
        <n v="12768"/>
        <n v="12769"/>
        <n v="12770"/>
        <n v="12771"/>
        <n v="12772"/>
        <n v="12773"/>
        <n v="12774"/>
        <n v="12775"/>
        <n v="12776"/>
        <n v="12777"/>
        <n v="12778"/>
        <n v="12779"/>
        <n v="12780"/>
        <n v="12781"/>
        <n v="12782"/>
        <n v="12783"/>
        <n v="12784"/>
        <n v="12785"/>
        <n v="12786"/>
        <n v="12787"/>
        <n v="12788"/>
        <n v="12789"/>
        <n v="12790"/>
        <n v="12791"/>
        <n v="12792"/>
        <n v="12793"/>
        <n v="12794"/>
        <n v="12795"/>
        <n v="12796"/>
        <n v="12797"/>
        <n v="12798"/>
        <n v="12799"/>
        <n v="12800"/>
        <n v="12801"/>
        <n v="13702"/>
        <n v="13703"/>
        <n v="13704"/>
        <n v="13705"/>
        <n v="13706"/>
        <n v="13707"/>
        <n v="13708"/>
        <n v="13709"/>
        <n v="13710"/>
        <n v="13711"/>
        <n v="13712"/>
        <n v="13713"/>
        <n v="13714"/>
        <n v="13715"/>
        <n v="13716"/>
        <n v="13717"/>
        <n v="13718"/>
        <n v="13719"/>
        <n v="13720"/>
        <n v="13721"/>
        <n v="13722"/>
        <n v="13723"/>
        <n v="13724"/>
        <n v="13725"/>
        <n v="13726"/>
        <n v="13727"/>
        <n v="13728"/>
        <n v="13729"/>
        <n v="13730"/>
        <n v="13731"/>
        <n v="13732"/>
        <n v="13733"/>
        <n v="13734"/>
        <n v="13735"/>
        <n v="13736"/>
        <n v="13737"/>
        <n v="13738"/>
        <n v="13739"/>
        <n v="13740"/>
        <n v="13741"/>
        <n v="13742"/>
        <n v="13743"/>
        <n v="13744"/>
        <n v="13745"/>
        <n v="13746"/>
        <n v="13747"/>
        <n v="13748"/>
        <n v="13749"/>
        <n v="13750"/>
        <n v="13751"/>
        <n v="13752"/>
        <n v="13753"/>
        <n v="13754"/>
        <n v="13755"/>
        <n v="13756"/>
        <n v="13757"/>
        <n v="13758"/>
        <n v="13759"/>
        <n v="13760"/>
        <n v="13761"/>
        <n v="14662"/>
        <n v="14663"/>
        <n v="14664"/>
        <n v="14665"/>
        <n v="14666"/>
        <n v="14667"/>
        <n v="14668"/>
        <n v="14669"/>
        <n v="14670"/>
        <n v="14671"/>
        <n v="14672"/>
        <n v="14673"/>
        <n v="14674"/>
        <n v="14675"/>
        <n v="14676"/>
        <n v="14677"/>
        <n v="14678"/>
        <n v="14679"/>
        <n v="14680"/>
        <n v="14681"/>
        <n v="14682"/>
        <n v="14683"/>
        <n v="14684"/>
        <n v="14685"/>
        <n v="14686"/>
        <n v="14687"/>
        <n v="14688"/>
        <n v="14689"/>
        <n v="14690"/>
        <n v="14691"/>
        <n v="14692"/>
        <n v="14693"/>
        <n v="14694"/>
        <n v="14695"/>
        <n v="14696"/>
        <n v="14697"/>
        <n v="14698"/>
        <n v="14699"/>
        <n v="14700"/>
        <n v="14701"/>
        <n v="14702"/>
        <n v="14703"/>
        <n v="14704"/>
        <n v="14705"/>
        <n v="14706"/>
        <n v="14707"/>
        <n v="14708"/>
        <n v="14709"/>
        <n v="14710"/>
        <n v="14711"/>
        <n v="14712"/>
        <n v="14713"/>
        <n v="14714"/>
        <n v="14715"/>
        <n v="14716"/>
        <n v="14717"/>
        <n v="14718"/>
        <n v="14719"/>
        <n v="14720"/>
        <n v="14721"/>
        <n v="5086"/>
        <n v="5087"/>
        <n v="5088"/>
        <n v="5089"/>
        <n v="5090"/>
        <n v="5091"/>
        <n v="5092"/>
        <n v="5093"/>
        <n v="5094"/>
        <n v="5095"/>
        <n v="5096"/>
        <n v="5097"/>
        <n v="5098"/>
        <n v="5099"/>
        <n v="5100"/>
        <n v="5101"/>
        <n v="5102"/>
        <n v="5103"/>
        <n v="5104"/>
        <n v="5105"/>
        <n v="5106"/>
        <n v="5107"/>
        <n v="5108"/>
        <n v="5109"/>
        <n v="5110"/>
        <n v="5111"/>
        <n v="5112"/>
        <n v="5113"/>
        <n v="5114"/>
        <n v="5115"/>
        <n v="5116"/>
        <n v="5117"/>
        <n v="5118"/>
        <n v="5119"/>
        <n v="5120"/>
        <n v="5121"/>
        <n v="5122"/>
        <n v="5123"/>
        <n v="5124"/>
        <n v="5125"/>
        <n v="5126"/>
        <n v="5127"/>
        <n v="5128"/>
        <n v="5129"/>
        <n v="5130"/>
        <n v="5131"/>
        <n v="5132"/>
        <n v="5133"/>
        <n v="5134"/>
        <n v="5135"/>
        <n v="5136"/>
        <n v="5137"/>
        <n v="5138"/>
        <n v="5139"/>
        <n v="5140"/>
        <n v="5141"/>
        <n v="5142"/>
        <n v="5143"/>
        <n v="5144"/>
        <n v="5145"/>
        <n v="6052"/>
        <n v="6053"/>
        <n v="6054"/>
        <n v="6055"/>
        <n v="6056"/>
        <n v="6057"/>
        <n v="6058"/>
        <n v="6059"/>
        <n v="6060"/>
        <n v="6061"/>
        <n v="6062"/>
        <n v="6063"/>
        <n v="6064"/>
        <n v="6065"/>
        <n v="6066"/>
        <n v="6067"/>
        <n v="6068"/>
        <n v="6069"/>
        <n v="6070"/>
        <n v="6071"/>
        <n v="6072"/>
        <n v="6073"/>
        <n v="6074"/>
        <n v="6075"/>
        <n v="6076"/>
        <n v="6077"/>
        <n v="6078"/>
        <n v="6079"/>
        <n v="6080"/>
        <n v="6081"/>
        <n v="6082"/>
        <n v="6083"/>
        <n v="6084"/>
        <n v="6085"/>
        <n v="6086"/>
        <n v="6087"/>
        <n v="6088"/>
        <n v="6089"/>
        <n v="6090"/>
        <n v="6091"/>
        <n v="6092"/>
        <n v="6093"/>
        <n v="6094"/>
        <n v="6095"/>
        <n v="6096"/>
        <n v="6097"/>
        <n v="6098"/>
        <n v="6099"/>
        <n v="6100"/>
        <n v="6101"/>
        <n v="6102"/>
        <n v="6103"/>
        <n v="6104"/>
        <n v="6105"/>
        <n v="6106"/>
        <n v="6107"/>
        <n v="6108"/>
        <n v="6109"/>
        <n v="6110"/>
        <n v="6111"/>
        <n v="7021"/>
        <n v="7022"/>
        <n v="7023"/>
        <n v="7024"/>
        <n v="7025"/>
        <n v="7026"/>
        <n v="7027"/>
        <n v="7028"/>
        <n v="7029"/>
        <n v="7030"/>
        <n v="7031"/>
        <n v="7032"/>
        <n v="7033"/>
        <n v="7034"/>
        <n v="7035"/>
        <n v="7036"/>
        <n v="7037"/>
        <n v="7038"/>
        <n v="7039"/>
        <n v="7040"/>
        <n v="7041"/>
        <n v="7042"/>
        <n v="7043"/>
        <n v="7044"/>
        <n v="7045"/>
        <n v="7046"/>
        <n v="7047"/>
        <n v="7048"/>
        <n v="7049"/>
        <n v="7050"/>
        <n v="7051"/>
        <n v="7052"/>
        <n v="7053"/>
        <n v="7054"/>
        <n v="7055"/>
        <n v="7056"/>
        <n v="7057"/>
        <n v="7058"/>
        <n v="7059"/>
        <n v="7060"/>
        <n v="7061"/>
        <n v="7062"/>
        <n v="7063"/>
        <n v="7064"/>
        <n v="7065"/>
        <n v="7066"/>
        <n v="7067"/>
        <n v="7068"/>
        <n v="7069"/>
        <n v="7070"/>
        <n v="7071"/>
        <n v="7072"/>
        <n v="7073"/>
        <n v="7074"/>
        <n v="7075"/>
        <n v="7076"/>
        <n v="7077"/>
        <n v="7078"/>
        <n v="7079"/>
        <n v="7080"/>
        <n v="7081"/>
        <n v="7990"/>
        <n v="7991"/>
        <n v="7992"/>
        <n v="7993"/>
        <n v="7994"/>
        <n v="7995"/>
        <n v="7996"/>
        <n v="7997"/>
        <n v="7998"/>
        <n v="7999"/>
        <n v="8000"/>
        <n v="8001"/>
        <n v="8002"/>
        <n v="8003"/>
        <n v="8004"/>
        <n v="8005"/>
        <n v="8006"/>
        <n v="8007"/>
        <n v="8008"/>
        <n v="8009"/>
        <n v="8010"/>
        <n v="8011"/>
        <n v="8012"/>
        <n v="8013"/>
        <n v="8014"/>
        <n v="8015"/>
        <n v="8016"/>
        <n v="8017"/>
        <n v="8018"/>
        <n v="8019"/>
        <n v="8020"/>
        <n v="8021"/>
        <n v="8022"/>
        <n v="8023"/>
        <n v="8024"/>
        <n v="8025"/>
        <n v="8026"/>
        <n v="8027"/>
        <n v="8028"/>
        <n v="8029"/>
        <n v="8030"/>
        <n v="8031"/>
        <n v="8032"/>
        <n v="8033"/>
        <n v="8034"/>
        <n v="8035"/>
        <n v="8036"/>
        <n v="8037"/>
        <n v="8038"/>
        <n v="8039"/>
        <n v="8040"/>
        <n v="8041"/>
        <n v="8042"/>
        <n v="8043"/>
        <n v="8044"/>
        <n v="8045"/>
        <n v="8046"/>
        <n v="8047"/>
        <n v="8048"/>
        <n v="8049"/>
        <n v="8958"/>
        <n v="8959"/>
        <n v="8960"/>
        <n v="8961"/>
        <n v="8962"/>
        <n v="8963"/>
        <n v="8964"/>
        <n v="8965"/>
        <n v="8966"/>
        <n v="8967"/>
        <n v="8968"/>
        <n v="8969"/>
        <n v="8970"/>
        <n v="8971"/>
        <n v="8972"/>
        <n v="8973"/>
        <n v="8974"/>
        <n v="8975"/>
        <n v="8976"/>
        <n v="8977"/>
        <n v="8978"/>
        <n v="8979"/>
        <n v="8980"/>
        <n v="8981"/>
        <n v="8982"/>
        <n v="8983"/>
        <n v="8984"/>
        <n v="8985"/>
        <n v="8986"/>
        <n v="8987"/>
        <n v="8988"/>
        <n v="8989"/>
        <n v="8990"/>
        <n v="8991"/>
        <n v="8992"/>
        <n v="8993"/>
        <n v="8994"/>
        <n v="8995"/>
        <n v="8996"/>
        <n v="8997"/>
        <n v="8998"/>
        <n v="8999"/>
        <n v="9000"/>
        <n v="9001"/>
        <n v="9002"/>
        <n v="9003"/>
        <n v="9004"/>
        <n v="9005"/>
        <n v="9006"/>
        <n v="9007"/>
        <n v="9008"/>
        <n v="9009"/>
        <n v="9010"/>
        <n v="9011"/>
        <n v="9012"/>
        <n v="9013"/>
        <n v="9014"/>
        <n v="9015"/>
        <n v="9016"/>
        <n v="9017"/>
        <n v="9018"/>
        <n v="9922"/>
        <n v="9923"/>
        <n v="9924"/>
        <n v="9925"/>
        <n v="9926"/>
        <n v="9927"/>
        <n v="9928"/>
        <n v="9929"/>
        <n v="9930"/>
        <n v="9931"/>
        <n v="9932"/>
        <n v="9933"/>
        <n v="9934"/>
        <n v="9935"/>
        <n v="9936"/>
        <n v="9937"/>
        <n v="9938"/>
        <n v="9939"/>
        <n v="9940"/>
        <n v="9941"/>
        <n v="9942"/>
        <n v="9943"/>
        <n v="9944"/>
        <n v="9945"/>
        <n v="9946"/>
        <n v="9947"/>
        <n v="9948"/>
        <n v="9949"/>
        <n v="9950"/>
        <n v="9951"/>
        <n v="9952"/>
        <n v="9953"/>
        <n v="9954"/>
        <n v="9955"/>
        <n v="9956"/>
        <n v="9957"/>
        <n v="9958"/>
        <n v="9959"/>
        <n v="9960"/>
        <n v="9961"/>
        <n v="9962"/>
        <n v="9963"/>
        <n v="9964"/>
        <n v="9965"/>
        <n v="9966"/>
        <n v="9967"/>
        <n v="9968"/>
        <n v="9969"/>
        <n v="9970"/>
        <n v="9971"/>
        <n v="9972"/>
        <n v="9973"/>
        <n v="9974"/>
        <n v="9975"/>
        <n v="9976"/>
        <n v="9977"/>
        <n v="9978"/>
        <n v="9979"/>
        <n v="9980"/>
        <n v="9981"/>
        <n v="10882"/>
        <n v="10883"/>
        <n v="10884"/>
        <n v="10885"/>
        <n v="10886"/>
        <n v="10887"/>
        <n v="10888"/>
        <n v="10889"/>
        <n v="10890"/>
        <n v="10891"/>
        <n v="10892"/>
        <n v="10893"/>
        <n v="10894"/>
        <n v="10895"/>
        <n v="10896"/>
        <n v="10897"/>
        <n v="10898"/>
        <n v="10899"/>
        <n v="10900"/>
        <n v="10901"/>
        <n v="10902"/>
        <n v="10903"/>
        <n v="10904"/>
        <n v="10905"/>
        <n v="10906"/>
        <n v="10907"/>
        <n v="10908"/>
        <n v="10909"/>
        <n v="10910"/>
        <n v="10911"/>
        <n v="10912"/>
        <n v="10913"/>
        <n v="10914"/>
        <n v="10915"/>
        <n v="10916"/>
        <n v="10917"/>
        <n v="10918"/>
        <n v="10919"/>
        <n v="10920"/>
        <n v="10921"/>
        <n v="10922"/>
        <n v="10923"/>
        <n v="10924"/>
        <n v="10925"/>
        <n v="10926"/>
        <n v="10927"/>
        <n v="10928"/>
        <n v="10929"/>
        <n v="10930"/>
        <n v="10931"/>
        <n v="10932"/>
        <n v="10933"/>
        <n v="10934"/>
        <n v="10935"/>
        <n v="10936"/>
        <n v="10937"/>
        <n v="10938"/>
        <n v="10939"/>
        <n v="10940"/>
        <n v="10941"/>
        <n v="11842"/>
        <n v="11843"/>
        <n v="11844"/>
        <n v="11845"/>
        <n v="11846"/>
        <n v="11847"/>
        <n v="11848"/>
        <n v="11849"/>
        <n v="11850"/>
        <n v="11851"/>
        <n v="11852"/>
        <n v="11853"/>
        <n v="11854"/>
        <n v="11855"/>
        <n v="11856"/>
        <n v="11857"/>
        <n v="11858"/>
        <n v="11859"/>
        <n v="11860"/>
        <n v="11861"/>
        <n v="11862"/>
        <n v="11863"/>
        <n v="11864"/>
        <n v="11865"/>
        <n v="11866"/>
        <n v="11867"/>
        <n v="11868"/>
        <n v="11869"/>
        <n v="11870"/>
        <n v="11871"/>
        <n v="11872"/>
        <n v="11873"/>
        <n v="11874"/>
        <n v="11875"/>
        <n v="11876"/>
        <n v="11877"/>
        <n v="11878"/>
        <n v="11879"/>
        <n v="11880"/>
        <n v="11881"/>
        <n v="11882"/>
        <n v="11883"/>
        <n v="11884"/>
        <n v="11885"/>
        <n v="11886"/>
        <n v="11887"/>
        <n v="11888"/>
        <n v="11889"/>
        <n v="11890"/>
        <n v="11891"/>
        <n v="11892"/>
        <n v="11893"/>
        <n v="11894"/>
        <n v="11895"/>
        <n v="11896"/>
        <n v="11897"/>
        <n v="11898"/>
        <n v="11899"/>
        <n v="11900"/>
        <n v="11901"/>
        <n v="12802"/>
        <n v="12803"/>
        <n v="12804"/>
        <n v="12805"/>
        <n v="12806"/>
        <n v="12807"/>
        <n v="12808"/>
        <n v="12809"/>
        <n v="12810"/>
        <n v="12811"/>
        <n v="12812"/>
        <n v="12813"/>
        <n v="12814"/>
        <n v="12815"/>
        <n v="12816"/>
        <n v="12817"/>
        <n v="12818"/>
        <n v="12819"/>
        <n v="12820"/>
        <n v="12821"/>
        <n v="12822"/>
        <n v="12823"/>
        <n v="12824"/>
        <n v="12825"/>
        <n v="12826"/>
        <n v="12827"/>
        <n v="12828"/>
        <n v="12829"/>
        <n v="12830"/>
        <n v="12831"/>
        <n v="12832"/>
        <n v="12833"/>
        <n v="12834"/>
        <n v="12835"/>
        <n v="12836"/>
        <n v="12837"/>
        <n v="12838"/>
        <n v="12839"/>
        <n v="12840"/>
        <n v="12841"/>
        <n v="12842"/>
        <n v="12843"/>
        <n v="12844"/>
        <n v="12845"/>
        <n v="12846"/>
        <n v="12847"/>
        <n v="12848"/>
        <n v="12849"/>
        <n v="12850"/>
        <n v="12851"/>
        <n v="12852"/>
        <n v="12853"/>
        <n v="12854"/>
        <n v="12855"/>
        <n v="12856"/>
        <n v="12857"/>
        <n v="12858"/>
        <n v="12859"/>
        <n v="12860"/>
        <n v="12861"/>
        <n v="13762"/>
        <n v="13763"/>
        <n v="13764"/>
        <n v="13765"/>
        <n v="13766"/>
        <n v="13767"/>
        <n v="13768"/>
        <n v="13769"/>
        <n v="13770"/>
        <n v="13771"/>
        <n v="13772"/>
        <n v="13773"/>
        <n v="13774"/>
        <n v="13775"/>
        <n v="13776"/>
        <n v="13777"/>
        <n v="13778"/>
        <n v="13779"/>
        <n v="13780"/>
        <n v="13781"/>
        <n v="13782"/>
        <n v="13783"/>
        <n v="13784"/>
        <n v="13785"/>
        <n v="13786"/>
        <n v="13787"/>
        <n v="13788"/>
        <n v="13789"/>
        <n v="13790"/>
        <n v="13791"/>
        <n v="13792"/>
        <n v="13793"/>
        <n v="13794"/>
        <n v="13795"/>
        <n v="13796"/>
        <n v="13797"/>
        <n v="13798"/>
        <n v="13799"/>
        <n v="13800"/>
        <n v="13801"/>
        <n v="13802"/>
        <n v="13803"/>
        <n v="13804"/>
        <n v="13805"/>
        <n v="13806"/>
        <n v="13807"/>
        <n v="13808"/>
        <n v="13809"/>
        <n v="13810"/>
        <n v="13811"/>
        <n v="13812"/>
        <n v="13813"/>
        <n v="13814"/>
        <n v="13815"/>
        <n v="13816"/>
        <n v="13817"/>
        <n v="13818"/>
        <n v="13819"/>
        <n v="13820"/>
        <n v="13821"/>
        <n v="14722"/>
        <n v="14723"/>
        <n v="14724"/>
        <n v="14725"/>
        <n v="14726"/>
        <n v="14727"/>
        <n v="14728"/>
        <n v="14729"/>
        <n v="14730"/>
        <n v="14731"/>
        <n v="14732"/>
        <n v="14733"/>
        <n v="14734"/>
        <n v="14735"/>
        <n v="14736"/>
        <n v="14737"/>
        <n v="14738"/>
        <n v="14739"/>
        <n v="14740"/>
        <n v="14741"/>
        <n v="14742"/>
        <n v="14743"/>
        <n v="14744"/>
        <n v="14745"/>
        <n v="14746"/>
        <n v="14747"/>
        <n v="14748"/>
        <n v="14749"/>
        <n v="14750"/>
        <n v="14751"/>
        <n v="14752"/>
        <n v="14753"/>
        <n v="14754"/>
        <n v="14755"/>
        <n v="14756"/>
        <n v="14757"/>
        <n v="14758"/>
        <n v="14759"/>
        <n v="14760"/>
        <n v="14761"/>
        <n v="14762"/>
        <n v="14763"/>
        <n v="14764"/>
        <n v="14765"/>
        <n v="14766"/>
        <n v="14767"/>
        <n v="14768"/>
        <n v="14769"/>
        <n v="14770"/>
        <n v="14771"/>
        <n v="14772"/>
        <n v="14773"/>
        <n v="14774"/>
        <n v="14775"/>
        <n v="14776"/>
        <n v="14777"/>
        <n v="14778"/>
        <n v="14779"/>
        <n v="14780"/>
        <n v="14781"/>
        <n v="5146"/>
        <n v="5147"/>
        <n v="5148"/>
        <n v="5149"/>
        <n v="5150"/>
        <n v="5151"/>
        <n v="5152"/>
        <n v="5153"/>
        <n v="5154"/>
        <n v="5155"/>
        <n v="5156"/>
        <n v="5157"/>
        <n v="5158"/>
        <n v="5159"/>
        <n v="5160"/>
        <n v="5161"/>
        <n v="5162"/>
        <n v="5163"/>
        <n v="5164"/>
        <n v="5165"/>
        <n v="5166"/>
        <n v="5167"/>
        <n v="5168"/>
        <n v="5169"/>
        <n v="5170"/>
        <n v="5171"/>
        <n v="5172"/>
        <n v="5173"/>
        <n v="5174"/>
        <n v="5175"/>
        <n v="5176"/>
        <n v="5177"/>
        <n v="5178"/>
        <n v="5179"/>
        <n v="5180"/>
        <n v="5181"/>
        <n v="5182"/>
        <n v="5183"/>
        <n v="5184"/>
        <n v="5185"/>
        <n v="5186"/>
        <n v="5187"/>
        <n v="5188"/>
        <n v="5189"/>
        <n v="5190"/>
        <n v="5191"/>
        <n v="5192"/>
        <n v="5193"/>
        <n v="5194"/>
        <n v="5195"/>
        <n v="5196"/>
        <n v="5197"/>
        <n v="5198"/>
        <n v="5199"/>
        <n v="5200"/>
        <n v="5201"/>
        <n v="5202"/>
        <n v="5203"/>
        <n v="5204"/>
        <n v="5205"/>
        <n v="5206"/>
        <n v="6112"/>
        <n v="6113"/>
        <n v="6114"/>
        <n v="6115"/>
        <n v="6116"/>
        <n v="6117"/>
        <n v="6118"/>
        <n v="6119"/>
        <n v="6120"/>
        <n v="6121"/>
        <n v="6122"/>
        <n v="6123"/>
        <n v="6124"/>
        <n v="6125"/>
        <n v="6126"/>
        <n v="6127"/>
        <n v="6128"/>
        <n v="6129"/>
        <n v="6130"/>
        <n v="6131"/>
        <n v="6132"/>
        <n v="6133"/>
        <n v="6134"/>
        <n v="6135"/>
        <n v="6136"/>
        <n v="6137"/>
        <n v="6138"/>
        <n v="6139"/>
        <n v="6140"/>
        <n v="6141"/>
        <n v="6142"/>
        <n v="6143"/>
        <n v="6144"/>
        <n v="6145"/>
        <n v="6146"/>
        <n v="6147"/>
        <n v="6148"/>
        <n v="6149"/>
        <n v="6150"/>
        <n v="6151"/>
        <n v="6152"/>
        <n v="6153"/>
        <n v="6154"/>
        <n v="6155"/>
        <n v="6156"/>
        <n v="6157"/>
        <n v="6158"/>
        <n v="6159"/>
        <n v="6160"/>
        <n v="6161"/>
        <n v="6162"/>
        <n v="6163"/>
        <n v="6164"/>
        <n v="6165"/>
        <n v="6166"/>
        <n v="6167"/>
        <n v="6168"/>
        <n v="6169"/>
        <n v="6170"/>
        <n v="6171"/>
        <n v="6172"/>
        <n v="7082"/>
        <n v="7083"/>
        <n v="7084"/>
        <n v="7085"/>
        <n v="7086"/>
        <n v="7087"/>
        <n v="7088"/>
        <n v="7089"/>
        <n v="7090"/>
        <n v="7091"/>
        <n v="7092"/>
        <n v="7093"/>
        <n v="7094"/>
        <n v="7095"/>
        <n v="7096"/>
        <n v="7097"/>
        <n v="7098"/>
        <n v="7099"/>
        <n v="7100"/>
        <n v="7101"/>
        <n v="7102"/>
        <n v="7103"/>
        <n v="7104"/>
        <n v="7105"/>
        <n v="7106"/>
        <n v="7107"/>
        <n v="7108"/>
        <n v="7109"/>
        <n v="7110"/>
        <n v="7111"/>
        <n v="7112"/>
        <n v="7113"/>
        <n v="7114"/>
        <n v="7115"/>
        <n v="7116"/>
        <n v="7117"/>
        <n v="7118"/>
        <n v="7119"/>
        <n v="7120"/>
        <n v="7121"/>
        <n v="7122"/>
        <n v="7123"/>
        <n v="7124"/>
        <n v="7125"/>
        <n v="7126"/>
        <n v="7127"/>
        <n v="7128"/>
        <n v="7129"/>
        <n v="7130"/>
        <n v="7131"/>
        <n v="7132"/>
        <n v="7133"/>
        <n v="7134"/>
        <n v="7135"/>
        <n v="7136"/>
        <n v="7137"/>
        <n v="7138"/>
        <n v="7139"/>
        <n v="7140"/>
        <n v="7141"/>
        <n v="8050"/>
        <n v="8051"/>
        <n v="8052"/>
        <n v="8053"/>
        <n v="8054"/>
        <n v="8055"/>
        <n v="8056"/>
        <n v="8057"/>
        <n v="8058"/>
        <n v="8059"/>
        <n v="8060"/>
        <n v="8061"/>
        <n v="8062"/>
        <n v="8063"/>
        <n v="8064"/>
        <n v="8065"/>
        <n v="8066"/>
        <n v="8067"/>
        <n v="8068"/>
        <n v="8069"/>
        <n v="8070"/>
        <n v="8071"/>
        <n v="8072"/>
        <n v="8073"/>
        <n v="8074"/>
        <n v="8075"/>
        <n v="8076"/>
        <n v="8077"/>
        <n v="8078"/>
        <n v="8079"/>
        <n v="8080"/>
        <n v="8081"/>
        <n v="8082"/>
        <n v="8083"/>
        <n v="8084"/>
        <n v="8085"/>
        <n v="8086"/>
        <n v="8087"/>
        <n v="8088"/>
        <n v="8089"/>
        <n v="8090"/>
        <n v="8091"/>
        <n v="8092"/>
        <n v="8093"/>
        <n v="8094"/>
        <n v="8095"/>
        <n v="8096"/>
        <n v="8097"/>
        <n v="8098"/>
        <n v="8099"/>
        <n v="8100"/>
        <n v="8101"/>
        <n v="8102"/>
        <n v="8103"/>
        <n v="8104"/>
        <n v="8105"/>
        <n v="8106"/>
        <n v="8107"/>
        <n v="8108"/>
        <n v="8109"/>
        <n v="9019"/>
        <n v="9020"/>
        <n v="9021"/>
        <n v="9022"/>
        <n v="9023"/>
        <n v="9024"/>
        <n v="9025"/>
        <n v="9026"/>
        <n v="9027"/>
        <n v="9028"/>
        <n v="9029"/>
        <n v="9030"/>
        <n v="9031"/>
        <n v="9032"/>
        <n v="9033"/>
        <n v="9034"/>
        <n v="9035"/>
        <n v="9036"/>
        <n v="9037"/>
        <n v="9038"/>
        <n v="9039"/>
        <n v="9040"/>
        <n v="9041"/>
        <n v="9042"/>
        <n v="9043"/>
        <n v="9044"/>
        <n v="9045"/>
        <n v="9046"/>
        <n v="9047"/>
        <n v="9048"/>
        <n v="9049"/>
        <n v="9050"/>
        <n v="9051"/>
        <n v="9052"/>
        <n v="9053"/>
        <n v="9054"/>
        <n v="9055"/>
        <n v="9056"/>
        <n v="9057"/>
        <n v="9058"/>
        <n v="9059"/>
        <n v="9060"/>
        <n v="9061"/>
        <n v="9062"/>
        <n v="9063"/>
        <n v="9064"/>
        <n v="9065"/>
        <n v="9066"/>
        <n v="9067"/>
        <n v="9068"/>
        <n v="9069"/>
        <n v="9070"/>
        <n v="9071"/>
        <n v="9072"/>
        <n v="9073"/>
        <n v="9074"/>
        <n v="9075"/>
        <n v="9076"/>
        <n v="9077"/>
        <n v="9078"/>
        <n v="9982"/>
        <n v="9983"/>
        <n v="9984"/>
        <n v="9985"/>
        <n v="9986"/>
        <n v="9987"/>
        <n v="9988"/>
        <n v="9989"/>
        <n v="9990"/>
        <n v="9991"/>
        <n v="9992"/>
        <n v="9993"/>
        <n v="9994"/>
        <n v="9995"/>
        <n v="9996"/>
        <n v="9997"/>
        <n v="9998"/>
        <n v="9999"/>
        <n v="10000"/>
        <n v="10001"/>
        <n v="10002"/>
        <n v="10003"/>
        <n v="10004"/>
        <n v="10005"/>
        <n v="10006"/>
        <n v="10007"/>
        <n v="10008"/>
        <n v="10009"/>
        <n v="10010"/>
        <n v="10011"/>
        <n v="10012"/>
        <n v="10013"/>
        <n v="10014"/>
        <n v="10015"/>
        <n v="10016"/>
        <n v="10017"/>
        <n v="10018"/>
        <n v="10019"/>
        <n v="10020"/>
        <n v="10021"/>
        <n v="10022"/>
        <n v="10023"/>
        <n v="10024"/>
        <n v="10025"/>
        <n v="10026"/>
        <n v="10027"/>
        <n v="10028"/>
        <n v="10029"/>
        <n v="10030"/>
        <n v="10031"/>
        <n v="10032"/>
        <n v="10033"/>
        <n v="10034"/>
        <n v="10035"/>
        <n v="10036"/>
        <n v="10037"/>
        <n v="10038"/>
        <n v="10039"/>
        <n v="10040"/>
        <n v="10041"/>
        <n v="10942"/>
        <n v="10943"/>
        <n v="10944"/>
        <n v="10945"/>
        <n v="10946"/>
        <n v="10947"/>
        <n v="10948"/>
        <n v="10949"/>
        <n v="10950"/>
        <n v="10951"/>
        <n v="10952"/>
        <n v="10953"/>
        <n v="10954"/>
        <n v="10955"/>
        <n v="10956"/>
        <n v="10957"/>
        <n v="10958"/>
        <n v="10959"/>
        <n v="10960"/>
        <n v="10961"/>
        <n v="10962"/>
        <n v="10963"/>
        <n v="10964"/>
        <n v="10965"/>
        <n v="10966"/>
        <n v="10967"/>
        <n v="10968"/>
        <n v="10969"/>
        <n v="10970"/>
        <n v="10971"/>
        <n v="10972"/>
        <n v="10973"/>
        <n v="10974"/>
        <n v="10975"/>
        <n v="10976"/>
        <n v="10977"/>
        <n v="10978"/>
        <n v="10979"/>
        <n v="10980"/>
        <n v="10981"/>
        <n v="10982"/>
        <n v="10983"/>
        <n v="10984"/>
        <n v="10985"/>
        <n v="10986"/>
        <n v="10987"/>
        <n v="10988"/>
        <n v="10989"/>
        <n v="10990"/>
        <n v="10991"/>
        <n v="10992"/>
        <n v="10993"/>
        <n v="10994"/>
        <n v="10995"/>
        <n v="10996"/>
        <n v="10997"/>
        <n v="10998"/>
        <n v="10999"/>
        <n v="11000"/>
        <n v="11001"/>
        <n v="11902"/>
        <n v="11903"/>
        <n v="11904"/>
        <n v="11905"/>
        <n v="11906"/>
        <n v="11907"/>
        <n v="11908"/>
        <n v="11909"/>
        <n v="11910"/>
        <n v="11911"/>
        <n v="11912"/>
        <n v="11913"/>
        <n v="11914"/>
        <n v="11915"/>
        <n v="11916"/>
        <n v="11917"/>
        <n v="11918"/>
        <n v="11919"/>
        <n v="11920"/>
        <n v="11921"/>
        <n v="11922"/>
        <n v="11923"/>
        <n v="11924"/>
        <n v="11925"/>
        <n v="11926"/>
        <n v="11927"/>
        <n v="11928"/>
        <n v="11929"/>
        <n v="11930"/>
        <n v="11931"/>
        <n v="11932"/>
        <n v="11933"/>
        <n v="11934"/>
        <n v="11935"/>
        <n v="11936"/>
        <n v="11937"/>
        <n v="11938"/>
        <n v="11939"/>
        <n v="11940"/>
        <n v="11941"/>
        <n v="11942"/>
        <n v="11943"/>
        <n v="11944"/>
        <n v="11945"/>
        <n v="11946"/>
        <n v="11947"/>
        <n v="11948"/>
        <n v="11949"/>
        <n v="11950"/>
        <n v="11951"/>
        <n v="11952"/>
        <n v="11953"/>
        <n v="11954"/>
        <n v="11955"/>
        <n v="11956"/>
        <n v="11957"/>
        <n v="11958"/>
        <n v="11959"/>
        <n v="11960"/>
        <n v="11961"/>
        <n v="12862"/>
        <n v="12863"/>
        <n v="12864"/>
        <n v="12865"/>
        <n v="12866"/>
        <n v="12867"/>
        <n v="12868"/>
        <n v="12869"/>
        <n v="12870"/>
        <n v="12871"/>
        <n v="12872"/>
        <n v="12873"/>
        <n v="12874"/>
        <n v="12875"/>
        <n v="12876"/>
        <n v="12877"/>
        <n v="12878"/>
        <n v="12879"/>
        <n v="12880"/>
        <n v="12881"/>
        <n v="12882"/>
        <n v="12883"/>
        <n v="12884"/>
        <n v="12885"/>
        <n v="12886"/>
        <n v="12887"/>
        <n v="12888"/>
        <n v="12889"/>
        <n v="12890"/>
        <n v="12891"/>
        <n v="12892"/>
        <n v="12893"/>
        <n v="12894"/>
        <n v="12895"/>
        <n v="12896"/>
        <n v="12897"/>
        <n v="12898"/>
        <n v="12899"/>
        <n v="12900"/>
        <n v="12901"/>
        <n v="12902"/>
        <n v="12903"/>
        <n v="12904"/>
        <n v="12905"/>
        <n v="12906"/>
        <n v="12907"/>
        <n v="12908"/>
        <n v="12909"/>
        <n v="12910"/>
        <n v="12911"/>
        <n v="12912"/>
        <n v="12913"/>
        <n v="12914"/>
        <n v="12915"/>
        <n v="12916"/>
        <n v="12917"/>
        <n v="12918"/>
        <n v="12919"/>
        <n v="12920"/>
        <n v="12921"/>
        <n v="13822"/>
        <n v="13823"/>
        <n v="13824"/>
        <n v="13825"/>
        <n v="13826"/>
        <n v="13827"/>
        <n v="13828"/>
        <n v="13829"/>
        <n v="13830"/>
        <n v="13831"/>
        <n v="13832"/>
        <n v="13833"/>
        <n v="13834"/>
        <n v="13835"/>
        <n v="13836"/>
        <n v="13837"/>
        <n v="13838"/>
        <n v="13839"/>
        <n v="13840"/>
        <n v="13841"/>
        <n v="13842"/>
        <n v="13843"/>
        <n v="13844"/>
        <n v="13845"/>
        <n v="13846"/>
        <n v="13847"/>
        <n v="13848"/>
        <n v="13849"/>
        <n v="13850"/>
        <n v="13851"/>
        <n v="13852"/>
        <n v="13853"/>
        <n v="13854"/>
        <n v="13855"/>
        <n v="13856"/>
        <n v="13857"/>
        <n v="13858"/>
        <n v="13859"/>
        <n v="13860"/>
        <n v="13861"/>
        <n v="13862"/>
        <n v="13863"/>
        <n v="13864"/>
        <n v="13865"/>
        <n v="13866"/>
        <n v="13867"/>
        <n v="13868"/>
        <n v="13869"/>
        <n v="13870"/>
        <n v="13871"/>
        <n v="13872"/>
        <n v="13873"/>
        <n v="13874"/>
        <n v="13875"/>
        <n v="13876"/>
        <n v="13877"/>
        <n v="13878"/>
        <n v="13879"/>
        <n v="13880"/>
        <n v="13881"/>
        <n v="14782"/>
        <n v="14783"/>
        <n v="14784"/>
        <n v="14785"/>
        <n v="14786"/>
        <n v="14787"/>
        <n v="14788"/>
        <n v="14789"/>
        <n v="14790"/>
        <n v="14791"/>
        <n v="14792"/>
        <n v="14793"/>
        <n v="14794"/>
        <n v="14795"/>
        <n v="14796"/>
        <n v="14797"/>
        <n v="14798"/>
        <n v="14799"/>
        <n v="14800"/>
        <n v="14801"/>
        <n v="14802"/>
        <n v="14803"/>
        <n v="14804"/>
        <n v="14805"/>
        <n v="14806"/>
        <n v="14807"/>
        <n v="14808"/>
        <n v="14809"/>
        <n v="14810"/>
        <n v="14811"/>
        <n v="14812"/>
        <n v="14813"/>
        <n v="14814"/>
        <n v="14815"/>
        <n v="14816"/>
        <n v="14817"/>
        <n v="14818"/>
        <n v="14819"/>
        <n v="14820"/>
        <n v="14821"/>
        <n v="14822"/>
        <n v="14823"/>
        <n v="14824"/>
        <n v="14825"/>
        <n v="14826"/>
        <n v="14827"/>
        <n v="14828"/>
        <n v="14829"/>
        <n v="14830"/>
        <n v="14831"/>
        <n v="14832"/>
        <n v="14833"/>
        <n v="14834"/>
        <n v="14835"/>
        <n v="14836"/>
        <n v="14837"/>
        <n v="14838"/>
        <n v="14839"/>
        <n v="14840"/>
        <n v="14841"/>
        <n v="5207"/>
        <n v="5208"/>
        <n v="5209"/>
        <n v="5210"/>
        <n v="5211"/>
        <n v="5212"/>
        <n v="5213"/>
        <n v="5214"/>
        <n v="5215"/>
        <n v="5216"/>
        <n v="5217"/>
        <n v="5218"/>
        <n v="5219"/>
        <n v="5220"/>
        <n v="5221"/>
        <n v="5222"/>
        <n v="5223"/>
        <n v="5224"/>
        <n v="5225"/>
        <n v="5226"/>
        <n v="5227"/>
        <n v="5228"/>
        <n v="5229"/>
        <n v="5230"/>
        <n v="5231"/>
        <n v="5232"/>
        <n v="5233"/>
        <n v="5234"/>
        <n v="5235"/>
        <n v="5236"/>
        <n v="5237"/>
        <n v="5238"/>
        <n v="5239"/>
        <n v="5240"/>
        <n v="5241"/>
        <n v="5242"/>
        <n v="5243"/>
        <n v="5244"/>
        <n v="5245"/>
        <n v="5246"/>
        <n v="5247"/>
        <n v="5248"/>
        <n v="5249"/>
        <n v="5250"/>
        <n v="5251"/>
        <n v="5252"/>
        <n v="5253"/>
        <n v="5254"/>
        <n v="5255"/>
        <n v="5256"/>
        <n v="5257"/>
        <n v="5258"/>
        <n v="5259"/>
        <n v="5260"/>
        <n v="5261"/>
        <n v="5262"/>
        <n v="5263"/>
        <n v="5264"/>
        <n v="5265"/>
        <n v="5266"/>
        <n v="6173"/>
        <n v="6174"/>
        <n v="6175"/>
        <n v="6176"/>
        <n v="6177"/>
        <n v="6178"/>
        <n v="6179"/>
        <n v="6180"/>
        <n v="6181"/>
        <n v="6182"/>
        <n v="6183"/>
        <n v="6184"/>
        <n v="6185"/>
        <n v="6186"/>
        <n v="6187"/>
        <n v="6188"/>
        <n v="6189"/>
        <n v="6190"/>
        <n v="6191"/>
        <n v="6192"/>
        <n v="6193"/>
        <n v="6194"/>
        <n v="6195"/>
        <n v="6196"/>
        <n v="6197"/>
        <n v="6198"/>
        <n v="6199"/>
        <n v="6200"/>
        <n v="6201"/>
        <n v="6202"/>
        <n v="6203"/>
        <n v="6204"/>
        <n v="6205"/>
        <n v="6206"/>
        <n v="6207"/>
        <n v="6208"/>
        <n v="6209"/>
        <n v="6210"/>
        <n v="6211"/>
        <n v="6212"/>
        <n v="6213"/>
        <n v="6214"/>
        <n v="6215"/>
        <n v="6216"/>
        <n v="6217"/>
        <n v="6218"/>
        <n v="6219"/>
        <n v="6220"/>
        <n v="6221"/>
        <n v="6222"/>
        <n v="6223"/>
        <n v="6224"/>
        <n v="6225"/>
        <n v="6226"/>
        <n v="6227"/>
        <n v="6228"/>
        <n v="6229"/>
        <n v="6230"/>
        <n v="6231"/>
        <n v="6232"/>
        <n v="6233"/>
        <n v="7142"/>
        <n v="7143"/>
        <n v="7144"/>
        <n v="7145"/>
        <n v="7146"/>
        <n v="7147"/>
        <n v="7148"/>
        <n v="7149"/>
        <n v="7150"/>
        <n v="7151"/>
        <n v="7152"/>
        <n v="7153"/>
        <n v="7154"/>
        <n v="7155"/>
        <n v="7156"/>
        <n v="7157"/>
        <n v="7158"/>
        <n v="7159"/>
        <n v="7160"/>
        <n v="7161"/>
        <n v="7162"/>
        <n v="7163"/>
        <n v="7164"/>
        <n v="7165"/>
        <n v="7166"/>
        <n v="7167"/>
        <n v="7168"/>
        <n v="7169"/>
        <n v="7170"/>
        <n v="7171"/>
        <n v="7172"/>
        <n v="7173"/>
        <n v="7174"/>
        <n v="7175"/>
        <n v="7176"/>
        <n v="7177"/>
        <n v="7178"/>
        <n v="7179"/>
        <n v="7180"/>
        <n v="7181"/>
        <n v="7182"/>
        <n v="7183"/>
        <n v="7184"/>
        <n v="7185"/>
        <n v="7186"/>
        <n v="7187"/>
        <n v="7188"/>
        <n v="7189"/>
        <n v="7190"/>
        <n v="7191"/>
        <n v="7192"/>
        <n v="7193"/>
        <n v="7194"/>
        <n v="7195"/>
        <n v="7196"/>
        <n v="7197"/>
        <n v="7198"/>
        <n v="7199"/>
        <n v="7200"/>
        <n v="7201"/>
        <n v="7202"/>
        <n v="8110"/>
        <n v="8111"/>
        <n v="8112"/>
        <n v="8113"/>
        <n v="8114"/>
        <n v="8115"/>
        <n v="8116"/>
        <n v="8117"/>
        <n v="8118"/>
        <n v="8119"/>
        <n v="8120"/>
        <n v="8121"/>
        <n v="8122"/>
        <n v="8123"/>
        <n v="8124"/>
        <n v="8125"/>
        <n v="8126"/>
        <n v="8127"/>
        <n v="8128"/>
        <n v="8129"/>
        <n v="8130"/>
        <n v="8131"/>
        <n v="8132"/>
        <n v="8133"/>
        <n v="8134"/>
        <n v="8135"/>
        <n v="8136"/>
        <n v="8137"/>
        <n v="8138"/>
        <n v="8139"/>
        <n v="8140"/>
        <n v="8141"/>
        <n v="8142"/>
        <n v="8143"/>
        <n v="8144"/>
        <n v="8145"/>
        <n v="8146"/>
        <n v="8147"/>
        <n v="8148"/>
        <n v="8149"/>
        <n v="8150"/>
        <n v="8151"/>
        <n v="8152"/>
        <n v="8153"/>
        <n v="8154"/>
        <n v="8155"/>
        <n v="8156"/>
        <n v="8157"/>
        <n v="8158"/>
        <n v="8159"/>
        <n v="8160"/>
        <n v="8161"/>
        <n v="8162"/>
        <n v="8163"/>
        <n v="8164"/>
        <n v="8165"/>
        <n v="8166"/>
        <n v="8167"/>
        <n v="8168"/>
        <n v="8169"/>
        <n v="9079"/>
        <n v="9080"/>
        <n v="9081"/>
        <n v="9082"/>
        <n v="9083"/>
        <n v="9084"/>
        <n v="9085"/>
        <n v="9086"/>
        <n v="9087"/>
        <n v="9088"/>
        <n v="9089"/>
        <n v="9090"/>
        <n v="9091"/>
        <n v="9092"/>
        <n v="9093"/>
        <n v="9094"/>
        <n v="9095"/>
        <n v="9096"/>
        <n v="9097"/>
        <n v="9098"/>
        <n v="9099"/>
        <n v="9100"/>
        <n v="9101"/>
        <n v="9102"/>
        <n v="9103"/>
        <n v="9104"/>
        <n v="9105"/>
        <n v="9106"/>
        <n v="9107"/>
        <n v="9108"/>
        <n v="9109"/>
        <n v="9110"/>
        <n v="9111"/>
        <n v="9112"/>
        <n v="9113"/>
        <n v="9114"/>
        <n v="9115"/>
        <n v="9116"/>
        <n v="9117"/>
        <n v="9118"/>
        <n v="9119"/>
        <n v="9120"/>
        <n v="9121"/>
        <n v="9122"/>
        <n v="9123"/>
        <n v="9124"/>
        <n v="9125"/>
        <n v="9126"/>
        <n v="9127"/>
        <n v="9128"/>
        <n v="9129"/>
        <n v="9130"/>
        <n v="9131"/>
        <n v="9132"/>
        <n v="9133"/>
        <n v="9134"/>
        <n v="9135"/>
        <n v="9136"/>
        <n v="9137"/>
        <n v="9138"/>
        <n v="10042"/>
        <n v="10043"/>
        <n v="10044"/>
        <n v="10045"/>
        <n v="10046"/>
        <n v="10047"/>
        <n v="10048"/>
        <n v="10049"/>
        <n v="10050"/>
        <n v="10051"/>
        <n v="10052"/>
        <n v="10053"/>
        <n v="10054"/>
        <n v="10055"/>
        <n v="10056"/>
        <n v="10057"/>
        <n v="10058"/>
        <n v="10059"/>
        <n v="10060"/>
        <n v="10061"/>
        <n v="10062"/>
        <n v="10063"/>
        <n v="10064"/>
        <n v="10065"/>
        <n v="10066"/>
        <n v="10067"/>
        <n v="10068"/>
        <n v="10069"/>
        <n v="10070"/>
        <n v="10071"/>
        <n v="10072"/>
        <n v="10073"/>
        <n v="10074"/>
        <n v="10075"/>
        <n v="10076"/>
        <n v="10077"/>
        <n v="10078"/>
        <n v="10079"/>
        <n v="10080"/>
        <n v="10081"/>
        <n v="10082"/>
        <n v="10083"/>
        <n v="10084"/>
        <n v="10085"/>
        <n v="10086"/>
        <n v="10087"/>
        <n v="10088"/>
        <n v="10089"/>
        <n v="10090"/>
        <n v="10091"/>
        <n v="10092"/>
        <n v="10093"/>
        <n v="10094"/>
        <n v="10095"/>
        <n v="10096"/>
        <n v="10097"/>
        <n v="10098"/>
        <n v="10099"/>
        <n v="10100"/>
        <n v="10101"/>
        <n v="11002"/>
        <n v="11003"/>
        <n v="11004"/>
        <n v="11005"/>
        <n v="11006"/>
        <n v="11007"/>
        <n v="11008"/>
        <n v="11009"/>
        <n v="11010"/>
        <n v="11011"/>
        <n v="11012"/>
        <n v="11013"/>
        <n v="11014"/>
        <n v="11015"/>
        <n v="11016"/>
        <n v="11017"/>
        <n v="11018"/>
        <n v="11019"/>
        <n v="11020"/>
        <n v="11021"/>
        <n v="11022"/>
        <n v="11023"/>
        <n v="11024"/>
        <n v="11025"/>
        <n v="11026"/>
        <n v="11027"/>
        <n v="11028"/>
        <n v="11029"/>
        <n v="11030"/>
        <n v="11031"/>
        <n v="11032"/>
        <n v="11033"/>
        <n v="11034"/>
        <n v="11035"/>
        <n v="11036"/>
        <n v="11037"/>
        <n v="11038"/>
        <n v="11039"/>
        <n v="11040"/>
        <n v="11041"/>
        <n v="11042"/>
        <n v="11043"/>
        <n v="11044"/>
        <n v="11045"/>
        <n v="11046"/>
        <n v="11047"/>
        <n v="11048"/>
        <n v="11049"/>
        <n v="11050"/>
        <n v="11051"/>
        <n v="11052"/>
        <n v="11053"/>
        <n v="11054"/>
        <n v="11055"/>
        <n v="11056"/>
        <n v="11057"/>
        <n v="11058"/>
        <n v="11059"/>
        <n v="11060"/>
        <n v="11061"/>
        <n v="11962"/>
        <n v="11963"/>
        <n v="11964"/>
        <n v="11965"/>
        <n v="11966"/>
        <n v="11967"/>
        <n v="11968"/>
        <n v="11969"/>
        <n v="11970"/>
        <n v="11971"/>
        <n v="11972"/>
        <n v="11973"/>
        <n v="11974"/>
        <n v="11975"/>
        <n v="11976"/>
        <n v="11977"/>
        <n v="11978"/>
        <n v="11979"/>
        <n v="11980"/>
        <n v="11981"/>
        <n v="11982"/>
        <n v="11983"/>
        <n v="11984"/>
        <n v="11985"/>
        <n v="11986"/>
        <n v="11987"/>
        <n v="11988"/>
        <n v="11989"/>
        <n v="11990"/>
        <n v="11991"/>
        <n v="11992"/>
        <n v="11993"/>
        <n v="11994"/>
        <n v="11995"/>
        <n v="11996"/>
        <n v="11997"/>
        <n v="11998"/>
        <n v="11999"/>
        <n v="12000"/>
        <n v="12001"/>
        <n v="12002"/>
        <n v="12003"/>
        <n v="12004"/>
        <n v="12005"/>
        <n v="12006"/>
        <n v="12007"/>
        <n v="12008"/>
        <n v="12009"/>
        <n v="12010"/>
        <n v="12011"/>
        <n v="12012"/>
        <n v="12013"/>
        <n v="12014"/>
        <n v="12015"/>
        <n v="12016"/>
        <n v="12017"/>
        <n v="12018"/>
        <n v="12019"/>
        <n v="12020"/>
        <n v="12021"/>
        <n v="12922"/>
        <n v="12923"/>
        <n v="12924"/>
        <n v="12925"/>
        <n v="12926"/>
        <n v="12927"/>
        <n v="12928"/>
        <n v="12929"/>
        <n v="12930"/>
        <n v="12931"/>
        <n v="12932"/>
        <n v="12933"/>
        <n v="12934"/>
        <n v="12935"/>
        <n v="12936"/>
        <n v="12937"/>
        <n v="12938"/>
        <n v="12939"/>
        <n v="12940"/>
        <n v="12941"/>
        <n v="12942"/>
        <n v="12943"/>
        <n v="12944"/>
        <n v="12945"/>
        <n v="12946"/>
        <n v="12947"/>
        <n v="12948"/>
        <n v="12949"/>
        <n v="12950"/>
        <n v="12951"/>
        <n v="12952"/>
        <n v="12953"/>
        <n v="12954"/>
        <n v="12955"/>
        <n v="12956"/>
        <n v="12957"/>
        <n v="12958"/>
        <n v="12959"/>
        <n v="12960"/>
        <n v="12961"/>
        <n v="12962"/>
        <n v="12963"/>
        <n v="12964"/>
        <n v="12965"/>
        <n v="12966"/>
        <n v="12967"/>
        <n v="12968"/>
        <n v="12969"/>
        <n v="12970"/>
        <n v="12971"/>
        <n v="12972"/>
        <n v="12973"/>
        <n v="12974"/>
        <n v="12975"/>
        <n v="12976"/>
        <n v="12977"/>
        <n v="12978"/>
        <n v="12979"/>
        <n v="12980"/>
        <n v="12981"/>
        <n v="13882"/>
        <n v="13883"/>
        <n v="13884"/>
        <n v="13885"/>
        <n v="13886"/>
        <n v="13887"/>
        <n v="13888"/>
        <n v="13889"/>
        <n v="13890"/>
        <n v="13891"/>
        <n v="13892"/>
        <n v="13893"/>
        <n v="13894"/>
        <n v="13895"/>
        <n v="13896"/>
        <n v="13897"/>
        <n v="13898"/>
        <n v="13899"/>
        <n v="13900"/>
        <n v="13901"/>
        <n v="13902"/>
        <n v="13903"/>
        <n v="13904"/>
        <n v="13905"/>
        <n v="13906"/>
        <n v="13907"/>
        <n v="13908"/>
        <n v="13909"/>
        <n v="13910"/>
        <n v="13911"/>
        <n v="13912"/>
        <n v="13913"/>
        <n v="13914"/>
        <n v="13915"/>
        <n v="13916"/>
        <n v="13917"/>
        <n v="13918"/>
        <n v="13919"/>
        <n v="13920"/>
        <n v="13921"/>
        <n v="13922"/>
        <n v="13923"/>
        <n v="13924"/>
        <n v="13925"/>
        <n v="13926"/>
        <n v="13927"/>
        <n v="13928"/>
        <n v="13929"/>
        <n v="13930"/>
        <n v="13931"/>
        <n v="13932"/>
        <n v="13933"/>
        <n v="13934"/>
        <n v="13935"/>
        <n v="13936"/>
        <n v="13937"/>
        <n v="13938"/>
        <n v="13939"/>
        <n v="13940"/>
        <n v="13941"/>
        <n v="14842"/>
        <n v="14843"/>
        <n v="14844"/>
        <n v="14845"/>
        <n v="14846"/>
        <n v="14847"/>
        <n v="14848"/>
        <n v="14849"/>
        <n v="14850"/>
        <n v="14851"/>
        <n v="14852"/>
        <n v="14853"/>
        <n v="14854"/>
        <n v="14855"/>
        <n v="14856"/>
        <n v="14857"/>
        <n v="14858"/>
        <n v="14859"/>
        <n v="14860"/>
        <n v="14861"/>
        <n v="14862"/>
        <n v="14863"/>
        <n v="14864"/>
        <n v="14865"/>
        <n v="14866"/>
        <n v="14867"/>
        <n v="14868"/>
        <n v="14869"/>
        <n v="14870"/>
        <n v="14871"/>
        <n v="14872"/>
        <n v="14873"/>
        <n v="14874"/>
        <n v="14875"/>
        <n v="14876"/>
        <n v="14877"/>
        <n v="14878"/>
        <n v="14879"/>
        <n v="14880"/>
        <n v="14881"/>
        <n v="14882"/>
        <n v="14883"/>
        <n v="14884"/>
        <n v="14885"/>
        <n v="14886"/>
        <n v="14887"/>
        <n v="14888"/>
        <n v="14889"/>
        <n v="14890"/>
        <n v="14891"/>
        <n v="14892"/>
        <n v="14893"/>
        <n v="14894"/>
        <n v="14895"/>
        <n v="14896"/>
        <n v="14897"/>
        <n v="14898"/>
        <n v="14899"/>
        <n v="14900"/>
        <n v="14901"/>
        <n v="5267"/>
        <n v="5268"/>
        <n v="5269"/>
        <n v="5270"/>
        <n v="5271"/>
        <n v="5272"/>
        <n v="5273"/>
        <n v="5274"/>
        <n v="5275"/>
        <n v="5276"/>
        <n v="5277"/>
        <n v="5278"/>
        <n v="5279"/>
        <n v="5280"/>
        <n v="5281"/>
        <n v="5282"/>
        <n v="5283"/>
        <n v="5284"/>
        <n v="5285"/>
        <n v="5286"/>
        <n v="5287"/>
        <n v="5288"/>
        <n v="5289"/>
        <n v="5290"/>
        <n v="5291"/>
        <n v="5292"/>
        <n v="5293"/>
        <n v="5294"/>
        <n v="5295"/>
        <n v="5296"/>
        <n v="5297"/>
        <n v="5298"/>
        <n v="5299"/>
        <n v="5300"/>
        <n v="5301"/>
        <n v="5302"/>
        <n v="5303"/>
        <n v="5304"/>
        <n v="5305"/>
        <n v="5306"/>
        <n v="5307"/>
        <n v="5308"/>
        <n v="5309"/>
        <n v="5310"/>
        <n v="5311"/>
        <n v="5312"/>
        <n v="5313"/>
        <n v="5314"/>
        <n v="5315"/>
        <n v="5316"/>
        <n v="5317"/>
        <n v="5318"/>
        <n v="5319"/>
        <n v="5320"/>
        <n v="5321"/>
        <n v="5322"/>
        <n v="5323"/>
        <n v="5324"/>
        <n v="5325"/>
        <n v="5326"/>
        <n v="5327"/>
        <n v="6234"/>
        <n v="6235"/>
        <n v="6236"/>
        <n v="6237"/>
        <n v="6238"/>
        <n v="6239"/>
        <n v="6240"/>
        <n v="6241"/>
        <n v="6242"/>
        <n v="6243"/>
        <n v="6244"/>
        <n v="6245"/>
        <n v="6246"/>
        <n v="6247"/>
        <n v="6248"/>
        <n v="6249"/>
        <n v="6250"/>
        <n v="6251"/>
        <n v="6252"/>
        <n v="6253"/>
        <n v="6254"/>
        <n v="6255"/>
        <n v="6256"/>
        <n v="6257"/>
        <n v="6258"/>
        <n v="6259"/>
        <n v="6260"/>
        <n v="6261"/>
        <n v="6262"/>
        <n v="6263"/>
        <n v="6264"/>
        <n v="6265"/>
        <n v="6266"/>
        <n v="6267"/>
        <n v="6268"/>
        <n v="6269"/>
        <n v="6270"/>
        <n v="6271"/>
        <n v="6272"/>
        <n v="6273"/>
        <n v="6274"/>
        <n v="6275"/>
        <n v="6276"/>
        <n v="6277"/>
        <n v="6278"/>
        <n v="6279"/>
        <n v="6280"/>
        <n v="6281"/>
        <n v="6282"/>
        <n v="6283"/>
        <n v="6284"/>
        <n v="6285"/>
        <n v="6286"/>
        <n v="6287"/>
        <n v="6288"/>
        <n v="6289"/>
        <n v="6290"/>
        <n v="6291"/>
        <n v="6292"/>
        <n v="6293"/>
        <n v="7203"/>
        <n v="7204"/>
        <n v="7205"/>
        <n v="7206"/>
        <n v="7207"/>
        <n v="7208"/>
        <n v="7209"/>
        <n v="7210"/>
        <n v="7211"/>
        <n v="7212"/>
        <n v="7213"/>
        <n v="7214"/>
        <n v="7215"/>
        <n v="7216"/>
        <n v="7217"/>
        <n v="7218"/>
        <n v="7219"/>
        <n v="7220"/>
        <n v="7221"/>
        <n v="7222"/>
        <n v="7223"/>
        <n v="7224"/>
        <n v="7225"/>
        <n v="7226"/>
        <n v="7227"/>
        <n v="7228"/>
        <n v="7229"/>
        <n v="7230"/>
        <n v="7231"/>
        <n v="7232"/>
        <n v="7233"/>
        <n v="7234"/>
        <n v="7235"/>
        <n v="7236"/>
        <n v="7237"/>
        <n v="7238"/>
        <n v="7239"/>
        <n v="7240"/>
        <n v="7241"/>
        <n v="7242"/>
        <n v="7243"/>
        <n v="7244"/>
        <n v="7245"/>
        <n v="7246"/>
        <n v="7247"/>
        <n v="7248"/>
        <n v="7249"/>
        <n v="7250"/>
        <n v="7251"/>
        <n v="7252"/>
        <n v="7253"/>
        <n v="7254"/>
        <n v="7255"/>
        <n v="7256"/>
        <n v="7257"/>
        <n v="7258"/>
        <n v="7259"/>
        <n v="7260"/>
        <n v="7261"/>
        <n v="7262"/>
        <n v="8170"/>
        <n v="8171"/>
        <n v="8172"/>
        <n v="8173"/>
        <n v="8174"/>
        <n v="8175"/>
        <n v="8176"/>
        <n v="8177"/>
        <n v="8178"/>
        <n v="8179"/>
        <n v="8180"/>
        <n v="8181"/>
        <n v="8182"/>
        <n v="8183"/>
        <n v="8184"/>
        <n v="8185"/>
        <n v="8186"/>
        <n v="8187"/>
        <n v="8188"/>
        <n v="8189"/>
        <n v="8190"/>
        <n v="8191"/>
        <n v="8192"/>
        <n v="8193"/>
        <n v="8194"/>
        <n v="8195"/>
        <n v="8196"/>
        <n v="8197"/>
        <n v="8198"/>
        <n v="8199"/>
        <n v="8200"/>
        <n v="8201"/>
        <n v="8202"/>
        <n v="8203"/>
        <n v="8204"/>
        <n v="8205"/>
        <n v="8206"/>
        <n v="8207"/>
        <n v="8208"/>
        <n v="8209"/>
        <n v="8210"/>
        <n v="8211"/>
        <n v="8212"/>
        <n v="8213"/>
        <n v="8214"/>
        <n v="8215"/>
        <n v="8216"/>
        <n v="8217"/>
        <n v="8218"/>
        <n v="8219"/>
        <n v="8220"/>
        <n v="8221"/>
        <n v="8222"/>
        <n v="8223"/>
        <n v="8224"/>
        <n v="8225"/>
        <n v="8226"/>
        <n v="8227"/>
        <n v="8228"/>
        <n v="8229"/>
        <n v="8230"/>
        <n v="9139"/>
        <n v="9140"/>
        <n v="9141"/>
        <n v="9142"/>
        <n v="9143"/>
        <n v="9144"/>
        <n v="9145"/>
        <n v="9146"/>
        <n v="9147"/>
        <n v="9148"/>
        <n v="9149"/>
        <n v="9150"/>
        <n v="9151"/>
        <n v="9152"/>
        <n v="9153"/>
        <n v="9154"/>
        <n v="9155"/>
        <n v="9156"/>
        <n v="9157"/>
        <n v="9158"/>
        <n v="9159"/>
        <n v="9160"/>
        <n v="9161"/>
        <n v="9162"/>
        <n v="9163"/>
        <n v="9164"/>
        <n v="9165"/>
        <n v="9166"/>
        <n v="9167"/>
        <n v="9168"/>
        <n v="9169"/>
        <n v="9170"/>
        <n v="9171"/>
        <n v="9172"/>
        <n v="9173"/>
        <n v="9174"/>
        <n v="9175"/>
        <n v="9176"/>
        <n v="9177"/>
        <n v="9178"/>
        <n v="9179"/>
        <n v="9180"/>
        <n v="9181"/>
        <n v="9182"/>
        <n v="9183"/>
        <n v="9184"/>
        <n v="9185"/>
        <n v="9186"/>
        <n v="9187"/>
        <n v="9188"/>
        <n v="9189"/>
        <n v="9190"/>
        <n v="9191"/>
        <n v="9192"/>
        <n v="9193"/>
        <n v="9194"/>
        <n v="9195"/>
        <n v="9196"/>
        <n v="9197"/>
        <n v="9198"/>
        <n v="10102"/>
        <n v="10103"/>
        <n v="10104"/>
        <n v="10105"/>
        <n v="10106"/>
        <n v="10107"/>
        <n v="10108"/>
        <n v="10109"/>
        <n v="10110"/>
        <n v="10111"/>
        <n v="10112"/>
        <n v="10113"/>
        <n v="10114"/>
        <n v="10115"/>
        <n v="10116"/>
        <n v="10117"/>
        <n v="10118"/>
        <n v="10119"/>
        <n v="10120"/>
        <n v="10121"/>
        <n v="10122"/>
        <n v="10123"/>
        <n v="10124"/>
        <n v="10125"/>
        <n v="10126"/>
        <n v="10127"/>
        <n v="10128"/>
        <n v="10129"/>
        <n v="10130"/>
        <n v="10131"/>
        <n v="10132"/>
        <n v="10133"/>
        <n v="10134"/>
        <n v="10135"/>
        <n v="10136"/>
        <n v="10137"/>
        <n v="10138"/>
        <n v="10139"/>
        <n v="10140"/>
        <n v="10141"/>
        <n v="10142"/>
        <n v="10143"/>
        <n v="10144"/>
        <n v="10145"/>
        <n v="10146"/>
        <n v="10147"/>
        <n v="10148"/>
        <n v="10149"/>
        <n v="10150"/>
        <n v="10151"/>
        <n v="10152"/>
        <n v="10153"/>
        <n v="10154"/>
        <n v="10155"/>
        <n v="10156"/>
        <n v="10157"/>
        <n v="10158"/>
        <n v="10159"/>
        <n v="10160"/>
        <n v="10161"/>
        <n v="11062"/>
        <n v="11063"/>
        <n v="11064"/>
        <n v="11065"/>
        <n v="11066"/>
        <n v="11067"/>
        <n v="11068"/>
        <n v="11069"/>
        <n v="11070"/>
        <n v="11071"/>
        <n v="11072"/>
        <n v="11073"/>
        <n v="11074"/>
        <n v="11075"/>
        <n v="11076"/>
        <n v="11077"/>
        <n v="11078"/>
        <n v="11079"/>
        <n v="11080"/>
        <n v="11081"/>
        <n v="11082"/>
        <n v="11083"/>
        <n v="11084"/>
        <n v="11085"/>
        <n v="11086"/>
        <n v="11087"/>
        <n v="11088"/>
        <n v="11089"/>
        <n v="11090"/>
        <n v="11091"/>
        <n v="11092"/>
        <n v="11093"/>
        <n v="11094"/>
        <n v="11095"/>
        <n v="11096"/>
        <n v="11097"/>
        <n v="11098"/>
        <n v="11099"/>
        <n v="11100"/>
        <n v="11101"/>
        <n v="11102"/>
        <n v="11103"/>
        <n v="11104"/>
        <n v="11105"/>
        <n v="11106"/>
        <n v="11107"/>
        <n v="11108"/>
        <n v="11109"/>
        <n v="11110"/>
        <n v="11111"/>
        <n v="11112"/>
        <n v="11113"/>
        <n v="11114"/>
        <n v="11115"/>
        <n v="11116"/>
        <n v="11117"/>
        <n v="11118"/>
        <n v="11119"/>
        <n v="11120"/>
        <n v="11121"/>
        <n v="12022"/>
        <n v="12023"/>
        <n v="12024"/>
        <n v="12025"/>
        <n v="12026"/>
        <n v="12027"/>
        <n v="12028"/>
        <n v="12029"/>
        <n v="12030"/>
        <n v="12031"/>
        <n v="12032"/>
        <n v="12033"/>
        <n v="12034"/>
        <n v="12035"/>
        <n v="12036"/>
        <n v="12037"/>
        <n v="12038"/>
        <n v="12039"/>
        <n v="12040"/>
        <n v="12041"/>
        <n v="12042"/>
        <n v="12043"/>
        <n v="12044"/>
        <n v="12045"/>
        <n v="12046"/>
        <n v="12047"/>
        <n v="12048"/>
        <n v="12049"/>
        <n v="12050"/>
        <n v="12051"/>
        <n v="12052"/>
        <n v="12053"/>
        <n v="12054"/>
        <n v="12055"/>
        <n v="12056"/>
        <n v="12057"/>
        <n v="12058"/>
        <n v="12059"/>
        <n v="12060"/>
        <n v="12061"/>
        <n v="12062"/>
        <n v="12063"/>
        <n v="12064"/>
        <n v="12065"/>
        <n v="12066"/>
        <n v="12067"/>
        <n v="12068"/>
        <n v="12069"/>
        <n v="12070"/>
        <n v="12071"/>
        <n v="12072"/>
        <n v="12073"/>
        <n v="12074"/>
        <n v="12075"/>
        <n v="12076"/>
        <n v="12077"/>
        <n v="12078"/>
        <n v="12079"/>
        <n v="12080"/>
        <n v="12081"/>
        <n v="12982"/>
        <n v="12983"/>
        <n v="12984"/>
        <n v="12985"/>
        <n v="12986"/>
        <n v="12987"/>
        <n v="12988"/>
        <n v="12989"/>
        <n v="12990"/>
        <n v="12991"/>
        <n v="12992"/>
        <n v="12993"/>
        <n v="12994"/>
        <n v="12995"/>
        <n v="12996"/>
        <n v="12997"/>
        <n v="12998"/>
        <n v="12999"/>
        <n v="13000"/>
        <n v="13001"/>
        <n v="13002"/>
        <n v="13003"/>
        <n v="13004"/>
        <n v="13005"/>
        <n v="13006"/>
        <n v="13007"/>
        <n v="13008"/>
        <n v="13009"/>
        <n v="13010"/>
        <n v="13011"/>
        <n v="13012"/>
        <n v="13013"/>
        <n v="13014"/>
        <n v="13015"/>
        <n v="13016"/>
        <n v="13017"/>
        <n v="13018"/>
        <n v="13019"/>
        <n v="13020"/>
        <n v="13021"/>
        <n v="13022"/>
        <n v="13023"/>
        <n v="13024"/>
        <n v="13025"/>
        <n v="13026"/>
        <n v="13027"/>
        <n v="13028"/>
        <n v="13029"/>
        <n v="13030"/>
        <n v="13031"/>
        <n v="13032"/>
        <n v="13033"/>
        <n v="13034"/>
        <n v="13035"/>
        <n v="13036"/>
        <n v="13037"/>
        <n v="13038"/>
        <n v="13039"/>
        <n v="13040"/>
        <n v="13041"/>
        <n v="13942"/>
        <n v="13943"/>
        <n v="13944"/>
        <n v="13945"/>
        <n v="13946"/>
        <n v="13947"/>
        <n v="13948"/>
        <n v="13949"/>
        <n v="13950"/>
        <n v="13951"/>
        <n v="13952"/>
        <n v="13953"/>
        <n v="13954"/>
        <n v="13955"/>
        <n v="13956"/>
        <n v="13957"/>
        <n v="13958"/>
        <n v="13959"/>
        <n v="13960"/>
        <n v="13961"/>
        <n v="13962"/>
        <n v="13963"/>
        <n v="13964"/>
        <n v="13965"/>
        <n v="13966"/>
        <n v="13967"/>
        <n v="13968"/>
        <n v="13969"/>
        <n v="13970"/>
        <n v="13971"/>
        <n v="13972"/>
        <n v="13973"/>
        <n v="13974"/>
        <n v="13975"/>
        <n v="13976"/>
        <n v="13977"/>
        <n v="13978"/>
        <n v="13979"/>
        <n v="13980"/>
        <n v="13981"/>
        <n v="13982"/>
        <n v="13983"/>
        <n v="13984"/>
        <n v="13985"/>
        <n v="13986"/>
        <n v="13987"/>
        <n v="13988"/>
        <n v="13989"/>
        <n v="13990"/>
        <n v="13991"/>
        <n v="13992"/>
        <n v="13993"/>
        <n v="13994"/>
        <n v="13995"/>
        <n v="13996"/>
        <n v="13997"/>
        <n v="13998"/>
        <n v="13999"/>
        <n v="14000"/>
        <n v="14001"/>
        <n v="14902"/>
        <n v="14903"/>
        <n v="14904"/>
        <n v="14905"/>
        <n v="14906"/>
        <n v="14907"/>
        <n v="14908"/>
        <n v="14909"/>
        <n v="14910"/>
        <n v="14911"/>
        <n v="14912"/>
        <n v="14913"/>
        <n v="14914"/>
        <n v="14915"/>
        <n v="14916"/>
        <n v="14917"/>
        <n v="14918"/>
        <n v="14919"/>
        <n v="14920"/>
        <n v="14921"/>
        <n v="14922"/>
        <n v="14923"/>
        <n v="14924"/>
        <n v="14925"/>
        <n v="14926"/>
        <n v="14927"/>
        <n v="14928"/>
        <n v="14929"/>
        <n v="14930"/>
        <n v="14931"/>
        <n v="14932"/>
        <n v="14933"/>
        <n v="14934"/>
        <n v="14935"/>
        <n v="14936"/>
        <n v="14937"/>
        <n v="14938"/>
        <n v="14939"/>
        <n v="14940"/>
        <n v="14941"/>
        <n v="14942"/>
        <n v="14943"/>
        <n v="14944"/>
        <n v="14945"/>
        <n v="14946"/>
        <n v="14947"/>
        <n v="14948"/>
        <n v="14949"/>
        <n v="14950"/>
        <n v="14951"/>
        <n v="14952"/>
        <n v="14953"/>
        <n v="14954"/>
        <n v="14955"/>
        <n v="14956"/>
        <n v="14957"/>
        <n v="14958"/>
        <n v="14959"/>
        <n v="14960"/>
        <n v="14961"/>
        <n v="5328"/>
        <n v="5329"/>
        <n v="5330"/>
        <n v="5331"/>
        <n v="5332"/>
        <n v="5333"/>
        <n v="5334"/>
        <n v="5335"/>
        <n v="5336"/>
        <n v="5337"/>
        <n v="5338"/>
        <n v="5339"/>
        <n v="5340"/>
        <n v="5341"/>
        <n v="5342"/>
        <n v="5343"/>
        <n v="5344"/>
        <n v="5345"/>
        <n v="5346"/>
        <n v="5347"/>
        <n v="5348"/>
        <n v="5349"/>
        <n v="5350"/>
        <n v="5351"/>
        <n v="5352"/>
        <n v="5353"/>
        <n v="5354"/>
        <n v="5355"/>
        <n v="5356"/>
        <n v="5357"/>
        <n v="5358"/>
        <n v="5359"/>
        <n v="5360"/>
        <n v="5361"/>
        <n v="5362"/>
        <n v="5363"/>
        <n v="5364"/>
        <n v="5365"/>
        <n v="5366"/>
        <n v="5367"/>
        <n v="5368"/>
        <n v="5369"/>
        <n v="5370"/>
        <n v="5371"/>
        <n v="5372"/>
        <n v="5373"/>
        <n v="5374"/>
        <n v="5375"/>
        <n v="5376"/>
        <n v="5377"/>
        <n v="5378"/>
        <n v="5379"/>
        <n v="5380"/>
        <n v="5381"/>
        <n v="5382"/>
        <n v="5383"/>
        <n v="5384"/>
        <n v="5385"/>
        <n v="5386"/>
        <n v="5387"/>
        <n v="6294"/>
        <n v="6295"/>
        <n v="6296"/>
        <n v="6297"/>
        <n v="6298"/>
        <n v="6299"/>
        <n v="6300"/>
        <n v="6301"/>
        <n v="6302"/>
        <n v="6303"/>
        <n v="6304"/>
        <n v="6305"/>
        <n v="6306"/>
        <n v="6307"/>
        <n v="6308"/>
        <n v="6309"/>
        <n v="6310"/>
        <n v="6311"/>
        <n v="6312"/>
        <n v="6313"/>
        <n v="6314"/>
        <n v="6315"/>
        <n v="6316"/>
        <n v="6317"/>
        <n v="6318"/>
        <n v="6319"/>
        <n v="6320"/>
        <n v="6321"/>
        <n v="6322"/>
        <n v="6323"/>
        <n v="6324"/>
        <n v="6325"/>
        <n v="6326"/>
        <n v="6327"/>
        <n v="6328"/>
        <n v="6329"/>
        <n v="6330"/>
        <n v="6331"/>
        <n v="6332"/>
        <n v="6333"/>
        <n v="6334"/>
        <n v="6335"/>
        <n v="6336"/>
        <n v="6337"/>
        <n v="6338"/>
        <n v="6339"/>
        <n v="6340"/>
        <n v="6341"/>
        <n v="6342"/>
        <n v="6343"/>
        <n v="6344"/>
        <n v="6345"/>
        <n v="6346"/>
        <n v="6347"/>
        <n v="6348"/>
        <n v="6349"/>
        <n v="6350"/>
        <n v="6351"/>
        <n v="6352"/>
        <n v="6353"/>
        <n v="7263"/>
        <n v="7264"/>
        <n v="7265"/>
        <n v="7266"/>
        <n v="7267"/>
        <n v="7268"/>
        <n v="7269"/>
        <n v="7270"/>
        <n v="7271"/>
        <n v="7272"/>
        <n v="7273"/>
        <n v="7274"/>
        <n v="7275"/>
        <n v="7276"/>
        <n v="7277"/>
        <n v="7278"/>
        <n v="7279"/>
        <n v="7280"/>
        <n v="7281"/>
        <n v="7282"/>
        <n v="7283"/>
        <n v="7284"/>
        <n v="7285"/>
        <n v="7286"/>
        <n v="7287"/>
        <n v="7288"/>
        <n v="7289"/>
        <n v="7290"/>
        <n v="7291"/>
        <n v="7292"/>
        <n v="7293"/>
        <n v="7294"/>
        <n v="7295"/>
        <n v="7296"/>
        <n v="7297"/>
        <n v="7298"/>
        <n v="7299"/>
        <n v="7300"/>
        <n v="7301"/>
        <n v="7302"/>
        <n v="7303"/>
        <n v="7304"/>
        <n v="7305"/>
        <n v="7306"/>
        <n v="7307"/>
        <n v="7308"/>
        <n v="7309"/>
        <n v="7310"/>
        <n v="7311"/>
        <n v="7312"/>
        <n v="7313"/>
        <n v="7314"/>
        <n v="7315"/>
        <n v="7316"/>
        <n v="7317"/>
        <n v="7318"/>
        <n v="7319"/>
        <n v="7320"/>
        <n v="7321"/>
        <n v="7322"/>
        <n v="7323"/>
        <n v="8231"/>
        <n v="8232"/>
        <n v="8233"/>
        <n v="8234"/>
        <n v="8235"/>
        <n v="8236"/>
        <n v="8237"/>
        <n v="8238"/>
        <n v="8239"/>
        <n v="8240"/>
        <n v="8241"/>
        <n v="8242"/>
        <n v="8243"/>
        <n v="8244"/>
        <n v="8245"/>
        <n v="8246"/>
        <n v="8247"/>
        <n v="8248"/>
        <n v="8249"/>
        <n v="8250"/>
        <n v="8251"/>
        <n v="8252"/>
        <n v="8253"/>
        <n v="8254"/>
        <n v="8255"/>
        <n v="8256"/>
        <n v="8257"/>
        <n v="8258"/>
        <n v="8259"/>
        <n v="8260"/>
        <n v="8261"/>
        <n v="8262"/>
        <n v="8263"/>
        <n v="8264"/>
        <n v="8265"/>
        <n v="8266"/>
        <n v="8267"/>
        <n v="8268"/>
        <n v="8269"/>
        <n v="8270"/>
        <n v="8271"/>
        <n v="8272"/>
        <n v="8273"/>
        <n v="8274"/>
        <n v="8275"/>
        <n v="8276"/>
        <n v="8277"/>
        <n v="8278"/>
        <n v="8279"/>
        <n v="8280"/>
        <n v="8281"/>
        <n v="8282"/>
        <n v="8283"/>
        <n v="8284"/>
        <n v="8285"/>
        <n v="8286"/>
        <n v="8287"/>
        <n v="8288"/>
        <n v="8289"/>
        <n v="8290"/>
        <n v="8291"/>
        <n v="9199"/>
        <n v="9200"/>
        <n v="9201"/>
        <n v="9202"/>
        <n v="9203"/>
        <n v="9204"/>
        <n v="9205"/>
        <n v="9206"/>
        <n v="9207"/>
        <n v="9208"/>
        <n v="9209"/>
        <n v="9210"/>
        <n v="9211"/>
        <n v="9212"/>
        <n v="9213"/>
        <n v="9214"/>
        <n v="9215"/>
        <n v="9216"/>
        <n v="9217"/>
        <n v="9218"/>
        <n v="9219"/>
        <n v="9220"/>
        <n v="9221"/>
        <n v="9222"/>
        <n v="9223"/>
        <n v="9224"/>
        <n v="9225"/>
        <n v="9226"/>
        <n v="9227"/>
        <n v="9228"/>
        <n v="9229"/>
        <n v="9230"/>
        <n v="9231"/>
        <n v="9232"/>
        <n v="9233"/>
        <n v="9234"/>
        <n v="9235"/>
        <n v="9236"/>
        <n v="9237"/>
        <n v="9238"/>
        <n v="9239"/>
        <n v="9240"/>
        <n v="9241"/>
        <n v="9242"/>
        <n v="9243"/>
        <n v="9244"/>
        <n v="9245"/>
        <n v="9246"/>
        <n v="9247"/>
        <n v="9248"/>
        <n v="9249"/>
        <n v="9250"/>
        <n v="9251"/>
        <n v="9252"/>
        <n v="9253"/>
        <n v="9254"/>
        <n v="9255"/>
        <n v="9256"/>
        <n v="9257"/>
        <n v="9258"/>
        <n v="10162"/>
        <n v="10163"/>
        <n v="10164"/>
        <n v="10165"/>
        <n v="10166"/>
        <n v="10167"/>
        <n v="10168"/>
        <n v="10169"/>
        <n v="10170"/>
        <n v="10171"/>
        <n v="10172"/>
        <n v="10173"/>
        <n v="10174"/>
        <n v="10175"/>
        <n v="10176"/>
        <n v="10177"/>
        <n v="10178"/>
        <n v="10179"/>
        <n v="10180"/>
        <n v="10181"/>
        <n v="10182"/>
        <n v="10183"/>
        <n v="10184"/>
        <n v="10185"/>
        <n v="10186"/>
        <n v="10187"/>
        <n v="10188"/>
        <n v="10189"/>
        <n v="10190"/>
        <n v="10191"/>
        <n v="10192"/>
        <n v="10193"/>
        <n v="10194"/>
        <n v="10195"/>
        <n v="10196"/>
        <n v="10197"/>
        <n v="10198"/>
        <n v="10199"/>
        <n v="10200"/>
        <n v="10201"/>
        <n v="10202"/>
        <n v="10203"/>
        <n v="10204"/>
        <n v="10205"/>
        <n v="10206"/>
        <n v="10207"/>
        <n v="10208"/>
        <n v="10209"/>
        <n v="10210"/>
        <n v="10211"/>
        <n v="10212"/>
        <n v="10213"/>
        <n v="10214"/>
        <n v="10215"/>
        <n v="10216"/>
        <n v="10217"/>
        <n v="10218"/>
        <n v="10219"/>
        <n v="10220"/>
        <n v="10221"/>
        <n v="11122"/>
        <n v="11123"/>
        <n v="11124"/>
        <n v="11125"/>
        <n v="11126"/>
        <n v="11127"/>
        <n v="11128"/>
        <n v="11129"/>
        <n v="11130"/>
        <n v="11131"/>
        <n v="11132"/>
        <n v="11133"/>
        <n v="11134"/>
        <n v="11135"/>
        <n v="11136"/>
        <n v="11137"/>
        <n v="11138"/>
        <n v="11139"/>
        <n v="11140"/>
        <n v="11141"/>
        <n v="11142"/>
        <n v="11143"/>
        <n v="11144"/>
        <n v="11145"/>
        <n v="11146"/>
        <n v="11147"/>
        <n v="11148"/>
        <n v="11149"/>
        <n v="11150"/>
        <n v="11151"/>
        <n v="11152"/>
        <n v="11153"/>
        <n v="11154"/>
        <n v="11155"/>
        <n v="11156"/>
        <n v="11157"/>
        <n v="11158"/>
        <n v="11159"/>
        <n v="11160"/>
        <n v="11161"/>
        <n v="11162"/>
        <n v="11163"/>
        <n v="11164"/>
        <n v="11165"/>
        <n v="11166"/>
        <n v="11167"/>
        <n v="11168"/>
        <n v="11169"/>
        <n v="11170"/>
        <n v="11171"/>
        <n v="11172"/>
        <n v="11173"/>
        <n v="11174"/>
        <n v="11175"/>
        <n v="11176"/>
        <n v="11177"/>
        <n v="11178"/>
        <n v="11179"/>
        <n v="11180"/>
        <n v="11181"/>
        <n v="12082"/>
        <n v="12083"/>
        <n v="12084"/>
        <n v="12085"/>
        <n v="12086"/>
        <n v="12087"/>
        <n v="12088"/>
        <n v="12089"/>
        <n v="12090"/>
        <n v="12091"/>
        <n v="12092"/>
        <n v="12093"/>
        <n v="12094"/>
        <n v="12095"/>
        <n v="12096"/>
        <n v="12097"/>
        <n v="12098"/>
        <n v="12099"/>
        <n v="12100"/>
        <n v="12101"/>
        <n v="12102"/>
        <n v="12103"/>
        <n v="12104"/>
        <n v="12105"/>
        <n v="12106"/>
        <n v="12107"/>
        <n v="12108"/>
        <n v="12109"/>
        <n v="12110"/>
        <n v="12111"/>
        <n v="12112"/>
        <n v="12113"/>
        <n v="12114"/>
        <n v="12115"/>
        <n v="12116"/>
        <n v="12117"/>
        <n v="12118"/>
        <n v="12119"/>
        <n v="12120"/>
        <n v="12121"/>
        <n v="12122"/>
        <n v="12123"/>
        <n v="12124"/>
        <n v="12125"/>
        <n v="12126"/>
        <n v="12127"/>
        <n v="12128"/>
        <n v="12129"/>
        <n v="12130"/>
        <n v="12131"/>
        <n v="12132"/>
        <n v="12133"/>
        <n v="12134"/>
        <n v="12135"/>
        <n v="12136"/>
        <n v="12137"/>
        <n v="12138"/>
        <n v="12139"/>
        <n v="12140"/>
        <n v="12141"/>
        <n v="13042"/>
        <n v="13043"/>
        <n v="13044"/>
        <n v="13045"/>
        <n v="13046"/>
        <n v="13047"/>
        <n v="13048"/>
        <n v="13049"/>
        <n v="13050"/>
        <n v="13051"/>
        <n v="13052"/>
        <n v="13053"/>
        <n v="13054"/>
        <n v="13055"/>
        <n v="13056"/>
        <n v="13057"/>
        <n v="13058"/>
        <n v="13059"/>
        <n v="13060"/>
        <n v="13061"/>
        <n v="13062"/>
        <n v="13063"/>
        <n v="13064"/>
        <n v="13065"/>
        <n v="13066"/>
        <n v="13067"/>
        <n v="13068"/>
        <n v="13069"/>
        <n v="13070"/>
        <n v="13071"/>
        <n v="13072"/>
        <n v="13073"/>
        <n v="13074"/>
        <n v="13075"/>
        <n v="13076"/>
        <n v="13077"/>
        <n v="13078"/>
        <n v="13079"/>
        <n v="13080"/>
        <n v="13081"/>
        <n v="13082"/>
        <n v="13083"/>
        <n v="13084"/>
        <n v="13085"/>
        <n v="13086"/>
        <n v="13087"/>
        <n v="13088"/>
        <n v="13089"/>
        <n v="13090"/>
        <n v="13091"/>
        <n v="13092"/>
        <n v="13093"/>
        <n v="13094"/>
        <n v="13095"/>
        <n v="13096"/>
        <n v="13097"/>
        <n v="13098"/>
        <n v="13099"/>
        <n v="13100"/>
        <n v="13101"/>
        <n v="14002"/>
        <n v="14003"/>
        <n v="14004"/>
        <n v="14005"/>
        <n v="14006"/>
        <n v="14007"/>
        <n v="14008"/>
        <n v="14009"/>
        <n v="14010"/>
        <n v="14011"/>
        <n v="14012"/>
        <n v="14013"/>
        <n v="14014"/>
        <n v="14015"/>
        <n v="14016"/>
        <n v="14017"/>
        <n v="14018"/>
        <n v="14019"/>
        <n v="14020"/>
        <n v="14021"/>
        <n v="14022"/>
        <n v="14023"/>
        <n v="14024"/>
        <n v="14025"/>
        <n v="14026"/>
        <n v="14027"/>
        <n v="14028"/>
        <n v="14029"/>
        <n v="14030"/>
        <n v="14031"/>
        <n v="14032"/>
        <n v="14033"/>
        <n v="14034"/>
        <n v="14035"/>
        <n v="14036"/>
        <n v="14037"/>
        <n v="14038"/>
        <n v="14039"/>
        <n v="14040"/>
        <n v="14041"/>
        <n v="14042"/>
        <n v="14043"/>
        <n v="14044"/>
        <n v="14045"/>
        <n v="14046"/>
        <n v="14047"/>
        <n v="14048"/>
        <n v="14049"/>
        <n v="14050"/>
        <n v="14051"/>
        <n v="14052"/>
        <n v="14053"/>
        <n v="14054"/>
        <n v="14055"/>
        <n v="14056"/>
        <n v="14057"/>
        <n v="14058"/>
        <n v="14059"/>
        <n v="14060"/>
        <n v="14061"/>
        <n v="14962"/>
        <n v="14963"/>
        <n v="14964"/>
        <n v="14965"/>
        <n v="14966"/>
        <n v="14967"/>
        <n v="14968"/>
        <n v="14969"/>
        <n v="14970"/>
        <n v="14971"/>
        <n v="14972"/>
        <n v="14973"/>
        <n v="14974"/>
        <n v="14975"/>
        <n v="14976"/>
        <n v="14977"/>
        <n v="14978"/>
        <n v="14979"/>
        <n v="14980"/>
        <n v="14981"/>
        <n v="14982"/>
        <n v="14983"/>
        <n v="14984"/>
        <n v="14985"/>
        <n v="14986"/>
        <n v="14987"/>
        <n v="14988"/>
        <n v="14989"/>
        <n v="14990"/>
        <n v="14991"/>
        <n v="14992"/>
        <n v="14993"/>
        <n v="14994"/>
        <n v="14995"/>
        <n v="14996"/>
        <n v="14997"/>
        <n v="14998"/>
        <n v="14999"/>
        <n v="5388"/>
        <n v="5389"/>
        <n v="5390"/>
        <n v="5391"/>
        <n v="5392"/>
        <n v="5393"/>
        <n v="5394"/>
        <n v="5395"/>
        <n v="5396"/>
        <n v="5397"/>
        <n v="5398"/>
        <n v="5399"/>
        <n v="5400"/>
        <n v="5401"/>
        <n v="5402"/>
        <n v="5403"/>
        <n v="5404"/>
        <n v="5405"/>
        <n v="5406"/>
        <n v="5407"/>
        <n v="5408"/>
        <n v="5409"/>
        <n v="5410"/>
        <n v="5411"/>
        <n v="5412"/>
        <n v="5413"/>
        <n v="5414"/>
        <n v="5415"/>
        <n v="5416"/>
        <n v="5417"/>
        <n v="5418"/>
        <n v="5419"/>
        <n v="5420"/>
        <n v="5421"/>
        <n v="5422"/>
        <n v="5423"/>
        <n v="5424"/>
        <n v="5425"/>
        <n v="5426"/>
        <n v="5427"/>
        <n v="5428"/>
        <n v="5429"/>
        <n v="5430"/>
        <n v="5431"/>
        <n v="5432"/>
        <n v="5433"/>
        <n v="5434"/>
        <n v="5435"/>
        <n v="5436"/>
        <n v="5437"/>
        <n v="5438"/>
        <n v="5439"/>
        <n v="5440"/>
        <n v="5441"/>
        <n v="5442"/>
        <n v="5443"/>
        <n v="5444"/>
        <n v="5445"/>
        <n v="5446"/>
        <n v="5447"/>
        <n v="6354"/>
        <n v="6355"/>
        <n v="6356"/>
        <n v="6357"/>
        <n v="6358"/>
        <n v="6359"/>
        <n v="6360"/>
        <n v="6361"/>
        <n v="6362"/>
        <n v="6363"/>
        <n v="6364"/>
        <n v="6365"/>
        <n v="6366"/>
        <n v="6367"/>
        <n v="6368"/>
        <n v="6369"/>
        <n v="6370"/>
        <n v="6371"/>
        <n v="6372"/>
        <n v="6373"/>
        <n v="6374"/>
        <n v="6375"/>
        <n v="6376"/>
        <n v="6377"/>
        <n v="6378"/>
        <n v="6379"/>
        <n v="6380"/>
        <n v="6381"/>
        <n v="6382"/>
        <n v="6383"/>
        <n v="6384"/>
        <n v="6385"/>
        <n v="6386"/>
        <n v="6387"/>
        <n v="6388"/>
        <n v="6389"/>
        <n v="6390"/>
        <n v="6391"/>
        <n v="6392"/>
        <n v="6393"/>
        <n v="6394"/>
        <n v="6395"/>
        <n v="6396"/>
        <n v="6397"/>
        <n v="6398"/>
        <n v="6399"/>
        <n v="6400"/>
        <n v="6401"/>
        <n v="6402"/>
        <n v="6403"/>
        <n v="6404"/>
        <n v="6405"/>
        <n v="6406"/>
        <n v="6407"/>
        <n v="6408"/>
        <n v="6409"/>
        <n v="6410"/>
        <n v="6411"/>
        <n v="6412"/>
        <n v="6413"/>
        <n v="6414"/>
        <n v="7324"/>
        <n v="7325"/>
        <n v="7326"/>
        <n v="7327"/>
        <n v="7328"/>
        <n v="7329"/>
        <n v="7330"/>
        <n v="7331"/>
        <n v="7332"/>
        <n v="7333"/>
        <n v="7334"/>
        <n v="7335"/>
        <n v="7336"/>
        <n v="7337"/>
        <n v="7338"/>
        <n v="7339"/>
        <n v="7340"/>
        <n v="7341"/>
        <n v="7342"/>
        <n v="7343"/>
        <n v="7344"/>
        <n v="7345"/>
        <n v="7346"/>
        <n v="7347"/>
        <n v="7348"/>
        <n v="7349"/>
        <n v="7350"/>
        <n v="7351"/>
        <n v="7352"/>
        <n v="7353"/>
        <n v="7354"/>
        <n v="7355"/>
        <n v="7356"/>
        <n v="7357"/>
        <n v="7358"/>
        <n v="7359"/>
        <n v="7360"/>
        <n v="7361"/>
        <n v="7362"/>
        <n v="7363"/>
        <n v="7364"/>
        <n v="7365"/>
        <n v="7366"/>
        <n v="7367"/>
        <n v="7368"/>
        <n v="7369"/>
        <n v="7370"/>
        <n v="7371"/>
        <n v="7372"/>
        <n v="7373"/>
        <n v="7374"/>
        <n v="7375"/>
        <n v="7376"/>
        <n v="7377"/>
        <n v="7378"/>
        <n v="7379"/>
        <n v="7380"/>
        <n v="7381"/>
        <n v="7382"/>
        <n v="7383"/>
        <n v="7384"/>
        <n v="8292"/>
        <n v="8293"/>
        <n v="8294"/>
        <n v="8295"/>
        <n v="8296"/>
        <n v="8297"/>
        <n v="8298"/>
        <n v="8299"/>
        <n v="8300"/>
        <n v="8301"/>
        <n v="8302"/>
        <n v="8303"/>
        <n v="8304"/>
        <n v="8305"/>
        <n v="8306"/>
        <n v="8307"/>
        <n v="8308"/>
        <n v="8309"/>
        <n v="8310"/>
        <n v="8311"/>
        <n v="8312"/>
        <n v="8313"/>
        <n v="8314"/>
        <n v="8315"/>
        <n v="8316"/>
        <n v="8317"/>
        <n v="8318"/>
        <n v="8319"/>
        <n v="8320"/>
        <n v="8321"/>
        <n v="8322"/>
        <n v="8323"/>
        <n v="8324"/>
        <n v="8325"/>
        <n v="8326"/>
        <n v="8327"/>
        <n v="8328"/>
        <n v="8329"/>
        <n v="8330"/>
        <n v="8331"/>
        <n v="8332"/>
        <n v="8333"/>
        <n v="8334"/>
        <n v="8335"/>
        <n v="8336"/>
        <n v="8337"/>
        <n v="8338"/>
        <n v="8339"/>
        <n v="8340"/>
        <n v="8341"/>
        <n v="8342"/>
        <n v="8343"/>
        <n v="8344"/>
        <n v="8345"/>
        <n v="8346"/>
        <n v="8347"/>
        <n v="8348"/>
        <n v="8349"/>
        <n v="8350"/>
        <n v="8351"/>
        <n v="8352"/>
        <n v="9259"/>
        <n v="9260"/>
        <n v="9261"/>
        <n v="9262"/>
        <n v="9263"/>
        <n v="9264"/>
        <n v="9265"/>
        <n v="9266"/>
        <n v="9267"/>
        <n v="9268"/>
        <n v="9269"/>
        <n v="9270"/>
        <n v="9271"/>
        <n v="9272"/>
        <n v="9273"/>
        <n v="9274"/>
        <n v="9275"/>
        <n v="9276"/>
        <n v="9277"/>
        <n v="9278"/>
        <n v="9279"/>
        <n v="9280"/>
        <n v="9281"/>
        <n v="9282"/>
        <n v="9283"/>
        <n v="9284"/>
        <n v="9285"/>
        <n v="9286"/>
        <n v="9287"/>
        <n v="9288"/>
        <n v="9289"/>
        <n v="9290"/>
        <n v="9291"/>
        <n v="9292"/>
        <n v="9293"/>
        <n v="9294"/>
        <n v="9295"/>
        <n v="9296"/>
        <n v="9297"/>
        <n v="9298"/>
        <n v="9299"/>
        <n v="9300"/>
        <n v="9301"/>
        <n v="9302"/>
        <n v="9303"/>
        <n v="9304"/>
        <n v="9305"/>
        <n v="9306"/>
        <n v="9307"/>
        <n v="9308"/>
        <n v="9309"/>
        <n v="9310"/>
        <n v="9311"/>
        <n v="9312"/>
        <n v="9313"/>
        <n v="9314"/>
        <n v="9315"/>
        <n v="9316"/>
        <n v="9317"/>
        <n v="9318"/>
        <n v="10222"/>
        <n v="10223"/>
        <n v="10224"/>
        <n v="10225"/>
        <n v="10226"/>
        <n v="10227"/>
        <n v="10228"/>
        <n v="10229"/>
        <n v="10230"/>
        <n v="10231"/>
        <n v="10232"/>
        <n v="10233"/>
        <n v="10234"/>
        <n v="10235"/>
        <n v="10236"/>
        <n v="10237"/>
        <n v="10238"/>
        <n v="10239"/>
        <n v="10240"/>
        <n v="10241"/>
        <n v="10242"/>
        <n v="10243"/>
        <n v="10244"/>
        <n v="10245"/>
        <n v="10246"/>
        <n v="10247"/>
        <n v="10248"/>
        <n v="10249"/>
        <n v="10250"/>
        <n v="10251"/>
        <n v="10252"/>
        <n v="10253"/>
        <n v="10254"/>
        <n v="10255"/>
        <n v="10256"/>
        <n v="10257"/>
        <n v="10258"/>
        <n v="10259"/>
        <n v="10260"/>
        <n v="10261"/>
        <n v="10262"/>
        <n v="10263"/>
        <n v="10264"/>
        <n v="10265"/>
        <n v="10266"/>
        <n v="10267"/>
        <n v="10268"/>
        <n v="10269"/>
        <n v="10270"/>
        <n v="10271"/>
        <n v="10272"/>
        <n v="10273"/>
        <n v="10274"/>
        <n v="10275"/>
        <n v="10276"/>
        <n v="10277"/>
        <n v="10278"/>
        <n v="10279"/>
        <n v="10280"/>
        <n v="10281"/>
        <n v="11182"/>
        <n v="11183"/>
        <n v="11184"/>
        <n v="11185"/>
        <n v="11186"/>
        <n v="11187"/>
        <n v="11188"/>
        <n v="11189"/>
        <n v="11190"/>
        <n v="11191"/>
        <n v="11192"/>
        <n v="11193"/>
        <n v="11194"/>
        <n v="11195"/>
        <n v="11196"/>
        <n v="11197"/>
        <n v="11198"/>
        <n v="11199"/>
        <n v="11200"/>
        <n v="11201"/>
        <n v="11202"/>
        <n v="11203"/>
        <n v="11204"/>
        <n v="11205"/>
        <n v="11206"/>
        <n v="11207"/>
        <n v="11208"/>
        <n v="11209"/>
        <n v="11210"/>
        <n v="11211"/>
        <n v="11212"/>
        <n v="11213"/>
        <n v="11214"/>
        <n v="11215"/>
        <n v="11216"/>
        <n v="11217"/>
        <n v="11218"/>
        <n v="11219"/>
        <n v="11220"/>
        <n v="11221"/>
        <n v="11222"/>
        <n v="11223"/>
        <n v="11224"/>
        <n v="11225"/>
        <n v="11226"/>
        <n v="11227"/>
        <n v="11228"/>
        <n v="11229"/>
        <n v="11230"/>
        <n v="11231"/>
        <n v="11232"/>
        <n v="11233"/>
        <n v="11234"/>
        <n v="11235"/>
        <n v="11236"/>
        <n v="11237"/>
        <n v="11238"/>
        <n v="11239"/>
        <n v="11240"/>
        <n v="11241"/>
        <n v="12142"/>
        <n v="12143"/>
        <n v="12144"/>
        <n v="12145"/>
        <n v="12146"/>
        <n v="12147"/>
        <n v="12148"/>
        <n v="12149"/>
        <n v="12150"/>
        <n v="12151"/>
        <n v="12152"/>
        <n v="12153"/>
        <n v="12154"/>
        <n v="12155"/>
        <n v="12156"/>
        <n v="12157"/>
        <n v="12158"/>
        <n v="12159"/>
        <n v="12160"/>
        <n v="12161"/>
        <n v="12162"/>
        <n v="12163"/>
        <n v="12164"/>
        <n v="12165"/>
        <n v="12166"/>
        <n v="12167"/>
        <n v="12168"/>
        <n v="12169"/>
        <n v="12170"/>
        <n v="12171"/>
        <n v="12172"/>
        <n v="12173"/>
        <n v="12174"/>
        <n v="12175"/>
        <n v="12176"/>
        <n v="12177"/>
        <n v="12178"/>
        <n v="12179"/>
        <n v="12180"/>
        <n v="12181"/>
        <n v="12182"/>
        <n v="12183"/>
        <n v="12184"/>
        <n v="12185"/>
        <n v="12186"/>
        <n v="12187"/>
        <n v="12188"/>
        <n v="12189"/>
        <n v="12190"/>
        <n v="12191"/>
        <n v="12192"/>
        <n v="12193"/>
        <n v="12194"/>
        <n v="12195"/>
        <n v="12196"/>
        <n v="12197"/>
        <n v="12198"/>
        <n v="12199"/>
        <n v="12200"/>
        <n v="12201"/>
        <n v="13102"/>
        <n v="13103"/>
        <n v="13104"/>
        <n v="13105"/>
        <n v="13106"/>
        <n v="13107"/>
        <n v="13108"/>
        <n v="13109"/>
        <n v="13110"/>
        <n v="13111"/>
        <n v="13112"/>
        <n v="13113"/>
        <n v="13114"/>
        <n v="13115"/>
        <n v="13116"/>
        <n v="13117"/>
        <n v="13118"/>
        <n v="13119"/>
        <n v="13120"/>
        <n v="13121"/>
        <n v="13122"/>
        <n v="13123"/>
        <n v="13124"/>
        <n v="13125"/>
        <n v="13126"/>
        <n v="13127"/>
        <n v="13128"/>
        <n v="13129"/>
        <n v="13130"/>
        <n v="13131"/>
        <n v="13132"/>
        <n v="13133"/>
        <n v="13134"/>
        <n v="13135"/>
        <n v="13136"/>
        <n v="13137"/>
        <n v="13138"/>
        <n v="13139"/>
        <n v="13140"/>
        <n v="13141"/>
        <n v="13142"/>
        <n v="13143"/>
        <n v="13144"/>
        <n v="13145"/>
        <n v="13146"/>
        <n v="13147"/>
        <n v="13148"/>
        <n v="13149"/>
        <n v="13150"/>
        <n v="13151"/>
        <n v="13152"/>
        <n v="13153"/>
        <n v="13154"/>
        <n v="13155"/>
        <n v="13156"/>
        <n v="13157"/>
        <n v="13158"/>
        <n v="13159"/>
        <n v="13160"/>
        <n v="13161"/>
        <n v="14062"/>
        <n v="14063"/>
        <n v="14064"/>
        <n v="14065"/>
        <n v="14066"/>
        <n v="14067"/>
        <n v="14068"/>
        <n v="14069"/>
        <n v="14070"/>
        <n v="14071"/>
        <n v="14072"/>
        <n v="14073"/>
        <n v="14074"/>
        <n v="14075"/>
        <n v="14076"/>
        <n v="14077"/>
        <n v="14078"/>
        <n v="14079"/>
        <n v="14080"/>
        <n v="14081"/>
        <n v="14082"/>
        <n v="14083"/>
        <n v="14084"/>
        <n v="14085"/>
        <n v="14086"/>
        <n v="14087"/>
        <n v="14088"/>
        <n v="14089"/>
        <n v="14090"/>
        <n v="14091"/>
        <n v="14092"/>
        <n v="14093"/>
        <n v="14094"/>
        <n v="14095"/>
        <n v="14096"/>
        <n v="14097"/>
        <n v="14098"/>
        <n v="14099"/>
        <n v="14100"/>
        <n v="14101"/>
        <n v="14102"/>
        <n v="14103"/>
        <n v="14104"/>
        <n v="14105"/>
        <n v="14106"/>
        <n v="14107"/>
        <n v="14108"/>
        <n v="14109"/>
        <n v="14110"/>
        <n v="14111"/>
        <n v="14112"/>
        <n v="14113"/>
        <n v="14114"/>
        <n v="14115"/>
        <n v="14116"/>
        <n v="14117"/>
        <n v="14118"/>
        <n v="14119"/>
        <n v="14120"/>
        <n v="14121"/>
        <n v="5448"/>
        <n v="5449"/>
        <n v="5450"/>
        <n v="5451"/>
        <n v="5452"/>
        <n v="5453"/>
        <n v="5454"/>
        <n v="5455"/>
        <n v="5456"/>
        <n v="5457"/>
        <n v="5458"/>
        <n v="5459"/>
        <n v="5460"/>
        <n v="5461"/>
        <n v="5462"/>
        <n v="5463"/>
        <n v="5464"/>
        <n v="5465"/>
        <n v="5466"/>
        <n v="5467"/>
        <n v="5468"/>
        <n v="5469"/>
        <n v="5470"/>
        <n v="5471"/>
        <n v="5472"/>
        <n v="5473"/>
        <n v="5474"/>
        <n v="5475"/>
        <n v="5476"/>
        <n v="5477"/>
        <n v="5478"/>
        <n v="5479"/>
        <n v="5480"/>
        <n v="5481"/>
        <n v="5482"/>
        <n v="5483"/>
        <n v="5484"/>
        <n v="5485"/>
        <n v="5486"/>
        <n v="5487"/>
        <n v="5488"/>
        <n v="5489"/>
        <n v="5490"/>
        <n v="5491"/>
        <n v="5492"/>
        <n v="5493"/>
        <n v="5494"/>
        <n v="5495"/>
        <n v="5496"/>
        <n v="5497"/>
        <n v="5498"/>
        <n v="5499"/>
        <n v="5500"/>
        <n v="5501"/>
        <n v="5502"/>
        <n v="5503"/>
        <n v="5504"/>
        <n v="5505"/>
        <n v="5506"/>
        <n v="5507"/>
        <n v="5508"/>
        <n v="6415"/>
        <n v="6416"/>
        <n v="6417"/>
        <n v="6418"/>
        <n v="6419"/>
        <n v="6420"/>
        <n v="6421"/>
        <n v="6422"/>
        <n v="6423"/>
        <n v="6424"/>
        <n v="6425"/>
        <n v="6426"/>
        <n v="6427"/>
        <n v="6428"/>
        <n v="6429"/>
        <n v="6430"/>
        <n v="6431"/>
        <n v="6432"/>
        <n v="6433"/>
        <n v="6434"/>
        <n v="6435"/>
        <n v="6436"/>
        <n v="6437"/>
        <n v="6438"/>
        <n v="6439"/>
        <n v="6440"/>
        <n v="6441"/>
        <n v="6442"/>
        <n v="6443"/>
        <n v="6444"/>
        <n v="6445"/>
        <n v="6446"/>
        <n v="6447"/>
        <n v="6448"/>
        <n v="6449"/>
        <n v="6450"/>
        <n v="6451"/>
        <n v="6452"/>
        <n v="6453"/>
        <n v="6454"/>
        <n v="6455"/>
        <n v="6456"/>
        <n v="6457"/>
        <n v="6458"/>
        <n v="6459"/>
        <n v="6460"/>
        <n v="6461"/>
        <n v="6462"/>
        <n v="6463"/>
        <n v="6464"/>
        <n v="6465"/>
        <n v="6466"/>
        <n v="6467"/>
        <n v="6468"/>
        <n v="6469"/>
        <n v="6470"/>
        <n v="6471"/>
        <n v="6472"/>
        <n v="6473"/>
        <n v="6474"/>
        <n v="6475"/>
        <n v="7385"/>
        <n v="7386"/>
        <n v="7387"/>
        <n v="7388"/>
        <n v="7389"/>
        <n v="7390"/>
        <n v="7391"/>
        <n v="7392"/>
        <n v="7393"/>
        <n v="7394"/>
        <n v="7395"/>
        <n v="7396"/>
        <n v="7397"/>
        <n v="7398"/>
        <n v="7399"/>
        <n v="7400"/>
        <n v="7401"/>
        <n v="7402"/>
        <n v="7403"/>
        <n v="7404"/>
        <n v="7405"/>
        <n v="7406"/>
        <n v="7407"/>
        <n v="7408"/>
        <n v="7409"/>
        <n v="7410"/>
        <n v="7411"/>
        <n v="7412"/>
        <n v="7413"/>
        <n v="7414"/>
        <n v="7415"/>
        <n v="7416"/>
        <n v="7417"/>
        <n v="7418"/>
        <n v="7419"/>
        <n v="7420"/>
        <n v="7421"/>
        <n v="7422"/>
        <n v="7423"/>
        <n v="7424"/>
        <n v="7425"/>
        <n v="7426"/>
        <n v="7427"/>
        <n v="7428"/>
        <n v="7429"/>
        <n v="7430"/>
        <n v="7431"/>
        <n v="7432"/>
        <n v="7433"/>
        <n v="7434"/>
        <n v="7435"/>
        <n v="7436"/>
        <n v="7437"/>
        <n v="7438"/>
        <n v="7439"/>
        <n v="7440"/>
        <n v="7441"/>
        <n v="7442"/>
        <n v="7443"/>
        <n v="7444"/>
        <n v="8353"/>
        <n v="8354"/>
        <n v="8355"/>
        <n v="8356"/>
        <n v="8357"/>
        <n v="8358"/>
        <n v="8359"/>
        <n v="8360"/>
        <n v="8361"/>
        <n v="8362"/>
        <n v="8363"/>
        <n v="8364"/>
        <n v="8365"/>
        <n v="8366"/>
        <n v="8367"/>
        <n v="8368"/>
        <n v="8369"/>
        <n v="8370"/>
        <n v="8371"/>
        <n v="8372"/>
        <n v="8373"/>
        <n v="8374"/>
        <n v="8375"/>
        <n v="8376"/>
        <n v="8377"/>
        <n v="8378"/>
        <n v="8379"/>
        <n v="8380"/>
        <n v="8381"/>
        <n v="8382"/>
        <n v="8383"/>
        <n v="8384"/>
        <n v="8385"/>
        <n v="8386"/>
        <n v="8387"/>
        <n v="8388"/>
        <n v="8389"/>
        <n v="8390"/>
        <n v="8391"/>
        <n v="8392"/>
        <n v="8393"/>
        <n v="8394"/>
        <n v="8395"/>
        <n v="8396"/>
        <n v="8397"/>
        <n v="8398"/>
        <n v="8399"/>
        <n v="8400"/>
        <n v="8401"/>
        <n v="8402"/>
        <n v="8403"/>
        <n v="8404"/>
        <n v="8405"/>
        <n v="8406"/>
        <n v="8407"/>
        <n v="8408"/>
        <n v="8409"/>
        <n v="8410"/>
        <n v="8411"/>
        <n v="8412"/>
        <n v="9319"/>
        <n v="9320"/>
        <n v="9321"/>
        <n v="9322"/>
        <n v="9323"/>
        <n v="9324"/>
        <n v="9325"/>
        <n v="9326"/>
        <n v="9327"/>
        <n v="9328"/>
        <n v="9329"/>
        <n v="9330"/>
        <n v="9331"/>
        <n v="9332"/>
        <n v="9333"/>
        <n v="9334"/>
        <n v="9335"/>
        <n v="9336"/>
        <n v="9337"/>
        <n v="9338"/>
        <n v="9339"/>
        <n v="9340"/>
        <n v="9341"/>
        <n v="9342"/>
        <n v="9343"/>
        <n v="9344"/>
        <n v="9345"/>
        <n v="9346"/>
        <n v="9347"/>
        <n v="9348"/>
        <n v="9349"/>
        <n v="9350"/>
        <n v="9351"/>
        <n v="9352"/>
        <n v="9353"/>
        <n v="9354"/>
        <n v="9355"/>
        <n v="9356"/>
        <n v="9357"/>
        <n v="9358"/>
        <n v="9359"/>
        <n v="9360"/>
        <n v="9361"/>
        <n v="9362"/>
        <n v="9363"/>
        <n v="9364"/>
        <n v="9365"/>
        <n v="9366"/>
        <n v="9367"/>
        <n v="9368"/>
        <n v="9369"/>
        <n v="9370"/>
        <n v="9371"/>
        <n v="9372"/>
        <n v="9373"/>
        <n v="9374"/>
        <n v="9375"/>
        <n v="9376"/>
        <n v="9377"/>
        <n v="9378"/>
        <n v="10282"/>
        <n v="10283"/>
        <n v="10284"/>
        <n v="10285"/>
        <n v="10286"/>
        <n v="10287"/>
        <n v="10288"/>
        <n v="10289"/>
        <n v="10290"/>
        <n v="10291"/>
        <n v="10292"/>
        <n v="10293"/>
        <n v="10294"/>
        <n v="10295"/>
        <n v="10296"/>
        <n v="10297"/>
        <n v="10298"/>
        <n v="10299"/>
        <n v="10300"/>
        <n v="10301"/>
        <n v="10302"/>
        <n v="10303"/>
        <n v="10304"/>
        <n v="10305"/>
        <n v="10306"/>
        <n v="10307"/>
        <n v="10308"/>
        <n v="10309"/>
        <n v="10310"/>
        <n v="10311"/>
        <n v="10312"/>
        <n v="10313"/>
        <n v="10314"/>
        <n v="10315"/>
        <n v="10316"/>
        <n v="10317"/>
        <n v="10318"/>
        <n v="10319"/>
        <n v="10320"/>
        <n v="10321"/>
        <n v="10322"/>
        <n v="10323"/>
        <n v="10324"/>
        <n v="10325"/>
        <n v="10326"/>
        <n v="10327"/>
        <n v="10328"/>
        <n v="10329"/>
        <n v="10330"/>
        <n v="10331"/>
        <n v="10332"/>
        <n v="10333"/>
        <n v="10334"/>
        <n v="10335"/>
        <n v="10336"/>
        <n v="10337"/>
        <n v="10338"/>
        <n v="10339"/>
        <n v="10340"/>
        <n v="10341"/>
        <n v="11242"/>
        <n v="11243"/>
        <n v="11244"/>
        <n v="11245"/>
        <n v="11246"/>
        <n v="11247"/>
        <n v="11248"/>
        <n v="11249"/>
        <n v="11250"/>
        <n v="11251"/>
        <n v="11252"/>
        <n v="11253"/>
        <n v="11254"/>
        <n v="11255"/>
        <n v="11256"/>
        <n v="11257"/>
        <n v="11258"/>
        <n v="11259"/>
        <n v="11260"/>
        <n v="11261"/>
        <n v="11262"/>
        <n v="11263"/>
        <n v="11264"/>
        <n v="11265"/>
        <n v="11266"/>
        <n v="11267"/>
        <n v="11268"/>
        <n v="11269"/>
        <n v="11270"/>
        <n v="11271"/>
        <n v="11272"/>
        <n v="11273"/>
        <n v="11274"/>
        <n v="11275"/>
        <n v="11276"/>
        <n v="11277"/>
        <n v="11278"/>
        <n v="11279"/>
        <n v="11280"/>
        <n v="11281"/>
        <n v="11282"/>
        <n v="11283"/>
        <n v="11284"/>
        <n v="11285"/>
        <n v="11286"/>
        <n v="11287"/>
        <n v="11288"/>
        <n v="11289"/>
        <n v="11290"/>
        <n v="11291"/>
        <n v="11292"/>
        <n v="11293"/>
        <n v="11294"/>
        <n v="11295"/>
        <n v="11296"/>
        <n v="11297"/>
        <n v="11298"/>
        <n v="11299"/>
        <n v="11300"/>
        <n v="11301"/>
        <n v="12202"/>
        <n v="12203"/>
        <n v="12204"/>
        <n v="12205"/>
        <n v="12206"/>
        <n v="12207"/>
        <n v="12208"/>
        <n v="12209"/>
        <n v="12210"/>
        <n v="12211"/>
        <n v="12212"/>
        <n v="12213"/>
        <n v="12214"/>
        <n v="12215"/>
        <n v="12216"/>
        <n v="12217"/>
        <n v="12218"/>
        <n v="12219"/>
        <n v="12220"/>
        <n v="12221"/>
        <n v="12222"/>
        <n v="12223"/>
        <n v="12224"/>
        <n v="12225"/>
        <n v="12226"/>
        <n v="12227"/>
        <n v="12228"/>
        <n v="12229"/>
        <n v="12230"/>
        <n v="12231"/>
        <n v="12232"/>
        <n v="12233"/>
        <n v="12234"/>
        <n v="12235"/>
        <n v="12236"/>
        <n v="12237"/>
        <n v="12238"/>
        <n v="12239"/>
        <n v="12240"/>
        <n v="12241"/>
        <n v="12242"/>
        <n v="12243"/>
        <n v="12244"/>
        <n v="12245"/>
        <n v="12246"/>
        <n v="12247"/>
        <n v="12248"/>
        <n v="12249"/>
        <n v="12250"/>
        <n v="12251"/>
        <n v="12252"/>
        <n v="12253"/>
        <n v="12254"/>
        <n v="12255"/>
        <n v="12256"/>
        <n v="12257"/>
        <n v="12258"/>
        <n v="12259"/>
        <n v="12260"/>
        <n v="12261"/>
        <n v="13162"/>
        <n v="13163"/>
        <n v="13164"/>
        <n v="13165"/>
        <n v="13166"/>
        <n v="13167"/>
        <n v="13168"/>
        <n v="13169"/>
        <n v="13170"/>
        <n v="13171"/>
        <n v="13172"/>
        <n v="13173"/>
        <n v="13174"/>
        <n v="13175"/>
        <n v="13176"/>
        <n v="13177"/>
        <n v="13178"/>
        <n v="13179"/>
        <n v="13180"/>
        <n v="13181"/>
        <n v="13182"/>
        <n v="13183"/>
        <n v="13184"/>
        <n v="13185"/>
        <n v="13186"/>
        <n v="13187"/>
        <n v="13188"/>
        <n v="13189"/>
        <n v="13190"/>
        <n v="13191"/>
        <n v="13192"/>
        <n v="13193"/>
        <n v="13194"/>
        <n v="13195"/>
        <n v="13196"/>
        <n v="13197"/>
        <n v="13198"/>
        <n v="13199"/>
        <n v="13200"/>
        <n v="13201"/>
        <n v="13202"/>
        <n v="13203"/>
        <n v="13204"/>
        <n v="13205"/>
        <n v="13206"/>
        <n v="13207"/>
        <n v="13208"/>
        <n v="13209"/>
        <n v="13210"/>
        <n v="13211"/>
        <n v="13212"/>
        <n v="13213"/>
        <n v="13214"/>
        <n v="13215"/>
        <n v="13216"/>
        <n v="13217"/>
        <n v="13218"/>
        <n v="13219"/>
        <n v="13220"/>
        <n v="13221"/>
        <n v="14122"/>
        <n v="14123"/>
        <n v="14124"/>
        <n v="14125"/>
        <n v="14126"/>
        <n v="14127"/>
        <n v="14128"/>
        <n v="14129"/>
        <n v="14130"/>
        <n v="14131"/>
        <n v="14132"/>
        <n v="14133"/>
        <n v="14134"/>
        <n v="14135"/>
        <n v="14136"/>
        <n v="14137"/>
        <n v="14138"/>
        <n v="14139"/>
        <n v="14140"/>
        <n v="14141"/>
        <n v="14142"/>
        <n v="14143"/>
        <n v="14144"/>
        <n v="14145"/>
        <n v="14146"/>
        <n v="14147"/>
        <n v="14148"/>
        <n v="14149"/>
        <n v="14150"/>
        <n v="14151"/>
        <n v="14152"/>
        <n v="14153"/>
        <n v="14154"/>
        <n v="14155"/>
        <n v="14156"/>
        <n v="14157"/>
        <n v="14158"/>
        <n v="14159"/>
        <n v="14160"/>
        <n v="14161"/>
        <n v="14162"/>
        <n v="14163"/>
        <n v="14164"/>
        <n v="14165"/>
        <n v="14166"/>
        <n v="14167"/>
        <n v="14168"/>
        <n v="14169"/>
        <n v="14170"/>
        <n v="14171"/>
        <n v="14172"/>
        <n v="14173"/>
        <n v="14174"/>
        <n v="14175"/>
        <n v="14176"/>
        <n v="14177"/>
        <n v="14178"/>
        <n v="14179"/>
        <n v="14180"/>
        <n v="14181"/>
        <n v="5509"/>
        <n v="5510"/>
        <n v="5511"/>
        <n v="5512"/>
        <n v="5513"/>
        <n v="5514"/>
        <n v="5515"/>
        <n v="5516"/>
        <n v="5517"/>
        <n v="5518"/>
        <n v="5519"/>
        <n v="5520"/>
        <n v="5521"/>
        <n v="5522"/>
        <n v="5523"/>
        <n v="5524"/>
        <n v="5525"/>
        <n v="5526"/>
        <n v="5527"/>
        <n v="5528"/>
        <n v="5529"/>
        <n v="5530"/>
        <n v="5531"/>
        <n v="5532"/>
        <n v="5533"/>
        <n v="5534"/>
        <n v="5535"/>
        <n v="5536"/>
        <n v="5537"/>
        <n v="5538"/>
        <n v="5539"/>
        <n v="5540"/>
        <n v="5541"/>
        <n v="5542"/>
        <n v="5543"/>
        <n v="5544"/>
        <n v="5545"/>
        <n v="5546"/>
        <n v="5547"/>
        <n v="5548"/>
        <n v="5549"/>
        <n v="5550"/>
        <n v="5551"/>
        <n v="5552"/>
        <n v="5553"/>
        <n v="5554"/>
        <n v="5555"/>
        <n v="5556"/>
        <n v="5557"/>
        <n v="5558"/>
        <n v="5559"/>
        <n v="5560"/>
        <n v="5561"/>
        <n v="5562"/>
        <n v="5563"/>
        <n v="5564"/>
        <n v="5565"/>
        <n v="5566"/>
        <n v="5567"/>
        <n v="5568"/>
        <n v="5569"/>
        <n v="6476"/>
        <n v="6477"/>
        <n v="6478"/>
        <n v="6479"/>
        <n v="6480"/>
        <n v="6481"/>
        <n v="6482"/>
        <n v="6483"/>
        <n v="6484"/>
        <n v="6485"/>
        <n v="6486"/>
        <n v="6487"/>
        <n v="6488"/>
        <n v="6489"/>
        <n v="6490"/>
        <n v="6491"/>
        <n v="6492"/>
        <n v="6493"/>
        <n v="6494"/>
        <n v="6495"/>
        <n v="6496"/>
        <n v="6497"/>
        <n v="6498"/>
        <n v="6499"/>
        <n v="6500"/>
        <n v="6501"/>
        <n v="6502"/>
        <n v="6503"/>
        <n v="6504"/>
        <n v="6505"/>
        <n v="6506"/>
        <n v="6507"/>
        <n v="6508"/>
        <n v="6509"/>
        <n v="6510"/>
        <n v="6511"/>
        <n v="6512"/>
        <n v="6513"/>
        <n v="6514"/>
        <n v="6515"/>
        <n v="6516"/>
        <n v="6517"/>
        <n v="6518"/>
        <n v="6519"/>
        <n v="6520"/>
        <n v="6521"/>
        <n v="6522"/>
        <n v="6523"/>
        <n v="6524"/>
        <n v="6525"/>
        <n v="6526"/>
        <n v="6527"/>
        <n v="6528"/>
        <n v="6529"/>
        <n v="6530"/>
        <n v="6531"/>
        <n v="6532"/>
        <n v="6533"/>
        <n v="6534"/>
        <n v="6535"/>
        <n v="6536"/>
        <n v="7445"/>
        <n v="7446"/>
        <n v="7447"/>
        <n v="7448"/>
        <n v="7449"/>
        <n v="7450"/>
        <n v="7451"/>
        <n v="7452"/>
        <n v="7453"/>
        <n v="7454"/>
        <n v="7455"/>
        <n v="7456"/>
        <n v="7457"/>
        <n v="7458"/>
        <n v="7459"/>
        <n v="7460"/>
        <n v="7461"/>
        <n v="7462"/>
        <n v="7463"/>
        <n v="7464"/>
        <n v="7465"/>
        <n v="7466"/>
        <n v="7467"/>
        <n v="7468"/>
        <n v="7469"/>
        <n v="7470"/>
        <n v="7471"/>
        <n v="7472"/>
        <n v="7473"/>
        <n v="7474"/>
        <n v="7475"/>
        <n v="7476"/>
        <n v="7477"/>
        <n v="7478"/>
        <n v="7479"/>
        <n v="7480"/>
        <n v="7481"/>
        <n v="7482"/>
        <n v="7483"/>
        <n v="7484"/>
        <n v="7485"/>
        <n v="7486"/>
        <n v="7487"/>
        <n v="7488"/>
        <n v="7489"/>
        <n v="7490"/>
        <n v="7491"/>
        <n v="7492"/>
        <n v="7493"/>
        <n v="7494"/>
        <n v="7495"/>
        <n v="7496"/>
        <n v="7497"/>
        <n v="7498"/>
        <n v="7499"/>
        <n v="7500"/>
        <n v="7501"/>
        <n v="7502"/>
        <n v="7503"/>
        <n v="7504"/>
        <n v="7505"/>
        <n v="8413"/>
        <n v="8414"/>
        <n v="8415"/>
        <n v="8416"/>
        <n v="8417"/>
        <n v="8418"/>
        <n v="8419"/>
        <n v="8420"/>
        <n v="8421"/>
        <n v="8422"/>
        <n v="8423"/>
        <n v="8424"/>
        <n v="8425"/>
        <n v="8426"/>
        <n v="8427"/>
        <n v="8428"/>
        <n v="8429"/>
        <n v="8430"/>
        <n v="8431"/>
        <n v="8432"/>
        <n v="8433"/>
        <n v="8434"/>
        <n v="8435"/>
        <n v="8436"/>
        <n v="8437"/>
        <n v="8438"/>
        <n v="8439"/>
        <n v="8440"/>
        <n v="8441"/>
        <n v="8442"/>
        <n v="8443"/>
        <n v="8444"/>
        <n v="8445"/>
        <n v="8446"/>
        <n v="8447"/>
        <n v="8448"/>
        <n v="8449"/>
        <n v="8450"/>
        <n v="8451"/>
        <n v="8452"/>
        <n v="8453"/>
        <n v="8454"/>
        <n v="8455"/>
        <n v="8456"/>
        <n v="8457"/>
        <n v="8458"/>
        <n v="8459"/>
        <n v="8460"/>
        <n v="8461"/>
        <n v="8462"/>
        <n v="8463"/>
        <n v="8464"/>
        <n v="8465"/>
        <n v="8466"/>
        <n v="8467"/>
        <n v="8468"/>
        <n v="8469"/>
        <n v="8470"/>
        <n v="8471"/>
        <n v="8472"/>
        <n v="8473"/>
        <n v="9379"/>
        <n v="9380"/>
        <n v="9381"/>
        <n v="9382"/>
        <n v="9383"/>
        <n v="9384"/>
        <n v="9385"/>
        <n v="9386"/>
        <n v="9387"/>
        <n v="9388"/>
        <n v="9389"/>
        <n v="9390"/>
        <n v="9391"/>
        <n v="9392"/>
        <n v="9393"/>
        <n v="9394"/>
        <n v="9395"/>
        <n v="9396"/>
        <n v="9397"/>
        <n v="9398"/>
        <n v="9399"/>
        <n v="9400"/>
        <n v="9401"/>
        <n v="9402"/>
        <n v="9403"/>
        <n v="9404"/>
        <n v="9405"/>
        <n v="9406"/>
        <n v="9407"/>
        <n v="9408"/>
        <n v="9409"/>
        <n v="9410"/>
        <n v="9411"/>
        <n v="9412"/>
        <n v="9413"/>
        <n v="9414"/>
        <n v="9415"/>
        <n v="9416"/>
        <n v="9417"/>
        <n v="9418"/>
        <n v="9419"/>
        <n v="9420"/>
        <n v="9421"/>
        <n v="9422"/>
        <n v="9423"/>
        <n v="9424"/>
        <n v="9425"/>
        <n v="9426"/>
        <n v="9427"/>
        <n v="9428"/>
        <n v="9429"/>
        <n v="9430"/>
        <n v="9431"/>
        <n v="9432"/>
        <n v="9433"/>
        <n v="9434"/>
        <n v="9435"/>
        <n v="9436"/>
        <n v="9437"/>
        <n v="9438"/>
        <n v="9439"/>
        <n v="10342"/>
        <n v="10343"/>
        <n v="10344"/>
        <n v="10345"/>
        <n v="10346"/>
        <n v="10347"/>
        <n v="10348"/>
        <n v="10349"/>
        <n v="10350"/>
        <n v="10351"/>
        <n v="10352"/>
        <n v="10353"/>
        <n v="10354"/>
        <n v="10355"/>
        <n v="10356"/>
        <n v="10357"/>
        <n v="10358"/>
        <n v="10359"/>
        <n v="10360"/>
        <n v="10361"/>
        <n v="10362"/>
        <n v="10363"/>
        <n v="10364"/>
        <n v="10365"/>
        <n v="10366"/>
        <n v="10367"/>
        <n v="10368"/>
        <n v="10369"/>
        <n v="10370"/>
        <n v="10371"/>
        <n v="10372"/>
        <n v="10373"/>
        <n v="10374"/>
        <n v="10375"/>
        <n v="10376"/>
        <n v="10377"/>
        <n v="10378"/>
        <n v="10379"/>
        <n v="10380"/>
        <n v="10381"/>
        <n v="10382"/>
        <n v="10383"/>
        <n v="10384"/>
        <n v="10385"/>
        <n v="10386"/>
        <n v="10387"/>
        <n v="10388"/>
        <n v="10389"/>
        <n v="10390"/>
        <n v="10391"/>
        <n v="10392"/>
        <n v="10393"/>
        <n v="10394"/>
        <n v="10395"/>
        <n v="10396"/>
        <n v="10397"/>
        <n v="10398"/>
        <n v="10399"/>
        <n v="10400"/>
        <n v="10401"/>
        <n v="11302"/>
        <n v="11303"/>
        <n v="11304"/>
        <n v="11305"/>
        <n v="11306"/>
        <n v="11307"/>
        <n v="11308"/>
        <n v="11309"/>
        <n v="11310"/>
        <n v="11311"/>
        <n v="11312"/>
        <n v="11313"/>
        <n v="11314"/>
        <n v="11315"/>
        <n v="11316"/>
        <n v="11317"/>
        <n v="11318"/>
        <n v="11319"/>
        <n v="11320"/>
        <n v="11321"/>
        <n v="11322"/>
        <n v="11323"/>
        <n v="11324"/>
        <n v="11325"/>
        <n v="11326"/>
        <n v="11327"/>
        <n v="11328"/>
        <n v="11329"/>
        <n v="11330"/>
        <n v="11331"/>
        <n v="11332"/>
        <n v="11333"/>
        <n v="11334"/>
        <n v="11335"/>
        <n v="11336"/>
        <n v="11337"/>
        <n v="11338"/>
        <n v="11339"/>
        <n v="11340"/>
        <n v="11341"/>
        <n v="11342"/>
        <n v="11343"/>
        <n v="11344"/>
        <n v="11345"/>
        <n v="11346"/>
        <n v="11347"/>
        <n v="11348"/>
        <n v="11349"/>
        <n v="11350"/>
        <n v="11351"/>
        <n v="11352"/>
        <n v="11353"/>
        <n v="11354"/>
        <n v="11355"/>
        <n v="11356"/>
        <n v="11357"/>
        <n v="11358"/>
        <n v="11359"/>
        <n v="11360"/>
        <n v="11361"/>
        <n v="12262"/>
        <n v="12263"/>
        <n v="12264"/>
        <n v="12265"/>
        <n v="12266"/>
        <n v="12267"/>
        <n v="12268"/>
        <n v="12269"/>
        <n v="12270"/>
        <n v="12271"/>
        <n v="12272"/>
        <n v="12273"/>
        <n v="12274"/>
        <n v="12275"/>
        <n v="12276"/>
        <n v="12277"/>
        <n v="12278"/>
        <n v="12279"/>
        <n v="12280"/>
        <n v="12281"/>
        <n v="12282"/>
        <n v="12283"/>
        <n v="12284"/>
        <n v="12285"/>
        <n v="12286"/>
        <n v="12287"/>
        <n v="12288"/>
        <n v="12289"/>
        <n v="12290"/>
        <n v="12291"/>
        <n v="12292"/>
        <n v="12293"/>
        <n v="12294"/>
        <n v="12295"/>
        <n v="12296"/>
        <n v="12297"/>
        <n v="12298"/>
        <n v="12299"/>
        <n v="12300"/>
        <n v="12301"/>
        <n v="12302"/>
        <n v="12303"/>
        <n v="12304"/>
        <n v="12305"/>
        <n v="12306"/>
        <n v="12307"/>
        <n v="12308"/>
        <n v="12309"/>
        <n v="12310"/>
        <n v="12311"/>
        <n v="12312"/>
        <n v="12313"/>
        <n v="12314"/>
        <n v="12315"/>
        <n v="12316"/>
        <n v="12317"/>
        <n v="12318"/>
        <n v="12319"/>
        <n v="12320"/>
        <n v="12321"/>
        <n v="13222"/>
        <n v="13223"/>
        <n v="13224"/>
        <n v="13225"/>
        <n v="13226"/>
        <n v="13227"/>
        <n v="13228"/>
        <n v="13229"/>
        <n v="13230"/>
        <n v="13231"/>
        <n v="13232"/>
        <n v="13233"/>
        <n v="13234"/>
        <n v="13235"/>
        <n v="13236"/>
        <n v="13237"/>
        <n v="13238"/>
        <n v="13239"/>
        <n v="13240"/>
        <n v="13241"/>
        <n v="13242"/>
        <n v="13243"/>
        <n v="13244"/>
        <n v="13245"/>
        <n v="13246"/>
        <n v="13247"/>
        <n v="13248"/>
        <n v="13249"/>
        <n v="13250"/>
        <n v="13251"/>
        <n v="13252"/>
        <n v="13253"/>
        <n v="13254"/>
        <n v="13255"/>
        <n v="13256"/>
        <n v="13257"/>
        <n v="13258"/>
        <n v="13259"/>
        <n v="13260"/>
        <n v="13261"/>
        <n v="13262"/>
        <n v="13263"/>
        <n v="13264"/>
        <n v="13265"/>
        <n v="13266"/>
        <n v="13267"/>
        <n v="13268"/>
        <n v="13269"/>
        <n v="13270"/>
        <n v="13271"/>
        <n v="13272"/>
        <n v="13273"/>
        <n v="13274"/>
        <n v="13275"/>
        <n v="13276"/>
        <n v="13277"/>
        <n v="13278"/>
        <n v="13279"/>
        <n v="13280"/>
        <n v="13281"/>
        <n v="14182"/>
        <n v="14183"/>
        <n v="14184"/>
        <n v="14185"/>
        <n v="14186"/>
        <n v="14187"/>
        <n v="14188"/>
        <n v="14189"/>
        <n v="14190"/>
        <n v="14191"/>
        <n v="14192"/>
        <n v="14193"/>
        <n v="14194"/>
        <n v="14195"/>
        <n v="14196"/>
        <n v="14197"/>
        <n v="14198"/>
        <n v="14199"/>
        <n v="14200"/>
        <n v="14201"/>
        <n v="14202"/>
        <n v="14203"/>
        <n v="14204"/>
        <n v="14205"/>
        <n v="14206"/>
        <n v="14207"/>
        <n v="14208"/>
        <n v="14209"/>
        <n v="14210"/>
        <n v="14211"/>
        <n v="14212"/>
        <n v="14213"/>
        <n v="14214"/>
        <n v="14215"/>
        <n v="14216"/>
        <n v="14217"/>
        <n v="14218"/>
        <n v="14219"/>
        <n v="14220"/>
        <n v="14221"/>
        <n v="14222"/>
        <n v="14223"/>
        <n v="14224"/>
        <n v="14225"/>
        <n v="14226"/>
        <n v="14227"/>
        <n v="14228"/>
        <n v="14229"/>
        <n v="14230"/>
        <n v="14231"/>
        <n v="14232"/>
        <n v="14233"/>
        <n v="14234"/>
        <n v="14235"/>
        <n v="14236"/>
        <n v="14237"/>
        <n v="14238"/>
        <n v="14239"/>
        <n v="14240"/>
        <n v="14241"/>
      </sharedItems>
    </cacheField>
    <cacheField name="POSLABEL" numFmtId="0" sqlType="12">
      <sharedItems count="15534">
        <s v="2018-08-23-21:00"/>
        <s v="2018-08-23-22:00"/>
        <s v="2018-08-23-23:00"/>
        <s v="2018-08-24-00:00"/>
        <s v="2018-08-24-01:00"/>
        <s v="2018-08-24-02:00"/>
        <s v="2018-08-24-03:00"/>
        <s v="2018-08-24-04:00"/>
        <s v="2018-08-24-05:00"/>
        <s v="2018-08-24-06:00"/>
        <s v="2018-08-24-07:00"/>
        <s v="2018-08-24-08:00"/>
        <s v="2018-08-24-09:00"/>
        <s v="2018-08-24-10:00"/>
        <s v="2018-08-24-11:00"/>
        <s v="2018-08-24-12:00"/>
        <s v="2018-08-24-13:00"/>
        <s v="2018-08-24-14:00"/>
        <s v="2018-08-24-15:00"/>
        <s v="2018-08-24-16:00"/>
        <s v="2018-08-26-17:00"/>
        <s v="2018-08-26-18:00"/>
        <s v="2018-08-26-19:00"/>
        <s v="2018-08-26-20:00"/>
        <s v="2018-08-26-21:00"/>
        <s v="2018-08-26-22:00"/>
        <s v="2018-08-26-23:00"/>
        <s v="2018-08-27-00:00"/>
        <s v="2018-08-27-01:00"/>
        <s v="2018-08-27-02:00"/>
        <s v="2018-08-27-03:00"/>
        <s v="2018-08-27-04:00"/>
        <s v="2018-08-27-05:00"/>
        <s v="2018-08-27-06:00"/>
        <s v="2018-08-27-07:00"/>
        <s v="2018-08-27-08:00"/>
        <s v="2018-08-27-09:00"/>
        <s v="2018-08-27-10:00"/>
        <s v="2018-08-27-11:00"/>
        <s v="2018-08-27-12:00"/>
        <s v="2018-08-27-13:00"/>
        <s v="2018-08-27-14:00"/>
        <s v="2018-08-27-15:00"/>
        <s v="2018-08-27-16:00"/>
        <s v="2018-08-27-17:00"/>
        <s v="2018-08-27-18:00"/>
        <s v="2018-08-27-19:00"/>
        <s v="2018-08-27-20:00"/>
        <s v="2018-08-27-21:00"/>
        <s v="2018-08-27-22:00"/>
        <s v="2018-08-27-23:00"/>
        <s v="2018-08-28-00:00"/>
        <s v="2018-08-28-01:00"/>
        <s v="2018-08-28-02:00"/>
        <s v="2018-08-28-03:00"/>
        <s v="2018-08-28-04:00"/>
        <s v="2018-08-28-05:00"/>
        <s v="2018-08-28-06:00"/>
        <s v="2018-08-28-07:00"/>
        <s v="2018-08-28-08:00"/>
        <s v="2018-08-28-09:00"/>
        <s v="2018-08-28-10:00"/>
        <s v="2018-08-28-11:00"/>
        <s v="2018-08-28-12:00"/>
        <s v="2018-08-28-13:00"/>
        <s v="2018-08-28-14:00"/>
        <s v="2018-08-28-15:00"/>
        <s v="2018-08-28-16:00"/>
        <s v="2018-08-28-17:00"/>
        <s v="2018-08-28-18:00"/>
        <s v="2018-08-28-19:00"/>
        <s v="2018-08-28-20:00"/>
        <s v="2018-08-28-21:00"/>
        <s v="2018-08-28-22:00"/>
        <s v="2018-08-28-23:00"/>
        <s v="2018-08-29-00:00"/>
        <s v="2018-08-29-01:00"/>
        <s v="2018-08-29-02:00"/>
        <s v="2018-08-29-03:00"/>
        <s v="2018-08-29-04:00"/>
        <s v="2018-08-29-05:00"/>
        <s v="2018-08-29-06:00"/>
        <s v="2018-08-29-07:00"/>
        <s v="2018-08-29-08:00"/>
        <s v="2018-08-29-09:00"/>
        <s v="2018-08-29-10:00"/>
        <s v="2018-08-29-11:00"/>
        <s v="2018-08-29-12:00"/>
        <s v="2018-08-29-13:00"/>
        <s v="2018-08-29-14:00"/>
        <s v="2018-08-29-15:00"/>
        <s v="2018-08-29-16:00"/>
        <s v="2018-08-29-17:00"/>
        <s v="2018-08-29-18:00"/>
        <s v="2018-08-29-19:00"/>
        <s v="2018-08-29-20:00"/>
        <s v="2018-08-29-21:00"/>
        <s v="2018-08-29-22:00"/>
        <s v="2018-08-29-23:00"/>
        <s v="2018-08-30-00:00"/>
        <s v="2018-07-18-00:00"/>
        <s v="2018-07-18-01:00"/>
        <s v="2018-07-18-02:00"/>
        <s v="2018-07-18-03:00"/>
        <s v="2018-07-18-04:00"/>
        <s v="2018-07-18-05:00"/>
        <s v="2018-07-18-06:00"/>
        <s v="2018-07-18-07:00"/>
        <s v="2018-07-18-08:00"/>
        <s v="2018-07-18-09:00"/>
        <s v="2018-07-18-10:00"/>
        <s v="2018-07-18-11:00"/>
        <s v="2018-07-18-12:00"/>
        <s v="2018-07-18-13:00"/>
        <s v="2018-07-18-14:00"/>
        <s v="2018-07-18-15:00"/>
        <s v="2018-07-18-16:00"/>
        <s v="2018-07-18-17:00"/>
        <s v="2018-07-18-18:00"/>
        <s v="2018-07-18-19:00"/>
        <s v="2018-07-18-20:00"/>
        <s v="2018-07-18-21:00"/>
        <s v="2018-07-18-22:00"/>
        <s v="2018-07-18-23:00"/>
        <s v="2018-07-19-00:00"/>
        <s v="2018-07-19-01:00"/>
        <s v="2018-07-19-02:00"/>
        <s v="2018-07-19-03:00"/>
        <s v="2018-07-19-04:00"/>
        <s v="2018-07-19-05:00"/>
        <s v="2018-07-19-06:00"/>
        <s v="2018-07-19-07:00"/>
        <s v="2018-07-19-08:00"/>
        <s v="2018-07-19-09:00"/>
        <s v="2018-07-19-10:00"/>
        <s v="2018-07-19-11:00"/>
        <s v="2018-07-19-12:00"/>
        <s v="2018-07-19-13:00"/>
        <s v="2018-07-19-14:00"/>
        <s v="2018-07-19-15:00"/>
        <s v="2018-07-19-16:00"/>
        <s v="2018-07-19-17:00"/>
        <s v="2018-07-19-18:00"/>
        <s v="2018-07-19-19:00"/>
        <s v="2018-07-19-20:00"/>
        <s v="2018-07-19-21:00"/>
        <s v="2018-07-19-22:00"/>
        <s v="2018-07-19-23:00"/>
        <s v="2018-07-20-00:00"/>
        <s v="2018-07-20-01:00"/>
        <s v="2018-07-20-02:00"/>
        <s v="2018-07-20-03:00"/>
        <s v="2018-07-20-04:00"/>
        <s v="2018-07-20-05:00"/>
        <s v="2018-07-20-06:00"/>
        <s v="2018-07-20-07:00"/>
        <s v="2018-07-20-08:00"/>
        <s v="2018-07-20-09:00"/>
        <s v="2018-07-20-10:00"/>
        <s v="2018-07-20-11:00"/>
        <s v="2018-07-20-12:00"/>
        <s v="2018-07-20-13:00"/>
        <s v="2018-07-20-14:00"/>
        <s v="2018-07-20-15:00"/>
        <s v="2018-07-20-16:00"/>
        <s v="2018-07-22-17:00"/>
        <s v="2018-07-22-18:00"/>
        <s v="2018-07-22-19:00"/>
        <s v="2018-07-22-20:00"/>
        <s v="2018-07-22-21:00"/>
        <s v="2018-07-22-22:00"/>
        <s v="2018-07-22-23:00"/>
        <s v="2018-07-23-00:00"/>
        <s v="2018-07-23-01:00"/>
        <s v="2018-07-23-02:00"/>
        <s v="2018-07-23-03:00"/>
        <s v="2018-07-23-04:00"/>
        <s v="2018-07-23-05:00"/>
        <s v="2018-07-23-06:00"/>
        <s v="2018-07-23-07:00"/>
        <s v="2018-07-23-08:00"/>
        <s v="2018-07-23-09:00"/>
        <s v="2018-07-23-10:00"/>
        <s v="2018-07-23-11:00"/>
        <s v="2018-07-23-12:00"/>
        <s v="2018-07-23-13:00"/>
        <s v="2018-07-23-14:00"/>
        <s v="2018-07-23-15:00"/>
        <s v="2018-07-23-16:00"/>
        <s v="2018-07-23-17:00"/>
        <s v="2018-07-23-18:00"/>
        <s v="2018-07-23-19:00"/>
        <s v="2018-07-23-20:00"/>
        <s v="2018-07-23-21:00"/>
        <s v="2018-07-23-22:00"/>
        <s v="2018-07-23-23:00"/>
        <s v="2018-07-24-00:00"/>
        <s v="2018-07-24-01:00"/>
        <s v="2018-07-24-02:00"/>
        <s v="2018-07-24-03:00"/>
        <s v="2018-07-24-04:00"/>
        <s v="2018-07-24-05:00"/>
        <s v="2018-07-24-06:00"/>
        <s v="2018-07-24-07:00"/>
        <s v="2018-07-24-08:00"/>
        <s v="2018-07-24-09:00"/>
        <s v="2018-07-24-10:00"/>
        <s v="2018-07-24-11:00"/>
        <s v="2018-07-24-12:00"/>
        <s v="2018-07-24-13:00"/>
        <s v="2018-07-24-14:00"/>
        <s v="2018-07-24-15:00"/>
        <s v="2018-07-24-16:00"/>
        <s v="2018-07-24-17:00"/>
        <s v="2018-07-24-18:00"/>
        <s v="2018-07-24-19:00"/>
        <s v="2018-07-24-20:00"/>
        <s v="2018-07-24-21:00"/>
        <s v="2018-07-24-22:00"/>
        <s v="2018-07-24-23:00"/>
        <s v="2018-07-25-00:00"/>
        <s v="2018-07-25-01:00"/>
        <s v="2018-07-25-02:00"/>
        <s v="2018-07-25-03:00"/>
        <s v="2018-07-25-04:00"/>
        <s v="2018-07-25-05:00"/>
        <s v="2018-07-25-06:00"/>
        <s v="2018-07-25-07:00"/>
        <s v="2018-07-25-08:00"/>
        <s v="2018-07-25-09:00"/>
        <s v="2018-07-25-10:00"/>
        <s v="2018-07-25-11:00"/>
        <s v="2018-07-25-12:00"/>
        <s v="2018-07-25-13:00"/>
        <s v="2018-07-25-14:00"/>
        <s v="2018-07-25-15:00"/>
        <s v="2018-07-25-16:00"/>
        <s v="2018-07-25-17:00"/>
        <s v="2018-07-25-18:00"/>
        <s v="2018-07-25-19:00"/>
        <s v="2018-07-25-20:00"/>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7-27-02:00"/>
        <s v="2018-07-27-03:00"/>
        <s v="2018-07-27-04:00"/>
        <s v="2018-07-27-05:00"/>
        <s v="2018-07-27-06:00"/>
        <s v="2018-07-27-07:00"/>
        <s v="2018-07-27-08:00"/>
        <s v="2018-07-27-09:00"/>
        <s v="2018-07-27-10:00"/>
        <s v="2018-07-27-11:00"/>
        <s v="2018-06-29-05:00"/>
        <s v="2018-06-29-06:00"/>
        <s v="2018-06-29-07:00"/>
        <s v="2018-06-29-08:00"/>
        <s v="2018-06-29-09:00"/>
        <s v="2018-06-29-10:00"/>
        <s v="2018-06-29-11:00"/>
        <s v="2018-06-29-12:00"/>
        <s v="2018-06-29-13:00"/>
        <s v="2018-06-29-14:00"/>
        <s v="2018-06-29-15:00"/>
        <s v="2018-06-29-16:00"/>
        <s v="2018-07-01-17:00"/>
        <s v="2018-07-01-18:00"/>
        <s v="2018-07-01-19:00"/>
        <s v="2018-07-01-20:00"/>
        <s v="2018-07-01-21:00"/>
        <s v="2018-07-01-22:00"/>
        <s v="2018-07-01-23:00"/>
        <s v="2018-07-02-00:00"/>
        <s v="2018-07-02-01:00"/>
        <s v="2018-07-02-02:00"/>
        <s v="2018-07-02-03:00"/>
        <s v="2018-07-02-04:00"/>
        <s v="2018-07-02-05:00"/>
        <s v="2018-07-02-06:00"/>
        <s v="2018-07-02-07:00"/>
        <s v="2018-07-02-08:00"/>
        <s v="2018-07-02-09:00"/>
        <s v="2018-07-02-10:00"/>
        <s v="2018-07-02-11:00"/>
        <s v="2018-07-02-12:00"/>
        <s v="2018-07-02-13:00"/>
        <s v="2018-07-02-14:00"/>
        <s v="2018-07-02-15:00"/>
        <s v="2018-07-02-16:00"/>
        <s v="2018-07-02-17:00"/>
        <s v="2018-07-02-18:00"/>
        <s v="2018-07-02-19:00"/>
        <s v="2018-07-02-20:00"/>
        <s v="2018-07-02-21:00"/>
        <s v="2018-07-02-22:00"/>
        <s v="2018-07-02-23:00"/>
        <s v="2018-07-03-00:00"/>
        <s v="2018-07-03-01:00"/>
        <s v="2018-07-03-02:00"/>
        <s v="2018-07-03-03:00"/>
        <s v="2018-07-03-04:00"/>
        <s v="2018-07-03-05:00"/>
        <s v="2018-07-03-06:00"/>
        <s v="2018-07-03-07:00"/>
        <s v="2018-07-03-08:00"/>
        <s v="2018-07-03-09:00"/>
        <s v="2018-07-03-10:00"/>
        <s v="2018-07-03-11:00"/>
        <s v="2018-07-03-12:00"/>
        <s v="2018-07-03-13:00"/>
        <s v="2018-07-03-14:00"/>
        <s v="2018-07-03-15:00"/>
        <s v="2018-07-03-16:00"/>
        <s v="2018-07-03-17:00"/>
        <s v="2018-07-03-18:00"/>
        <s v="2018-07-03-19:00"/>
        <s v="2018-07-03-20:00"/>
        <s v="2018-07-03-21:00"/>
        <s v="2018-07-03-22:00"/>
        <s v="2018-07-03-23:00"/>
        <s v="2018-07-04-00:00"/>
        <s v="2018-07-04-01:00"/>
        <s v="2018-07-04-02:00"/>
        <s v="2018-07-04-03:00"/>
        <s v="2018-07-04-04:00"/>
        <s v="2018-07-04-05:00"/>
        <s v="2018-07-27-12:00"/>
        <s v="2018-07-27-13:00"/>
        <s v="2018-07-27-14:00"/>
        <s v="2018-07-27-15:00"/>
        <s v="2018-07-27-16:00"/>
        <s v="2018-07-29-17:00"/>
        <s v="2018-07-29-18:00"/>
        <s v="2018-07-29-19:00"/>
        <s v="2018-07-29-20:00"/>
        <s v="2018-07-29-21:00"/>
        <s v="2018-07-29-22:00"/>
        <s v="2018-07-29-23:00"/>
        <s v="2018-07-30-00:00"/>
        <s v="2018-07-04-06:00"/>
        <s v="2018-07-04-07:00"/>
        <s v="2018-07-04-08:00"/>
        <s v="2018-07-04-09:00"/>
        <s v="2018-07-04-10:00"/>
        <s v="2018-07-04-11:00"/>
        <s v="2018-07-04-12:00"/>
        <s v="2018-07-04-13:00"/>
        <s v="2018-07-04-14:00"/>
        <s v="2018-07-04-15:00"/>
        <s v="2018-07-04-16:00"/>
        <s v="2018-07-04-17:00"/>
        <s v="2018-07-04-18:00"/>
        <s v="2018-07-04-19:00"/>
        <s v="2018-07-04-20:00"/>
        <s v="2018-07-04-21:00"/>
        <s v="2018-07-04-22:00"/>
        <s v="2018-07-04-23:00"/>
        <s v="2018-07-05-00:00"/>
        <s v="2018-07-05-01:00"/>
        <s v="2018-07-05-02:00"/>
        <s v="2018-07-05-03:00"/>
        <s v="2018-07-05-04:00"/>
        <s v="2018-07-05-05:00"/>
        <s v="2018-07-05-06:00"/>
        <s v="2018-07-05-07:00"/>
        <s v="2018-07-05-08:00"/>
        <s v="2018-07-05-09:00"/>
        <s v="2018-07-05-10:00"/>
        <s v="2018-07-05-11:00"/>
        <s v="2018-07-05-12:00"/>
        <s v="2018-07-05-13:00"/>
        <s v="2018-07-05-14:00"/>
        <s v="2018-07-05-15:00"/>
        <s v="2018-07-05-16:00"/>
        <s v="2018-07-05-17:00"/>
        <s v="2018-07-05-18:00"/>
        <s v="2018-07-05-19:00"/>
        <s v="2018-07-05-20:00"/>
        <s v="2018-07-05-21:00"/>
        <s v="2018-07-05-22:00"/>
        <s v="2018-07-05-23:00"/>
        <s v="2018-07-06-00:00"/>
        <s v="2018-07-06-01:00"/>
        <s v="2018-07-06-02:00"/>
        <s v="2018-07-06-03:00"/>
        <s v="2018-07-06-04:00"/>
        <s v="2018-07-06-05:00"/>
        <s v="2018-07-06-06:00"/>
        <s v="2018-07-06-07:00"/>
        <s v="2018-07-06-08:00"/>
        <s v="2018-07-06-09:00"/>
        <s v="2018-07-06-10:00"/>
        <s v="2018-07-06-11:00"/>
        <s v="2018-07-06-12:00"/>
        <s v="2018-07-06-13:00"/>
        <s v="2018-07-06-14:00"/>
        <s v="2018-07-06-15:00"/>
        <s v="2018-07-06-16:00"/>
        <s v="2018-07-08-17:00"/>
        <s v="2018-07-08-18:00"/>
        <s v="2018-07-08-19:00"/>
        <s v="2018-07-08-20:00"/>
        <s v="2018-07-08-21:00"/>
        <s v="2018-07-08-22:00"/>
        <s v="2018-07-08-23:00"/>
        <s v="2018-07-09-00:00"/>
        <s v="2018-07-09-01:00"/>
        <s v="2018-07-09-02:00"/>
        <s v="2018-07-09-03:00"/>
        <s v="2018-07-09-04:00"/>
        <s v="2018-07-09-05:00"/>
        <s v="2018-07-09-06:00"/>
        <s v="2018-07-09-07:00"/>
        <s v="2018-07-09-08:00"/>
        <s v="2018-07-09-09:00"/>
        <s v="2018-07-09-10:00"/>
        <s v="2018-07-09-11:00"/>
        <s v="2018-07-09-12:00"/>
        <s v="2018-07-09-13:00"/>
        <s v="2018-07-09-14:00"/>
        <s v="2018-07-09-15:00"/>
        <s v="2018-07-09-16:00"/>
        <s v="2018-07-09-17:00"/>
        <s v="2018-07-09-18:00"/>
        <s v="2018-07-09-19:00"/>
        <s v="2018-07-09-20:00"/>
        <s v="2018-07-09-21:00"/>
        <s v="2018-07-09-22:00"/>
        <s v="2018-07-09-23:00"/>
        <s v="2018-07-10-00:00"/>
        <s v="2018-07-10-01:00"/>
        <s v="2018-07-10-02:00"/>
        <s v="2018-07-10-03:00"/>
        <s v="2018-07-10-04:00"/>
        <s v="2018-07-10-05:00"/>
        <s v="2018-07-10-06:00"/>
        <s v="2018-07-10-07:00"/>
        <s v="2018-07-10-08:00"/>
        <s v="2018-07-10-09:00"/>
        <s v="2018-07-10-10:00"/>
        <s v="2018-07-10-11:00"/>
        <s v="2018-07-10-12:00"/>
        <s v="2018-07-10-13:00"/>
        <s v="2018-07-10-14:00"/>
        <s v="2018-07-10-15:00"/>
        <s v="2018-07-10-16:00"/>
        <s v="2018-07-10-17:00"/>
        <s v="2018-07-10-18:00"/>
        <s v="2018-07-10-19:00"/>
        <s v="2018-07-10-20:00"/>
        <s v="2018-07-10-21:00"/>
        <s v="2018-07-10-22:00"/>
        <s v="2018-07-10-23:00"/>
        <s v="2018-07-11-00:00"/>
        <s v="2018-07-11-01:00"/>
        <s v="2018-07-11-02:00"/>
        <s v="2018-07-11-03:00"/>
        <s v="2018-07-11-04:00"/>
        <s v="2018-07-11-05:00"/>
        <s v="2018-07-11-06:00"/>
        <s v="2018-07-11-07:00"/>
        <s v="2018-07-11-08:00"/>
        <s v="2018-07-11-09:00"/>
        <s v="2018-07-11-10:00"/>
        <s v="2018-07-11-11:00"/>
        <s v="2018-07-11-12:00"/>
        <s v="2018-07-11-13:00"/>
        <s v="2018-07-11-14:00"/>
        <s v="2018-07-11-15:00"/>
        <s v="2018-07-11-16:00"/>
        <s v="2018-07-11-17:00"/>
        <s v="2018-07-11-18:00"/>
        <s v="2018-07-11-19:00"/>
        <s v="2018-07-11-20:00"/>
        <s v="2018-07-11-21:00"/>
        <s v="2018-07-11-22:00"/>
        <s v="2018-07-11-23:00"/>
        <s v="2018-07-12-00:00"/>
        <s v="2018-07-12-01:00"/>
        <s v="2018-07-12-02:00"/>
        <s v="2018-07-12-03:00"/>
        <s v="2018-07-12-04:00"/>
        <s v="2018-07-12-05:00"/>
        <s v="2018-07-12-06:00"/>
        <s v="2018-07-12-07:00"/>
        <s v="2018-07-12-08:00"/>
        <s v="2018-07-12-09:00"/>
        <s v="2018-07-12-10:00"/>
        <s v="2018-07-12-11:00"/>
        <s v="2018-07-12-12:00"/>
        <s v="2018-07-12-13:00"/>
        <s v="2018-07-12-14:00"/>
        <s v="2018-07-12-15:00"/>
        <s v="2018-07-12-16:00"/>
        <s v="2018-07-12-17:00"/>
        <s v="2018-07-12-18:00"/>
        <s v="2018-07-12-19:00"/>
        <s v="2018-07-12-20:00"/>
        <s v="2018-07-12-21:00"/>
        <s v="2018-07-12-22:00"/>
        <s v="2018-07-12-23:00"/>
        <s v="2018-07-13-00:00"/>
        <s v="2018-07-13-01:00"/>
        <s v="2018-07-13-02:00"/>
        <s v="2018-07-13-03:00"/>
        <s v="2018-07-13-04:00"/>
        <s v="2018-07-13-05:00"/>
        <s v="2018-07-13-06:00"/>
        <s v="2018-07-13-07:00"/>
        <s v="2018-07-13-08:00"/>
        <s v="2018-07-13-09:00"/>
        <s v="2018-07-13-10:00"/>
        <s v="2018-07-13-11:00"/>
        <s v="2018-07-13-12:00"/>
        <s v="2018-07-13-13:00"/>
        <s v="2018-07-13-14:00"/>
        <s v="2018-07-13-15:00"/>
        <s v="2018-07-13-16:00"/>
        <s v="2018-07-15-17:00"/>
        <s v="2018-07-15-18:00"/>
        <s v="2018-07-15-19:00"/>
        <s v="2018-07-15-20:00"/>
        <s v="2018-07-15-21:00"/>
        <s v="2018-07-15-22:00"/>
        <s v="2018-07-15-23:00"/>
        <s v="2018-07-16-00:00"/>
        <s v="2018-07-16-01:00"/>
        <s v="2018-07-16-02:00"/>
        <s v="2018-07-16-03:00"/>
        <s v="2018-07-16-04:00"/>
        <s v="2018-07-16-05:00"/>
        <s v="2018-07-16-06:00"/>
        <s v="2018-07-16-07:00"/>
        <s v="2018-07-16-08:00"/>
        <s v="2018-07-16-09:00"/>
        <s v="2018-07-16-10:00"/>
        <s v="2018-07-16-11:00"/>
        <s v="2018-07-16-12:00"/>
        <s v="2018-07-16-13:00"/>
        <s v="2018-07-16-14:00"/>
        <s v="2018-07-16-15:00"/>
        <s v="2018-07-16-16:00"/>
        <s v="2018-07-16-17:00"/>
        <s v="2018-07-16-18:00"/>
        <s v="2018-07-16-19:00"/>
        <s v="2018-07-16-20:00"/>
        <s v="2018-07-16-21:00"/>
        <s v="2018-07-16-22:00"/>
        <s v="2018-07-16-23:00"/>
        <s v="2018-07-17-00:00"/>
        <s v="2018-07-17-01:00"/>
        <s v="2018-07-17-02:00"/>
        <s v="2018-07-17-03:00"/>
        <s v="2018-07-17-04:00"/>
        <s v="2018-07-17-05:00"/>
        <s v="2018-07-17-06:00"/>
        <s v="2018-07-17-07:00"/>
        <s v="2018-07-17-08:00"/>
        <s v="2018-07-17-09:00"/>
        <s v="2018-07-17-10:00"/>
        <s v="2018-07-17-11:00"/>
        <s v="2018-07-17-12:00"/>
        <s v="2018-07-17-13:00"/>
        <s v="2018-07-17-14:00"/>
        <s v="2018-07-17-15:00"/>
        <s v="2018-07-17-16:00"/>
        <s v="2018-07-17-17:00"/>
        <s v="2018-07-17-18:00"/>
        <s v="2018-07-17-19:00"/>
        <s v="2018-07-17-20:00"/>
        <s v="2018-07-17-21:00"/>
        <s v="2018-07-17-22:00"/>
        <s v="2018-07-17-23:00"/>
        <s v="2017-11-09-19:00"/>
        <s v="2017-11-09-20:00"/>
        <s v="2017-11-09-21:00"/>
        <s v="2017-11-09-22:00"/>
        <s v="2017-11-09-23:00"/>
        <s v="2017-11-10-00:00"/>
        <s v="2017-11-10-01:00"/>
        <s v="2017-11-10-02:00"/>
        <s v="2017-11-10-03:00"/>
        <s v="2017-11-10-04:00"/>
        <s v="2017-11-10-05:00"/>
        <s v="2017-11-10-06:00"/>
        <s v="2017-11-10-07:00"/>
        <s v="2017-11-10-08:00"/>
        <s v="2017-11-10-09:00"/>
        <s v="2017-11-10-10:00"/>
        <s v="2017-11-10-11:00"/>
        <s v="2017-11-10-12:00"/>
        <s v="2017-11-10-13:00"/>
        <s v="2017-11-10-14:00"/>
        <s v="2017-11-10-15:00"/>
        <s v="2017-11-10-16:00"/>
        <s v="2017-11-12-17:00"/>
        <s v="2017-11-12-18:00"/>
        <s v="2017-11-12-19:00"/>
        <s v="2017-11-12-20:00"/>
        <s v="2017-11-12-21:00"/>
        <s v="2017-11-12-22:00"/>
        <s v="2017-11-12-23:00"/>
        <s v="2017-11-13-00:00"/>
        <s v="2017-11-13-01:00"/>
        <s v="2017-11-13-02:00"/>
        <s v="2017-11-13-03:00"/>
        <s v="2017-11-13-04:00"/>
        <s v="2017-11-13-05:00"/>
        <s v="2017-11-13-06:00"/>
        <s v="2017-11-13-07:00"/>
        <s v="2017-11-13-08:00"/>
        <s v="2017-11-13-09:00"/>
        <s v="2017-11-13-10:00"/>
        <s v="2017-11-13-11:00"/>
        <s v="2017-11-13-12:00"/>
        <s v="2017-11-13-13:00"/>
        <s v="2017-11-13-14:00"/>
        <s v="2017-11-13-15:00"/>
        <s v="2017-11-13-16:00"/>
        <s v="2017-11-13-17:00"/>
        <s v="2017-11-13-18:00"/>
        <s v="2017-11-13-19:00"/>
        <s v="2017-11-13-20:00"/>
        <s v="2017-11-13-21:00"/>
        <s v="2017-11-13-22:00"/>
        <s v="2017-11-13-23:00"/>
        <s v="2017-11-14-00:00"/>
        <s v="2017-11-14-01:00"/>
        <s v="2017-11-14-02:00"/>
        <s v="2017-11-14-03:00"/>
        <s v="2017-11-14-04:00"/>
        <s v="2017-11-14-05:00"/>
        <s v="2017-11-14-06:00"/>
        <s v="2017-11-14-07:00"/>
        <s v="2017-11-14-08:00"/>
        <s v="2018-01-10-03:00"/>
        <s v="2018-01-10-04:00"/>
        <s v="2018-01-10-05:00"/>
        <s v="2018-01-10-06:00"/>
        <s v="2018-01-10-07:00"/>
        <s v="2018-01-10-08:00"/>
        <s v="2018-01-10-09:00"/>
        <s v="2018-01-10-10:00"/>
        <s v="2018-01-10-11:00"/>
        <s v="2018-01-10-12:00"/>
        <s v="2018-01-10-13:00"/>
        <s v="2018-01-10-14:00"/>
        <s v="2018-01-10-15:00"/>
        <s v="2018-01-10-16:00"/>
        <s v="2018-01-10-17:00"/>
        <s v="2018-01-10-18:00"/>
        <s v="2018-01-10-19:00"/>
        <s v="2018-01-10-20:00"/>
        <s v="2018-01-10-21:00"/>
        <s v="2018-01-10-22:00"/>
        <s v="2018-01-10-23:00"/>
        <s v="2018-01-11-00:00"/>
        <s v="2018-01-11-01:00"/>
        <s v="2018-01-11-02:00"/>
        <s v="2018-01-11-03:00"/>
        <s v="2018-01-11-04:00"/>
        <s v="2018-01-11-05:00"/>
        <s v="2018-01-11-06:00"/>
        <s v="2018-01-11-07:00"/>
        <s v="2018-01-11-08:00"/>
        <s v="2018-01-11-09:00"/>
        <s v="2018-01-11-10:00"/>
        <s v="2018-01-11-11:00"/>
        <s v="2018-01-11-12:00"/>
        <s v="2018-01-11-13:00"/>
        <s v="2018-01-11-14:00"/>
        <s v="2018-01-11-15:00"/>
        <s v="2018-01-11-16:00"/>
        <s v="2018-01-11-17:00"/>
        <s v="2018-01-11-18:00"/>
        <s v="2018-01-11-19:00"/>
        <s v="2018-01-11-20:00"/>
        <s v="2018-01-11-21:00"/>
        <s v="2018-01-11-22:00"/>
        <s v="2018-01-11-23:00"/>
        <s v="2018-01-12-00:00"/>
        <s v="2018-01-12-01:00"/>
        <s v="2018-01-12-02:00"/>
        <s v="2018-01-12-03:00"/>
        <s v="2018-01-12-04:00"/>
        <s v="2018-01-12-05:00"/>
        <s v="2018-01-12-06:00"/>
        <s v="2018-01-12-07:00"/>
        <s v="2018-01-12-08:00"/>
        <s v="2018-01-12-09:00"/>
        <s v="2018-01-12-10:00"/>
        <s v="2018-01-12-11:00"/>
        <s v="2018-01-12-12:00"/>
        <s v="2018-01-12-13:00"/>
        <s v="2018-01-12-14:00"/>
        <s v="2018-01-12-15:00"/>
        <s v="2018-01-12-16:00"/>
        <s v="2018-03-08-11:00"/>
        <s v="2018-03-08-12:00"/>
        <s v="2018-03-08-13:00"/>
        <s v="2018-03-08-14:00"/>
        <s v="2018-03-08-15:00"/>
        <s v="2018-03-08-16:00"/>
        <s v="2018-03-08-17:00"/>
        <s v="2018-03-08-18:00"/>
        <s v="2018-03-08-19:00"/>
        <s v="2018-03-08-20:00"/>
        <s v="2018-03-08-21:00"/>
        <s v="2018-03-08-22:00"/>
        <s v="2018-03-08-23:00"/>
        <s v="2018-03-09-00:00"/>
        <s v="2018-03-09-01:00"/>
        <s v="2018-03-09-02:00"/>
        <s v="2018-03-09-03:00"/>
        <s v="2018-03-09-04:00"/>
        <s v="2018-03-09-05:00"/>
        <s v="2018-03-09-06:00"/>
        <s v="2018-03-09-07:00"/>
        <s v="2018-03-09-08:00"/>
        <s v="2018-03-09-09:00"/>
        <s v="2018-03-09-10:00"/>
        <s v="2018-03-09-11:00"/>
        <s v="2018-03-09-12:00"/>
        <s v="2018-03-09-13:00"/>
        <s v="2018-03-09-14:00"/>
        <s v="2018-03-09-15:00"/>
        <s v="2018-03-09-16:00"/>
        <s v="2018-03-11-17:00"/>
        <s v="2018-03-11-18:00"/>
        <s v="2018-03-11-19:00"/>
        <s v="2018-03-11-20:00"/>
        <s v="2018-03-11-21:00"/>
        <s v="2018-03-11-22:00"/>
        <s v="2018-03-11-23:00"/>
        <s v="2018-03-12-00:00"/>
        <s v="2018-03-12-01:00"/>
        <s v="2018-03-12-02:00"/>
        <s v="2018-03-12-03:00"/>
        <s v="2018-03-12-04:00"/>
        <s v="2018-03-12-05:00"/>
        <s v="2018-03-12-06:00"/>
        <s v="2018-03-12-07:00"/>
        <s v="2018-03-12-08:00"/>
        <s v="2018-03-12-09:00"/>
        <s v="2018-03-12-10:00"/>
        <s v="2018-03-12-11:00"/>
        <s v="2018-03-12-12:00"/>
        <s v="2018-03-12-13:00"/>
        <s v="2018-03-12-14:00"/>
        <s v="2018-03-12-15:00"/>
        <s v="2018-03-12-16:00"/>
        <s v="2018-03-12-17:00"/>
        <s v="2018-03-12-18:00"/>
        <s v="2018-03-12-19:00"/>
        <s v="2018-03-12-20:00"/>
        <s v="2018-03-12-21:00"/>
        <s v="2018-03-12-22:00"/>
        <s v="2018-03-12-23:00"/>
        <s v="2018-03-13-00:00"/>
        <s v="2018-05-06-19:00"/>
        <s v="2018-05-06-20:00"/>
        <s v="2018-05-06-21:00"/>
        <s v="2018-05-06-22:00"/>
        <s v="2018-05-06-23:00"/>
        <s v="2018-05-07-00:00"/>
        <s v="2018-05-07-01:00"/>
        <s v="2018-05-07-02:00"/>
        <s v="2018-05-07-03:00"/>
        <s v="2018-05-07-04:00"/>
        <s v="2018-05-07-05:00"/>
        <s v="2018-05-07-06:00"/>
        <s v="2018-05-07-07:00"/>
        <s v="2018-05-07-08:00"/>
        <s v="2018-05-07-09:00"/>
        <s v="2018-05-07-10:00"/>
        <s v="2018-05-07-11:00"/>
        <s v="2018-05-07-12:00"/>
        <s v="2018-05-07-13:00"/>
        <s v="2018-05-07-14:00"/>
        <s v="2018-05-07-15:00"/>
        <s v="2018-05-07-16:00"/>
        <s v="2018-05-07-17:00"/>
        <s v="2018-05-07-18:00"/>
        <s v="2018-05-07-19:00"/>
        <s v="2018-05-07-20:00"/>
        <s v="2018-05-07-21:00"/>
        <s v="2018-05-07-22:00"/>
        <s v="2018-05-07-23:00"/>
        <s v="2018-05-08-00:00"/>
        <s v="2018-05-08-01:00"/>
        <s v="2018-05-08-02:00"/>
        <s v="2018-05-08-03:00"/>
        <s v="2018-05-08-04:00"/>
        <s v="2018-05-08-05:00"/>
        <s v="2018-05-08-06:00"/>
        <s v="2018-05-08-07:00"/>
        <s v="2018-05-08-08:00"/>
        <s v="2018-05-08-09:00"/>
        <s v="2018-05-08-10:00"/>
        <s v="2018-05-08-11:00"/>
        <s v="2018-05-08-12:00"/>
        <s v="2018-05-08-13:00"/>
        <s v="2018-05-08-14:00"/>
        <s v="2018-05-08-15:00"/>
        <s v="2018-05-08-16:00"/>
        <s v="2018-05-08-17:00"/>
        <s v="2018-05-08-18:00"/>
        <s v="2018-05-08-19:00"/>
        <s v="2018-05-08-20:00"/>
        <s v="2018-05-08-21:00"/>
        <s v="2018-05-08-22:00"/>
        <s v="2018-05-08-23:00"/>
        <s v="2018-05-09-00:00"/>
        <s v="2018-05-09-01:00"/>
        <s v="2018-05-09-02:00"/>
        <s v="2018-05-09-03:00"/>
        <s v="2018-05-09-04:00"/>
        <s v="2018-05-09-05:00"/>
        <s v="2018-05-09-06:00"/>
        <s v="2018-05-09-07:00"/>
        <s v="2018-05-09-08:00"/>
        <s v="2017-11-08-16:00"/>
        <s v="2017-11-08-17:00"/>
        <s v="2017-11-08-18:00"/>
        <s v="2017-11-08-19:00"/>
        <s v="2017-11-08-20:00"/>
        <s v="2017-11-08-21:00"/>
        <s v="2017-11-08-22:00"/>
        <s v="2017-11-08-23:00"/>
        <s v="2017-11-09-00:00"/>
        <s v="2017-11-09-01:00"/>
        <s v="2017-11-09-02:00"/>
        <s v="2017-11-09-03:00"/>
        <s v="2017-11-09-04:00"/>
        <s v="2017-11-09-05:00"/>
        <s v="2017-11-09-06:00"/>
        <s v="2017-11-09-07:00"/>
        <s v="2017-11-09-08:00"/>
        <s v="2017-11-09-09:00"/>
        <s v="2017-11-09-10:00"/>
        <s v="2017-11-09-11:00"/>
        <s v="2017-11-09-12:00"/>
        <s v="2017-11-09-13:00"/>
        <s v="2017-11-09-14:00"/>
        <s v="2017-11-09-15:00"/>
        <s v="2017-11-09-16:00"/>
        <s v="2017-11-09-17:00"/>
        <s v="2017-11-09-18:00"/>
        <s v="2018-01-09-00:00"/>
        <s v="2018-01-09-01:00"/>
        <s v="2018-01-09-02:00"/>
        <s v="2018-01-09-03:00"/>
        <s v="2018-01-09-04:00"/>
        <s v="2018-01-09-05:00"/>
        <s v="2018-01-09-06:00"/>
        <s v="2018-01-09-07:00"/>
        <s v="2018-01-09-08:00"/>
        <s v="2018-01-09-09:00"/>
        <s v="2018-01-09-10:00"/>
        <s v="2018-01-09-11:00"/>
        <s v="2018-01-09-12:00"/>
        <s v="2018-01-09-13:00"/>
        <s v="2018-01-09-14:00"/>
        <s v="2018-01-09-15:00"/>
        <s v="2018-01-09-16:00"/>
        <s v="2018-01-09-17:00"/>
        <s v="2018-01-09-18:00"/>
        <s v="2018-01-09-19:00"/>
        <s v="2018-01-09-20:00"/>
        <s v="2018-01-09-21:00"/>
        <s v="2018-01-09-22:00"/>
        <s v="2018-01-09-23:00"/>
        <s v="2018-01-10-00:00"/>
        <s v="2018-01-10-01:00"/>
        <s v="2018-01-10-02:00"/>
        <s v="2018-03-07-08:00"/>
        <s v="2018-03-07-09:00"/>
        <s v="2018-03-07-10:00"/>
        <s v="2018-03-07-11:00"/>
        <s v="2018-03-07-12:00"/>
        <s v="2018-03-07-13:00"/>
        <s v="2018-03-07-14:00"/>
        <s v="2018-03-07-15:00"/>
        <s v="2018-03-07-16:00"/>
        <s v="2018-03-07-17:00"/>
        <s v="2018-03-07-18:00"/>
        <s v="2018-03-07-19:00"/>
        <s v="2018-03-07-20:00"/>
        <s v="2018-03-07-21:00"/>
        <s v="2018-03-07-22:00"/>
        <s v="2018-03-07-23:00"/>
        <s v="2018-03-08-00:00"/>
        <s v="2018-03-08-01:00"/>
        <s v="2018-03-08-02:00"/>
        <s v="2018-03-08-03:00"/>
        <s v="2018-03-08-04:00"/>
        <s v="2018-03-08-05:00"/>
        <s v="2018-03-08-06:00"/>
        <s v="2018-03-08-07:00"/>
        <s v="2018-03-08-08:00"/>
        <s v="2018-03-08-09:00"/>
        <s v="2018-03-08-10:00"/>
        <s v="2018-05-03-16:00"/>
        <s v="2018-05-03-17:00"/>
        <s v="2018-05-03-18:00"/>
        <s v="2018-05-03-19:00"/>
        <s v="2018-05-03-20:00"/>
        <s v="2018-05-03-21:00"/>
        <s v="2018-05-03-22:00"/>
        <s v="2018-05-03-23:00"/>
        <s v="2018-05-04-00:00"/>
        <s v="2018-05-04-01:00"/>
        <s v="2018-05-04-02:00"/>
        <s v="2018-05-04-03:00"/>
        <s v="2018-05-04-04:00"/>
        <s v="2018-05-04-05:00"/>
        <s v="2018-05-04-06:00"/>
        <s v="2018-05-04-07:00"/>
        <s v="2018-05-04-08:00"/>
        <s v="2018-05-04-09:00"/>
        <s v="2018-05-04-10:00"/>
        <s v="2018-05-04-11:00"/>
        <s v="2018-05-04-12:00"/>
        <s v="2018-05-04-13:00"/>
        <s v="2018-05-04-14:00"/>
        <s v="2018-05-04-15:00"/>
        <s v="2018-05-04-16:00"/>
        <s v="2018-05-06-17:00"/>
        <s v="2018-05-06-18:00"/>
        <s v="2017-11-14-09:00"/>
        <s v="2017-11-14-10:00"/>
        <s v="2017-11-14-11:00"/>
        <s v="2017-11-14-12:00"/>
        <s v="2017-11-14-13:00"/>
        <s v="2017-11-14-14:00"/>
        <s v="2017-11-14-15:00"/>
        <s v="2017-11-14-16:00"/>
        <s v="2017-11-14-17:00"/>
        <s v="2017-11-14-18:00"/>
        <s v="2017-11-14-19:00"/>
        <s v="2017-11-14-20:00"/>
        <s v="2017-11-14-21:00"/>
        <s v="2017-11-14-22:00"/>
        <s v="2017-11-14-23:00"/>
        <s v="2017-11-15-00:00"/>
        <s v="2017-11-15-01:00"/>
        <s v="2017-11-15-02:00"/>
        <s v="2017-11-15-03:00"/>
        <s v="2017-11-15-04:00"/>
        <s v="2017-11-15-05:00"/>
        <s v="2017-11-15-06:00"/>
        <s v="2017-11-15-07:00"/>
        <s v="2017-11-15-08:00"/>
        <s v="2017-11-15-09:00"/>
        <s v="2017-11-15-10:00"/>
        <s v="2017-11-15-11:00"/>
        <s v="2017-11-15-12:00"/>
        <s v="2017-11-15-13:00"/>
        <s v="2017-11-15-14:00"/>
        <s v="2017-11-15-15:00"/>
        <s v="2017-11-15-16:00"/>
        <s v="2017-11-15-17:00"/>
        <s v="2017-11-15-18:00"/>
        <s v="2017-11-15-19:00"/>
        <s v="2017-11-15-20:00"/>
        <s v="2017-11-15-21:00"/>
        <s v="2017-11-15-22:00"/>
        <s v="2017-11-15-23:00"/>
        <s v="2017-11-16-00:00"/>
        <s v="2017-11-16-01:00"/>
        <s v="2017-11-16-02:00"/>
        <s v="2017-11-16-03:00"/>
        <s v="2017-11-16-04:00"/>
        <s v="2017-11-16-05:00"/>
        <s v="2017-11-16-06:00"/>
        <s v="2017-11-16-07:00"/>
        <s v="2017-11-16-08:00"/>
        <s v="2017-11-16-09:00"/>
        <s v="2017-11-16-10:00"/>
        <s v="2017-11-16-11:00"/>
        <s v="2017-11-16-12:00"/>
        <s v="2017-11-16-13:00"/>
        <s v="2017-11-16-14:00"/>
        <s v="2017-11-16-15:00"/>
        <s v="2017-11-16-16:00"/>
        <s v="2017-11-16-17:00"/>
        <s v="2017-11-16-18:00"/>
        <s v="2017-11-16-19:00"/>
        <s v="2017-11-16-20:00"/>
        <s v="2017-11-16-21:00"/>
        <s v="2017-11-16-22:00"/>
        <s v="2018-01-14-17:00"/>
        <s v="2018-01-14-18:00"/>
        <s v="2018-01-14-19:00"/>
        <s v="2018-01-14-20:00"/>
        <s v="2018-01-14-21:00"/>
        <s v="2018-01-14-22:00"/>
        <s v="2018-01-14-23:00"/>
        <s v="2018-01-15-00:00"/>
        <s v="2018-01-15-01:00"/>
        <s v="2018-01-15-02:00"/>
        <s v="2018-01-15-03:00"/>
        <s v="2018-01-15-04:00"/>
        <s v="2018-01-15-05:00"/>
        <s v="2018-01-15-06:00"/>
        <s v="2018-01-15-07:00"/>
        <s v="2018-01-15-08:00"/>
        <s v="2018-01-15-09:00"/>
        <s v="2018-01-15-10:00"/>
        <s v="2018-01-15-11:00"/>
        <s v="2018-01-15-12:00"/>
        <s v="2018-01-15-13:00"/>
        <s v="2018-01-15-14:00"/>
        <s v="2018-01-15-15:00"/>
        <s v="2018-01-15-16:00"/>
        <s v="2018-01-15-17:00"/>
        <s v="2018-01-15-18:00"/>
        <s v="2018-01-15-19:00"/>
        <s v="2018-01-15-20:00"/>
        <s v="2018-01-15-21:00"/>
        <s v="2018-01-15-22:00"/>
        <s v="2018-01-15-23:00"/>
        <s v="2018-01-16-00:00"/>
        <s v="2018-01-16-01:00"/>
        <s v="2018-01-16-02:00"/>
        <s v="2018-01-16-03:00"/>
        <s v="2018-01-16-04:00"/>
        <s v="2018-01-16-05:00"/>
        <s v="2018-01-16-06:00"/>
        <s v="2018-01-16-07:00"/>
        <s v="2018-01-16-08:00"/>
        <s v="2018-01-16-09:00"/>
        <s v="2018-01-16-10:00"/>
        <s v="2018-01-16-11:00"/>
        <s v="2018-01-16-12:00"/>
        <s v="2018-01-16-13:00"/>
        <s v="2018-01-16-14:00"/>
        <s v="2018-01-16-15:00"/>
        <s v="2018-01-16-16:00"/>
        <s v="2018-01-16-17:00"/>
        <s v="2018-01-16-18:00"/>
        <s v="2018-01-16-19:00"/>
        <s v="2018-01-16-20:00"/>
        <s v="2018-01-16-21:00"/>
        <s v="2018-01-16-22:00"/>
        <s v="2018-01-16-23:00"/>
        <s v="2018-01-17-00:00"/>
        <s v="2018-01-17-01:00"/>
        <s v="2018-01-17-02:00"/>
        <s v="2018-01-17-03:00"/>
        <s v="2018-01-17-04:00"/>
        <s v="2018-01-17-05:00"/>
        <s v="2018-01-17-06:00"/>
        <s v="2018-03-13-01:00"/>
        <s v="2018-03-13-02:00"/>
        <s v="2018-03-13-03:00"/>
        <s v="2018-03-13-04:00"/>
        <s v="2018-03-13-05:00"/>
        <s v="2018-03-13-06:00"/>
        <s v="2018-03-13-07:00"/>
        <s v="2018-03-13-08:00"/>
        <s v="2018-03-13-09:00"/>
        <s v="2018-03-13-10:00"/>
        <s v="2018-03-13-11:00"/>
        <s v="2018-03-13-12:00"/>
        <s v="2018-03-13-13:00"/>
        <s v="2018-03-13-14:00"/>
        <s v="2018-03-13-15:00"/>
        <s v="2018-03-13-16:00"/>
        <s v="2018-03-13-17:00"/>
        <s v="2018-03-13-18:00"/>
        <s v="2018-03-13-19:00"/>
        <s v="2018-03-13-20:00"/>
        <s v="2018-03-13-21:00"/>
        <s v="2018-03-13-22:00"/>
        <s v="2018-03-13-23:00"/>
        <s v="2018-03-14-00:00"/>
        <s v="2018-03-14-01:00"/>
        <s v="2018-03-14-02:00"/>
        <s v="2018-03-14-03:00"/>
        <s v="2018-03-14-04:00"/>
        <s v="2018-03-14-05:00"/>
        <s v="2018-03-14-06:00"/>
        <s v="2018-03-14-07:00"/>
        <s v="2018-03-14-08:00"/>
        <s v="2018-03-14-09:00"/>
        <s v="2018-03-14-10:00"/>
        <s v="2018-03-14-11:00"/>
        <s v="2018-03-14-12:00"/>
        <s v="2018-03-14-13:00"/>
        <s v="2018-03-14-14:00"/>
        <s v="2018-03-14-15:00"/>
        <s v="2018-03-14-16:00"/>
        <s v="2018-03-14-17:00"/>
        <s v="2018-03-14-18:00"/>
        <s v="2018-03-14-19:00"/>
        <s v="2018-03-14-20:00"/>
        <s v="2018-03-14-21:00"/>
        <s v="2018-03-14-22:00"/>
        <s v="2018-03-14-23:00"/>
        <s v="2018-03-15-00:00"/>
        <s v="2018-03-15-01:00"/>
        <s v="2018-03-15-02:00"/>
        <s v="2018-03-15-03:00"/>
        <s v="2018-03-15-04:00"/>
        <s v="2018-03-15-05:00"/>
        <s v="2018-03-15-06:00"/>
        <s v="2018-03-15-07:00"/>
        <s v="2018-03-15-08:00"/>
        <s v="2018-03-15-09:00"/>
        <s v="2018-03-15-10:00"/>
        <s v="2018-03-15-11:00"/>
        <s v="2018-03-15-12:00"/>
        <s v="2018-03-15-13:00"/>
        <s v="2018-03-15-14:00"/>
        <s v="2018-05-09-09:00"/>
        <s v="2018-05-09-10:00"/>
        <s v="2018-05-09-11:00"/>
        <s v="2018-05-09-12:00"/>
        <s v="2018-05-09-13:00"/>
        <s v="2018-05-09-14:00"/>
        <s v="2018-05-09-15:00"/>
        <s v="2018-05-09-16:00"/>
        <s v="2018-05-09-17:00"/>
        <s v="2018-05-09-18:00"/>
        <s v="2018-05-09-19:00"/>
        <s v="2018-05-09-20:00"/>
        <s v="2018-05-09-21:00"/>
        <s v="2018-05-09-22:00"/>
        <s v="2018-05-09-23:00"/>
        <s v="2018-05-10-00:00"/>
        <s v="2018-05-10-01:00"/>
        <s v="2018-05-10-02:00"/>
        <s v="2018-05-10-03:00"/>
        <s v="2018-05-10-04:00"/>
        <s v="2018-05-10-05:00"/>
        <s v="2018-05-10-06:00"/>
        <s v="2018-05-10-07:00"/>
        <s v="2018-05-10-08:00"/>
        <s v="2018-05-10-09:00"/>
        <s v="2018-05-10-10:00"/>
        <s v="2018-05-10-11:00"/>
        <s v="2018-05-10-12:00"/>
        <s v="2018-05-10-13:00"/>
        <s v="2018-05-10-14:00"/>
        <s v="2018-05-10-15:00"/>
        <s v="2018-05-10-16:00"/>
        <s v="2018-05-10-17:00"/>
        <s v="2018-05-10-18:00"/>
        <s v="2018-05-10-19:00"/>
        <s v="2018-05-10-20:00"/>
        <s v="2018-05-10-21:00"/>
        <s v="2018-05-10-22:00"/>
        <s v="2018-05-10-23:00"/>
        <s v="2018-05-11-00:00"/>
        <s v="2018-05-11-01:00"/>
        <s v="2018-05-11-02:00"/>
        <s v="2018-05-11-03:00"/>
        <s v="2018-05-11-04:00"/>
        <s v="2018-05-11-05:00"/>
        <s v="2018-05-11-06:00"/>
        <s v="2018-05-11-07:00"/>
        <s v="2018-05-11-08:00"/>
        <s v="2018-05-11-09:00"/>
        <s v="2018-05-11-10:00"/>
        <s v="2018-05-11-11:00"/>
        <s v="2018-05-11-12:00"/>
        <s v="2018-05-11-13:00"/>
        <s v="2018-05-11-14:00"/>
        <s v="2018-05-11-15:00"/>
        <s v="2018-05-11-16:00"/>
        <s v="2018-05-13-17:00"/>
        <s v="2018-05-13-18:00"/>
        <s v="2018-05-13-19:00"/>
        <s v="2018-05-13-20:00"/>
        <s v="2018-05-13-21:00"/>
        <s v="2018-05-13-22:00"/>
        <s v="2017-11-16-23:00"/>
        <s v="2017-11-17-00:00"/>
        <s v="2017-11-17-01:00"/>
        <s v="2017-11-17-02:00"/>
        <s v="2017-11-17-03:00"/>
        <s v="2017-11-17-04:00"/>
        <s v="2017-11-17-05:00"/>
        <s v="2017-11-17-06:00"/>
        <s v="2017-11-17-07:00"/>
        <s v="2017-11-17-08:00"/>
        <s v="2017-11-17-09:00"/>
        <s v="2017-11-17-10:00"/>
        <s v="2017-11-17-11:00"/>
        <s v="2017-11-17-12:00"/>
        <s v="2017-11-17-13:00"/>
        <s v="2017-11-17-14:00"/>
        <s v="2017-11-17-15:00"/>
        <s v="2017-11-17-16:00"/>
        <s v="2017-11-19-17:00"/>
        <s v="2017-11-19-18:00"/>
        <s v="2017-11-19-19:00"/>
        <s v="2017-11-19-20:00"/>
        <s v="2017-11-19-21:00"/>
        <s v="2017-11-19-22:00"/>
        <s v="2017-11-19-23:00"/>
        <s v="2017-11-20-00:00"/>
        <s v="2017-11-20-01:00"/>
        <s v="2017-11-20-02:00"/>
        <s v="2017-11-20-03:00"/>
        <s v="2017-11-20-04:00"/>
        <s v="2017-11-20-05:00"/>
        <s v="2017-11-20-06:00"/>
        <s v="2017-11-20-07:00"/>
        <s v="2017-11-20-08:00"/>
        <s v="2017-11-20-09:00"/>
        <s v="2017-11-20-10:00"/>
        <s v="2017-11-20-11:00"/>
        <s v="2017-11-20-12:00"/>
        <s v="2017-11-20-13:00"/>
        <s v="2017-11-20-14:00"/>
        <s v="2017-11-20-15:00"/>
        <s v="2017-11-20-16:00"/>
        <s v="2017-11-20-17:00"/>
        <s v="2017-11-20-18:00"/>
        <s v="2017-11-20-19:00"/>
        <s v="2017-11-20-20:00"/>
        <s v="2017-11-20-21:00"/>
        <s v="2017-11-20-22:00"/>
        <s v="2017-11-20-23:00"/>
        <s v="2017-11-21-00:00"/>
        <s v="2017-11-21-01:00"/>
        <s v="2017-11-21-02:00"/>
        <s v="2017-11-21-03:00"/>
        <s v="2017-11-21-04:00"/>
        <s v="2017-11-21-05:00"/>
        <s v="2017-11-21-06:00"/>
        <s v="2017-11-21-07:00"/>
        <s v="2017-11-21-08:00"/>
        <s v="2017-11-21-09:00"/>
        <s v="2017-11-21-10:00"/>
        <s v="2017-11-21-11:00"/>
        <s v="2017-11-21-12:00"/>
        <s v="2018-01-17-07:00"/>
        <s v="2018-01-17-08:00"/>
        <s v="2018-01-17-09:00"/>
        <s v="2018-01-17-10:00"/>
        <s v="2018-01-17-11:00"/>
        <s v="2018-01-17-12:00"/>
        <s v="2018-01-17-13:00"/>
        <s v="2018-01-17-14:00"/>
        <s v="2018-01-17-15:00"/>
        <s v="2018-01-17-16:00"/>
        <s v="2018-01-17-17:00"/>
        <s v="2018-01-17-18:00"/>
        <s v="2018-01-17-19:00"/>
        <s v="2018-01-17-20:00"/>
        <s v="2018-01-17-21:00"/>
        <s v="2018-01-17-22:00"/>
        <s v="2018-01-17-23:00"/>
        <s v="2018-01-18-00:00"/>
        <s v="2018-01-18-01:00"/>
        <s v="2018-01-18-02:00"/>
        <s v="2018-01-18-03:00"/>
        <s v="2018-01-18-04:00"/>
        <s v="2018-01-18-05:00"/>
        <s v="2018-01-18-06:00"/>
        <s v="2018-01-18-07:00"/>
        <s v="2018-01-18-08:00"/>
        <s v="2018-01-18-09:00"/>
        <s v="2018-01-18-10:00"/>
        <s v="2018-01-18-11:00"/>
        <s v="2018-01-18-12:00"/>
        <s v="2018-01-18-13:00"/>
        <s v="2018-01-18-14:00"/>
        <s v="2018-01-18-15:00"/>
        <s v="2018-01-18-16:00"/>
        <s v="2018-01-18-17:00"/>
        <s v="2018-01-18-18:00"/>
        <s v="2018-01-18-19:00"/>
        <s v="2018-01-18-20:00"/>
        <s v="2018-01-18-21:00"/>
        <s v="2018-01-18-22:00"/>
        <s v="2018-01-18-23:00"/>
        <s v="2018-01-19-00:00"/>
        <s v="2018-01-19-01:00"/>
        <s v="2018-01-19-02:00"/>
        <s v="2018-01-19-03:00"/>
        <s v="2018-01-19-04:00"/>
        <s v="2018-01-19-05:00"/>
        <s v="2018-01-19-06:00"/>
        <s v="2018-01-19-07:00"/>
        <s v="2018-01-19-08:00"/>
        <s v="2018-01-19-09:00"/>
        <s v="2018-01-19-10:00"/>
        <s v="2018-01-19-11:00"/>
        <s v="2018-01-19-12:00"/>
        <s v="2018-01-19-13:00"/>
        <s v="2018-01-19-14:00"/>
        <s v="2018-01-19-15:00"/>
        <s v="2018-01-19-16:00"/>
        <s v="2018-01-21-17:00"/>
        <s v="2018-01-21-18:00"/>
        <s v="2018-01-21-19:00"/>
        <s v="2018-01-21-20:00"/>
        <s v="2018-03-15-15:00"/>
        <s v="2018-03-15-16:00"/>
        <s v="2018-03-15-17:00"/>
        <s v="2018-03-15-18:00"/>
        <s v="2018-03-15-19:00"/>
        <s v="2018-03-15-20:00"/>
        <s v="2018-03-15-21:00"/>
        <s v="2018-03-15-22:00"/>
        <s v="2018-03-15-23:00"/>
        <s v="2018-03-16-00:00"/>
        <s v="2018-03-16-01:00"/>
        <s v="2018-03-16-02:00"/>
        <s v="2018-03-16-03:00"/>
        <s v="2018-03-16-04:00"/>
        <s v="2018-03-16-05:00"/>
        <s v="2018-03-16-06:00"/>
        <s v="2018-03-16-07:00"/>
        <s v="2018-03-16-08:00"/>
        <s v="2018-03-16-09:00"/>
        <s v="2018-03-16-10:00"/>
        <s v="2018-03-16-11:00"/>
        <s v="2018-03-16-12:00"/>
        <s v="2018-03-16-13:00"/>
        <s v="2018-03-16-14:00"/>
        <s v="2018-03-16-15:00"/>
        <s v="2018-03-16-16:00"/>
        <s v="2018-03-18-17:00"/>
        <s v="2018-03-18-18:00"/>
        <s v="2018-03-18-19:00"/>
        <s v="2018-03-18-20:00"/>
        <s v="2018-03-18-21:00"/>
        <s v="2018-03-18-22:00"/>
        <s v="2018-03-18-23:00"/>
        <s v="2018-03-19-00:00"/>
        <s v="2018-03-19-01:00"/>
        <s v="2018-03-19-02:00"/>
        <s v="2018-03-19-03:00"/>
        <s v="2018-03-19-04:00"/>
        <s v="2018-03-19-05:00"/>
        <s v="2018-03-19-06:00"/>
        <s v="2018-03-19-07:00"/>
        <s v="2018-03-19-08:00"/>
        <s v="2018-03-19-09:00"/>
        <s v="2018-03-19-10:00"/>
        <s v="2018-03-19-11:00"/>
        <s v="2018-03-19-12:00"/>
        <s v="2018-03-19-13:00"/>
        <s v="2018-03-19-14:00"/>
        <s v="2018-03-19-15:00"/>
        <s v="2018-03-19-16:00"/>
        <s v="2018-03-19-17:00"/>
        <s v="2018-03-19-18:00"/>
        <s v="2018-03-19-19:00"/>
        <s v="2018-03-19-20:00"/>
        <s v="2018-03-19-21:00"/>
        <s v="2018-03-19-22:00"/>
        <s v="2018-03-19-23:00"/>
        <s v="2018-03-20-00:00"/>
        <s v="2018-03-20-01:00"/>
        <s v="2018-03-20-02:00"/>
        <s v="2018-03-20-03:00"/>
        <s v="2018-03-20-04:00"/>
        <s v="2018-05-13-23:00"/>
        <s v="2018-05-14-00:00"/>
        <s v="2018-05-14-01:00"/>
        <s v="2018-05-14-02:00"/>
        <s v="2018-05-14-03:00"/>
        <s v="2018-05-14-04:00"/>
        <s v="2018-05-14-05:00"/>
        <s v="2018-05-14-06:00"/>
        <s v="2018-05-14-07:00"/>
        <s v="2018-05-14-08:00"/>
        <s v="2018-05-14-09:00"/>
        <s v="2018-05-14-10:00"/>
        <s v="2018-05-14-11:00"/>
        <s v="2018-05-14-12:00"/>
        <s v="2018-05-14-13:00"/>
        <s v="2018-05-14-14:00"/>
        <s v="2018-05-14-15:00"/>
        <s v="2018-05-14-16:00"/>
        <s v="2018-05-14-17:00"/>
        <s v="2018-05-14-18:00"/>
        <s v="2018-05-14-19:00"/>
        <s v="2018-05-14-20:00"/>
        <s v="2018-05-14-21:00"/>
        <s v="2018-05-14-22:00"/>
        <s v="2018-05-14-23:00"/>
        <s v="2018-05-15-00:00"/>
        <s v="2018-05-15-01:00"/>
        <s v="2018-05-15-02:00"/>
        <s v="2018-05-15-03:00"/>
        <s v="2018-05-15-04:00"/>
        <s v="2018-05-15-05:00"/>
        <s v="2018-05-15-06:00"/>
        <s v="2018-05-15-07:00"/>
        <s v="2018-05-15-08:00"/>
        <s v="2018-05-15-09:00"/>
        <s v="2018-05-15-10:00"/>
        <s v="2018-05-15-11:00"/>
        <s v="2018-05-15-12:00"/>
        <s v="2018-05-15-13:00"/>
        <s v="2018-05-15-14:00"/>
        <s v="2018-05-15-15:00"/>
        <s v="2018-05-15-16:00"/>
        <s v="2018-05-15-17:00"/>
        <s v="2018-05-15-18:00"/>
        <s v="2018-05-15-19:00"/>
        <s v="2018-05-15-20:00"/>
        <s v="2018-05-15-21:00"/>
        <s v="2018-05-15-22:00"/>
        <s v="2018-05-15-23:00"/>
        <s v="2018-05-16-00:00"/>
        <s v="2018-05-16-01:00"/>
        <s v="2018-05-16-02:00"/>
        <s v="2018-05-16-03:00"/>
        <s v="2018-05-16-04:00"/>
        <s v="2018-05-16-05:00"/>
        <s v="2018-05-16-06:00"/>
        <s v="2018-05-16-07:00"/>
        <s v="2018-05-16-08:00"/>
        <s v="2018-05-16-09:00"/>
        <s v="2018-05-16-10:00"/>
        <s v="2018-05-16-11:00"/>
        <s v="2018-05-16-12:00"/>
        <s v="2017-11-21-13:00"/>
        <s v="2017-11-21-14:00"/>
        <s v="2017-11-21-15:00"/>
        <s v="2017-11-21-16:00"/>
        <s v="2017-11-21-17:00"/>
        <s v="2017-11-21-18:00"/>
        <s v="2017-11-21-19:00"/>
        <s v="2017-11-21-20:00"/>
        <s v="2017-11-21-21:00"/>
        <s v="2017-11-21-22:00"/>
        <s v="2017-11-21-23:00"/>
        <s v="2017-11-22-00:00"/>
        <s v="2017-11-22-01:00"/>
        <s v="2017-11-22-02:00"/>
        <s v="2017-11-22-03:00"/>
        <s v="2017-11-22-04:00"/>
        <s v="2017-11-22-05:00"/>
        <s v="2017-11-22-06:00"/>
        <s v="2017-11-22-07:00"/>
        <s v="2017-11-22-08:00"/>
        <s v="2017-11-22-09:00"/>
        <s v="2017-11-22-10:00"/>
        <s v="2017-11-22-11:00"/>
        <s v="2017-11-22-12:00"/>
        <s v="2017-11-22-13:00"/>
        <s v="2017-11-22-14:00"/>
        <s v="2017-11-22-15:00"/>
        <s v="2017-11-22-16:00"/>
        <s v="2017-11-22-17:00"/>
        <s v="2017-11-22-18:00"/>
        <s v="2017-11-22-19:00"/>
        <s v="2017-11-22-20:00"/>
        <s v="2017-11-22-21:00"/>
        <s v="2017-11-22-22:00"/>
        <s v="2017-11-22-23:00"/>
        <s v="2017-11-23-00:00"/>
        <s v="2017-11-23-01:00"/>
        <s v="2017-11-23-02:00"/>
        <s v="2017-11-23-03:00"/>
        <s v="2017-11-23-04:00"/>
        <s v="2017-11-23-05:00"/>
        <s v="2017-11-23-06:00"/>
        <s v="2017-11-23-07:00"/>
        <s v="2017-11-23-08:00"/>
        <s v="2017-11-23-09:00"/>
        <s v="2017-11-23-10:00"/>
        <s v="2017-11-23-11:00"/>
        <s v="2017-11-23-12:00"/>
        <s v="2017-11-23-13:00"/>
        <s v="2017-11-23-14:00"/>
        <s v="2017-11-23-15:00"/>
        <s v="2017-11-23-16:00"/>
        <s v="2017-11-23-17:00"/>
        <s v="2017-11-23-18:00"/>
        <s v="2017-11-23-19:00"/>
        <s v="2017-11-23-20:00"/>
        <s v="2017-11-23-21:00"/>
        <s v="2017-11-23-22:00"/>
        <s v="2017-11-23-23:00"/>
        <s v="2017-11-24-00:00"/>
        <s v="2017-11-24-01:00"/>
        <s v="2017-11-24-02:00"/>
        <s v="2018-01-21-21:00"/>
        <s v="2018-01-21-22:00"/>
        <s v="2018-01-21-23:00"/>
        <s v="2018-01-22-00:00"/>
        <s v="2018-01-22-01:00"/>
        <s v="2018-01-22-02:00"/>
        <s v="2018-01-22-03:00"/>
        <s v="2018-01-22-04:00"/>
        <s v="2018-01-22-05:00"/>
        <s v="2018-01-22-06:00"/>
        <s v="2018-01-22-07:00"/>
        <s v="2018-01-22-08:00"/>
        <s v="2018-01-22-09:00"/>
        <s v="2018-01-22-10:00"/>
        <s v="2018-01-22-11:00"/>
        <s v="2018-01-22-12:00"/>
        <s v="2018-01-22-13:00"/>
        <s v="2018-01-22-14:00"/>
        <s v="2018-01-22-15:00"/>
        <s v="2018-01-22-16:00"/>
        <s v="2018-01-22-17:00"/>
        <s v="2018-01-22-18:00"/>
        <s v="2018-01-22-19:00"/>
        <s v="2018-01-22-20:00"/>
        <s v="2018-01-22-21:00"/>
        <s v="2018-01-22-22:00"/>
        <s v="2018-01-22-23:00"/>
        <s v="2018-01-23-00:00"/>
        <s v="2018-01-23-01:00"/>
        <s v="2018-01-23-02:00"/>
        <s v="2018-01-23-03:00"/>
        <s v="2018-01-23-04:00"/>
        <s v="2018-01-23-05:00"/>
        <s v="2018-01-23-06:00"/>
        <s v="2018-01-23-07:00"/>
        <s v="2018-01-23-08:00"/>
        <s v="2018-01-23-09:00"/>
        <s v="2018-01-23-10:00"/>
        <s v="2018-01-23-11:00"/>
        <s v="2018-01-23-12:00"/>
        <s v="2018-01-23-13:00"/>
        <s v="2018-01-23-14:00"/>
        <s v="2018-01-23-15:00"/>
        <s v="2018-01-23-16:00"/>
        <s v="2018-01-23-17:00"/>
        <s v="2018-01-23-18:00"/>
        <s v="2018-01-23-19:00"/>
        <s v="2018-01-23-20:00"/>
        <s v="2018-01-23-21:00"/>
        <s v="2018-01-23-22:00"/>
        <s v="2018-01-23-23:00"/>
        <s v="2018-01-24-00:00"/>
        <s v="2018-01-24-01:00"/>
        <s v="2018-01-24-02:00"/>
        <s v="2018-01-24-03:00"/>
        <s v="2018-01-24-04:00"/>
        <s v="2018-01-24-05:00"/>
        <s v="2018-01-24-06:00"/>
        <s v="2018-01-24-07:00"/>
        <s v="2018-01-24-08:00"/>
        <s v="2018-01-24-09:00"/>
        <s v="2018-01-24-10:00"/>
        <s v="2018-03-20-05:00"/>
        <s v="2018-03-20-06:00"/>
        <s v="2018-03-20-07:00"/>
        <s v="2018-03-20-08:00"/>
        <s v="2018-03-20-09:00"/>
        <s v="2018-03-20-10:00"/>
        <s v="2018-03-20-11:00"/>
        <s v="2018-03-20-12:00"/>
        <s v="2018-03-20-13:00"/>
        <s v="2018-03-20-14:00"/>
        <s v="2018-03-20-15:00"/>
        <s v="2018-03-20-16:00"/>
        <s v="2018-03-20-17:00"/>
        <s v="2018-03-20-18:00"/>
        <s v="2018-03-20-19:00"/>
        <s v="2018-03-20-20:00"/>
        <s v="2018-03-20-21:00"/>
        <s v="2018-03-20-22:00"/>
        <s v="2018-03-20-23:00"/>
        <s v="2018-03-21-00:00"/>
        <s v="2018-03-21-01:00"/>
        <s v="2018-03-21-02:00"/>
        <s v="2018-03-21-03:00"/>
        <s v="2018-03-21-04:00"/>
        <s v="2018-03-21-05:00"/>
        <s v="2018-03-21-06:00"/>
        <s v="2018-03-21-07:00"/>
        <s v="2018-03-21-08:00"/>
        <s v="2018-03-21-09:00"/>
        <s v="2018-03-21-10:00"/>
        <s v="2018-03-21-11:00"/>
        <s v="2018-03-21-12:00"/>
        <s v="2018-03-21-13:00"/>
        <s v="2018-03-21-14:00"/>
        <s v="2018-03-21-15:00"/>
        <s v="2018-03-21-16:00"/>
        <s v="2018-03-21-17:00"/>
        <s v="2018-03-21-18:00"/>
        <s v="2018-03-21-19:00"/>
        <s v="2018-03-21-20:00"/>
        <s v="2018-03-21-21:00"/>
        <s v="2018-03-21-22:00"/>
        <s v="2018-03-21-23:00"/>
        <s v="2018-03-22-00:00"/>
        <s v="2018-03-22-01:00"/>
        <s v="2018-03-22-02:00"/>
        <s v="2018-03-22-03:00"/>
        <s v="2018-03-22-04:00"/>
        <s v="2018-03-22-05:00"/>
        <s v="2018-03-22-06:00"/>
        <s v="2018-03-22-07:00"/>
        <s v="2018-03-22-08:00"/>
        <s v="2018-03-22-09:00"/>
        <s v="2018-03-22-10:00"/>
        <s v="2018-03-22-11:00"/>
        <s v="2018-03-22-12:00"/>
        <s v="2018-03-22-13:00"/>
        <s v="2018-03-22-14:00"/>
        <s v="2018-03-22-15:00"/>
        <s v="2018-03-22-16:00"/>
        <s v="2018-03-22-17:00"/>
        <s v="2018-03-22-18:00"/>
        <s v="2018-05-16-13:00"/>
        <s v="2018-05-16-14:00"/>
        <s v="2018-05-16-15:00"/>
        <s v="2018-05-16-16:00"/>
        <s v="2018-05-16-17:00"/>
        <s v="2018-05-16-18:00"/>
        <s v="2018-05-16-19:00"/>
        <s v="2018-05-16-20:00"/>
        <s v="2018-05-16-21:00"/>
        <s v="2018-05-16-22:00"/>
        <s v="2018-05-16-23:00"/>
        <s v="2018-05-17-00:00"/>
        <s v="2018-05-17-01:00"/>
        <s v="2018-05-17-02:00"/>
        <s v="2018-05-17-03:00"/>
        <s v="2018-05-17-04:00"/>
        <s v="2018-05-17-05:00"/>
        <s v="2018-05-17-06:00"/>
        <s v="2018-05-17-07:00"/>
        <s v="2018-05-17-08:00"/>
        <s v="2018-05-17-09:00"/>
        <s v="2018-05-17-10:00"/>
        <s v="2018-05-17-11:00"/>
        <s v="2018-05-17-12:00"/>
        <s v="2018-05-17-13:00"/>
        <s v="2018-05-17-14:00"/>
        <s v="2018-05-17-15:00"/>
        <s v="2018-05-17-16:00"/>
        <s v="2018-05-17-17:00"/>
        <s v="2018-05-17-18:00"/>
        <s v="2018-05-17-19:00"/>
        <s v="2018-05-17-20:00"/>
        <s v="2018-05-17-21:00"/>
        <s v="2018-05-17-22:00"/>
        <s v="2018-05-17-23:00"/>
        <s v="2018-05-18-00:00"/>
        <s v="2018-05-18-01:00"/>
        <s v="2018-05-18-02:00"/>
        <s v="2018-05-18-03:00"/>
        <s v="2018-05-18-04:00"/>
        <s v="2018-05-18-05:00"/>
        <s v="2018-05-18-06:00"/>
        <s v="2018-05-18-07:00"/>
        <s v="2018-05-18-08:00"/>
        <s v="2018-05-18-09:00"/>
        <s v="2018-05-18-10:00"/>
        <s v="2018-05-18-11:00"/>
        <s v="2018-05-18-12:00"/>
        <s v="2018-05-18-13:00"/>
        <s v="2018-05-18-14:00"/>
        <s v="2018-05-18-15:00"/>
        <s v="2018-05-18-16:00"/>
        <s v="2018-05-20-17:00"/>
        <s v="2018-05-20-18:00"/>
        <s v="2018-05-20-19:00"/>
        <s v="2018-05-20-20:00"/>
        <s v="2018-05-20-21:00"/>
        <s v="2018-05-20-22:00"/>
        <s v="2018-05-20-23:00"/>
        <s v="2018-05-21-00:00"/>
        <s v="2018-05-21-01:00"/>
        <s v="2018-05-21-02:00"/>
        <s v="2017-11-24-03:00"/>
        <s v="2017-11-24-04:00"/>
        <s v="2017-11-24-05:00"/>
        <s v="2017-11-24-06:00"/>
        <s v="2017-11-24-07:00"/>
        <s v="2017-11-24-08:00"/>
        <s v="2017-11-24-09:00"/>
        <s v="2017-11-24-10:00"/>
        <s v="2017-11-24-11:00"/>
        <s v="2017-11-24-12:00"/>
        <s v="2017-11-24-13:00"/>
        <s v="2017-11-24-14:00"/>
        <s v="2017-11-24-15:00"/>
        <s v="2017-11-24-16:00"/>
        <s v="2017-11-26-17:00"/>
        <s v="2017-11-26-18:00"/>
        <s v="2017-11-26-19:00"/>
        <s v="2017-11-26-20:00"/>
        <s v="2017-11-26-21:00"/>
        <s v="2017-11-26-22:00"/>
        <s v="2017-11-26-23:00"/>
        <s v="2017-11-27-00:00"/>
        <s v="2017-11-27-01:00"/>
        <s v="2017-11-27-02:00"/>
        <s v="2017-11-27-03:00"/>
        <s v="2017-11-27-04:00"/>
        <s v="2017-11-27-05:00"/>
        <s v="2017-11-27-06:00"/>
        <s v="2017-11-27-07:00"/>
        <s v="2017-11-27-08:00"/>
        <s v="2017-11-27-09:00"/>
        <s v="2017-11-27-10:00"/>
        <s v="2017-11-27-11:00"/>
        <s v="2017-11-27-12:00"/>
        <s v="2017-11-27-13:00"/>
        <s v="2017-11-27-14:00"/>
        <s v="2017-11-27-15:00"/>
        <s v="2017-11-27-16:00"/>
        <s v="2017-11-27-17:00"/>
        <s v="2017-11-27-18:00"/>
        <s v="2017-11-27-19:00"/>
        <s v="2017-11-27-20:00"/>
        <s v="2017-11-27-21:00"/>
        <s v="2017-11-27-22:00"/>
        <s v="2017-11-27-23:00"/>
        <s v="2017-11-28-00:00"/>
        <s v="2017-11-28-01:00"/>
        <s v="2017-11-28-02:00"/>
        <s v="2017-11-28-03:00"/>
        <s v="2017-11-28-04:00"/>
        <s v="2017-11-28-05:00"/>
        <s v="2017-11-28-06:00"/>
        <s v="2017-11-28-07:00"/>
        <s v="2017-11-28-08:00"/>
        <s v="2017-11-28-09:00"/>
        <s v="2017-11-28-10:00"/>
        <s v="2017-11-28-11:00"/>
        <s v="2017-11-28-12:00"/>
        <s v="2017-11-28-13:00"/>
        <s v="2017-11-28-14:00"/>
        <s v="2017-11-28-15:00"/>
        <s v="2017-11-28-16:00"/>
        <s v="2018-01-24-11:00"/>
        <s v="2018-01-24-12:00"/>
        <s v="2018-01-24-13:00"/>
        <s v="2018-01-24-14:00"/>
        <s v="2018-01-24-15:00"/>
        <s v="2018-01-24-16:00"/>
        <s v="2018-01-24-17:00"/>
        <s v="2018-01-24-18:00"/>
        <s v="2018-01-24-19:00"/>
        <s v="2018-01-24-20:00"/>
        <s v="2018-01-24-21:00"/>
        <s v="2018-01-24-22:00"/>
        <s v="2018-01-24-23:00"/>
        <s v="2018-01-25-00:00"/>
        <s v="2018-01-25-01:00"/>
        <s v="2018-01-25-02:00"/>
        <s v="2018-01-25-03:00"/>
        <s v="2018-01-25-04:00"/>
        <s v="2018-01-25-05:00"/>
        <s v="2018-01-25-06:00"/>
        <s v="2018-01-25-07:00"/>
        <s v="2018-01-25-08:00"/>
        <s v="2018-01-25-09:00"/>
        <s v="2018-01-25-10:00"/>
        <s v="2018-01-25-11:00"/>
        <s v="2018-01-25-12:00"/>
        <s v="2018-01-25-13:00"/>
        <s v="2018-01-25-14:00"/>
        <s v="2018-01-25-15:00"/>
        <s v="2018-01-25-16:00"/>
        <s v="2018-01-25-17:00"/>
        <s v="2018-01-25-18:00"/>
        <s v="2018-01-25-19:00"/>
        <s v="2018-01-25-20:00"/>
        <s v="2018-01-25-21:00"/>
        <s v="2018-01-25-22:00"/>
        <s v="2018-01-25-23:00"/>
        <s v="2018-01-26-00:00"/>
        <s v="2018-01-26-01:00"/>
        <s v="2018-01-26-02:00"/>
        <s v="2018-01-26-03:00"/>
        <s v="2018-01-26-04:00"/>
        <s v="2018-01-26-05:00"/>
        <s v="2018-01-26-06:00"/>
        <s v="2018-01-26-07:00"/>
        <s v="2018-01-26-08:00"/>
        <s v="2018-01-26-09:00"/>
        <s v="2018-01-26-10:00"/>
        <s v="2018-01-26-11:00"/>
        <s v="2018-01-26-12:00"/>
        <s v="2018-01-26-13:00"/>
        <s v="2018-01-26-14:00"/>
        <s v="2018-01-26-15:00"/>
        <s v="2018-01-26-16:00"/>
        <s v="2018-01-28-17:00"/>
        <s v="2018-01-28-18:00"/>
        <s v="2018-01-28-19:00"/>
        <s v="2018-01-28-20:00"/>
        <s v="2018-01-28-21:00"/>
        <s v="2018-01-28-22:00"/>
        <s v="2018-01-28-23:00"/>
        <s v="2018-01-29-00:00"/>
        <s v="2018-03-22-19:00"/>
        <s v="2018-03-22-20:00"/>
        <s v="2018-03-22-21:00"/>
        <s v="2018-03-22-22:00"/>
        <s v="2018-03-22-23:00"/>
        <s v="2018-03-23-00:00"/>
        <s v="2018-03-23-01:00"/>
        <s v="2018-03-23-02:00"/>
        <s v="2018-03-23-03:00"/>
        <s v="2018-03-23-04:00"/>
        <s v="2018-03-23-05:00"/>
        <s v="2018-03-23-06:00"/>
        <s v="2018-03-23-07:00"/>
        <s v="2018-03-23-08:00"/>
        <s v="2018-03-23-09:00"/>
        <s v="2018-03-23-10:00"/>
        <s v="2018-03-23-11:00"/>
        <s v="2018-03-23-12:00"/>
        <s v="2018-03-23-13:00"/>
        <s v="2018-03-23-14:00"/>
        <s v="2018-03-23-15:00"/>
        <s v="2018-03-23-16:00"/>
        <s v="2018-03-25-17:00"/>
        <s v="2018-03-25-18:00"/>
        <s v="2018-03-25-19:00"/>
        <s v="2018-03-25-20:00"/>
        <s v="2018-03-25-21:00"/>
        <s v="2018-03-25-22:00"/>
        <s v="2018-03-25-23:00"/>
        <s v="2018-03-26-00:00"/>
        <s v="2018-03-26-01:00"/>
        <s v="2018-03-26-02:00"/>
        <s v="2018-03-26-03:00"/>
        <s v="2018-03-26-04:00"/>
        <s v="2018-03-26-05:00"/>
        <s v="2018-03-26-06:00"/>
        <s v="2018-03-26-07:00"/>
        <s v="2018-03-26-08:00"/>
        <s v="2018-03-26-09:00"/>
        <s v="2018-03-26-10:00"/>
        <s v="2018-03-26-11:00"/>
        <s v="2018-03-26-12:00"/>
        <s v="2018-03-26-13:00"/>
        <s v="2018-03-26-14:00"/>
        <s v="2018-03-26-15:00"/>
        <s v="2018-03-26-16:00"/>
        <s v="2018-03-26-17:00"/>
        <s v="2018-03-26-18:00"/>
        <s v="2018-03-26-19:00"/>
        <s v="2018-03-26-20:00"/>
        <s v="2018-03-26-21:00"/>
        <s v="2018-03-26-22:00"/>
        <s v="2018-03-26-23:00"/>
        <s v="2018-03-27-00:00"/>
        <s v="2018-03-27-01:00"/>
        <s v="2018-03-27-02:00"/>
        <s v="2018-03-27-03:00"/>
        <s v="2018-03-27-04:00"/>
        <s v="2018-03-27-05:00"/>
        <s v="2018-03-27-06:00"/>
        <s v="2018-03-27-07:00"/>
        <s v="2018-03-27-08:00"/>
        <s v="2018-05-21-03:00"/>
        <s v="2018-05-21-04:00"/>
        <s v="2018-05-21-05:00"/>
        <s v="2018-05-21-06:00"/>
        <s v="2018-05-21-07:00"/>
        <s v="2018-05-21-08:00"/>
        <s v="2018-05-21-09:00"/>
        <s v="2018-05-21-10:00"/>
        <s v="2018-05-21-11:00"/>
        <s v="2018-05-21-12:00"/>
        <s v="2018-05-21-13:00"/>
        <s v="2018-05-21-14:00"/>
        <s v="2018-05-21-15:00"/>
        <s v="2018-05-21-16:00"/>
        <s v="2018-05-21-17:00"/>
        <s v="2018-05-21-18:00"/>
        <s v="2018-05-21-19:00"/>
        <s v="2018-05-21-20:00"/>
        <s v="2018-05-21-21:00"/>
        <s v="2018-05-21-22:00"/>
        <s v="2018-05-21-23:00"/>
        <s v="2018-05-22-00:00"/>
        <s v="2018-05-22-01:00"/>
        <s v="2018-05-22-02:00"/>
        <s v="2018-05-22-03:00"/>
        <s v="2018-05-22-04:00"/>
        <s v="2018-05-22-05:00"/>
        <s v="2018-05-22-06:00"/>
        <s v="2018-05-22-07:00"/>
        <s v="2018-05-22-08:00"/>
        <s v="2018-05-22-09:00"/>
        <s v="2018-05-22-10:00"/>
        <s v="2018-05-22-11:00"/>
        <s v="2018-05-22-12:00"/>
        <s v="2018-05-22-13:00"/>
        <s v="2018-05-22-14:00"/>
        <s v="2018-05-22-15:00"/>
        <s v="2018-05-22-16:00"/>
        <s v="2018-05-22-17:00"/>
        <s v="2018-05-22-18:00"/>
        <s v="2018-05-22-19:00"/>
        <s v="2018-05-22-20:00"/>
        <s v="2018-05-22-21:00"/>
        <s v="2018-05-22-22:00"/>
        <s v="2018-05-22-23:00"/>
        <s v="2018-05-23-00:00"/>
        <s v="2018-05-23-01:00"/>
        <s v="2018-05-23-02:00"/>
        <s v="2018-05-23-03:00"/>
        <s v="2018-05-23-04:00"/>
        <s v="2018-05-23-05:00"/>
        <s v="2018-05-23-06:00"/>
        <s v="2018-05-23-07:00"/>
        <s v="2018-05-23-08:00"/>
        <s v="2018-05-23-09:00"/>
        <s v="2018-05-23-10:00"/>
        <s v="2018-05-23-11:00"/>
        <s v="2018-05-23-12:00"/>
        <s v="2018-05-23-13:00"/>
        <s v="2018-05-23-14:00"/>
        <s v="2018-05-23-15:00"/>
        <s v="2018-05-23-16:00"/>
        <s v="2017-11-28-17:00"/>
        <s v="2017-11-28-18:00"/>
        <s v="2017-11-28-19:00"/>
        <s v="2017-11-28-20:00"/>
        <s v="2017-11-28-21:00"/>
        <s v="2017-11-28-22:00"/>
        <s v="2017-11-28-23:00"/>
        <s v="2017-11-29-00:00"/>
        <s v="2017-11-29-01:00"/>
        <s v="2017-11-29-02:00"/>
        <s v="2017-11-29-03:00"/>
        <s v="2017-11-29-04:00"/>
        <s v="2017-11-29-05:00"/>
        <s v="2017-11-29-06:00"/>
        <s v="2017-11-29-07:00"/>
        <s v="2017-11-29-08:00"/>
        <s v="2017-11-29-09:00"/>
        <s v="2017-11-29-10:00"/>
        <s v="2017-11-29-11:00"/>
        <s v="2017-11-29-12:00"/>
        <s v="2017-11-29-13:00"/>
        <s v="2017-11-29-14:00"/>
        <s v="2017-11-29-15:00"/>
        <s v="2017-11-29-16:00"/>
        <s v="2017-11-29-17:00"/>
        <s v="2017-11-29-18:00"/>
        <s v="2017-11-29-19:00"/>
        <s v="2017-11-29-20:00"/>
        <s v="2017-11-29-21:00"/>
        <s v="2017-11-29-22:00"/>
        <s v="2017-11-29-23:00"/>
        <s v="2017-11-30-00:00"/>
        <s v="2017-11-30-01:00"/>
        <s v="2017-11-30-02:00"/>
        <s v="2017-11-30-03:00"/>
        <s v="2017-11-30-04:00"/>
        <s v="2017-11-30-05:00"/>
        <s v="2017-11-30-06:00"/>
        <s v="2017-11-30-07:00"/>
        <s v="2017-11-30-08:00"/>
        <s v="2017-11-30-09:00"/>
        <s v="2017-11-30-10:00"/>
        <s v="2017-11-30-11:00"/>
        <s v="2017-11-30-12:00"/>
        <s v="2017-11-30-13:00"/>
        <s v="2017-11-30-14:00"/>
        <s v="2017-11-30-15:00"/>
        <s v="2017-11-30-16:00"/>
        <s v="2017-11-30-17:00"/>
        <s v="2017-11-30-18:00"/>
        <s v="2017-11-30-19:00"/>
        <s v="2017-11-30-20:00"/>
        <s v="2017-11-30-21:00"/>
        <s v="2017-11-30-22:00"/>
        <s v="2017-11-30-23:00"/>
        <s v="2017-12-01-00:00"/>
        <s v="2017-12-01-01:00"/>
        <s v="2017-12-01-02:00"/>
        <s v="2017-12-01-03:00"/>
        <s v="2017-12-01-04:00"/>
        <s v="2017-12-01-05:00"/>
        <s v="2017-12-01-06:00"/>
        <s v="2018-01-29-01:00"/>
        <s v="2018-01-29-02:00"/>
        <s v="2018-01-29-03:00"/>
        <s v="2018-01-29-04:00"/>
        <s v="2018-01-29-05:00"/>
        <s v="2018-01-29-06:00"/>
        <s v="2018-01-29-07:00"/>
        <s v="2018-01-29-08:00"/>
        <s v="2018-01-29-09:00"/>
        <s v="2018-01-29-10:00"/>
        <s v="2018-01-29-11:00"/>
        <s v="2018-01-29-12:00"/>
        <s v="2018-01-29-13:00"/>
        <s v="2018-01-29-14:00"/>
        <s v="2018-01-29-15:00"/>
        <s v="2018-01-29-16:00"/>
        <s v="2018-01-29-17:00"/>
        <s v="2018-01-29-18:00"/>
        <s v="2018-01-29-19:00"/>
        <s v="2018-01-29-20:00"/>
        <s v="2018-01-29-21:00"/>
        <s v="2018-01-29-22:00"/>
        <s v="2018-01-29-23:00"/>
        <s v="2018-01-30-00:00"/>
        <s v="2018-01-30-01:00"/>
        <s v="2018-01-30-02:00"/>
        <s v="2018-01-30-03:00"/>
        <s v="2018-01-30-04:00"/>
        <s v="2018-01-30-05:00"/>
        <s v="2018-01-30-06:00"/>
        <s v="2018-01-30-07:00"/>
        <s v="2018-01-30-08:00"/>
        <s v="2018-01-30-09:00"/>
        <s v="2018-01-30-10:00"/>
        <s v="2018-01-30-11:00"/>
        <s v="2018-01-30-12:00"/>
        <s v="2018-01-30-13:00"/>
        <s v="2018-01-30-14:00"/>
        <s v="2018-01-30-15:00"/>
        <s v="2018-01-30-16:00"/>
        <s v="2018-01-30-17:00"/>
        <s v="2018-01-30-18:00"/>
        <s v="2018-01-30-19:00"/>
        <s v="2018-01-30-20:00"/>
        <s v="2018-01-30-21:00"/>
        <s v="2018-01-30-22:00"/>
        <s v="2018-01-30-23:00"/>
        <s v="2018-01-31-00:00"/>
        <s v="2018-01-31-01:00"/>
        <s v="2018-01-31-02:00"/>
        <s v="2018-01-31-03:00"/>
        <s v="2018-01-31-04:00"/>
        <s v="2018-01-31-05:00"/>
        <s v="2018-01-31-06:00"/>
        <s v="2018-01-31-07:00"/>
        <s v="2018-01-31-08:00"/>
        <s v="2018-01-31-09:00"/>
        <s v="2018-01-31-10:00"/>
        <s v="2018-01-31-11:00"/>
        <s v="2018-01-31-12:00"/>
        <s v="2018-01-31-13:00"/>
        <s v="2018-01-31-14:00"/>
        <s v="2018-03-27-09:00"/>
        <s v="2018-03-27-10:00"/>
        <s v="2018-03-27-11:00"/>
        <s v="2018-03-27-12:00"/>
        <s v="2018-03-27-13:00"/>
        <s v="2018-03-27-14:00"/>
        <s v="2018-03-27-15:00"/>
        <s v="2018-03-27-16:00"/>
        <s v="2018-03-27-17:00"/>
        <s v="2018-03-27-18:00"/>
        <s v="2018-03-27-19:00"/>
        <s v="2018-03-27-20:00"/>
        <s v="2018-03-27-21:00"/>
        <s v="2018-03-27-22:00"/>
        <s v="2018-03-27-23:00"/>
        <s v="2018-03-28-00:00"/>
        <s v="2018-03-28-01:00"/>
        <s v="2018-03-28-02:00"/>
        <s v="2018-03-28-03:00"/>
        <s v="2018-03-28-04:00"/>
        <s v="2018-03-28-05:00"/>
        <s v="2018-03-28-06:00"/>
        <s v="2018-03-28-07:00"/>
        <s v="2018-03-28-08:00"/>
        <s v="2018-03-28-09:00"/>
        <s v="2018-03-28-10:00"/>
        <s v="2018-03-28-11:00"/>
        <s v="2018-03-28-12:00"/>
        <s v="2018-03-28-13:00"/>
        <s v="2018-03-28-14:00"/>
        <s v="2018-03-28-15:00"/>
        <s v="2018-03-28-16:00"/>
        <s v="2018-03-28-17:00"/>
        <s v="2018-03-28-18:00"/>
        <s v="2018-03-28-19:00"/>
        <s v="2018-03-28-20:00"/>
        <s v="2018-03-28-21:00"/>
        <s v="2018-03-28-22:00"/>
        <s v="2018-03-28-23:00"/>
        <s v="2018-03-29-00:00"/>
        <s v="2018-03-29-01:00"/>
        <s v="2018-03-29-02:00"/>
        <s v="2018-03-29-03:00"/>
        <s v="2018-03-29-04:00"/>
        <s v="2018-03-29-05:00"/>
        <s v="2018-03-29-06:00"/>
        <s v="2018-03-29-07:00"/>
        <s v="2018-03-29-08:00"/>
        <s v="2018-03-29-09:00"/>
        <s v="2018-03-29-10:00"/>
        <s v="2018-03-29-11:00"/>
        <s v="2018-03-29-12:00"/>
        <s v="2018-03-29-13:00"/>
        <s v="2018-03-29-14:00"/>
        <s v="2018-03-29-15:00"/>
        <s v="2018-03-29-16:00"/>
        <s v="2018-03-29-17:00"/>
        <s v="2018-03-29-18:00"/>
        <s v="2018-03-29-19:00"/>
        <s v="2018-03-29-20:00"/>
        <s v="2018-03-29-21:00"/>
        <s v="2018-03-29-22:00"/>
        <s v="2018-05-23-17:00"/>
        <s v="2018-05-23-18:00"/>
        <s v="2018-05-23-19:00"/>
        <s v="2018-05-23-20:00"/>
        <s v="2018-05-23-21:00"/>
        <s v="2018-05-23-22:00"/>
        <s v="2018-05-23-23:00"/>
        <s v="2018-05-24-00:00"/>
        <s v="2018-05-24-01:00"/>
        <s v="2018-05-24-02:00"/>
        <s v="2018-05-24-03:00"/>
        <s v="2018-05-24-04:00"/>
        <s v="2018-05-24-05:00"/>
        <s v="2018-05-24-06:00"/>
        <s v="2018-05-24-07:00"/>
        <s v="2018-05-24-08:00"/>
        <s v="2018-05-24-09:00"/>
        <s v="2018-05-24-10:00"/>
        <s v="2018-05-24-11:00"/>
        <s v="2018-05-24-12:00"/>
        <s v="2018-05-24-13:00"/>
        <s v="2018-05-24-14:00"/>
        <s v="2018-05-24-15:00"/>
        <s v="2018-05-24-16:00"/>
        <s v="2018-05-24-17:00"/>
        <s v="2018-05-24-18:00"/>
        <s v="2018-05-24-19:00"/>
        <s v="2018-05-24-20:00"/>
        <s v="2018-05-24-21:00"/>
        <s v="2018-05-24-22:00"/>
        <s v="2018-05-24-23:00"/>
        <s v="2018-05-25-00:00"/>
        <s v="2018-05-25-01:00"/>
        <s v="2018-05-25-02:00"/>
        <s v="2018-05-25-03:00"/>
        <s v="2018-05-25-04:00"/>
        <s v="2018-05-25-05:00"/>
        <s v="2018-05-25-06:00"/>
        <s v="2018-05-25-07:00"/>
        <s v="2018-05-25-08:00"/>
        <s v="2018-05-25-09:00"/>
        <s v="2018-05-25-10:00"/>
        <s v="2018-05-25-11:00"/>
        <s v="2018-05-25-12:00"/>
        <s v="2018-05-25-13:00"/>
        <s v="2018-05-25-14:00"/>
        <s v="2018-05-25-15:00"/>
        <s v="2018-05-25-16:00"/>
        <s v="2018-05-27-17:00"/>
        <s v="2018-05-27-18:00"/>
        <s v="2018-05-27-19:00"/>
        <s v="2018-05-27-20:00"/>
        <s v="2018-05-27-21:00"/>
        <s v="2018-05-27-22:00"/>
        <s v="2018-05-27-23:00"/>
        <s v="2018-05-28-00:00"/>
        <s v="2018-05-28-01:00"/>
        <s v="2018-05-28-02:00"/>
        <s v="2018-05-28-03:00"/>
        <s v="2018-05-28-04:00"/>
        <s v="2018-05-28-05:00"/>
        <s v="2018-05-28-06:00"/>
        <s v="2017-10-08-17:00"/>
        <s v="2017-10-08-18:00"/>
        <s v="2017-10-08-19:00"/>
        <s v="2017-10-08-20:00"/>
        <s v="2017-10-08-21:00"/>
        <s v="2017-10-08-22:00"/>
        <s v="2017-10-08-23:00"/>
        <s v="2017-10-09-00:00"/>
        <s v="2017-10-09-01:00"/>
        <s v="2017-12-01-07:00"/>
        <s v="2017-12-01-08:00"/>
        <s v="2017-12-01-09:00"/>
        <s v="2017-12-01-10:00"/>
        <s v="2017-12-01-11:00"/>
        <s v="2017-12-01-12:00"/>
        <s v="2017-12-01-13:00"/>
        <s v="2017-12-01-14:00"/>
        <s v="2017-12-01-15:00"/>
        <s v="2017-12-01-16:00"/>
        <s v="2017-12-03-17:00"/>
        <s v="2017-12-03-18:00"/>
        <s v="2017-12-03-19:00"/>
        <s v="2017-12-03-20:00"/>
        <s v="2017-12-03-21:00"/>
        <s v="2017-12-03-22:00"/>
        <s v="2017-12-03-23:00"/>
        <s v="2017-12-04-00:00"/>
        <s v="2017-12-04-01:00"/>
        <s v="2017-12-04-02:00"/>
        <s v="2017-12-04-03:00"/>
        <s v="2017-12-04-04:00"/>
        <s v="2017-12-04-05:00"/>
        <s v="2017-12-04-06:00"/>
        <s v="2017-12-04-07:00"/>
        <s v="2017-12-04-08:00"/>
        <s v="2017-12-04-09:00"/>
        <s v="2017-12-04-10:00"/>
        <s v="2017-12-04-11:00"/>
        <s v="2017-12-04-12:00"/>
        <s v="2017-12-04-13:00"/>
        <s v="2017-12-04-14:00"/>
        <s v="2017-12-04-15:00"/>
        <s v="2017-12-04-16:00"/>
        <s v="2017-12-04-17:00"/>
        <s v="2017-12-04-18:00"/>
        <s v="2017-12-04-19:00"/>
        <s v="2017-12-04-20:00"/>
        <s v="2017-12-04-21:00"/>
        <s v="2017-12-04-22:00"/>
        <s v="2017-12-04-23:00"/>
        <s v="2017-12-05-00:00"/>
        <s v="2017-12-05-01:00"/>
        <s v="2017-12-05-02:00"/>
        <s v="2017-12-05-03:00"/>
        <s v="2017-12-05-04:00"/>
        <s v="2017-12-05-05:00"/>
        <s v="2017-12-05-06:00"/>
        <s v="2017-12-05-07:00"/>
        <s v="2017-12-05-08:00"/>
        <s v="2017-12-05-09:00"/>
        <s v="2017-12-05-10:00"/>
        <s v="2017-12-05-11:00"/>
        <s v="2017-12-05-12:00"/>
        <s v="2017-12-05-13:00"/>
        <s v="2017-12-05-14:00"/>
        <s v="2017-12-05-15:00"/>
        <s v="2017-12-05-16:00"/>
        <s v="2017-12-05-17:00"/>
        <s v="2017-12-05-18:00"/>
        <s v="2017-12-05-19:00"/>
        <s v="2017-12-05-20:00"/>
        <s v="2018-01-31-15:00"/>
        <s v="2018-01-31-16:00"/>
        <s v="2018-01-31-17:00"/>
        <s v="2018-01-31-18:00"/>
        <s v="2018-01-31-19:00"/>
        <s v="2018-01-31-20:00"/>
        <s v="2018-01-31-21:00"/>
        <s v="2018-01-31-22:00"/>
        <s v="2018-01-31-23:00"/>
        <s v="2018-02-01-00:00"/>
        <s v="2018-02-01-01:00"/>
        <s v="2018-02-01-02:00"/>
        <s v="2018-02-01-03:00"/>
        <s v="2018-02-01-04:00"/>
        <s v="2018-02-01-05:00"/>
        <s v="2018-02-01-06:00"/>
        <s v="2018-02-01-07:00"/>
        <s v="2018-02-01-08:00"/>
        <s v="2018-02-01-09:00"/>
        <s v="2018-02-01-10:00"/>
        <s v="2018-02-01-11:00"/>
        <s v="2018-02-01-12:00"/>
        <s v="2018-02-01-13:00"/>
        <s v="2018-02-01-14:00"/>
        <s v="2018-02-01-15:00"/>
        <s v="2018-02-01-16:00"/>
        <s v="2018-02-01-17:00"/>
        <s v="2018-02-01-18:00"/>
        <s v="2018-02-01-19:00"/>
        <s v="2018-02-01-20:00"/>
        <s v="2018-02-01-21:00"/>
        <s v="2018-02-01-22:00"/>
        <s v="2018-02-01-23:00"/>
        <s v="2018-02-02-00:00"/>
        <s v="2018-02-02-01:00"/>
        <s v="2018-02-02-02:00"/>
        <s v="2018-02-02-03:00"/>
        <s v="2018-02-02-04:00"/>
        <s v="2018-02-02-05:00"/>
        <s v="2018-02-02-06:00"/>
        <s v="2018-02-02-07:00"/>
        <s v="2018-02-02-08:00"/>
        <s v="2018-02-02-09:00"/>
        <s v="2018-02-02-10:00"/>
        <s v="2018-02-02-11:00"/>
        <s v="2018-02-02-12:00"/>
        <s v="2018-02-02-13:00"/>
        <s v="2018-02-02-14:00"/>
        <s v="2018-02-02-15:00"/>
        <s v="2018-02-02-16:00"/>
        <s v="2018-02-04-17:00"/>
        <s v="2018-02-04-18:00"/>
        <s v="2018-02-04-19:00"/>
        <s v="2018-02-04-20:00"/>
        <s v="2018-02-04-21:00"/>
        <s v="2018-02-04-22:00"/>
        <s v="2018-02-04-23:00"/>
        <s v="2018-02-05-00:00"/>
        <s v="2018-02-05-01:00"/>
        <s v="2018-02-05-02:00"/>
        <s v="2018-02-05-03:00"/>
        <s v="2018-02-05-04:00"/>
        <s v="2018-03-29-23:00"/>
        <s v="2018-03-30-00:00"/>
        <s v="2018-03-30-01:00"/>
        <s v="2018-03-30-02:00"/>
        <s v="2018-03-30-03:00"/>
        <s v="2018-03-30-04:00"/>
        <s v="2018-03-30-05:00"/>
        <s v="2018-03-30-06:00"/>
        <s v="2018-03-30-07:00"/>
        <s v="2018-03-30-08:00"/>
        <s v="2018-03-30-09:00"/>
        <s v="2018-03-30-10:00"/>
        <s v="2018-03-30-11:00"/>
        <s v="2018-03-30-12:00"/>
        <s v="2018-03-30-13:00"/>
        <s v="2018-03-30-14:00"/>
        <s v="2018-03-30-15:00"/>
        <s v="2018-03-30-16:00"/>
        <s v="2018-04-01-17:00"/>
        <s v="2018-04-01-18:00"/>
        <s v="2018-04-01-19:00"/>
        <s v="2018-04-01-20:00"/>
        <s v="2018-04-01-21:00"/>
        <s v="2018-04-01-22:00"/>
        <s v="2018-04-01-23:00"/>
        <s v="2018-04-02-00:00"/>
        <s v="2018-04-02-01:00"/>
        <s v="2018-04-02-02:00"/>
        <s v="2018-04-02-03:00"/>
        <s v="2018-04-02-04:00"/>
        <s v="2018-04-02-05:00"/>
        <s v="2018-04-02-06:00"/>
        <s v="2018-04-02-07:00"/>
        <s v="2018-04-02-08:00"/>
        <s v="2018-04-02-09:00"/>
        <s v="2018-04-02-10:00"/>
        <s v="2018-04-02-11:00"/>
        <s v="2018-04-02-12:00"/>
        <s v="2018-04-02-13:00"/>
        <s v="2018-04-02-14:00"/>
        <s v="2018-04-02-15:00"/>
        <s v="2018-04-02-16:00"/>
        <s v="2018-04-02-17:00"/>
        <s v="2018-04-02-18:00"/>
        <s v="2018-04-02-19:00"/>
        <s v="2018-04-02-20:00"/>
        <s v="2018-04-02-21:00"/>
        <s v="2018-04-02-22:00"/>
        <s v="2018-04-02-23:00"/>
        <s v="2018-04-03-00:00"/>
        <s v="2018-04-03-01:00"/>
        <s v="2018-04-03-02:00"/>
        <s v="2018-04-03-03:00"/>
        <s v="2018-04-03-04:00"/>
        <s v="2018-04-03-05:00"/>
        <s v="2018-04-03-06:00"/>
        <s v="2018-04-03-07:00"/>
        <s v="2018-04-03-08:00"/>
        <s v="2018-04-03-09:00"/>
        <s v="2018-04-03-10:00"/>
        <s v="2018-04-03-11:00"/>
        <s v="2018-04-03-12:00"/>
        <s v="2018-05-28-07:00"/>
        <s v="2018-05-28-08:00"/>
        <s v="2018-05-28-09:00"/>
        <s v="2018-05-28-10:00"/>
        <s v="2018-05-28-11:00"/>
        <s v="2018-05-28-12:00"/>
        <s v="2018-05-28-13:00"/>
        <s v="2018-05-28-14:00"/>
        <s v="2018-05-28-15:00"/>
        <s v="2018-05-28-16:00"/>
        <s v="2018-05-28-17:00"/>
        <s v="2018-05-28-18:00"/>
        <s v="2018-05-28-19:00"/>
        <s v="2018-05-28-20:00"/>
        <s v="2018-05-28-21:00"/>
        <s v="2018-05-28-22:00"/>
        <s v="2018-05-28-23:00"/>
        <s v="2018-05-29-00:00"/>
        <s v="2018-05-29-01:00"/>
        <s v="2018-05-29-02:00"/>
        <s v="2018-05-29-03:00"/>
        <s v="2018-05-29-04:00"/>
        <s v="2018-05-29-05:00"/>
        <s v="2018-05-29-06:00"/>
        <s v="2018-05-29-07:00"/>
        <s v="2018-05-29-08:00"/>
        <s v="2018-05-29-09:00"/>
        <s v="2018-05-29-10:00"/>
        <s v="2018-05-29-11:00"/>
        <s v="2018-05-29-12:00"/>
        <s v="2018-05-29-13:00"/>
        <s v="2018-05-29-14:00"/>
        <s v="2018-05-29-15:00"/>
        <s v="2018-05-29-16:00"/>
        <s v="2018-05-29-17:00"/>
        <s v="2018-05-29-18:00"/>
        <s v="2018-05-29-19:00"/>
        <s v="2018-05-29-20:00"/>
        <s v="2018-05-29-21:00"/>
        <s v="2018-05-29-22:00"/>
        <s v="2018-05-29-23:00"/>
        <s v="2018-05-30-00:00"/>
        <s v="2018-05-30-01:00"/>
        <s v="2018-05-30-02:00"/>
        <s v="2018-05-30-03:00"/>
        <s v="2018-05-30-04:00"/>
        <s v="2018-05-30-05:00"/>
        <s v="2018-05-30-06:00"/>
        <s v="2018-05-30-07:00"/>
        <s v="2018-05-30-08:00"/>
        <s v="2018-05-30-09:00"/>
        <s v="2018-05-30-10:00"/>
        <s v="2018-05-30-11:00"/>
        <s v="2018-05-30-12:00"/>
        <s v="2018-05-30-13:00"/>
        <s v="2018-05-30-14:00"/>
        <s v="2018-05-30-15:00"/>
        <s v="2018-05-30-16:00"/>
        <s v="2018-05-30-17:00"/>
        <s v="2018-05-30-18:00"/>
        <s v="2018-05-30-19:00"/>
        <s v="2018-05-30-20:00"/>
        <s v="2017-10-09-02:00"/>
        <s v="2017-10-09-03:00"/>
        <s v="2017-10-09-04:00"/>
        <s v="2017-10-09-05:00"/>
        <s v="2017-10-09-06:00"/>
        <s v="2017-10-09-07:00"/>
        <s v="2017-10-09-08:00"/>
        <s v="2017-10-09-09:00"/>
        <s v="2017-10-09-10:00"/>
        <s v="2017-10-09-11:00"/>
        <s v="2017-10-09-12:00"/>
        <s v="2017-10-09-13:00"/>
        <s v="2017-10-09-14:00"/>
        <s v="2017-10-09-15:00"/>
        <s v="2017-10-09-16:00"/>
        <s v="2017-10-09-17:00"/>
        <s v="2017-10-09-18:00"/>
        <s v="2017-10-09-19:00"/>
        <s v="2017-10-09-20:00"/>
        <s v="2017-10-09-21:00"/>
        <s v="2017-10-09-22:00"/>
        <s v="2017-10-09-23:00"/>
        <s v="2017-10-10-00:00"/>
        <s v="2017-10-10-01:00"/>
        <s v="2017-10-10-02:00"/>
        <s v="2017-10-10-03:00"/>
        <s v="2017-10-10-04:00"/>
        <s v="2017-10-10-05:00"/>
        <s v="2017-10-10-06:00"/>
        <s v="2017-10-10-07:00"/>
        <s v="2017-10-10-08:00"/>
        <s v="2017-10-10-09:00"/>
        <s v="2017-10-10-10:00"/>
        <s v="2017-10-10-11:00"/>
        <s v="2017-10-10-12:00"/>
        <s v="2017-10-10-13:00"/>
        <s v="2017-10-10-14:00"/>
        <s v="2017-10-10-15:00"/>
        <s v="2017-10-10-16:00"/>
        <s v="2017-10-10-17:00"/>
        <s v="2017-10-10-18:00"/>
        <s v="2017-10-10-19:00"/>
        <s v="2017-10-10-20:00"/>
        <s v="2017-10-10-21:00"/>
        <s v="2017-10-10-22:00"/>
        <s v="2017-10-10-23:00"/>
        <s v="2017-10-11-00:00"/>
        <s v="2017-10-11-01:00"/>
        <s v="2017-10-11-02:00"/>
        <s v="2017-10-11-03:00"/>
        <s v="2017-10-11-04:00"/>
        <s v="2017-10-11-05:00"/>
        <s v="2017-10-11-06:00"/>
        <s v="2017-10-11-07:00"/>
        <s v="2017-10-11-08:00"/>
        <s v="2017-10-11-09:00"/>
        <s v="2017-10-11-10:00"/>
        <s v="2017-10-11-11:00"/>
        <s v="2017-10-11-12:00"/>
        <s v="2017-10-11-13:00"/>
        <s v="2017-10-11-14:00"/>
        <s v="2017-10-11-15:00"/>
        <s v="2017-10-11-16:00"/>
        <s v="2017-10-11-17:00"/>
        <s v="2017-10-11-18:00"/>
        <s v="2017-10-11-19:00"/>
        <s v="2017-10-11-20:00"/>
        <s v="2017-10-11-21:00"/>
        <s v="2017-10-11-22:00"/>
        <s v="2017-10-11-23:00"/>
        <s v="2017-10-12-00:00"/>
        <s v="2017-10-12-01:00"/>
        <s v="2017-10-12-02:00"/>
        <s v="2017-12-05-21:00"/>
        <s v="2017-12-05-22:00"/>
        <s v="2017-12-05-23:00"/>
        <s v="2017-12-06-00:00"/>
        <s v="2017-12-06-01:00"/>
        <s v="2017-12-06-02:00"/>
        <s v="2017-12-06-03:00"/>
        <s v="2017-12-06-04:00"/>
        <s v="2017-12-06-05:00"/>
        <s v="2017-12-06-06:00"/>
        <s v="2017-12-06-07:00"/>
        <s v="2017-12-06-08:00"/>
        <s v="2017-12-06-09:00"/>
        <s v="2017-12-06-10:00"/>
        <s v="2017-12-06-11:00"/>
        <s v="2017-12-06-12:00"/>
        <s v="2017-12-06-13:00"/>
        <s v="2017-12-06-14:00"/>
        <s v="2017-12-06-15:00"/>
        <s v="2017-12-06-16:00"/>
        <s v="2017-12-06-17:00"/>
        <s v="2017-12-06-18:00"/>
        <s v="2017-12-06-19:00"/>
        <s v="2017-12-06-20:00"/>
        <s v="2017-12-06-21:00"/>
        <s v="2017-12-06-22:00"/>
        <s v="2017-12-06-23:00"/>
        <s v="2017-12-07-00:00"/>
        <s v="2017-12-07-01:00"/>
        <s v="2017-12-07-02:00"/>
        <s v="2017-12-07-03:00"/>
        <s v="2017-12-07-04:00"/>
        <s v="2017-12-07-05:00"/>
        <s v="2017-12-07-06:00"/>
        <s v="2017-12-07-07:00"/>
        <s v="2017-12-07-08:00"/>
        <s v="2017-12-07-09:00"/>
        <s v="2017-12-07-10:00"/>
        <s v="2017-12-07-11:00"/>
        <s v="2017-12-07-12:00"/>
        <s v="2017-12-07-13:00"/>
        <s v="2017-12-07-14:00"/>
        <s v="2017-12-07-15:00"/>
        <s v="2017-12-07-16:00"/>
        <s v="2017-12-07-17:00"/>
        <s v="2017-12-07-18:00"/>
        <s v="2017-12-07-19:00"/>
        <s v="2017-12-07-20:00"/>
        <s v="2017-12-07-21:00"/>
        <s v="2017-12-07-22:00"/>
        <s v="2017-12-07-23:00"/>
        <s v="2017-12-08-00:00"/>
        <s v="2017-12-08-01:00"/>
        <s v="2017-12-08-02:00"/>
        <s v="2017-12-08-03:00"/>
        <s v="2017-12-08-04:00"/>
        <s v="2017-12-08-05:00"/>
        <s v="2017-12-08-06:00"/>
        <s v="2017-12-08-07:00"/>
        <s v="2017-12-08-08:00"/>
        <s v="2017-12-08-09:00"/>
        <s v="2017-12-08-10:00"/>
        <s v="2018-02-05-05:00"/>
        <s v="2018-02-05-06:00"/>
        <s v="2018-02-05-07:00"/>
        <s v="2018-02-05-08:00"/>
        <s v="2018-02-05-09:00"/>
        <s v="2018-02-05-10:00"/>
        <s v="2018-02-05-11:00"/>
        <s v="2018-02-05-12:00"/>
        <s v="2018-02-05-13:00"/>
        <s v="2018-02-05-14:00"/>
        <s v="2018-02-05-15:00"/>
        <s v="2018-02-05-16:00"/>
        <s v="2018-02-05-17:00"/>
        <s v="2018-02-05-18:00"/>
        <s v="2018-02-05-19:00"/>
        <s v="2018-02-05-20:00"/>
        <s v="2018-02-05-21:00"/>
        <s v="2018-02-05-22:00"/>
        <s v="2018-02-05-23:00"/>
        <s v="2018-02-06-00:00"/>
        <s v="2018-02-06-01:00"/>
        <s v="2018-02-06-02:00"/>
        <s v="2018-02-06-03:00"/>
        <s v="2018-02-06-04:00"/>
        <s v="2018-02-06-05:00"/>
        <s v="2018-02-06-06:00"/>
        <s v="2018-02-06-07:00"/>
        <s v="2018-02-06-08:00"/>
        <s v="2018-02-06-09:00"/>
        <s v="2018-02-06-10:00"/>
        <s v="2018-02-06-11:00"/>
        <s v="2018-02-06-12:00"/>
        <s v="2018-02-06-13:00"/>
        <s v="2018-02-06-14:00"/>
        <s v="2018-02-06-15:00"/>
        <s v="2018-02-06-16:00"/>
        <s v="2018-02-06-17:00"/>
        <s v="2018-02-06-18:00"/>
        <s v="2018-02-06-19:00"/>
        <s v="2018-02-06-20:00"/>
        <s v="2018-02-06-21:00"/>
        <s v="2018-02-06-22:00"/>
        <s v="2018-02-06-23:00"/>
        <s v="2018-02-07-00:00"/>
        <s v="2018-02-07-01:00"/>
        <s v="2018-02-07-02:00"/>
        <s v="2018-02-07-03:00"/>
        <s v="2018-02-07-04:00"/>
        <s v="2018-02-07-05:00"/>
        <s v="2018-02-07-06:00"/>
        <s v="2018-02-07-07:00"/>
        <s v="2018-02-07-08:00"/>
        <s v="2018-02-07-09:00"/>
        <s v="2018-02-07-10:00"/>
        <s v="2018-02-07-11:00"/>
        <s v="2018-02-07-12:00"/>
        <s v="2018-02-07-13:00"/>
        <s v="2018-02-07-14:00"/>
        <s v="2018-02-07-15:00"/>
        <s v="2018-02-07-16:00"/>
        <s v="2018-02-07-17:00"/>
        <s v="2018-02-07-18:00"/>
        <s v="2018-04-03-13:00"/>
        <s v="2018-04-03-14:00"/>
        <s v="2018-04-03-15:00"/>
        <s v="2018-04-03-16:00"/>
        <s v="2018-04-03-17:00"/>
        <s v="2018-04-03-18:00"/>
        <s v="2018-04-03-19:00"/>
        <s v="2018-04-03-20:00"/>
        <s v="2018-04-03-21:00"/>
        <s v="2018-04-03-22:00"/>
        <s v="2018-04-03-23:00"/>
        <s v="2018-04-04-00:00"/>
        <s v="2018-04-04-01:00"/>
        <s v="2018-04-04-02:00"/>
        <s v="2018-04-04-03:00"/>
        <s v="2018-04-04-04:00"/>
        <s v="2018-04-04-05:00"/>
        <s v="2018-04-04-06:00"/>
        <s v="2018-04-04-07:00"/>
        <s v="2018-04-04-08:00"/>
        <s v="2018-04-04-09:00"/>
        <s v="2018-04-04-10:00"/>
        <s v="2018-04-04-11:00"/>
        <s v="2018-04-04-12:00"/>
        <s v="2018-04-04-13:00"/>
        <s v="2018-04-04-14:00"/>
        <s v="2018-04-04-15:00"/>
        <s v="2018-04-04-16:00"/>
        <s v="2018-04-04-17:00"/>
        <s v="2018-04-04-18:00"/>
        <s v="2018-04-04-19:00"/>
        <s v="2018-04-04-20:00"/>
        <s v="2018-04-04-21:00"/>
        <s v="2018-04-04-22:00"/>
        <s v="2018-04-04-23:00"/>
        <s v="2018-04-05-00:00"/>
        <s v="2018-04-05-01:00"/>
        <s v="2018-04-05-02:00"/>
        <s v="2018-04-05-03:00"/>
        <s v="2018-04-05-04:00"/>
        <s v="2018-04-05-05:00"/>
        <s v="2018-04-05-06:00"/>
        <s v="2018-04-05-07:00"/>
        <s v="2018-04-05-08:00"/>
        <s v="2018-04-05-09:00"/>
        <s v="2018-04-05-10:00"/>
        <s v="2018-04-05-11:00"/>
        <s v="2018-04-05-12:00"/>
        <s v="2018-04-05-13:00"/>
        <s v="2018-04-05-14:00"/>
        <s v="2018-04-05-15:00"/>
        <s v="2018-04-05-16:00"/>
        <s v="2018-04-05-17:00"/>
        <s v="2018-04-05-18:00"/>
        <s v="2018-04-05-19:00"/>
        <s v="2018-04-05-20:00"/>
        <s v="2018-04-05-21:00"/>
        <s v="2018-04-05-22:00"/>
        <s v="2018-04-05-23:00"/>
        <s v="2018-04-06-00:00"/>
        <s v="2018-04-06-01:00"/>
        <s v="2018-04-06-02:00"/>
        <s v="2018-05-30-21:00"/>
        <s v="2018-05-30-22:00"/>
        <s v="2018-05-30-23:00"/>
        <s v="2018-05-31-00:00"/>
        <s v="2018-05-31-01:00"/>
        <s v="2018-05-31-02:00"/>
        <s v="2018-05-31-03:00"/>
        <s v="2018-05-31-04:00"/>
        <s v="2018-05-31-05:00"/>
        <s v="2018-05-31-06:00"/>
        <s v="2018-05-31-07:00"/>
        <s v="2018-05-31-08:00"/>
        <s v="2018-05-31-09:00"/>
        <s v="2018-05-31-10:00"/>
        <s v="2018-05-31-11:00"/>
        <s v="2018-05-31-12:00"/>
        <s v="2018-05-31-13:00"/>
        <s v="2018-05-31-14:00"/>
        <s v="2018-05-31-15:00"/>
        <s v="2018-05-31-16:00"/>
        <s v="2018-05-31-17:00"/>
        <s v="2018-05-31-18:00"/>
        <s v="2018-05-31-19:00"/>
        <s v="2018-05-31-20:00"/>
        <s v="2018-05-31-21:00"/>
        <s v="2018-05-31-22:00"/>
        <s v="2018-05-31-23:00"/>
        <s v="2018-06-01-00:00"/>
        <s v="2018-06-01-01:00"/>
        <s v="2018-06-01-02:00"/>
        <s v="2018-06-01-03:00"/>
        <s v="2018-06-01-04:00"/>
        <s v="2018-06-01-05:00"/>
        <s v="2018-06-01-06:00"/>
        <s v="2018-06-01-07:00"/>
        <s v="2018-06-01-08:00"/>
        <s v="2018-06-01-09:00"/>
        <s v="2018-06-01-10:00"/>
        <s v="2018-06-01-11:00"/>
        <s v="2018-06-01-12:00"/>
        <s v="2018-06-01-13:00"/>
        <s v="2018-06-01-14:00"/>
        <s v="2018-06-01-15:00"/>
        <s v="2018-06-01-16:00"/>
        <s v="2018-06-03-17:00"/>
        <s v="2018-06-03-18:00"/>
        <s v="2018-06-03-19:00"/>
        <s v="2018-06-03-20:00"/>
        <s v="2018-06-03-21:00"/>
        <s v="2018-06-03-22:00"/>
        <s v="2018-06-03-23:00"/>
        <s v="2018-06-04-00:00"/>
        <s v="2018-06-04-01:00"/>
        <s v="2018-06-04-02:00"/>
        <s v="2018-06-04-03:00"/>
        <s v="2018-06-04-04:00"/>
        <s v="2018-06-04-05:00"/>
        <s v="2018-06-04-06:00"/>
        <s v="2018-06-04-07:00"/>
        <s v="2018-06-04-08:00"/>
        <s v="2018-06-04-09:00"/>
        <s v="2018-06-04-10:00"/>
        <s v="2017-10-12-03:00"/>
        <s v="2017-10-12-04:00"/>
        <s v="2017-10-12-05:00"/>
        <s v="2017-10-12-06:00"/>
        <s v="2017-10-12-07:00"/>
        <s v="2017-10-12-08:00"/>
        <s v="2017-10-12-09:00"/>
        <s v="2017-10-12-10:00"/>
        <s v="2017-10-12-11:00"/>
        <s v="2017-10-12-12:00"/>
        <s v="2017-10-12-13:00"/>
        <s v="2017-10-12-14:00"/>
        <s v="2017-10-12-15:00"/>
        <s v="2017-10-12-16:00"/>
        <s v="2017-10-12-17:00"/>
        <s v="2017-10-12-18:00"/>
        <s v="2017-10-12-19:00"/>
        <s v="2017-10-12-20:00"/>
        <s v="2017-10-12-21:00"/>
        <s v="2017-10-12-22:00"/>
        <s v="2017-10-12-23:00"/>
        <s v="2017-10-13-00:00"/>
        <s v="2017-10-13-01:00"/>
        <s v="2017-10-13-02:00"/>
        <s v="2017-10-13-03:00"/>
        <s v="2017-10-13-04:00"/>
        <s v="2017-10-13-05:00"/>
        <s v="2017-10-13-06:00"/>
        <s v="2017-10-13-07:00"/>
        <s v="2017-10-13-08:00"/>
        <s v="2017-10-13-09:00"/>
        <s v="2017-10-13-10:00"/>
        <s v="2017-10-13-11:00"/>
        <s v="2017-10-13-12:00"/>
        <s v="2017-10-13-13:00"/>
        <s v="2017-10-13-14:00"/>
        <s v="2017-10-13-15:00"/>
        <s v="2017-10-13-16:00"/>
        <s v="2017-10-15-17:00"/>
        <s v="2017-10-15-18:00"/>
        <s v="2017-10-15-19:00"/>
        <s v="2017-10-15-20:00"/>
        <s v="2017-10-15-21:00"/>
        <s v="2017-10-15-22:00"/>
        <s v="2017-10-15-23:00"/>
        <s v="2017-10-16-00:00"/>
        <s v="2017-10-16-01:00"/>
        <s v="2017-10-16-02:00"/>
        <s v="2017-10-16-03:00"/>
        <s v="2017-10-16-04:00"/>
        <s v="2017-10-16-05:00"/>
        <s v="2017-10-16-06:00"/>
        <s v="2017-10-16-07:00"/>
        <s v="2017-10-16-08:00"/>
        <s v="2017-10-16-09:00"/>
        <s v="2017-10-16-10:00"/>
        <s v="2017-10-16-11:00"/>
        <s v="2017-10-16-12:00"/>
        <s v="2017-10-16-13:00"/>
        <s v="2017-10-16-14:00"/>
        <s v="2017-10-16-15:00"/>
        <s v="2017-10-16-16:00"/>
        <s v="2017-12-08-11:00"/>
        <s v="2017-12-08-12:00"/>
        <s v="2017-12-08-13:00"/>
        <s v="2017-12-08-14:00"/>
        <s v="2017-12-08-15:00"/>
        <s v="2017-12-08-16:00"/>
        <s v="2017-12-10-17:00"/>
        <s v="2017-12-10-18:00"/>
        <s v="2017-12-10-19:00"/>
        <s v="2017-12-10-20:00"/>
        <s v="2017-12-10-21:00"/>
        <s v="2017-12-10-22:00"/>
        <s v="2017-12-10-23:00"/>
        <s v="2017-12-11-00:00"/>
        <s v="2017-12-11-01:00"/>
        <s v="2017-12-11-02:00"/>
        <s v="2017-12-11-03:00"/>
        <s v="2017-12-11-04:00"/>
        <s v="2017-12-11-05:00"/>
        <s v="2017-12-11-06:00"/>
        <s v="2017-12-11-07:00"/>
        <s v="2017-12-11-08:00"/>
        <s v="2017-12-11-09:00"/>
        <s v="2017-12-11-10:00"/>
        <s v="2017-12-11-11:00"/>
        <s v="2017-12-11-12:00"/>
        <s v="2017-12-11-13:00"/>
        <s v="2017-12-11-14:00"/>
        <s v="2017-12-11-15:00"/>
        <s v="2017-12-11-16:00"/>
        <s v="2017-12-11-17:00"/>
        <s v="2017-12-11-18:00"/>
        <s v="2017-12-11-19:00"/>
        <s v="2017-12-11-20:00"/>
        <s v="2017-12-11-21:00"/>
        <s v="2017-12-11-22:00"/>
        <s v="2017-12-11-23:00"/>
        <s v="2017-12-12-00:00"/>
        <s v="2017-12-12-01:00"/>
        <s v="2017-12-12-02:00"/>
        <s v="2017-12-12-03:00"/>
        <s v="2017-12-12-04:00"/>
        <s v="2017-12-12-05:00"/>
        <s v="2017-12-12-06:00"/>
        <s v="2017-12-12-07:00"/>
        <s v="2017-12-12-08:00"/>
        <s v="2017-12-12-09:00"/>
        <s v="2017-12-12-10:00"/>
        <s v="2017-12-12-11:00"/>
        <s v="2017-12-12-12:00"/>
        <s v="2017-12-12-13:00"/>
        <s v="2017-12-12-14:00"/>
        <s v="2017-12-12-15:00"/>
        <s v="2017-12-12-16:00"/>
        <s v="2017-12-12-17:00"/>
        <s v="2017-12-12-18:00"/>
        <s v="2017-12-12-19:00"/>
        <s v="2017-12-12-20:00"/>
        <s v="2017-12-12-21:00"/>
        <s v="2017-12-12-22:00"/>
        <s v="2017-12-12-23:00"/>
        <s v="2017-12-13-00:00"/>
        <s v="2018-02-07-19:00"/>
        <s v="2018-02-07-20:00"/>
        <s v="2018-02-07-21:00"/>
        <s v="2018-02-07-22:00"/>
        <s v="2018-02-07-23:00"/>
        <s v="2018-02-08-00:00"/>
        <s v="2018-02-08-01:00"/>
        <s v="2018-02-08-02:00"/>
        <s v="2018-02-08-03:00"/>
        <s v="2018-02-08-04:00"/>
        <s v="2018-02-08-05:00"/>
        <s v="2018-02-08-06:00"/>
        <s v="2018-02-08-07:00"/>
        <s v="2018-02-08-08:00"/>
        <s v="2018-02-08-09:00"/>
        <s v="2018-02-08-10:00"/>
        <s v="2018-02-08-11:00"/>
        <s v="2018-02-08-12:00"/>
        <s v="2018-02-08-13:00"/>
        <s v="2018-02-08-14:00"/>
        <s v="2018-02-08-15:00"/>
        <s v="2018-02-08-16:00"/>
        <s v="2018-02-08-17:00"/>
        <s v="2018-02-08-18:00"/>
        <s v="2018-02-08-19:00"/>
        <s v="2018-02-08-20:00"/>
        <s v="2018-02-08-21:00"/>
        <s v="2018-02-08-22:00"/>
        <s v="2018-02-08-23:00"/>
        <s v="2018-02-09-00:00"/>
        <s v="2018-02-09-01:00"/>
        <s v="2018-02-09-02:00"/>
        <s v="2018-02-09-03:00"/>
        <s v="2018-02-09-04:00"/>
        <s v="2018-02-09-05:00"/>
        <s v="2018-02-09-06:00"/>
        <s v="2018-02-09-07:00"/>
        <s v="2018-02-09-08:00"/>
        <s v="2018-02-09-09:00"/>
        <s v="2018-02-09-10:00"/>
        <s v="2018-02-09-11:00"/>
        <s v="2018-02-09-12:00"/>
        <s v="2018-02-09-13:00"/>
        <s v="2018-02-09-14:00"/>
        <s v="2018-02-09-15:00"/>
        <s v="2018-02-09-16:00"/>
        <s v="2018-02-11-17:00"/>
        <s v="2018-02-11-18:00"/>
        <s v="2018-02-11-19:00"/>
        <s v="2018-02-11-20:00"/>
        <s v="2018-02-11-21:00"/>
        <s v="2018-02-11-22:00"/>
        <s v="2018-02-11-23:00"/>
        <s v="2018-02-12-00:00"/>
        <s v="2018-02-12-01:00"/>
        <s v="2018-02-12-02:00"/>
        <s v="2018-02-12-03:00"/>
        <s v="2018-02-12-04:00"/>
        <s v="2018-02-12-05:00"/>
        <s v="2018-02-12-06:00"/>
        <s v="2018-02-12-07:00"/>
        <s v="2018-02-12-08:00"/>
        <s v="2018-04-06-03:00"/>
        <s v="2018-04-06-04:00"/>
        <s v="2018-04-06-05:00"/>
        <s v="2018-04-06-06:00"/>
        <s v="2018-04-06-07:00"/>
        <s v="2018-04-06-08:00"/>
        <s v="2018-04-06-09:00"/>
        <s v="2018-04-06-10:00"/>
        <s v="2018-04-06-11:00"/>
        <s v="2018-04-06-12:00"/>
        <s v="2018-04-06-13:00"/>
        <s v="2018-04-06-14:00"/>
        <s v="2018-04-06-15:00"/>
        <s v="2018-04-06-16:00"/>
        <s v="2018-04-08-17:00"/>
        <s v="2018-04-08-18:00"/>
        <s v="2018-04-08-19:00"/>
        <s v="2018-04-08-20:00"/>
        <s v="2018-04-08-21:00"/>
        <s v="2018-04-08-22:00"/>
        <s v="2018-04-08-23:00"/>
        <s v="2018-04-09-00:00"/>
        <s v="2018-04-09-01:00"/>
        <s v="2018-04-09-02:00"/>
        <s v="2018-04-09-03:00"/>
        <s v="2018-04-09-04:00"/>
        <s v="2018-04-09-05:00"/>
        <s v="2018-04-09-06:00"/>
        <s v="2018-04-09-07:00"/>
        <s v="2018-04-09-08:00"/>
        <s v="2018-04-09-09:00"/>
        <s v="2018-04-09-10:00"/>
        <s v="2018-04-09-11:00"/>
        <s v="2018-04-09-12:00"/>
        <s v="2018-04-09-13:00"/>
        <s v="2018-04-09-14:00"/>
        <s v="2018-04-09-15:00"/>
        <s v="2018-04-09-16:00"/>
        <s v="2018-04-09-17:00"/>
        <s v="2018-04-09-18:00"/>
        <s v="2018-04-09-19:00"/>
        <s v="2018-04-09-20:00"/>
        <s v="2018-04-09-21:00"/>
        <s v="2018-04-09-22:00"/>
        <s v="2018-04-09-23:00"/>
        <s v="2018-04-10-00:00"/>
        <s v="2018-04-10-01:00"/>
        <s v="2018-04-10-02:00"/>
        <s v="2018-04-10-03:00"/>
        <s v="2018-04-10-04:00"/>
        <s v="2018-04-10-05:00"/>
        <s v="2018-04-10-06:00"/>
        <s v="2018-04-10-07:00"/>
        <s v="2018-04-10-08:00"/>
        <s v="2018-04-10-09:00"/>
        <s v="2018-04-10-10:00"/>
        <s v="2018-04-10-11:00"/>
        <s v="2018-04-10-12:00"/>
        <s v="2018-04-10-13:00"/>
        <s v="2018-04-10-14:00"/>
        <s v="2018-04-10-15:00"/>
        <s v="2018-04-10-16:00"/>
        <s v="2018-06-04-11:00"/>
        <s v="2018-06-04-12:00"/>
        <s v="2018-06-04-13:00"/>
        <s v="2018-06-04-14:00"/>
        <s v="2018-06-04-15:00"/>
        <s v="2018-06-04-16:00"/>
        <s v="2018-06-04-17:00"/>
        <s v="2018-06-04-18:00"/>
        <s v="2018-06-04-19:00"/>
        <s v="2018-06-04-20:00"/>
        <s v="2018-06-04-21:00"/>
        <s v="2018-06-04-22:00"/>
        <s v="2018-06-04-23:00"/>
        <s v="2018-06-05-00:00"/>
        <s v="2018-06-05-01:00"/>
        <s v="2018-06-05-02:00"/>
        <s v="2018-06-05-03:00"/>
        <s v="2018-06-05-04:00"/>
        <s v="2018-06-05-05:00"/>
        <s v="2018-06-05-06:00"/>
        <s v="2018-06-05-07:00"/>
        <s v="2018-06-05-08:00"/>
        <s v="2018-06-05-09:00"/>
        <s v="2018-06-05-10:00"/>
        <s v="2018-06-05-11:00"/>
        <s v="2018-06-05-12:00"/>
        <s v="2018-06-05-13:00"/>
        <s v="2018-06-05-14:00"/>
        <s v="2018-06-05-15:00"/>
        <s v="2018-06-05-16:00"/>
        <s v="2018-06-05-17:00"/>
        <s v="2018-06-05-18:00"/>
        <s v="2018-06-05-19:00"/>
        <s v="2018-06-05-20:00"/>
        <s v="2018-06-05-21:00"/>
        <s v="2018-06-05-22:00"/>
        <s v="2018-06-05-23:00"/>
        <s v="2018-06-06-00:00"/>
        <s v="2018-06-06-01:00"/>
        <s v="2018-06-06-02:00"/>
        <s v="2018-06-06-03:00"/>
        <s v="2018-06-06-04:00"/>
        <s v="2018-06-06-05:00"/>
        <s v="2018-06-06-06:00"/>
        <s v="2018-06-06-07:00"/>
        <s v="2018-06-06-08:00"/>
        <s v="2018-06-06-09:00"/>
        <s v="2018-06-06-10:00"/>
        <s v="2018-06-06-11:00"/>
        <s v="2018-06-06-12:00"/>
        <s v="2018-06-06-13:00"/>
        <s v="2018-06-06-14:00"/>
        <s v="2018-06-06-15:00"/>
        <s v="2018-06-06-16:00"/>
        <s v="2018-06-06-17:00"/>
        <s v="2018-06-06-18:00"/>
        <s v="2018-06-06-19:00"/>
        <s v="2018-06-06-20:00"/>
        <s v="2018-06-06-21:00"/>
        <s v="2018-06-06-22:00"/>
        <s v="2018-06-06-23:00"/>
        <s v="2018-06-07-00:00"/>
        <s v="2017-10-16-17:00"/>
        <s v="2017-10-16-18:00"/>
        <s v="2017-10-16-19:00"/>
        <s v="2017-10-16-20:00"/>
        <s v="2017-10-16-21:00"/>
        <s v="2017-10-16-22:00"/>
        <s v="2017-10-16-23:00"/>
        <s v="2017-10-17-00:00"/>
        <s v="2017-10-17-01:00"/>
        <s v="2017-10-17-02:00"/>
        <s v="2017-10-17-03:00"/>
        <s v="2017-10-17-04:00"/>
        <s v="2017-10-17-05:00"/>
        <s v="2017-10-17-06:00"/>
        <s v="2017-10-17-07:00"/>
        <s v="2017-10-17-08:00"/>
        <s v="2017-10-17-09:00"/>
        <s v="2017-10-17-10:00"/>
        <s v="2017-10-17-11:00"/>
        <s v="2017-10-17-12:00"/>
        <s v="2017-10-17-13:00"/>
        <s v="2017-10-17-14:00"/>
        <s v="2017-10-17-15:00"/>
        <s v="2017-10-17-16:00"/>
        <s v="2017-10-17-17:00"/>
        <s v="2017-10-17-18:00"/>
        <s v="2017-10-17-19:00"/>
        <s v="2017-10-17-20:00"/>
        <s v="2017-10-17-21:00"/>
        <s v="2017-10-17-22:00"/>
        <s v="2017-10-17-23:00"/>
        <s v="2017-10-18-00:00"/>
        <s v="2017-10-18-01:00"/>
        <s v="2017-10-18-02:00"/>
        <s v="2017-10-18-03:00"/>
        <s v="2017-10-18-04:00"/>
        <s v="2017-10-18-05:00"/>
        <s v="2017-10-18-06:00"/>
        <s v="2017-10-18-07:00"/>
        <s v="2017-10-18-08:00"/>
        <s v="2017-10-18-09:00"/>
        <s v="2017-10-18-10:00"/>
        <s v="2017-10-18-11:00"/>
        <s v="2017-10-18-12:00"/>
        <s v="2017-10-18-13:00"/>
        <s v="2017-10-18-14:00"/>
        <s v="2017-10-18-15:00"/>
        <s v="2017-10-18-16:00"/>
        <s v="2017-10-18-17:00"/>
        <s v="2017-10-18-18:00"/>
        <s v="2017-10-18-19:00"/>
        <s v="2017-10-18-20:00"/>
        <s v="2017-10-18-21:00"/>
        <s v="2017-10-18-22:00"/>
        <s v="2017-10-18-23:00"/>
        <s v="2017-10-19-00:00"/>
        <s v="2017-10-19-01:00"/>
        <s v="2017-10-19-02:00"/>
        <s v="2017-10-19-03:00"/>
        <s v="2017-10-19-04:00"/>
        <s v="2017-10-19-05:00"/>
        <s v="2017-10-19-06:00"/>
        <s v="2017-12-13-01:00"/>
        <s v="2017-12-13-02:00"/>
        <s v="2017-12-13-03:00"/>
        <s v="2017-12-13-04:00"/>
        <s v="2017-12-13-05:00"/>
        <s v="2017-12-13-06:00"/>
        <s v="2017-12-13-07:00"/>
        <s v="2017-12-13-08:00"/>
        <s v="2017-12-13-09:00"/>
        <s v="2017-12-13-10:00"/>
        <s v="2017-12-13-11:00"/>
        <s v="2017-12-13-12:00"/>
        <s v="2017-12-13-13:00"/>
        <s v="2017-12-13-14:00"/>
        <s v="2017-12-13-15:00"/>
        <s v="2017-12-13-16:00"/>
        <s v="2017-12-13-17:00"/>
        <s v="2017-12-13-18:00"/>
        <s v="2017-12-13-19:00"/>
        <s v="2017-12-13-20:00"/>
        <s v="2017-12-13-21:00"/>
        <s v="2017-12-13-22:00"/>
        <s v="2017-12-13-23:00"/>
        <s v="2017-12-14-00:00"/>
        <s v="2017-12-14-01:00"/>
        <s v="2017-12-14-02:00"/>
        <s v="2017-12-14-03:00"/>
        <s v="2017-12-14-04:00"/>
        <s v="2017-12-14-05:00"/>
        <s v="2017-12-14-06:00"/>
        <s v="2017-12-14-07:00"/>
        <s v="2017-12-14-08:00"/>
        <s v="2017-12-14-09:00"/>
        <s v="2017-12-14-10:00"/>
        <s v="2017-12-14-11:00"/>
        <s v="2017-12-14-12:00"/>
        <s v="2017-12-14-13:00"/>
        <s v="2017-12-14-14:00"/>
        <s v="2017-12-14-15:00"/>
        <s v="2017-12-14-16:00"/>
        <s v="2017-12-14-17:00"/>
        <s v="2017-12-14-18:00"/>
        <s v="2017-12-14-19:00"/>
        <s v="2017-12-14-20:00"/>
        <s v="2017-12-14-21:00"/>
        <s v="2017-12-14-22:00"/>
        <s v="2017-12-14-23:00"/>
        <s v="2017-12-15-00:00"/>
        <s v="2017-12-15-01:00"/>
        <s v="2017-12-15-02:00"/>
        <s v="2017-12-15-03:00"/>
        <s v="2017-12-15-04:00"/>
        <s v="2017-12-15-05:00"/>
        <s v="2017-12-15-06:00"/>
        <s v="2017-12-15-07:00"/>
        <s v="2017-12-15-08:00"/>
        <s v="2017-12-15-09:00"/>
        <s v="2017-12-15-10:00"/>
        <s v="2017-12-15-11:00"/>
        <s v="2017-12-15-12:00"/>
        <s v="2017-12-15-13:00"/>
        <s v="2017-12-15-14:00"/>
        <s v="2018-02-12-09:00"/>
        <s v="2018-02-12-10:00"/>
        <s v="2018-02-12-11:00"/>
        <s v="2018-02-12-12:00"/>
        <s v="2018-02-12-13:00"/>
        <s v="2018-02-12-14:00"/>
        <s v="2018-02-12-15:00"/>
        <s v="2018-02-12-16:00"/>
        <s v="2018-02-12-17:00"/>
        <s v="2018-02-12-18:00"/>
        <s v="2018-02-12-19:00"/>
        <s v="2018-02-12-20:00"/>
        <s v="2018-02-12-21:00"/>
        <s v="2018-02-12-22:00"/>
        <s v="2018-02-12-23:00"/>
        <s v="2018-02-13-00:00"/>
        <s v="2018-02-13-01:00"/>
        <s v="2018-02-13-02:00"/>
        <s v="2018-02-13-03:00"/>
        <s v="2018-02-13-04:00"/>
        <s v="2018-02-13-05:00"/>
        <s v="2018-02-13-06:00"/>
        <s v="2018-02-13-07:00"/>
        <s v="2018-02-13-08:00"/>
        <s v="2018-02-13-09:00"/>
        <s v="2018-02-13-10:00"/>
        <s v="2018-02-13-11:00"/>
        <s v="2018-02-13-12:00"/>
        <s v="2018-02-13-13:00"/>
        <s v="2018-02-13-14:00"/>
        <s v="2018-02-13-15:00"/>
        <s v="2018-02-13-16:00"/>
        <s v="2018-02-13-17:00"/>
        <s v="2018-02-13-18:00"/>
        <s v="2018-02-13-19:00"/>
        <s v="2018-02-13-20:00"/>
        <s v="2018-02-13-21:00"/>
        <s v="2018-02-13-22:00"/>
        <s v="2018-02-13-23:00"/>
        <s v="2018-02-14-00:00"/>
        <s v="2018-02-14-01:00"/>
        <s v="2018-02-14-02:00"/>
        <s v="2018-02-14-03:00"/>
        <s v="2018-02-14-04:00"/>
        <s v="2018-02-14-05:00"/>
        <s v="2018-02-14-06:00"/>
        <s v="2018-02-14-07:00"/>
        <s v="2018-02-14-08:00"/>
        <s v="2018-02-14-09:00"/>
        <s v="2018-02-14-10:00"/>
        <s v="2018-02-14-11:00"/>
        <s v="2018-02-14-12:00"/>
        <s v="2018-02-14-13:00"/>
        <s v="2018-02-14-14:00"/>
        <s v="2018-02-14-15:00"/>
        <s v="2018-02-14-16:00"/>
        <s v="2018-02-14-17:00"/>
        <s v="2018-02-14-18:00"/>
        <s v="2018-02-14-19:00"/>
        <s v="2018-02-14-20:00"/>
        <s v="2018-02-14-21:00"/>
        <s v="2018-02-14-22:00"/>
        <s v="2018-04-10-17:00"/>
        <s v="2018-04-10-18:00"/>
        <s v="2018-04-10-19:00"/>
        <s v="2018-04-10-20:00"/>
        <s v="2018-04-10-21:00"/>
        <s v="2018-04-10-22:00"/>
        <s v="2018-04-10-23:00"/>
        <s v="2018-04-11-00:00"/>
        <s v="2018-04-11-01:00"/>
        <s v="2018-04-11-02:00"/>
        <s v="2018-04-11-03:00"/>
        <s v="2018-04-11-04:00"/>
        <s v="2018-04-11-05:00"/>
        <s v="2018-04-11-06:00"/>
        <s v="2018-04-11-07:00"/>
        <s v="2018-04-11-08:00"/>
        <s v="2018-04-11-09:00"/>
        <s v="2018-04-11-10:00"/>
        <s v="2018-04-11-11:00"/>
        <s v="2018-04-11-12:00"/>
        <s v="2018-04-11-13:00"/>
        <s v="2018-04-11-14:00"/>
        <s v="2018-04-11-15:00"/>
        <s v="2018-04-11-16:00"/>
        <s v="2018-04-11-17:00"/>
        <s v="2018-04-11-18:00"/>
        <s v="2018-04-11-19:00"/>
        <s v="2018-04-11-20:00"/>
        <s v="2018-04-11-21:00"/>
        <s v="2018-04-11-22:00"/>
        <s v="2018-04-11-23:00"/>
        <s v="2018-04-12-00:00"/>
        <s v="2018-04-12-01:00"/>
        <s v="2018-04-12-02:00"/>
        <s v="2018-04-12-03:00"/>
        <s v="2018-04-12-04:00"/>
        <s v="2018-04-12-05:00"/>
        <s v="2018-04-12-06:00"/>
        <s v="2018-04-12-07:00"/>
        <s v="2018-04-12-08:00"/>
        <s v="2018-04-12-09:00"/>
        <s v="2018-04-12-10:00"/>
        <s v="2018-04-12-11:00"/>
        <s v="2018-04-12-12:00"/>
        <s v="2018-04-12-13:00"/>
        <s v="2018-04-12-14:00"/>
        <s v="2018-04-12-15:00"/>
        <s v="2018-04-12-16:00"/>
        <s v="2018-04-12-17:00"/>
        <s v="2018-04-12-18:00"/>
        <s v="2018-04-12-19:00"/>
        <s v="2018-04-12-20:00"/>
        <s v="2018-04-12-21:00"/>
        <s v="2018-04-12-22:00"/>
        <s v="2018-04-12-23:00"/>
        <s v="2018-04-13-00:00"/>
        <s v="2018-04-13-01:00"/>
        <s v="2018-04-13-02:00"/>
        <s v="2018-04-13-03:00"/>
        <s v="2018-04-13-04:00"/>
        <s v="2018-04-13-05:00"/>
        <s v="2018-04-13-06:00"/>
        <s v="2018-06-07-01:00"/>
        <s v="2018-06-07-02:00"/>
        <s v="2018-06-07-03:00"/>
        <s v="2018-06-07-04:00"/>
        <s v="2018-06-07-05:00"/>
        <s v="2018-06-07-06:00"/>
        <s v="2018-06-07-07:00"/>
        <s v="2018-06-07-08:00"/>
        <s v="2018-06-07-09:00"/>
        <s v="2018-06-07-10:00"/>
        <s v="2018-06-07-11:00"/>
        <s v="2018-06-07-12:00"/>
        <s v="2018-06-07-13:00"/>
        <s v="2018-06-07-14:00"/>
        <s v="2018-06-07-15:00"/>
        <s v="2018-06-07-16:00"/>
        <s v="2018-06-07-17:00"/>
        <s v="2018-06-07-18:00"/>
        <s v="2018-06-07-19:00"/>
        <s v="2018-06-07-20:00"/>
        <s v="2018-06-07-21:00"/>
        <s v="2018-06-07-22:00"/>
        <s v="2018-06-07-23:00"/>
        <s v="2018-06-08-00:00"/>
        <s v="2018-06-08-01:00"/>
        <s v="2018-06-08-02:00"/>
        <s v="2018-06-08-03:00"/>
        <s v="2018-06-08-04:00"/>
        <s v="2018-06-08-05:00"/>
        <s v="2018-06-08-06:00"/>
        <s v="2018-06-08-07:00"/>
        <s v="2018-06-08-08:00"/>
        <s v="2018-06-08-09:00"/>
        <s v="2018-06-08-10:00"/>
        <s v="2018-06-08-11:00"/>
        <s v="2018-06-08-12:00"/>
        <s v="2018-06-08-13:00"/>
        <s v="2018-06-08-14:00"/>
        <s v="2018-06-08-15:00"/>
        <s v="2018-06-08-16:00"/>
        <s v="2018-06-10-17:00"/>
        <s v="2018-06-10-18:00"/>
        <s v="2018-06-10-19:00"/>
        <s v="2018-06-10-20:00"/>
        <s v="2018-06-10-21:00"/>
        <s v="2018-06-10-22:00"/>
        <s v="2018-06-10-23:00"/>
        <s v="2018-06-11-00:00"/>
        <s v="2018-06-11-01:00"/>
        <s v="2018-06-11-02:00"/>
        <s v="2018-06-11-03:00"/>
        <s v="2018-06-11-04:00"/>
        <s v="2018-06-11-05:00"/>
        <s v="2018-06-11-06:00"/>
        <s v="2018-06-11-07:00"/>
        <s v="2018-06-11-08:00"/>
        <s v="2018-06-11-09:00"/>
        <s v="2018-06-11-10:00"/>
        <s v="2018-06-11-11:00"/>
        <s v="2018-06-11-12:00"/>
        <s v="2018-06-11-13:00"/>
        <s v="2018-06-11-14:00"/>
        <s v="2017-10-19-07:00"/>
        <s v="2017-10-19-08:00"/>
        <s v="2017-10-19-09:00"/>
        <s v="2017-10-19-10:00"/>
        <s v="2017-10-19-11:00"/>
        <s v="2017-10-19-12:00"/>
        <s v="2017-10-19-13:00"/>
        <s v="2017-10-19-14:00"/>
        <s v="2017-10-19-15:00"/>
        <s v="2017-10-19-16:00"/>
        <s v="2017-10-19-17:00"/>
        <s v="2017-10-19-18:00"/>
        <s v="2017-10-19-19:00"/>
        <s v="2017-10-19-20:00"/>
        <s v="2017-10-19-21:00"/>
        <s v="2017-10-19-22:00"/>
        <s v="2017-10-19-23:00"/>
        <s v="2017-10-20-00:00"/>
        <s v="2017-10-20-01:00"/>
        <s v="2017-10-20-02:00"/>
        <s v="2017-10-20-03:00"/>
        <s v="2017-10-20-04:00"/>
        <s v="2017-10-20-05:00"/>
        <s v="2017-10-20-06:00"/>
        <s v="2017-10-20-07:00"/>
        <s v="2017-10-20-08:00"/>
        <s v="2017-10-20-09:00"/>
        <s v="2017-10-20-10:00"/>
        <s v="2017-10-20-11:00"/>
        <s v="2017-10-20-12:00"/>
        <s v="2017-10-20-13:00"/>
        <s v="2017-10-20-14:00"/>
        <s v="2017-10-20-15:00"/>
        <s v="2017-10-20-16:00"/>
        <s v="2017-10-22-17:00"/>
        <s v="2017-10-22-18:00"/>
        <s v="2017-10-22-19:00"/>
        <s v="2017-10-22-20:00"/>
        <s v="2017-10-22-21:00"/>
        <s v="2017-10-22-22:00"/>
        <s v="2017-10-22-23:00"/>
        <s v="2017-10-23-00:00"/>
        <s v="2017-10-23-01:00"/>
        <s v="2017-10-23-02:00"/>
        <s v="2017-10-23-03:00"/>
        <s v="2017-10-23-04:00"/>
        <s v="2017-10-23-05:00"/>
        <s v="2017-10-23-06:00"/>
        <s v="2017-10-23-07:00"/>
        <s v="2017-10-23-08:00"/>
        <s v="2017-10-23-09:00"/>
        <s v="2017-10-23-10:00"/>
        <s v="2017-10-23-11:00"/>
        <s v="2017-10-23-12:00"/>
        <s v="2017-10-23-13:00"/>
        <s v="2017-10-23-14:00"/>
        <s v="2017-10-23-15:00"/>
        <s v="2017-10-23-16:00"/>
        <s v="2017-10-23-17:00"/>
        <s v="2017-10-23-18:00"/>
        <s v="2017-10-23-19:00"/>
        <s v="2017-10-23-20:00"/>
        <s v="2017-12-15-15:00"/>
        <s v="2017-12-15-16:00"/>
        <s v="2017-12-17-17:00"/>
        <s v="2017-12-17-18:00"/>
        <s v="2017-12-17-19:00"/>
        <s v="2017-12-17-20:00"/>
        <s v="2017-12-17-21:00"/>
        <s v="2017-12-17-22:00"/>
        <s v="2017-12-17-23:00"/>
        <s v="2017-12-18-00:00"/>
        <s v="2017-12-18-01:00"/>
        <s v="2017-12-18-02:00"/>
        <s v="2017-12-18-03:00"/>
        <s v="2017-12-18-04:00"/>
        <s v="2017-12-18-05:00"/>
        <s v="2017-12-18-06:00"/>
        <s v="2017-12-18-07:00"/>
        <s v="2017-12-18-08:00"/>
        <s v="2017-12-18-09:00"/>
        <s v="2017-12-18-10:00"/>
        <s v="2017-12-18-11:00"/>
        <s v="2017-12-18-12:00"/>
        <s v="2017-12-18-13:00"/>
        <s v="2017-12-18-14:00"/>
        <s v="2017-12-18-15:00"/>
        <s v="2017-12-18-16:00"/>
        <s v="2017-12-18-17:00"/>
        <s v="2017-12-18-18:00"/>
        <s v="2017-12-18-19:00"/>
        <s v="2017-12-18-20:00"/>
        <s v="2017-12-18-21:00"/>
        <s v="2017-12-18-22:00"/>
        <s v="2017-12-18-23:00"/>
        <s v="2017-12-19-00:00"/>
        <s v="2017-12-19-01:00"/>
        <s v="2017-12-19-02:00"/>
        <s v="2017-12-19-03:00"/>
        <s v="2017-12-19-04:00"/>
        <s v="2017-12-19-05:00"/>
        <s v="2017-12-19-06:00"/>
        <s v="2017-12-19-07:00"/>
        <s v="2017-12-19-08:00"/>
        <s v="2017-12-19-09:00"/>
        <s v="2017-12-19-10:00"/>
        <s v="2017-12-19-11:00"/>
        <s v="2017-12-19-12:00"/>
        <s v="2017-12-19-13:00"/>
        <s v="2017-12-19-14:00"/>
        <s v="2017-12-19-15:00"/>
        <s v="2017-12-19-16:00"/>
        <s v="2017-12-19-17:00"/>
        <s v="2017-12-19-18:00"/>
        <s v="2017-12-19-19:00"/>
        <s v="2017-12-19-20:00"/>
        <s v="2017-12-19-21:00"/>
        <s v="2017-12-19-22:00"/>
        <s v="2017-12-19-23:00"/>
        <s v="2017-12-20-00:00"/>
        <s v="2017-12-20-01:00"/>
        <s v="2017-12-20-02:00"/>
        <s v="2017-12-20-03:00"/>
        <s v="2017-12-20-04:00"/>
        <s v="2018-02-14-23:00"/>
        <s v="2018-02-15-00:00"/>
        <s v="2018-02-15-01:00"/>
        <s v="2018-02-15-02:00"/>
        <s v="2018-02-15-03:00"/>
        <s v="2018-02-15-04:00"/>
        <s v="2018-02-15-05:00"/>
        <s v="2018-02-15-06:00"/>
        <s v="2018-02-15-07:00"/>
        <s v="2018-02-15-08:00"/>
        <s v="2018-02-15-09:00"/>
        <s v="2018-02-15-10:00"/>
        <s v="2018-02-15-11:00"/>
        <s v="2018-02-15-12:00"/>
        <s v="2018-02-15-13:00"/>
        <s v="2018-02-15-14:00"/>
        <s v="2018-02-15-15:00"/>
        <s v="2018-02-15-16:00"/>
        <s v="2018-02-15-17:00"/>
        <s v="2018-02-15-18:00"/>
        <s v="2018-02-15-19:00"/>
        <s v="2018-02-15-20:00"/>
        <s v="2018-02-15-21:00"/>
        <s v="2018-02-15-22:00"/>
        <s v="2018-02-15-23:00"/>
        <s v="2018-02-16-00:00"/>
        <s v="2018-02-16-01:00"/>
        <s v="2018-02-16-02:00"/>
        <s v="2018-02-16-03:00"/>
        <s v="2018-02-16-04:00"/>
        <s v="2018-02-16-05:00"/>
        <s v="2018-02-16-06:00"/>
        <s v="2018-02-16-07:00"/>
        <s v="2018-02-16-08:00"/>
        <s v="2018-02-16-09:00"/>
        <s v="2018-02-16-10:00"/>
        <s v="2018-02-16-11:00"/>
        <s v="2018-02-16-12:00"/>
        <s v="2018-02-16-13:00"/>
        <s v="2018-02-16-14:00"/>
        <s v="2018-02-16-15:00"/>
        <s v="2018-02-16-16:00"/>
        <s v="2018-02-18-17:00"/>
        <s v="2018-02-18-18:00"/>
        <s v="2018-02-18-19:00"/>
        <s v="2018-02-18-20:00"/>
        <s v="2018-02-18-21:00"/>
        <s v="2018-02-18-22:00"/>
        <s v="2018-02-18-23:00"/>
        <s v="2018-02-19-00:00"/>
        <s v="2018-02-19-01:00"/>
        <s v="2018-02-19-02:00"/>
        <s v="2018-02-19-03:00"/>
        <s v="2018-02-19-04:00"/>
        <s v="2018-02-19-05:00"/>
        <s v="2018-02-19-06:00"/>
        <s v="2018-02-19-07:00"/>
        <s v="2018-02-19-08:00"/>
        <s v="2018-02-19-09:00"/>
        <s v="2018-02-19-10:00"/>
        <s v="2018-02-19-11:00"/>
        <s v="2018-02-19-12:00"/>
        <s v="2018-04-13-07:00"/>
        <s v="2018-04-13-08:00"/>
        <s v="2018-04-13-09:00"/>
        <s v="2018-04-13-10:00"/>
        <s v="2018-04-13-11:00"/>
        <s v="2018-04-13-12:00"/>
        <s v="2018-04-13-13:00"/>
        <s v="2018-04-13-14:00"/>
        <s v="2018-04-13-15:00"/>
        <s v="2018-04-13-16:00"/>
        <s v="2018-04-15-17:00"/>
        <s v="2018-04-15-18:00"/>
        <s v="2018-04-15-19:00"/>
        <s v="2018-04-15-20:00"/>
        <s v="2018-04-15-21:00"/>
        <s v="2018-04-15-22:00"/>
        <s v="2018-04-15-23:00"/>
        <s v="2018-04-16-00:00"/>
        <s v="2018-04-16-01:00"/>
        <s v="2018-04-16-02:00"/>
        <s v="2018-04-16-03:00"/>
        <s v="2018-04-16-04:00"/>
        <s v="2018-04-16-05:00"/>
        <s v="2018-04-16-06:00"/>
        <s v="2018-04-16-07:00"/>
        <s v="2018-04-16-08:00"/>
        <s v="2018-04-16-09:00"/>
        <s v="2018-04-16-10:00"/>
        <s v="2018-04-16-11:00"/>
        <s v="2018-04-16-12:00"/>
        <s v="2018-04-16-13:00"/>
        <s v="2018-04-16-14:00"/>
        <s v="2018-04-16-15:00"/>
        <s v="2018-04-16-16:00"/>
        <s v="2018-04-16-17:00"/>
        <s v="2018-04-16-18:00"/>
        <s v="2018-04-16-19:00"/>
        <s v="2018-04-16-20:00"/>
        <s v="2018-04-16-21:00"/>
        <s v="2018-04-16-22:00"/>
        <s v="2018-04-16-23:00"/>
        <s v="2018-04-17-00:00"/>
        <s v="2018-04-17-01:00"/>
        <s v="2018-04-17-02:00"/>
        <s v="2018-04-17-03:00"/>
        <s v="2018-04-17-04:00"/>
        <s v="2018-04-17-05:00"/>
        <s v="2018-04-17-06:00"/>
        <s v="2018-04-17-07:00"/>
        <s v="2018-04-17-08:00"/>
        <s v="2018-04-17-09:00"/>
        <s v="2018-04-17-10:00"/>
        <s v="2018-04-17-11:00"/>
        <s v="2018-04-17-12:00"/>
        <s v="2018-04-17-13:00"/>
        <s v="2018-04-17-14:00"/>
        <s v="2018-04-17-15:00"/>
        <s v="2018-04-17-16:00"/>
        <s v="2018-04-17-17:00"/>
        <s v="2018-04-17-18:00"/>
        <s v="2018-04-17-19:00"/>
        <s v="2018-04-17-20:00"/>
        <s v="2018-06-11-15:00"/>
        <s v="2018-06-11-16:00"/>
        <s v="2018-06-11-17:00"/>
        <s v="2018-06-11-18:00"/>
        <s v="2018-06-11-19:00"/>
        <s v="2018-06-11-20:00"/>
        <s v="2018-06-11-21:00"/>
        <s v="2018-06-11-22:00"/>
        <s v="2018-06-11-23:00"/>
        <s v="2018-06-12-00:00"/>
        <s v="2018-06-12-01:00"/>
        <s v="2018-06-12-02:00"/>
        <s v="2018-06-12-03:00"/>
        <s v="2018-06-12-04:00"/>
        <s v="2018-06-12-05:00"/>
        <s v="2018-06-12-06:00"/>
        <s v="2018-06-12-07:00"/>
        <s v="2018-06-12-08:00"/>
        <s v="2018-06-12-09:00"/>
        <s v="2018-06-12-10:00"/>
        <s v="2018-06-12-11:00"/>
        <s v="2018-06-12-12:00"/>
        <s v="2018-06-12-13:00"/>
        <s v="2018-06-12-14:00"/>
        <s v="2018-06-12-15:00"/>
        <s v="2018-06-12-16:00"/>
        <s v="2018-06-12-17:00"/>
        <s v="2018-06-12-18:00"/>
        <s v="2018-06-12-19:00"/>
        <s v="2018-06-12-20:00"/>
        <s v="2018-06-12-21:00"/>
        <s v="2018-06-12-22:00"/>
        <s v="2018-06-12-23:00"/>
        <s v="2018-06-13-00:00"/>
        <s v="2018-06-13-01:00"/>
        <s v="2018-06-13-02:00"/>
        <s v="2018-06-13-03:00"/>
        <s v="2018-06-13-04:00"/>
        <s v="2018-06-13-05:00"/>
        <s v="2018-06-13-06:00"/>
        <s v="2018-06-13-07:00"/>
        <s v="2018-06-13-08:00"/>
        <s v="2018-06-13-09:00"/>
        <s v="2018-06-13-10:00"/>
        <s v="2018-06-13-11:00"/>
        <s v="2018-06-13-12:00"/>
        <s v="2018-06-13-13:00"/>
        <s v="2018-06-13-14:00"/>
        <s v="2018-06-13-15:00"/>
        <s v="2018-06-13-16:00"/>
        <s v="2018-06-13-17:00"/>
        <s v="2018-06-13-18:00"/>
        <s v="2018-06-13-19:00"/>
        <s v="2018-06-13-20:00"/>
        <s v="2018-06-13-21:00"/>
        <s v="2018-06-13-22:00"/>
        <s v="2018-06-13-23:00"/>
        <s v="2018-06-14-00:00"/>
        <s v="2018-06-14-01:00"/>
        <s v="2018-06-14-02:00"/>
        <s v="2018-06-14-03:00"/>
        <s v="2018-06-14-04:00"/>
        <s v="2017-10-23-21:00"/>
        <s v="2017-10-23-22:00"/>
        <s v="2017-10-23-23:00"/>
        <s v="2017-10-24-00:00"/>
        <s v="2017-10-24-01:00"/>
        <s v="2017-10-24-02:00"/>
        <s v="2017-10-24-03:00"/>
        <s v="2017-10-24-04:00"/>
        <s v="2017-10-24-05:00"/>
        <s v="2017-10-24-06:00"/>
        <s v="2017-10-24-07:00"/>
        <s v="2017-10-24-08:00"/>
        <s v="2017-10-24-09:00"/>
        <s v="2017-10-24-10:00"/>
        <s v="2017-10-24-11:00"/>
        <s v="2017-10-24-12:00"/>
        <s v="2017-10-24-13:00"/>
        <s v="2017-10-24-14:00"/>
        <s v="2017-10-24-15:00"/>
        <s v="2017-10-24-16:00"/>
        <s v="2017-10-24-17:00"/>
        <s v="2017-10-24-18:00"/>
        <s v="2017-10-24-19:00"/>
        <s v="2017-10-24-20:00"/>
        <s v="2017-10-24-21:00"/>
        <s v="2017-10-24-22:00"/>
        <s v="2017-10-24-23:00"/>
        <s v="2017-10-25-00:00"/>
        <s v="2017-10-25-01:00"/>
        <s v="2017-10-25-02:00"/>
        <s v="2017-10-25-03:00"/>
        <s v="2017-10-25-04:00"/>
        <s v="2017-10-25-05:00"/>
        <s v="2017-10-25-06:00"/>
        <s v="2017-10-25-07:00"/>
        <s v="2017-10-25-08:00"/>
        <s v="2017-10-25-09:00"/>
        <s v="2017-10-25-10:00"/>
        <s v="2017-10-25-11:00"/>
        <s v="2017-10-25-12:00"/>
        <s v="2017-10-25-13:00"/>
        <s v="2017-10-25-14:00"/>
        <s v="2017-10-25-15:00"/>
        <s v="2017-10-25-16:00"/>
        <s v="2017-10-25-17:00"/>
        <s v="2017-10-25-18:00"/>
        <s v="2017-10-25-19:00"/>
        <s v="2017-10-25-20:00"/>
        <s v="2017-10-25-21:00"/>
        <s v="2017-10-25-22:00"/>
        <s v="2017-10-25-23:00"/>
        <s v="2017-10-26-00:00"/>
        <s v="2017-10-26-01:00"/>
        <s v="2017-10-26-02:00"/>
        <s v="2017-10-26-03:00"/>
        <s v="2017-10-26-04:00"/>
        <s v="2017-10-26-05:00"/>
        <s v="2017-10-26-06:00"/>
        <s v="2017-10-26-07:00"/>
        <s v="2017-10-26-08:00"/>
        <s v="2017-10-26-09:00"/>
        <s v="2017-10-26-10:00"/>
        <s v="2017-12-20-05:00"/>
        <s v="2017-12-20-06:00"/>
        <s v="2017-12-20-07:00"/>
        <s v="2017-12-20-08:00"/>
        <s v="2017-12-20-09:00"/>
        <s v="2017-12-20-10:00"/>
        <s v="2017-12-20-11:00"/>
        <s v="2017-12-20-12:00"/>
        <s v="2017-12-20-13:00"/>
        <s v="2017-12-20-14:00"/>
        <s v="2017-12-20-15:00"/>
        <s v="2017-12-20-16:00"/>
        <s v="2017-12-20-17:00"/>
        <s v="2017-12-20-18:00"/>
        <s v="2017-12-20-19:00"/>
        <s v="2017-12-20-20:00"/>
        <s v="2017-12-20-21:00"/>
        <s v="2017-12-20-22:00"/>
        <s v="2017-12-20-23:00"/>
        <s v="2017-12-21-00:00"/>
        <s v="2017-12-21-01:00"/>
        <s v="2017-12-21-02:00"/>
        <s v="2017-12-21-03:00"/>
        <s v="2017-12-21-04:00"/>
        <s v="2017-12-21-05:00"/>
        <s v="2017-12-21-06:00"/>
        <s v="2017-12-21-07:00"/>
        <s v="2017-12-21-08:00"/>
        <s v="2017-12-21-09:00"/>
        <s v="2017-12-21-10:00"/>
        <s v="2017-12-21-11:00"/>
        <s v="2017-12-21-12:00"/>
        <s v="2017-12-21-13:00"/>
        <s v="2017-12-21-14:00"/>
        <s v="2017-12-21-15:00"/>
        <s v="2017-12-21-16:00"/>
        <s v="2017-12-21-17:00"/>
        <s v="2017-12-21-18:00"/>
        <s v="2017-12-21-19:00"/>
        <s v="2017-12-21-20:00"/>
        <s v="2017-12-21-21:00"/>
        <s v="2017-12-21-22:00"/>
        <s v="2017-12-21-23:00"/>
        <s v="2017-12-22-00:00"/>
        <s v="2017-12-22-01:00"/>
        <s v="2017-12-22-02:00"/>
        <s v="2017-12-22-03:00"/>
        <s v="2017-12-22-04:00"/>
        <s v="2017-12-22-05:00"/>
        <s v="2017-12-22-06:00"/>
        <s v="2017-12-22-07:00"/>
        <s v="2017-12-22-08:00"/>
        <s v="2017-12-22-09:00"/>
        <s v="2017-12-22-10:00"/>
        <s v="2017-12-22-11:00"/>
        <s v="2017-12-22-12:00"/>
        <s v="2017-12-22-13:00"/>
        <s v="2017-12-22-14:00"/>
        <s v="2017-12-22-15:00"/>
        <s v="2017-12-22-16:00"/>
        <s v="2017-12-25-17:00"/>
        <s v="2017-12-25-18:00"/>
        <s v="2018-02-19-13:00"/>
        <s v="2018-02-19-14:00"/>
        <s v="2018-02-19-15:00"/>
        <s v="2018-02-19-16:00"/>
        <s v="2018-02-19-17:00"/>
        <s v="2018-02-19-18:00"/>
        <s v="2018-02-19-19:00"/>
        <s v="2018-02-19-20:00"/>
        <s v="2018-02-19-21:00"/>
        <s v="2018-02-19-22:00"/>
        <s v="2018-02-19-23:00"/>
        <s v="2018-02-20-00:00"/>
        <s v="2018-02-20-01:00"/>
        <s v="2018-02-20-02:00"/>
        <s v="2018-02-20-03:00"/>
        <s v="2018-02-20-04:00"/>
        <s v="2018-02-20-05:00"/>
        <s v="2018-02-20-06:00"/>
        <s v="2018-02-20-07:00"/>
        <s v="2018-02-20-08:00"/>
        <s v="2018-02-20-09:00"/>
        <s v="2018-02-20-10:00"/>
        <s v="2018-02-20-11:00"/>
        <s v="2018-02-20-12:00"/>
        <s v="2018-02-20-13:00"/>
        <s v="2018-02-20-14:00"/>
        <s v="2018-02-20-15:00"/>
        <s v="2018-02-20-16:00"/>
        <s v="2018-02-20-17:00"/>
        <s v="2018-02-20-18:00"/>
        <s v="2018-02-20-19:00"/>
        <s v="2018-02-20-20:00"/>
        <s v="2018-02-20-21:00"/>
        <s v="2018-02-20-22:00"/>
        <s v="2018-02-20-23:00"/>
        <s v="2018-02-21-00:00"/>
        <s v="2018-02-21-01:00"/>
        <s v="2018-02-21-02:00"/>
        <s v="2018-02-21-03:00"/>
        <s v="2018-02-21-04:00"/>
        <s v="2018-02-21-05:00"/>
        <s v="2018-02-21-06:00"/>
        <s v="2018-02-21-07:00"/>
        <s v="2018-02-21-08:00"/>
        <s v="2018-02-21-09:00"/>
        <s v="2018-02-21-10:00"/>
        <s v="2018-02-21-11:00"/>
        <s v="2018-02-21-12:00"/>
        <s v="2018-02-21-13:00"/>
        <s v="2018-02-21-14:00"/>
        <s v="2018-02-21-15:00"/>
        <s v="2018-02-21-16:00"/>
        <s v="2018-02-21-17:00"/>
        <s v="2018-02-21-18:00"/>
        <s v="2018-02-21-19:00"/>
        <s v="2018-02-21-20:00"/>
        <s v="2018-02-21-21:00"/>
        <s v="2018-02-21-22:00"/>
        <s v="2018-02-21-23:00"/>
        <s v="2018-02-22-00:00"/>
        <s v="2018-02-22-01:00"/>
        <s v="2018-02-22-02:00"/>
        <s v="2018-04-17-21:00"/>
        <s v="2018-04-17-22:00"/>
        <s v="2018-04-17-23:00"/>
        <s v="2018-04-18-00:00"/>
        <s v="2018-04-18-01:00"/>
        <s v="2018-04-18-02:00"/>
        <s v="2018-04-18-03:00"/>
        <s v="2018-04-18-04:00"/>
        <s v="2018-04-18-05:00"/>
        <s v="2018-04-18-06:00"/>
        <s v="2018-04-18-07:00"/>
        <s v="2018-04-18-08:00"/>
        <s v="2018-04-18-09:00"/>
        <s v="2018-04-18-10:00"/>
        <s v="2018-04-18-11:00"/>
        <s v="2018-04-18-12:00"/>
        <s v="2018-04-18-13:00"/>
        <s v="2018-04-18-14:00"/>
        <s v="2018-04-18-15:00"/>
        <s v="2018-04-18-16:00"/>
        <s v="2018-04-18-17:00"/>
        <s v="2018-04-18-18:00"/>
        <s v="2018-04-18-19:00"/>
        <s v="2018-04-18-20:00"/>
        <s v="2018-04-18-21:00"/>
        <s v="2018-04-18-22:00"/>
        <s v="2018-04-18-23:00"/>
        <s v="2018-04-19-00:00"/>
        <s v="2018-04-19-01:00"/>
        <s v="2018-04-19-02:00"/>
        <s v="2018-04-19-03:00"/>
        <s v="2018-04-19-04:00"/>
        <s v="2018-04-19-05:00"/>
        <s v="2018-04-19-06:00"/>
        <s v="2018-04-19-07:00"/>
        <s v="2018-04-19-08:00"/>
        <s v="2018-04-19-09:00"/>
        <s v="2018-04-19-10:00"/>
        <s v="2018-04-19-11:00"/>
        <s v="2018-04-19-12:00"/>
        <s v="2018-04-19-13:00"/>
        <s v="2018-04-19-14:00"/>
        <s v="2018-04-19-15:00"/>
        <s v="2018-04-19-16:00"/>
        <s v="2018-04-19-17:00"/>
        <s v="2018-04-19-18:00"/>
        <s v="2018-04-19-19:00"/>
        <s v="2018-04-19-20:00"/>
        <s v="2018-04-19-21:00"/>
        <s v="2018-04-19-22:00"/>
        <s v="2018-04-19-23:00"/>
        <s v="2018-04-20-00:00"/>
        <s v="2018-04-20-01:00"/>
        <s v="2018-04-20-02:00"/>
        <s v="2018-04-20-03:00"/>
        <s v="2018-04-20-04:00"/>
        <s v="2018-04-20-05:00"/>
        <s v="2018-04-20-06:00"/>
        <s v="2018-04-20-07:00"/>
        <s v="2018-04-20-08:00"/>
        <s v="2018-04-20-09:00"/>
        <s v="2018-04-20-10:00"/>
        <s v="2018-06-14-05:00"/>
        <s v="2018-06-14-06:00"/>
        <s v="2018-06-14-07:00"/>
        <s v="2018-06-14-08:00"/>
        <s v="2018-06-14-09:00"/>
        <s v="2018-06-14-10:00"/>
        <s v="2018-06-14-11:00"/>
        <s v="2018-06-14-12:00"/>
        <s v="2018-06-14-13:00"/>
        <s v="2018-06-14-14:00"/>
        <s v="2018-06-14-15:00"/>
        <s v="2018-06-14-16:00"/>
        <s v="2018-06-14-17:00"/>
        <s v="2018-06-14-18:00"/>
        <s v="2018-06-14-19:00"/>
        <s v="2018-06-14-20:00"/>
        <s v="2018-06-14-21:00"/>
        <s v="2018-06-14-22:00"/>
        <s v="2018-06-14-23:00"/>
        <s v="2018-06-15-00:00"/>
        <s v="2018-06-15-01:00"/>
        <s v="2018-06-15-02:00"/>
        <s v="2018-06-15-03:00"/>
        <s v="2018-06-15-04:00"/>
        <s v="2018-06-15-05:00"/>
        <s v="2018-06-15-06:00"/>
        <s v="2018-06-15-07:00"/>
        <s v="2018-06-15-08:00"/>
        <s v="2018-06-15-09:00"/>
        <s v="2018-06-15-10:00"/>
        <s v="2018-06-15-11:00"/>
        <s v="2018-06-15-12:00"/>
        <s v="2018-06-15-13:00"/>
        <s v="2018-06-15-14:00"/>
        <s v="2018-06-15-15:00"/>
        <s v="2018-06-15-16:00"/>
        <s v="2018-06-17-17:00"/>
        <s v="2018-06-17-18:00"/>
        <s v="2018-06-17-19:00"/>
        <s v="2018-06-17-20:00"/>
        <s v="2018-06-17-21:00"/>
        <s v="2018-06-17-22:00"/>
        <s v="2018-06-17-23:00"/>
        <s v="2018-06-18-00:00"/>
        <s v="2018-06-18-01:00"/>
        <s v="2018-06-18-02:00"/>
        <s v="2018-06-18-03:00"/>
        <s v="2018-06-18-04:00"/>
        <s v="2018-06-18-05:00"/>
        <s v="2018-06-18-06:00"/>
        <s v="2018-06-18-07:00"/>
        <s v="2018-06-18-08:00"/>
        <s v="2018-06-18-09:00"/>
        <s v="2018-06-18-10:00"/>
        <s v="2018-06-18-11:00"/>
        <s v="2018-06-18-12:00"/>
        <s v="2018-06-18-13:00"/>
        <s v="2018-06-18-14:00"/>
        <s v="2018-06-18-15:00"/>
        <s v="2018-06-18-16:00"/>
        <s v="2018-06-18-17:00"/>
        <s v="2018-06-18-18:00"/>
        <s v="2017-10-26-11:00"/>
        <s v="2017-10-26-12:00"/>
        <s v="2017-10-26-13:00"/>
        <s v="2017-10-26-14:00"/>
        <s v="2017-10-26-15:00"/>
        <s v="2017-10-26-16:00"/>
        <s v="2017-10-26-17:00"/>
        <s v="2017-10-26-18:00"/>
        <s v="2017-10-26-19:00"/>
        <s v="2017-10-26-20:00"/>
        <s v="2017-10-26-21:00"/>
        <s v="2017-10-26-22:00"/>
        <s v="2017-10-26-23:00"/>
        <s v="2017-10-27-00:00"/>
        <s v="2017-10-27-01:00"/>
        <s v="2017-10-27-02:00"/>
        <s v="2017-10-27-03:00"/>
        <s v="2017-10-27-04:00"/>
        <s v="2017-10-27-05:00"/>
        <s v="2017-10-27-06:00"/>
        <s v="2017-10-27-07:00"/>
        <s v="2017-10-27-08:00"/>
        <s v="2017-10-27-09:00"/>
        <s v="2017-10-27-10:00"/>
        <s v="2017-10-27-11:00"/>
        <s v="2017-10-27-12:00"/>
        <s v="2017-10-27-13:00"/>
        <s v="2017-10-27-14:00"/>
        <s v="2017-10-27-15:00"/>
        <s v="2017-10-27-16:00"/>
        <s v="2017-10-29-17:00"/>
        <s v="2017-10-29-18:00"/>
        <s v="2017-10-29-19:00"/>
        <s v="2017-10-29-20:00"/>
        <s v="2017-10-29-21:00"/>
        <s v="2017-10-29-22:00"/>
        <s v="2017-10-29-23:00"/>
        <s v="2017-10-30-00:00"/>
        <s v="2017-10-30-01:00"/>
        <s v="2017-10-30-02:00"/>
        <s v="2017-10-30-03:00"/>
        <s v="2017-10-30-04:00"/>
        <s v="2017-10-30-05:00"/>
        <s v="2017-10-30-06:00"/>
        <s v="2017-10-30-07:00"/>
        <s v="2017-10-30-08:00"/>
        <s v="2017-10-30-09:00"/>
        <s v="2017-10-30-10:00"/>
        <s v="2017-10-30-11:00"/>
        <s v="2017-10-30-12:00"/>
        <s v="2017-10-30-13:00"/>
        <s v="2017-10-30-14:00"/>
        <s v="2017-10-30-15:00"/>
        <s v="2017-10-30-16:00"/>
        <s v="2017-10-30-17:00"/>
        <s v="2017-10-30-18:00"/>
        <s v="2017-10-30-19:00"/>
        <s v="2017-10-30-20:00"/>
        <s v="2017-10-30-21:00"/>
        <s v="2017-10-30-22:00"/>
        <s v="2017-10-30-23:00"/>
        <s v="2017-10-31-00:00"/>
        <s v="2017-12-25-19:00"/>
        <s v="2017-12-25-20:00"/>
        <s v="2017-12-25-21:00"/>
        <s v="2017-12-25-22:00"/>
        <s v="2017-12-25-23:00"/>
        <s v="2017-12-26-00:00"/>
        <s v="2017-12-26-01:00"/>
        <s v="2017-12-26-02:00"/>
        <s v="2017-12-26-03:00"/>
        <s v="2017-12-26-04:00"/>
        <s v="2017-12-26-05:00"/>
        <s v="2017-12-26-06:00"/>
        <s v="2017-12-26-07:00"/>
        <s v="2017-12-26-08:00"/>
        <s v="2017-12-26-09:00"/>
        <s v="2017-12-26-10:00"/>
        <s v="2017-12-26-11:00"/>
        <s v="2017-12-26-12:00"/>
        <s v="2017-12-26-13:00"/>
        <s v="2017-12-26-14:00"/>
        <s v="2017-12-26-15:00"/>
        <s v="2017-12-26-16:00"/>
        <s v="2017-12-26-17:00"/>
        <s v="2017-12-26-18:00"/>
        <s v="2017-12-26-19:00"/>
        <s v="2017-12-26-20:00"/>
        <s v="2017-12-26-21:00"/>
        <s v="2017-12-26-22:00"/>
        <s v="2017-12-26-23:00"/>
        <s v="2017-12-27-00:00"/>
        <s v="2017-12-27-01:00"/>
        <s v="2017-12-27-02:00"/>
        <s v="2017-12-27-03:00"/>
        <s v="2017-12-27-04:00"/>
        <s v="2017-12-27-05:00"/>
        <s v="2017-12-27-06:00"/>
        <s v="2017-12-27-07:00"/>
        <s v="2017-12-27-08:00"/>
        <s v="2017-12-27-09:00"/>
        <s v="2017-12-27-10:00"/>
        <s v="2017-12-27-11:00"/>
        <s v="2017-12-27-12:00"/>
        <s v="2017-12-27-13:00"/>
        <s v="2017-12-27-14:00"/>
        <s v="2017-12-27-15:00"/>
        <s v="2017-12-27-16:00"/>
        <s v="2017-12-27-17:00"/>
        <s v="2017-12-27-18:00"/>
        <s v="2017-12-27-19:00"/>
        <s v="2017-12-27-20:00"/>
        <s v="2017-12-27-21:00"/>
        <s v="2017-12-27-22:00"/>
        <s v="2017-12-27-23:00"/>
        <s v="2017-12-28-00:00"/>
        <s v="2017-12-28-01:00"/>
        <s v="2017-12-28-02:00"/>
        <s v="2017-12-28-03:00"/>
        <s v="2017-12-28-04:00"/>
        <s v="2017-12-28-05:00"/>
        <s v="2017-12-28-06:00"/>
        <s v="2017-12-28-07:00"/>
        <s v="2017-12-28-08:00"/>
        <s v="2018-02-22-03:00"/>
        <s v="2018-02-22-04:00"/>
        <s v="2018-02-22-05:00"/>
        <s v="2018-02-22-06:00"/>
        <s v="2018-02-22-07:00"/>
        <s v="2018-02-22-08:00"/>
        <s v="2018-02-22-09:00"/>
        <s v="2018-02-22-10:00"/>
        <s v="2018-02-22-11:00"/>
        <s v="2018-02-22-12:00"/>
        <s v="2018-02-22-13:00"/>
        <s v="2018-02-22-14:00"/>
        <s v="2018-02-22-15:00"/>
        <s v="2018-02-22-16:00"/>
        <s v="2018-02-22-17:00"/>
        <s v="2018-02-22-18:00"/>
        <s v="2018-02-22-19:00"/>
        <s v="2018-02-22-20:00"/>
        <s v="2018-02-22-21:00"/>
        <s v="2018-02-22-22:00"/>
        <s v="2018-02-22-23:00"/>
        <s v="2018-02-23-00:00"/>
        <s v="2018-02-23-01:00"/>
        <s v="2018-02-23-02:00"/>
        <s v="2018-02-23-03:00"/>
        <s v="2018-02-23-04:00"/>
        <s v="2018-02-23-05:00"/>
        <s v="2018-02-23-06:00"/>
        <s v="2018-02-23-07:00"/>
        <s v="2018-02-23-08:00"/>
        <s v="2018-02-23-09:00"/>
        <s v="2018-02-23-10:00"/>
        <s v="2018-02-23-11:00"/>
        <s v="2018-02-23-12:00"/>
        <s v="2018-02-23-13:00"/>
        <s v="2018-02-23-14:00"/>
        <s v="2018-02-23-15:00"/>
        <s v="2018-02-23-16:00"/>
        <s v="2018-02-25-17:00"/>
        <s v="2018-02-25-18:00"/>
        <s v="2018-02-25-19:00"/>
        <s v="2018-02-25-20:00"/>
        <s v="2018-02-25-21:00"/>
        <s v="2018-02-25-22:00"/>
        <s v="2018-02-25-23:00"/>
        <s v="2018-02-26-00:00"/>
        <s v="2018-02-26-01:00"/>
        <s v="2018-02-26-02:00"/>
        <s v="2018-02-26-03:00"/>
        <s v="2018-02-26-04:00"/>
        <s v="2018-02-26-05:00"/>
        <s v="2018-02-26-06:00"/>
        <s v="2018-02-26-07:00"/>
        <s v="2018-02-26-08:00"/>
        <s v="2018-02-26-09:00"/>
        <s v="2018-02-26-10:00"/>
        <s v="2018-02-26-11:00"/>
        <s v="2018-02-26-12:00"/>
        <s v="2018-02-26-13:00"/>
        <s v="2018-02-26-14:00"/>
        <s v="2018-02-26-15:00"/>
        <s v="2018-02-26-16:00"/>
        <s v="2018-04-20-11:00"/>
        <s v="2018-04-20-12:00"/>
        <s v="2018-04-20-13:00"/>
        <s v="2018-04-20-14:00"/>
        <s v="2018-04-20-15:00"/>
        <s v="2018-04-20-16:00"/>
        <s v="2018-04-22-17:00"/>
        <s v="2018-04-22-18:00"/>
        <s v="2018-04-22-19:00"/>
        <s v="2018-04-22-20:00"/>
        <s v="2018-04-22-21:00"/>
        <s v="2018-04-22-22:00"/>
        <s v="2018-04-22-23:00"/>
        <s v="2018-04-23-00:00"/>
        <s v="2018-04-23-01:00"/>
        <s v="2018-04-23-02:00"/>
        <s v="2018-04-23-03:00"/>
        <s v="2018-04-23-04:00"/>
        <s v="2018-04-23-05:00"/>
        <s v="2018-04-23-06:00"/>
        <s v="2018-04-23-07:00"/>
        <s v="2018-04-23-08:00"/>
        <s v="2018-04-23-09:00"/>
        <s v="2018-04-23-10:00"/>
        <s v="2018-04-23-11:00"/>
        <s v="2018-04-23-12:00"/>
        <s v="2018-04-23-13:00"/>
        <s v="2018-04-23-14:00"/>
        <s v="2018-04-23-15:00"/>
        <s v="2018-04-23-16:00"/>
        <s v="2018-04-23-17:00"/>
        <s v="2018-04-23-18:00"/>
        <s v="2018-04-23-19:00"/>
        <s v="2018-04-23-20:00"/>
        <s v="2018-04-23-21:00"/>
        <s v="2018-04-23-22:00"/>
        <s v="2018-04-23-23:00"/>
        <s v="2018-04-24-00:00"/>
        <s v="2018-04-24-01:00"/>
        <s v="2018-04-24-02:00"/>
        <s v="2018-04-24-03:00"/>
        <s v="2018-04-24-04:00"/>
        <s v="2018-04-24-05:00"/>
        <s v="2018-04-24-06:00"/>
        <s v="2018-04-24-07:00"/>
        <s v="2018-04-24-08:00"/>
        <s v="2018-04-24-09:00"/>
        <s v="2018-04-24-10:00"/>
        <s v="2018-04-24-11:00"/>
        <s v="2018-04-24-12:00"/>
        <s v="2018-04-24-13:00"/>
        <s v="2018-04-24-14:00"/>
        <s v="2018-04-24-15:00"/>
        <s v="2018-04-24-16:00"/>
        <s v="2018-04-24-17:00"/>
        <s v="2018-04-24-18:00"/>
        <s v="2018-04-24-19:00"/>
        <s v="2018-04-24-20:00"/>
        <s v="2018-04-24-21:00"/>
        <s v="2018-04-24-22:00"/>
        <s v="2018-04-24-23:00"/>
        <s v="2018-04-25-00:00"/>
        <s v="2018-06-18-19:00"/>
        <s v="2018-06-18-20:00"/>
        <s v="2018-06-18-21:00"/>
        <s v="2018-06-18-22:00"/>
        <s v="2018-06-18-23:00"/>
        <s v="2018-06-19-00:00"/>
        <s v="2018-06-19-01:00"/>
        <s v="2018-06-19-02:00"/>
        <s v="2018-06-19-03:00"/>
        <s v="2018-06-19-04:00"/>
        <s v="2018-06-19-05:00"/>
        <s v="2018-06-19-06:00"/>
        <s v="2018-06-19-07:00"/>
        <s v="2018-06-19-08:00"/>
        <s v="2018-06-19-09:00"/>
        <s v="2018-06-19-10:00"/>
        <s v="2018-06-19-11:00"/>
        <s v="2018-06-19-12:00"/>
        <s v="2018-06-19-13:00"/>
        <s v="2018-06-19-14:00"/>
        <s v="2018-06-19-15:00"/>
        <s v="2018-06-19-16:00"/>
        <s v="2018-06-19-17:00"/>
        <s v="2018-06-19-18:00"/>
        <s v="2018-06-19-19:00"/>
        <s v="2018-06-19-20:00"/>
        <s v="2018-06-19-21:00"/>
        <s v="2018-06-19-22:00"/>
        <s v="2018-06-19-23:00"/>
        <s v="2018-06-20-00:00"/>
        <s v="2018-06-20-01:00"/>
        <s v="2018-06-20-02:00"/>
        <s v="2018-06-20-03:00"/>
        <s v="2018-06-20-04:00"/>
        <s v="2018-06-20-05:00"/>
        <s v="2018-06-20-06:00"/>
        <s v="2018-06-20-07:00"/>
        <s v="2018-06-20-08:00"/>
        <s v="2018-06-20-09:00"/>
        <s v="2018-06-20-10:00"/>
        <s v="2018-06-20-11:00"/>
        <s v="2018-06-20-12:00"/>
        <s v="2018-06-20-13:00"/>
        <s v="2018-06-20-14:00"/>
        <s v="2018-06-20-15:00"/>
        <s v="2018-06-20-16:00"/>
        <s v="2018-06-20-17:00"/>
        <s v="2018-06-20-18:00"/>
        <s v="2018-06-20-19:00"/>
        <s v="2018-06-20-20:00"/>
        <s v="2018-06-20-21:00"/>
        <s v="2018-06-20-22:00"/>
        <s v="2018-06-20-23:00"/>
        <s v="2018-06-21-00:00"/>
        <s v="2018-06-21-01:00"/>
        <s v="2018-06-21-02:00"/>
        <s v="2018-06-21-03:00"/>
        <s v="2018-06-21-04:00"/>
        <s v="2018-06-21-05:00"/>
        <s v="2018-06-21-06:00"/>
        <s v="2018-06-21-07:00"/>
        <s v="2018-06-21-08:00"/>
        <s v="2017-10-31-01:00"/>
        <s v="2017-10-31-02:00"/>
        <s v="2017-10-31-03:00"/>
        <s v="2017-10-31-04:00"/>
        <s v="2017-10-31-05:00"/>
        <s v="2017-10-31-06:00"/>
        <s v="2017-10-31-07:00"/>
        <s v="2017-10-31-08:00"/>
        <s v="2017-10-31-09:00"/>
        <s v="2017-10-31-10:00"/>
        <s v="2017-10-31-11:00"/>
        <s v="2017-10-31-12:00"/>
        <s v="2017-10-31-13:00"/>
        <s v="2017-10-31-14:00"/>
        <s v="2017-10-31-15:00"/>
        <s v="2017-10-31-16:00"/>
        <s v="2017-10-31-17:00"/>
        <s v="2017-10-31-18:00"/>
        <s v="2017-10-31-19:00"/>
        <s v="2017-10-31-20:00"/>
        <s v="2017-10-31-21:00"/>
        <s v="2017-10-31-22:00"/>
        <s v="2017-10-31-23:00"/>
        <s v="2017-11-01-00:00"/>
        <s v="2017-11-01-01:00"/>
        <s v="2017-11-01-02:00"/>
        <s v="2017-11-01-03:00"/>
        <s v="2017-11-01-04:00"/>
        <s v="2017-11-01-05:00"/>
        <s v="2017-11-01-06:00"/>
        <s v="2017-11-01-07:00"/>
        <s v="2017-11-01-08:00"/>
        <s v="2017-11-01-09:00"/>
        <s v="2017-11-01-10:00"/>
        <s v="2017-11-01-11:00"/>
        <s v="2017-11-01-12:00"/>
        <s v="2017-11-01-13:00"/>
        <s v="2017-11-01-14:00"/>
        <s v="2017-11-01-15:00"/>
        <s v="2017-11-01-16:00"/>
        <s v="2017-11-01-17:00"/>
        <s v="2017-11-01-18:00"/>
        <s v="2017-11-01-19:00"/>
        <s v="2017-11-01-20:00"/>
        <s v="2017-11-01-21:00"/>
        <s v="2017-11-01-22:00"/>
        <s v="2017-11-01-23:00"/>
        <s v="2017-11-02-00:00"/>
        <s v="2017-11-02-01:00"/>
        <s v="2017-11-02-02:00"/>
        <s v="2017-11-02-03:00"/>
        <s v="2017-11-02-04:00"/>
        <s v="2017-11-02-05:00"/>
        <s v="2017-11-02-06:00"/>
        <s v="2017-11-02-07:00"/>
        <s v="2017-11-02-08:00"/>
        <s v="2017-11-02-09:00"/>
        <s v="2017-11-02-10:00"/>
        <s v="2017-11-02-11:00"/>
        <s v="2017-11-02-12:00"/>
        <s v="2017-11-02-13:00"/>
        <s v="2017-11-02-14:00"/>
        <s v="2017-12-28-09:00"/>
        <s v="2017-12-28-10:00"/>
        <s v="2017-12-28-11:00"/>
        <s v="2017-12-28-12:00"/>
        <s v="2017-12-28-13:00"/>
        <s v="2017-12-28-14:00"/>
        <s v="2017-12-28-15:00"/>
        <s v="2017-12-28-16:00"/>
        <s v="2017-12-28-17:00"/>
        <s v="2017-12-28-18:00"/>
        <s v="2017-12-28-19:00"/>
        <s v="2017-12-28-20:00"/>
        <s v="2017-12-28-21:00"/>
        <s v="2017-12-28-22:00"/>
        <s v="2017-12-28-23:00"/>
        <s v="2017-12-29-00:00"/>
        <s v="2017-12-29-01:00"/>
        <s v="2017-12-29-02:00"/>
        <s v="2017-12-29-03:00"/>
        <s v="2017-12-29-04:00"/>
        <s v="2017-12-29-05:00"/>
        <s v="2017-12-29-06:00"/>
        <s v="2017-12-29-07:00"/>
        <s v="2017-12-29-08:00"/>
        <s v="2017-12-29-09:00"/>
        <s v="2017-12-29-10:00"/>
        <s v="2017-12-29-11:00"/>
        <s v="2017-12-29-12:00"/>
        <s v="2017-12-29-13:00"/>
        <s v="2017-12-29-14:00"/>
        <s v="2017-12-29-15:00"/>
        <s v="2017-12-29-16:00"/>
        <s v="2018-01-01-17:00"/>
        <s v="2018-01-01-18:00"/>
        <s v="2018-01-01-19:00"/>
        <s v="2018-01-01-20:00"/>
        <s v="2018-01-01-21:00"/>
        <s v="2018-01-01-22:00"/>
        <s v="2018-01-01-23:00"/>
        <s v="2018-01-02-00:00"/>
        <s v="2018-01-02-01:00"/>
        <s v="2018-01-02-02:00"/>
        <s v="2018-01-02-03:00"/>
        <s v="2018-01-02-04:00"/>
        <s v="2018-01-02-05:00"/>
        <s v="2018-01-02-06:00"/>
        <s v="2018-01-02-07:00"/>
        <s v="2018-01-02-08:00"/>
        <s v="2018-01-02-09:00"/>
        <s v="2018-01-02-10:00"/>
        <s v="2018-01-02-11:00"/>
        <s v="2018-01-02-12:00"/>
        <s v="2018-01-02-13:00"/>
        <s v="2018-01-02-14:00"/>
        <s v="2018-01-02-15:00"/>
        <s v="2018-01-02-16:00"/>
        <s v="2018-01-02-17:00"/>
        <s v="2018-01-02-18:00"/>
        <s v="2018-01-02-19:00"/>
        <s v="2018-01-02-20:00"/>
        <s v="2018-01-02-21:00"/>
        <s v="2018-01-02-22:00"/>
        <s v="2018-02-26-17:00"/>
        <s v="2018-02-26-18:00"/>
        <s v="2018-02-26-19:00"/>
        <s v="2018-02-26-20:00"/>
        <s v="2018-02-26-21:00"/>
        <s v="2018-02-26-22:00"/>
        <s v="2018-02-26-23:00"/>
        <s v="2018-02-27-00:00"/>
        <s v="2018-02-27-01:00"/>
        <s v="2018-02-27-02:00"/>
        <s v="2018-02-27-03:00"/>
        <s v="2018-02-27-04:00"/>
        <s v="2018-02-27-05:00"/>
        <s v="2018-02-27-06:00"/>
        <s v="2018-02-27-07:00"/>
        <s v="2018-02-27-08:00"/>
        <s v="2018-02-27-09:00"/>
        <s v="2018-02-27-10:00"/>
        <s v="2018-02-27-11:00"/>
        <s v="2018-02-27-12:00"/>
        <s v="2018-02-27-13:00"/>
        <s v="2018-02-27-14:00"/>
        <s v="2018-02-27-15:00"/>
        <s v="2018-02-27-16:00"/>
        <s v="2018-02-27-17:00"/>
        <s v="2018-02-27-18:00"/>
        <s v="2018-02-27-19:00"/>
        <s v="2018-02-27-20:00"/>
        <s v="2018-02-27-21:00"/>
        <s v="2018-02-27-22:00"/>
        <s v="2018-02-27-23:00"/>
        <s v="2018-02-28-00:00"/>
        <s v="2018-02-28-01:00"/>
        <s v="2018-02-28-02:00"/>
        <s v="2018-02-28-03:00"/>
        <s v="2018-02-28-04:00"/>
        <s v="2018-02-28-05:00"/>
        <s v="2018-02-28-06:00"/>
        <s v="2018-02-28-07:00"/>
        <s v="2018-02-28-08:00"/>
        <s v="2018-02-28-09:00"/>
        <s v="2018-02-28-10:00"/>
        <s v="2018-02-28-11:00"/>
        <s v="2018-02-28-12:00"/>
        <s v="2018-02-28-13:00"/>
        <s v="2018-02-28-14:00"/>
        <s v="2018-02-28-15:00"/>
        <s v="2018-02-28-16:00"/>
        <s v="2018-02-28-17:00"/>
        <s v="2018-02-28-18:00"/>
        <s v="2018-02-28-19:00"/>
        <s v="2018-02-28-20:00"/>
        <s v="2018-02-28-21:00"/>
        <s v="2018-02-28-22:00"/>
        <s v="2018-02-28-23:00"/>
        <s v="2018-03-01-00:00"/>
        <s v="2018-03-01-01:00"/>
        <s v="2018-03-01-02:00"/>
        <s v="2018-03-01-03:00"/>
        <s v="2018-03-01-04:00"/>
        <s v="2018-03-01-05:00"/>
        <s v="2018-03-01-06:00"/>
        <s v="2018-04-25-01:00"/>
        <s v="2018-04-25-02:00"/>
        <s v="2018-04-25-03:00"/>
        <s v="2018-04-25-04:00"/>
        <s v="2018-04-25-05:00"/>
        <s v="2018-04-25-06:00"/>
        <s v="2018-04-25-07:00"/>
        <s v="2018-04-25-08:00"/>
        <s v="2018-04-25-09:00"/>
        <s v="2018-04-25-10:00"/>
        <s v="2018-04-25-11:00"/>
        <s v="2018-04-25-12:00"/>
        <s v="2018-04-25-13:00"/>
        <s v="2018-04-25-14:00"/>
        <s v="2018-04-25-15:00"/>
        <s v="2018-04-25-16:00"/>
        <s v="2018-04-25-17:00"/>
        <s v="2018-04-25-18:00"/>
        <s v="2018-04-25-19:00"/>
        <s v="2018-04-25-20:00"/>
        <s v="2018-04-25-21:00"/>
        <s v="2018-04-25-22:00"/>
        <s v="2018-04-25-23:00"/>
        <s v="2018-04-26-00:00"/>
        <s v="2018-04-26-01:00"/>
        <s v="2018-04-26-02:00"/>
        <s v="2018-04-26-03:00"/>
        <s v="2018-04-26-04:00"/>
        <s v="2018-04-26-05:00"/>
        <s v="2018-04-26-06:00"/>
        <s v="2018-04-26-07:00"/>
        <s v="2018-04-26-08:00"/>
        <s v="2018-04-26-09:00"/>
        <s v="2018-04-26-10:00"/>
        <s v="2018-04-26-11:00"/>
        <s v="2018-04-26-12:00"/>
        <s v="2018-04-26-13:00"/>
        <s v="2018-04-26-14:00"/>
        <s v="2018-04-26-15:00"/>
        <s v="2018-04-26-16:00"/>
        <s v="2018-04-26-17:00"/>
        <s v="2018-04-26-18:00"/>
        <s v="2018-04-26-19:00"/>
        <s v="2018-04-26-20:00"/>
        <s v="2018-04-26-21:00"/>
        <s v="2018-04-26-22:00"/>
        <s v="2018-04-26-23:00"/>
        <s v="2018-04-27-00:00"/>
        <s v="2018-04-27-01:00"/>
        <s v="2018-04-27-02:00"/>
        <s v="2018-04-27-03:00"/>
        <s v="2018-04-27-04:00"/>
        <s v="2018-04-27-05:00"/>
        <s v="2018-04-27-06:00"/>
        <s v="2018-04-27-07:00"/>
        <s v="2018-04-27-08:00"/>
        <s v="2018-04-27-09:00"/>
        <s v="2018-04-27-10:00"/>
        <s v="2018-04-27-11:00"/>
        <s v="2018-04-27-12:00"/>
        <s v="2018-04-27-13:00"/>
        <s v="2018-04-27-14:00"/>
        <s v="2018-06-21-09:00"/>
        <s v="2018-06-21-10:00"/>
        <s v="2018-06-21-11:00"/>
        <s v="2018-06-21-12:00"/>
        <s v="2018-06-21-13:00"/>
        <s v="2018-06-21-14:00"/>
        <s v="2018-06-21-15:00"/>
        <s v="2018-06-21-16:00"/>
        <s v="2018-06-21-17:00"/>
        <s v="2018-06-21-18:00"/>
        <s v="2018-06-21-19:00"/>
        <s v="2018-06-21-20:00"/>
        <s v="2018-06-21-21:00"/>
        <s v="2018-06-21-22:00"/>
        <s v="2018-06-21-23:00"/>
        <s v="2018-06-22-00:00"/>
        <s v="2018-06-22-01:00"/>
        <s v="2018-06-22-02:00"/>
        <s v="2018-06-22-03:00"/>
        <s v="2018-06-22-04:00"/>
        <s v="2018-06-22-05:00"/>
        <s v="2018-06-22-06:00"/>
        <s v="2018-06-22-07:00"/>
        <s v="2018-06-22-08:00"/>
        <s v="2018-06-22-09:00"/>
        <s v="2018-06-22-10:00"/>
        <s v="2018-06-22-11:00"/>
        <s v="2018-06-22-12:00"/>
        <s v="2018-06-22-13:00"/>
        <s v="2018-06-22-14:00"/>
        <s v="2018-06-22-15:00"/>
        <s v="2018-06-22-16:00"/>
        <s v="2018-06-24-17:00"/>
        <s v="2018-06-24-18:00"/>
        <s v="2018-06-24-19:00"/>
        <s v="2018-06-24-20:00"/>
        <s v="2018-06-24-21:00"/>
        <s v="2018-06-24-22:00"/>
        <s v="2018-06-24-23:00"/>
        <s v="2018-06-25-00:00"/>
        <s v="2018-06-25-01:00"/>
        <s v="2018-06-25-02:00"/>
        <s v="2018-06-25-03:00"/>
        <s v="2018-06-25-04:00"/>
        <s v="2018-06-25-05:00"/>
        <s v="2018-06-25-06:00"/>
        <s v="2018-06-25-07:00"/>
        <s v="2018-06-25-08:00"/>
        <s v="2018-06-25-09:00"/>
        <s v="2018-06-25-10:00"/>
        <s v="2018-06-25-11:00"/>
        <s v="2018-06-25-12:00"/>
        <s v="2018-06-25-13:00"/>
        <s v="2018-06-25-14:00"/>
        <s v="2018-06-25-15:00"/>
        <s v="2018-06-25-16:00"/>
        <s v="2018-06-25-17:00"/>
        <s v="2018-06-25-18:00"/>
        <s v="2018-06-25-19:00"/>
        <s v="2018-06-25-20:00"/>
        <s v="2018-06-25-21:00"/>
        <s v="2018-06-25-22:00"/>
        <s v="2017-11-02-15:00"/>
        <s v="2017-11-02-16:00"/>
        <s v="2017-11-02-17:00"/>
        <s v="2017-11-02-18:00"/>
        <s v="2017-11-02-19:00"/>
        <s v="2017-11-02-20:00"/>
        <s v="2017-11-02-21:00"/>
        <s v="2017-11-02-22:00"/>
        <s v="2017-11-02-23:00"/>
        <s v="2017-11-03-00:00"/>
        <s v="2017-11-03-01:00"/>
        <s v="2017-11-03-02:00"/>
        <s v="2017-11-03-03:00"/>
        <s v="2017-11-03-04:00"/>
        <s v="2017-11-03-05:00"/>
        <s v="2017-11-03-06:00"/>
        <s v="2017-11-03-07:00"/>
        <s v="2017-11-03-08:00"/>
        <s v="2017-11-03-09:00"/>
        <s v="2017-11-03-10:00"/>
        <s v="2017-11-03-11:00"/>
        <s v="2017-11-03-12:00"/>
        <s v="2017-11-03-13:00"/>
        <s v="2017-11-03-14:00"/>
        <s v="2017-11-03-15:00"/>
        <s v="2017-11-03-16:00"/>
        <s v="2017-11-05-17:00"/>
        <s v="2017-11-05-18:00"/>
        <s v="2017-11-05-19:00"/>
        <s v="2017-11-05-20:00"/>
        <s v="2017-11-05-21:00"/>
        <s v="2017-11-05-22:00"/>
        <s v="2017-11-05-23:00"/>
        <s v="2017-11-06-00:00"/>
        <s v="2017-11-06-01:00"/>
        <s v="2017-11-06-02:00"/>
        <s v="2017-11-06-03:00"/>
        <s v="2017-11-06-04:00"/>
        <s v="2017-11-06-05:00"/>
        <s v="2017-11-06-06:00"/>
        <s v="2017-11-06-07:00"/>
        <s v="2017-11-06-08:00"/>
        <s v="2017-11-06-09:00"/>
        <s v="2017-11-06-10:00"/>
        <s v="2017-11-06-11:00"/>
        <s v="2017-11-06-12:00"/>
        <s v="2017-11-06-13:00"/>
        <s v="2017-11-06-14:00"/>
        <s v="2017-11-06-15:00"/>
        <s v="2017-11-06-16:00"/>
        <s v="2017-11-06-17:00"/>
        <s v="2017-11-06-18:00"/>
        <s v="2017-11-06-19:00"/>
        <s v="2017-11-06-20:00"/>
        <s v="2017-11-06-21:00"/>
        <s v="2017-11-06-22:00"/>
        <s v="2017-11-06-23:00"/>
        <s v="2017-11-07-00:00"/>
        <s v="2017-11-07-01:00"/>
        <s v="2017-11-07-02:00"/>
        <s v="2017-11-07-03:00"/>
        <s v="2017-11-07-04:00"/>
        <s v="2018-01-02-23:00"/>
        <s v="2018-01-03-00:00"/>
        <s v="2018-01-03-01:00"/>
        <s v="2018-01-03-02:00"/>
        <s v="2018-01-03-03:00"/>
        <s v="2018-01-03-04:00"/>
        <s v="2018-01-03-05:00"/>
        <s v="2018-01-03-06:00"/>
        <s v="2018-01-03-07:00"/>
        <s v="2018-01-03-08:00"/>
        <s v="2018-01-03-09:00"/>
        <s v="2018-01-03-10:00"/>
        <s v="2018-01-03-11:00"/>
        <s v="2018-01-03-12:00"/>
        <s v="2018-01-03-13:00"/>
        <s v="2018-01-03-14:00"/>
        <s v="2018-01-03-15:00"/>
        <s v="2018-01-03-16:00"/>
        <s v="2018-01-03-17:00"/>
        <s v="2018-01-03-18:00"/>
        <s v="2018-01-03-19:00"/>
        <s v="2018-01-03-20:00"/>
        <s v="2018-01-03-21:00"/>
        <s v="2018-01-03-22:00"/>
        <s v="2018-01-03-23:00"/>
        <s v="2018-01-04-00:00"/>
        <s v="2018-01-04-01:00"/>
        <s v="2018-01-04-02:00"/>
        <s v="2018-01-04-03:00"/>
        <s v="2018-01-04-04:00"/>
        <s v="2018-01-04-05:00"/>
        <s v="2018-01-04-06:00"/>
        <s v="2018-01-04-07:00"/>
        <s v="2018-01-04-08:00"/>
        <s v="2018-01-04-09:00"/>
        <s v="2018-01-04-10:00"/>
        <s v="2018-01-04-11:00"/>
        <s v="2018-01-04-12:00"/>
        <s v="2018-01-04-13:00"/>
        <s v="2018-01-04-14:00"/>
        <s v="2018-01-04-15:00"/>
        <s v="2018-01-04-16:00"/>
        <s v="2018-01-04-17:00"/>
        <s v="2018-01-04-18:00"/>
        <s v="2018-01-04-19:00"/>
        <s v="2018-01-04-20:00"/>
        <s v="2018-01-04-21:00"/>
        <s v="2018-01-04-22:00"/>
        <s v="2018-01-04-23:00"/>
        <s v="2018-01-05-00:00"/>
        <s v="2018-01-05-01:00"/>
        <s v="2018-01-05-02:00"/>
        <s v="2018-01-05-03:00"/>
        <s v="2018-01-05-04:00"/>
        <s v="2018-01-05-05:00"/>
        <s v="2018-01-05-06:00"/>
        <s v="2018-01-05-07:00"/>
        <s v="2018-01-05-08:00"/>
        <s v="2018-01-05-09:00"/>
        <s v="2018-01-05-10:00"/>
        <s v="2018-01-05-11:00"/>
        <s v="2018-01-05-12:00"/>
        <s v="2018-03-01-07:00"/>
        <s v="2018-03-01-08:00"/>
        <s v="2018-03-01-09:00"/>
        <s v="2018-03-01-10:00"/>
        <s v="2018-03-01-11:00"/>
        <s v="2018-03-01-12:00"/>
        <s v="2018-03-01-13:00"/>
        <s v="2018-03-01-14:00"/>
        <s v="2018-03-01-15:00"/>
        <s v="2018-03-01-16:00"/>
        <s v="2018-03-01-17:00"/>
        <s v="2018-03-01-18:00"/>
        <s v="2018-03-01-19:00"/>
        <s v="2018-03-01-20:00"/>
        <s v="2018-03-01-21:00"/>
        <s v="2018-03-01-22:00"/>
        <s v="2018-03-01-23:00"/>
        <s v="2018-03-02-00:00"/>
        <s v="2018-03-02-01:00"/>
        <s v="2018-03-02-02:00"/>
        <s v="2018-03-02-03:00"/>
        <s v="2018-03-02-04:00"/>
        <s v="2018-03-02-05:00"/>
        <s v="2018-03-02-06:00"/>
        <s v="2018-03-02-07:00"/>
        <s v="2018-03-02-08:00"/>
        <s v="2018-03-02-09:00"/>
        <s v="2018-03-02-10:00"/>
        <s v="2018-03-02-11:00"/>
        <s v="2018-03-02-12:00"/>
        <s v="2018-03-02-13:00"/>
        <s v="2018-03-02-14:00"/>
        <s v="2018-03-02-15:00"/>
        <s v="2018-03-02-16:00"/>
        <s v="2018-03-04-17:00"/>
        <s v="2018-03-04-18:00"/>
        <s v="2018-03-04-19:00"/>
        <s v="2018-03-04-20:00"/>
        <s v="2018-03-04-21:00"/>
        <s v="2018-03-04-22:00"/>
        <s v="2018-03-04-23:00"/>
        <s v="2018-03-05-00:00"/>
        <s v="2018-03-05-01:00"/>
        <s v="2018-03-05-02:00"/>
        <s v="2018-03-05-03:00"/>
        <s v="2018-03-05-04:00"/>
        <s v="2018-03-05-05:00"/>
        <s v="2018-03-05-06:00"/>
        <s v="2018-03-05-07:00"/>
        <s v="2018-03-05-08:00"/>
        <s v="2018-03-05-09:00"/>
        <s v="2018-03-05-10:00"/>
        <s v="2018-03-05-11:00"/>
        <s v="2018-03-05-12:00"/>
        <s v="2018-03-05-13:00"/>
        <s v="2018-03-05-14:00"/>
        <s v="2018-03-05-15:00"/>
        <s v="2018-03-05-16:00"/>
        <s v="2018-03-05-17:00"/>
        <s v="2018-03-05-18:00"/>
        <s v="2018-03-05-19:00"/>
        <s v="2018-03-05-20:00"/>
        <s v="2018-04-27-15:00"/>
        <s v="2018-04-27-16:00"/>
        <s v="2018-04-29-17:00"/>
        <s v="2018-04-29-18:00"/>
        <s v="2018-04-29-19:00"/>
        <s v="2018-04-29-20:00"/>
        <s v="2018-04-29-21:00"/>
        <s v="2018-04-29-22:00"/>
        <s v="2018-04-29-23:00"/>
        <s v="2018-04-30-00:00"/>
        <s v="2018-04-30-01:00"/>
        <s v="2018-04-30-02:00"/>
        <s v="2018-04-30-03:00"/>
        <s v="2018-04-30-04:00"/>
        <s v="2018-04-30-05:00"/>
        <s v="2018-04-30-06:00"/>
        <s v="2018-04-30-07:00"/>
        <s v="2018-04-30-08:00"/>
        <s v="2018-04-30-09:00"/>
        <s v="2018-04-30-10:00"/>
        <s v="2018-04-30-11:00"/>
        <s v="2018-04-30-12:00"/>
        <s v="2018-04-30-13:00"/>
        <s v="2018-04-30-14:00"/>
        <s v="2018-04-30-15:00"/>
        <s v="2018-04-30-16:00"/>
        <s v="2018-04-30-17:00"/>
        <s v="2018-04-30-18:00"/>
        <s v="2018-04-30-19:00"/>
        <s v="2018-04-30-20:00"/>
        <s v="2018-04-30-21:00"/>
        <s v="2018-04-30-22:00"/>
        <s v="2018-04-30-23:00"/>
        <s v="2018-05-01-00:00"/>
        <s v="2018-05-01-01:00"/>
        <s v="2018-05-01-02:00"/>
        <s v="2018-05-01-03:00"/>
        <s v="2018-05-01-04:00"/>
        <s v="2018-05-01-05:00"/>
        <s v="2018-05-01-06:00"/>
        <s v="2018-05-01-07:00"/>
        <s v="2018-05-01-08:00"/>
        <s v="2018-05-01-09:00"/>
        <s v="2018-05-01-10:00"/>
        <s v="2018-05-01-11:00"/>
        <s v="2018-05-01-12:00"/>
        <s v="2018-05-01-13:00"/>
        <s v="2018-05-01-14:00"/>
        <s v="2018-05-01-15:00"/>
        <s v="2018-05-01-16:00"/>
        <s v="2018-05-01-17:00"/>
        <s v="2018-05-01-18:00"/>
        <s v="2018-05-01-19:00"/>
        <s v="2018-05-01-20:00"/>
        <s v="2018-05-01-21:00"/>
        <s v="2018-05-01-22:00"/>
        <s v="2018-05-01-23:00"/>
        <s v="2018-05-02-00:00"/>
        <s v="2018-05-02-01:00"/>
        <s v="2018-05-02-02:00"/>
        <s v="2018-05-02-03:00"/>
        <s v="2018-05-02-04:00"/>
        <s v="2018-06-25-23:00"/>
        <s v="2018-06-26-00:00"/>
        <s v="2018-06-26-01:00"/>
        <s v="2018-06-26-02:00"/>
        <s v="2018-06-26-03:00"/>
        <s v="2018-06-26-04:00"/>
        <s v="2018-06-26-05:00"/>
        <s v="2018-06-26-06:00"/>
        <s v="2018-06-26-07:00"/>
        <s v="2018-06-26-08:00"/>
        <s v="2018-06-26-09:00"/>
        <s v="2018-06-26-10:00"/>
        <s v="2018-06-26-11:00"/>
        <s v="2018-06-26-12:00"/>
        <s v="2018-06-26-13:00"/>
        <s v="2018-06-26-14:00"/>
        <s v="2018-06-26-15:00"/>
        <s v="2018-06-26-16:00"/>
        <s v="2018-06-26-17:00"/>
        <s v="2018-06-26-18:00"/>
        <s v="2018-06-26-19:00"/>
        <s v="2018-06-26-20:00"/>
        <s v="2018-06-26-21:00"/>
        <s v="2018-06-26-22:00"/>
        <s v="2018-06-26-23:00"/>
        <s v="2018-06-27-00:00"/>
        <s v="2018-06-27-01:00"/>
        <s v="2018-06-27-02:00"/>
        <s v="2018-06-27-03:00"/>
        <s v="2018-06-27-04:00"/>
        <s v="2018-06-27-05:00"/>
        <s v="2018-06-27-06:00"/>
        <s v="2018-06-27-07:00"/>
        <s v="2018-06-27-08:00"/>
        <s v="2018-06-27-09:00"/>
        <s v="2018-06-27-10:00"/>
        <s v="2018-06-27-11:00"/>
        <s v="2018-06-27-12:00"/>
        <s v="2018-06-27-13:00"/>
        <s v="2018-06-27-14:00"/>
        <s v="2018-06-27-15:00"/>
        <s v="2018-06-27-16:00"/>
        <s v="2018-06-27-17:00"/>
        <s v="2018-06-27-18:00"/>
        <s v="2018-06-27-19:00"/>
        <s v="2018-06-27-20:00"/>
        <s v="2018-06-27-21:00"/>
        <s v="2018-06-27-22:00"/>
        <s v="2018-06-27-23:00"/>
        <s v="2018-06-28-00:00"/>
        <s v="2018-06-28-01:00"/>
        <s v="2018-06-28-02:00"/>
        <s v="2018-06-28-03:00"/>
        <s v="2018-06-28-04:00"/>
        <s v="2018-06-28-05:00"/>
        <s v="2018-06-28-06:00"/>
        <s v="2018-06-28-07:00"/>
        <s v="2018-06-28-08:00"/>
        <s v="2018-06-28-09:00"/>
        <s v="2018-06-28-10:00"/>
        <s v="2018-06-28-11:00"/>
        <s v="2018-06-28-12:00"/>
        <s v="2017-11-07-05:00"/>
        <s v="2017-11-07-06:00"/>
        <s v="2017-11-07-07:00"/>
        <s v="2017-11-07-08:00"/>
        <s v="2017-11-07-09:00"/>
        <s v="2017-11-07-10:00"/>
        <s v="2017-11-07-11:00"/>
        <s v="2017-11-07-12:00"/>
        <s v="2017-11-07-13:00"/>
        <s v="2017-11-07-14:00"/>
        <s v="2017-11-07-15:00"/>
        <s v="2017-11-07-16:00"/>
        <s v="2017-11-07-17:00"/>
        <s v="2017-11-07-18:00"/>
        <s v="2017-11-07-19:00"/>
        <s v="2017-11-07-20:00"/>
        <s v="2017-11-07-21:00"/>
        <s v="2017-11-07-22:00"/>
        <s v="2017-11-07-23:00"/>
        <s v="2017-11-08-00:00"/>
        <s v="2017-11-08-01:00"/>
        <s v="2017-11-08-02:00"/>
        <s v="2017-11-08-03:00"/>
        <s v="2017-11-08-04:00"/>
        <s v="2017-11-08-05:00"/>
        <s v="2017-11-08-06:00"/>
        <s v="2017-11-08-07:00"/>
        <s v="2017-11-08-08:00"/>
        <s v="2017-11-08-09:00"/>
        <s v="2017-11-08-10:00"/>
        <s v="2017-11-08-11:00"/>
        <s v="2017-11-08-12:00"/>
        <s v="2017-11-08-13:00"/>
        <s v="2017-11-08-14:00"/>
        <s v="2017-11-08-15:00"/>
        <s v="2018-01-05-13:00"/>
        <s v="2018-01-05-14:00"/>
        <s v="2018-01-05-15:00"/>
        <s v="2018-01-05-16:00"/>
        <s v="2018-01-07-17:00"/>
        <s v="2018-01-07-18:00"/>
        <s v="2018-01-07-19:00"/>
        <s v="2018-01-07-20:00"/>
        <s v="2018-01-07-21:00"/>
        <s v="2018-01-07-22:00"/>
        <s v="2018-01-07-23:00"/>
        <s v="2018-01-08-00:00"/>
        <s v="2018-01-08-01:00"/>
        <s v="2018-01-08-02:00"/>
        <s v="2018-01-08-03:00"/>
        <s v="2018-01-08-04:00"/>
        <s v="2018-01-08-05:00"/>
        <s v="2018-01-08-06:00"/>
        <s v="2018-01-08-07:00"/>
        <s v="2018-01-08-08:00"/>
        <s v="2018-01-08-09:00"/>
        <s v="2018-01-08-10:00"/>
        <s v="2018-01-08-11:00"/>
        <s v="2018-01-08-12:00"/>
        <s v="2018-01-08-13:00"/>
        <s v="2018-01-08-14:00"/>
        <s v="2018-01-08-15:00"/>
        <s v="2018-01-08-16:00"/>
        <s v="2018-01-08-17:00"/>
        <s v="2018-01-08-18:00"/>
        <s v="2018-01-08-19:00"/>
        <s v="2018-01-08-20:00"/>
        <s v="2018-01-08-21:00"/>
        <s v="2018-01-08-22:00"/>
        <s v="2018-01-08-23:00"/>
        <s v="2018-03-05-21:00"/>
        <s v="2018-03-05-22:00"/>
        <s v="2018-03-05-23:00"/>
        <s v="2018-03-06-00:00"/>
        <s v="2018-03-06-01:00"/>
        <s v="2018-03-06-02:00"/>
        <s v="2018-03-06-03:00"/>
        <s v="2018-03-06-04:00"/>
        <s v="2018-03-06-05:00"/>
        <s v="2018-03-06-06:00"/>
        <s v="2018-03-06-07:00"/>
        <s v="2018-03-06-08:00"/>
        <s v="2018-03-06-09:00"/>
        <s v="2018-03-06-10:00"/>
        <s v="2018-03-06-11:00"/>
        <s v="2018-03-06-12:00"/>
        <s v="2018-03-06-13:00"/>
        <s v="2018-03-06-14:00"/>
        <s v="2018-03-06-15:00"/>
        <s v="2018-03-06-16:00"/>
        <s v="2018-03-06-17:00"/>
        <s v="2018-03-06-18:00"/>
        <s v="2018-03-06-19:00"/>
        <s v="2018-03-06-20:00"/>
        <s v="2018-03-06-21:00"/>
        <s v="2018-03-06-22:00"/>
        <s v="2018-03-06-23:00"/>
        <s v="2018-03-07-00:00"/>
        <s v="2018-03-07-01:00"/>
        <s v="2018-03-07-02:00"/>
        <s v="2018-03-07-03:00"/>
        <s v="2018-03-07-04:00"/>
        <s v="2018-03-07-05:00"/>
        <s v="2018-03-07-06:00"/>
        <s v="2018-03-07-07:00"/>
        <s v="2018-05-02-05:00"/>
        <s v="2018-05-02-06:00"/>
        <s v="2018-05-02-07:00"/>
        <s v="2018-05-02-08:00"/>
        <s v="2018-05-02-09:00"/>
        <s v="2018-05-02-10:00"/>
        <s v="2018-05-02-11:00"/>
        <s v="2018-05-02-12:00"/>
        <s v="2018-05-02-13:00"/>
        <s v="2018-05-02-14:00"/>
        <s v="2018-05-02-15:00"/>
        <s v="2018-05-02-16:00"/>
        <s v="2018-05-02-17:00"/>
        <s v="2018-05-02-18:00"/>
        <s v="2018-05-02-19:00"/>
        <s v="2018-05-02-20:00"/>
        <s v="2018-05-02-21:00"/>
        <s v="2018-05-02-22:00"/>
        <s v="2018-05-02-23:00"/>
        <s v="2018-05-03-00:00"/>
        <s v="2018-05-03-01:00"/>
        <s v="2018-05-03-02:00"/>
        <s v="2018-05-03-03:00"/>
        <s v="2018-05-03-04:00"/>
        <s v="2018-05-03-05:00"/>
        <s v="2018-05-03-06:00"/>
        <s v="2018-05-03-07:00"/>
        <s v="2018-05-03-08:00"/>
        <s v="2018-05-03-09:00"/>
        <s v="2018-05-03-10:00"/>
        <s v="2018-05-03-11:00"/>
        <s v="2018-05-03-12:00"/>
        <s v="2018-05-03-13:00"/>
        <s v="2018-05-03-14:00"/>
        <s v="2018-05-03-15:00"/>
        <s v="2018-06-28-13:00"/>
        <s v="2018-06-28-14:00"/>
        <s v="2018-06-28-15:00"/>
        <s v="2018-06-28-16:00"/>
        <s v="2018-06-28-17:00"/>
        <s v="2018-06-28-18:00"/>
        <s v="2018-06-28-19:00"/>
        <s v="2018-06-28-20:00"/>
        <s v="2018-06-28-21:00"/>
        <s v="2018-06-28-22:00"/>
        <s v="2018-06-28-23:00"/>
        <s v="2018-06-29-00:00"/>
        <s v="2018-06-29-01:00"/>
        <s v="2018-06-29-02:00"/>
        <s v="2018-06-29-03:00"/>
        <s v="2018-06-29-04:00"/>
        <s v="2018-02-23-17:00"/>
        <s v="2018-02-23-18:00"/>
        <s v="2018-02-23-19:00"/>
        <s v="2018-02-23-20:00"/>
        <s v="2018-02-23-21:00"/>
        <s v="2018-02-23-22:00"/>
        <s v="2018-02-23-23:00"/>
        <s v="2018-04-20-17:00"/>
        <s v="2018-04-20-18:00"/>
        <s v="2018-04-20-19:00"/>
        <s v="2018-04-20-20:00"/>
        <s v="2018-04-20-21:00"/>
        <s v="2018-04-20-22:00"/>
        <s v="2018-04-20-23:00"/>
        <s v="2018-08-30-01:00"/>
        <s v="2018-08-30-02:00"/>
        <s v="2018-08-30-03:00"/>
        <s v="2018-08-30-04:00"/>
        <s v="2018-08-30-05:00"/>
        <s v="2018-08-30-06:00"/>
        <s v="2018-08-30-07:00"/>
        <s v="2018-08-30-08:00"/>
        <s v="2018-08-30-09:00"/>
        <s v="2018-08-30-10:00"/>
        <s v="2018-08-30-11:00"/>
        <s v="2018-08-30-12:00"/>
        <s v="2018-08-30-13:00"/>
        <s v="2018-08-30-14:00"/>
        <s v="2018-08-30-15:00"/>
        <s v="2018-08-30-16:00"/>
        <s v="2018-08-30-17:00"/>
        <s v="2018-08-30-18:00"/>
        <s v="2018-08-30-19:00"/>
        <s v="2018-08-30-20:00"/>
        <s v="2018-08-30-21:00"/>
        <s v="2018-08-30-22:00"/>
        <s v="2018-08-30-23:00"/>
        <s v="2018-08-31-00:00"/>
        <s v="2017-11-03-17:00"/>
        <s v="2017-11-03-18:00"/>
        <s v="2017-11-03-19:00"/>
        <s v="2017-11-03-20:00"/>
        <s v="2017-11-03-21:00"/>
        <s v="2017-11-03-22:00"/>
        <s v="2018-01-05-17:00"/>
        <s v="2018-01-05-18:00"/>
        <s v="2018-01-05-19:00"/>
        <s v="2018-01-05-20:00"/>
        <s v="2018-01-05-21:00"/>
        <s v="2018-01-05-22:00"/>
        <s v="2018-01-05-23:00"/>
        <s v="2018-03-02-17:00"/>
        <s v="2018-03-02-18:00"/>
        <s v="2018-03-02-19:00"/>
        <s v="2018-03-02-20:00"/>
        <s v="2018-03-02-21:00"/>
        <s v="2018-03-02-22:00"/>
        <s v="2018-03-02-23:00"/>
        <s v="2018-04-27-17:00"/>
        <s v="2018-04-27-18:00"/>
        <s v="2018-04-27-19:00"/>
        <s v="2018-04-27-20:00"/>
        <s v="2018-04-27-21:00"/>
        <s v="2018-04-27-22:00"/>
        <s v="2018-04-27-23:00"/>
        <s v="2018-06-22-17:00"/>
        <s v="2018-06-22-18:00"/>
        <s v="2018-06-22-19:00"/>
        <s v="2018-06-22-20:00"/>
        <s v="2018-06-22-21:00"/>
        <s v="2018-06-22-22:00"/>
        <s v="2018-06-22-23:00"/>
        <s v="2017-10-27-18:00"/>
        <s v="2017-10-27-19:00"/>
        <s v="2017-10-27-20:00"/>
        <s v="2017-10-27-21:00"/>
        <s v="2017-10-27-22:00"/>
        <s v="2017-10-27-23:00"/>
        <s v="2018-08-31-01:00"/>
        <s v="2018-06-29-17:00"/>
        <s v="2017-12-29-17:00"/>
        <s v="2017-12-29-18:00"/>
        <s v="2017-12-29-19:00"/>
        <s v="2017-12-29-20:00"/>
        <s v="2017-12-29-21:00"/>
        <s v="2017-12-29-22:00"/>
        <s v="2017-12-29-23:00"/>
        <s v="2017-11-10-17:00"/>
        <s v="2017-11-10-18:00"/>
        <s v="2017-11-10-19:00"/>
        <s v="2017-11-10-20:00"/>
        <s v="2017-11-10-21:00"/>
        <s v="2017-11-10-22:00"/>
        <s v="2017-11-10-23:00"/>
        <s v="2018-01-12-17:00"/>
        <s v="2018-01-12-18:00"/>
        <s v="2018-01-12-19:00"/>
        <s v="2018-01-12-20:00"/>
        <s v="2018-01-12-21:00"/>
        <s v="2018-01-12-22:00"/>
        <s v="2018-01-12-23:00"/>
        <s v="2018-03-09-17:00"/>
        <s v="2018-03-09-18:00"/>
        <s v="2018-03-09-19:00"/>
        <s v="2018-03-09-20:00"/>
        <s v="2018-03-09-21:00"/>
        <s v="2018-03-09-22:00"/>
        <s v="2018-03-09-23:00"/>
        <s v="2018-05-04-17:00"/>
        <s v="2018-05-04-18:00"/>
        <s v="2018-05-04-19:00"/>
        <s v="2018-05-04-20:00"/>
        <s v="2018-05-04-21:00"/>
        <s v="2018-05-04-22:00"/>
        <s v="2018-05-04-23:00"/>
        <s v="2018-06-29-18:00"/>
        <s v="2018-06-29-19:00"/>
        <s v="2018-06-29-20:00"/>
        <s v="2018-06-29-21:00"/>
        <s v="2018-06-29-22:00"/>
        <s v="2018-06-29-23:00"/>
        <s v="2018-07-06-17:00"/>
        <s v="2018-07-06-18:00"/>
        <s v="2018-07-06-19:00"/>
        <s v="2018-08-24-21:00"/>
        <s v="2018-08-24-22:00"/>
        <s v="2018-08-24-23:00"/>
        <s v="2017-11-17-17:00"/>
        <s v="2017-11-17-18:00"/>
        <s v="2017-11-17-19:00"/>
        <s v="2017-11-17-20:00"/>
        <s v="2017-11-17-21:00"/>
        <s v="2017-11-17-22:00"/>
        <s v="2017-11-17-23:00"/>
        <s v="2018-01-19-17:00"/>
        <s v="2018-01-19-18:00"/>
        <s v="2018-01-19-19:00"/>
        <s v="2018-01-19-20:00"/>
        <s v="2018-01-19-21:00"/>
        <s v="2018-01-19-22:00"/>
        <s v="2018-01-19-23:00"/>
        <s v="2018-03-16-17:00"/>
        <s v="2018-03-16-18:00"/>
        <s v="2018-03-16-19:00"/>
        <s v="2018-03-16-20:00"/>
        <s v="2018-03-16-21:00"/>
        <s v="2018-03-16-22:00"/>
        <s v="2018-05-11-17:00"/>
        <s v="2018-05-11-18:00"/>
        <s v="2018-05-11-19:00"/>
        <s v="2018-05-11-20:00"/>
        <s v="2018-05-11-21:00"/>
        <s v="2018-05-11-22:00"/>
        <s v="2018-05-11-23:00"/>
        <s v="2018-07-06-20:00"/>
        <s v="2018-07-06-21:00"/>
        <s v="2018-07-06-22:00"/>
        <s v="2018-07-06-23:00"/>
        <s v="2018-07-13-17:00"/>
        <s v="2018-07-13-18:00"/>
        <s v="2018-07-13-19:00"/>
        <s v="2018-07-13-20:00"/>
        <s v="2018-07-13-21:00"/>
        <s v="2017-11-24-17:00"/>
        <s v="2017-11-24-18:00"/>
        <s v="2017-11-24-19:00"/>
        <s v="2017-11-24-20:00"/>
        <s v="2017-11-24-21:00"/>
        <s v="2017-11-24-22:00"/>
        <s v="2017-11-24-23:00"/>
        <s v="2018-01-26-17:00"/>
        <s v="2018-01-26-18:00"/>
        <s v="2018-01-26-19:00"/>
        <s v="2018-01-26-20:00"/>
        <s v="2018-01-26-21:00"/>
        <s v="2018-01-26-22:00"/>
        <s v="2018-01-26-23:00"/>
        <s v="2018-03-23-17:00"/>
        <s v="2018-03-23-18:00"/>
        <s v="2018-03-23-19:00"/>
        <s v="2018-03-23-20:00"/>
        <s v="2018-03-23-21:00"/>
        <s v="2018-03-23-22:00"/>
        <s v="2018-05-18-17:00"/>
        <s v="2018-05-18-18:00"/>
        <s v="2018-05-18-19:00"/>
        <s v="2018-05-18-20:00"/>
        <s v="2018-05-18-21:00"/>
        <s v="2018-05-18-22:00"/>
        <s v="2018-05-18-23:00"/>
        <s v="2018-07-13-22:00"/>
        <s v="2018-07-13-23:00"/>
        <s v="2018-07-20-17:00"/>
        <s v="2018-07-20-18:00"/>
        <s v="2018-07-20-19:00"/>
        <s v="2018-07-20-20:00"/>
        <s v="2018-07-20-21:00"/>
        <s v="2018-07-20-22:00"/>
        <s v="2018-07-20-23:00"/>
        <s v="2017-10-05-23:00"/>
        <s v="2017-10-06-00:00"/>
        <s v="2017-10-06-01:00"/>
        <s v="2017-10-06-02:00"/>
        <s v="2017-10-06-03:00"/>
        <s v="2017-10-06-04:00"/>
        <s v="2017-10-06-05:00"/>
        <s v="2017-10-06-06:00"/>
        <s v="2017-10-06-07:00"/>
        <s v="2017-10-06-08:00"/>
        <s v="2017-10-06-09:00"/>
        <s v="2017-10-06-10:00"/>
        <s v="2017-10-06-11:00"/>
        <s v="2017-10-06-12:00"/>
        <s v="2017-10-06-13:00"/>
        <s v="2017-10-06-14:00"/>
        <s v="2017-10-06-15:00"/>
        <s v="2017-10-06-16:00"/>
        <s v="2017-10-06-17:00"/>
        <s v="2017-10-06-18:00"/>
        <s v="2017-10-06-19:00"/>
        <s v="2017-10-06-20:00"/>
        <s v="2017-10-06-21:00"/>
        <s v="2017-10-06-22:00"/>
        <s v="2017-10-06-23:00"/>
        <s v="2017-12-01-17:00"/>
        <s v="2017-12-01-18:00"/>
        <s v="2017-12-01-19:00"/>
        <s v="2017-12-01-20:00"/>
        <s v="2017-12-01-21:00"/>
        <s v="2017-12-01-22:00"/>
        <s v="2017-12-01-23:00"/>
        <s v="2018-02-02-17:00"/>
        <s v="2018-02-02-18:00"/>
        <s v="2018-02-02-19:00"/>
        <s v="2018-02-02-20:00"/>
        <s v="2018-02-02-21:00"/>
        <s v="2018-02-02-22:00"/>
        <s v="2018-02-02-23:00"/>
        <s v="2018-03-30-17:00"/>
        <s v="2018-03-30-18:00"/>
        <s v="2018-03-30-19:00"/>
        <s v="2018-03-30-20:00"/>
        <s v="2018-03-30-21:00"/>
        <s v="2018-03-30-22:00"/>
        <s v="2018-03-30-23:00"/>
        <s v="2018-05-25-17:00"/>
        <s v="2018-05-25-18:00"/>
        <s v="2018-05-25-19:00"/>
        <s v="2018-05-25-20:00"/>
        <s v="2018-05-25-21:00"/>
        <s v="2018-05-25-22:00"/>
        <s v="2018-05-25-23:00"/>
        <s v="2018-07-27-17:00"/>
        <s v="2018-07-27-18:00"/>
        <s v="2018-07-27-19:00"/>
        <s v="2018-07-27-20:00"/>
        <s v="2018-07-27-21:00"/>
        <s v="2018-07-27-22:00"/>
        <s v="2018-07-27-23:00"/>
        <s v="2017-10-13-17:00"/>
        <s v="2017-10-13-18:00"/>
        <s v="2017-10-13-19:00"/>
        <s v="2017-10-13-20:00"/>
        <s v="2017-10-13-21:00"/>
        <s v="2017-10-13-22:00"/>
        <s v="2017-10-13-23:00"/>
        <s v="2017-12-08-17:00"/>
        <s v="2017-12-08-18:00"/>
        <s v="2017-12-08-19:00"/>
        <s v="2017-12-08-20:00"/>
        <s v="2017-12-08-21:00"/>
        <s v="2017-12-08-22:00"/>
        <s v="2017-12-08-23:00"/>
        <s v="2018-02-09-17:00"/>
        <s v="2018-02-09-18:00"/>
        <s v="2018-02-09-19:00"/>
        <s v="2018-02-09-20:00"/>
        <s v="2018-02-09-21:00"/>
        <s v="2018-02-09-22:00"/>
        <s v="2018-02-09-23:00"/>
        <s v="2018-04-06-17:00"/>
        <s v="2018-04-06-18:00"/>
        <s v="2018-04-06-19:00"/>
        <s v="2018-04-06-20:00"/>
        <s v="2018-04-06-21:00"/>
        <s v="2018-04-06-22:00"/>
        <s v="2018-04-06-23:00"/>
        <s v="2018-06-01-17:00"/>
        <s v="2018-06-01-18:00"/>
        <s v="2018-06-01-19:00"/>
        <s v="2018-06-01-20:00"/>
        <s v="2018-06-01-21:00"/>
        <s v="2018-06-01-22:00"/>
        <s v="2018-06-01-23:00"/>
        <s v="2017-12-15-17:00"/>
        <s v="2017-10-20-17:00"/>
        <s v="2017-10-20-18:00"/>
        <s v="2017-10-20-19:00"/>
        <s v="2017-10-20-20:00"/>
        <s v="2017-10-20-21:00"/>
        <s v="2017-10-20-22:00"/>
        <s v="2017-10-20-23:00"/>
        <s v="2017-12-15-18:00"/>
        <s v="2017-12-15-19:00"/>
        <s v="2017-12-15-20:00"/>
        <s v="2017-12-15-21:00"/>
        <s v="2017-12-15-22:00"/>
        <s v="2017-12-15-23:00"/>
        <s v="2018-02-16-17:00"/>
        <s v="2018-02-16-18:00"/>
        <s v="2018-02-16-19:00"/>
        <s v="2018-02-16-20:00"/>
        <s v="2018-02-16-21:00"/>
        <s v="2018-02-16-22:00"/>
        <s v="2018-02-16-23:00"/>
        <s v="2018-04-13-17:00"/>
        <s v="2018-04-13-18:00"/>
        <s v="2018-04-13-19:00"/>
        <s v="2018-04-13-20:00"/>
        <s v="2018-04-13-21:00"/>
        <s v="2018-04-13-22:00"/>
        <s v="2018-04-13-23:00"/>
        <s v="2018-06-08-17:00"/>
        <s v="2018-06-08-18:00"/>
        <s v="2018-06-08-19:00"/>
        <s v="2018-06-08-20:00"/>
        <s v="2018-06-08-21:00"/>
        <s v="2018-06-08-22:00"/>
        <s v="2018-06-08-23:00"/>
        <s v="2017-12-22-17:00"/>
        <s v="2017-12-22-18:00"/>
        <s v="2017-12-22-19:00"/>
        <s v="2017-10-27-17:00"/>
        <s v="2017-12-22-20:00"/>
        <s v="2017-12-22-21:00"/>
        <s v="2017-12-22-22:00"/>
        <s v="2017-12-22-23:00"/>
        <s v="2018-06-15-17:00"/>
        <s v="2018-06-15-18:00"/>
        <s v="2018-06-15-19:00"/>
        <s v="2018-06-15-20:00"/>
        <s v="2018-06-15-21:00"/>
        <s v="2018-06-15-22:00"/>
        <s v="2018-06-15-23:00"/>
        <s v="2016-11-24-07:00"/>
        <s v="2016-11-24-08:00"/>
        <s v="2016-11-24-09:00"/>
        <s v="2016-11-24-10:00"/>
        <s v="2016-11-24-11:00"/>
        <s v="2016-11-24-12:00"/>
        <s v="2016-11-24-13:00"/>
        <s v="2016-11-24-14:00"/>
        <s v="2016-11-24-15:00"/>
        <s v="2016-11-24-16:00"/>
        <s v="2016-11-24-17:00"/>
        <s v="2016-11-24-18:00"/>
        <s v="2016-11-24-19:00"/>
        <s v="2016-11-24-20:00"/>
        <s v="2016-11-24-21:00"/>
        <s v="2016-11-24-22:00"/>
        <s v="2016-11-24-23:00"/>
        <s v="2016-11-25-00:00"/>
        <s v="2016-11-25-01:00"/>
        <s v="2016-11-25-02:00"/>
        <s v="2016-11-25-03:00"/>
        <s v="2016-11-25-04:00"/>
        <s v="2016-11-25-05:00"/>
        <s v="2016-11-25-06:00"/>
        <s v="2016-11-25-07:00"/>
        <s v="2016-11-25-08:00"/>
        <s v="2016-11-25-09:00"/>
        <s v="2016-11-25-10:00"/>
        <s v="2016-11-25-11:00"/>
        <s v="2016-11-25-12:00"/>
        <s v="2016-11-25-13:00"/>
        <s v="2016-11-25-14:00"/>
        <s v="2016-11-25-15:00"/>
        <s v="2016-11-25-16:00"/>
        <s v="2016-11-25-17:00"/>
        <s v="2016-11-25-18:00"/>
        <s v="2016-11-25-19:00"/>
        <s v="2016-11-25-20:00"/>
        <s v="2016-11-25-21:00"/>
        <s v="2016-11-25-22:00"/>
        <s v="2016-11-25-23:00"/>
        <s v="2016-11-28-00:00"/>
        <s v="2016-11-28-01:00"/>
        <s v="2016-11-28-02:00"/>
        <s v="2016-11-28-03:00"/>
        <s v="2016-11-28-04:00"/>
        <s v="2016-11-28-05:00"/>
        <s v="2016-11-28-06:00"/>
        <s v="2016-11-28-07:00"/>
        <s v="2016-11-28-08:00"/>
        <s v="2016-11-28-09:00"/>
        <s v="2016-11-28-10:00"/>
        <s v="2016-11-28-11:00"/>
        <s v="2016-11-28-12:00"/>
        <s v="2016-11-28-13:00"/>
        <s v="2016-11-28-14:00"/>
        <s v="2016-11-28-15:00"/>
        <s v="2016-11-28-16:00"/>
        <s v="2016-11-28-17:00"/>
        <s v="2016-11-28-18:00"/>
        <s v="2017-01-20-07:00"/>
        <s v="2017-01-20-08:00"/>
        <s v="2017-01-20-09:00"/>
        <s v="2017-01-20-10:00"/>
        <s v="2017-01-20-11:00"/>
        <s v="2017-01-20-12:00"/>
        <s v="2017-01-20-13:00"/>
        <s v="2017-01-20-14:00"/>
        <s v="2017-01-20-15:00"/>
        <s v="2017-01-20-16:00"/>
        <s v="2017-01-20-17:00"/>
        <s v="2017-01-20-18:00"/>
        <s v="2017-01-20-19:00"/>
        <s v="2017-01-20-20:00"/>
        <s v="2017-01-20-21:00"/>
        <s v="2017-01-20-22:00"/>
        <s v="2017-01-20-23:00"/>
        <s v="2017-01-23-00:00"/>
        <s v="2017-01-23-01:00"/>
        <s v="2017-01-23-02:00"/>
        <s v="2017-01-23-03:00"/>
        <s v="2017-01-23-04:00"/>
        <s v="2017-01-23-05:00"/>
        <s v="2017-01-23-06:00"/>
        <s v="2017-01-23-07:00"/>
        <s v="2017-01-23-08:00"/>
        <s v="2017-01-23-09:00"/>
        <s v="2017-01-23-10:00"/>
        <s v="2017-01-23-11:00"/>
        <s v="2017-01-23-12:00"/>
        <s v="2017-01-23-13:00"/>
        <s v="2017-01-23-14:00"/>
        <s v="2017-01-23-15:00"/>
        <s v="2017-01-23-16:00"/>
        <s v="2017-01-23-17:00"/>
        <s v="2017-01-23-18:00"/>
        <s v="2017-01-23-19:00"/>
        <s v="2017-01-23-20:00"/>
        <s v="2017-01-23-21:00"/>
        <s v="2017-01-23-22:00"/>
        <s v="2017-01-23-23:00"/>
        <s v="2017-01-24-00:00"/>
        <s v="2017-01-24-01:00"/>
        <s v="2017-01-24-02:00"/>
        <s v="2017-01-24-03:00"/>
        <s v="2017-01-24-04:00"/>
        <s v="2017-01-24-05:00"/>
        <s v="2017-01-24-06:00"/>
        <s v="2017-01-24-07:00"/>
        <s v="2017-01-24-08:00"/>
        <s v="2017-01-24-09:00"/>
        <s v="2017-01-24-10:00"/>
        <s v="2017-01-24-11:00"/>
        <s v="2017-01-24-12:00"/>
        <s v="2017-01-24-13:00"/>
        <s v="2017-01-24-14:00"/>
        <s v="2017-01-24-15:00"/>
        <s v="2017-01-24-16:00"/>
        <s v="2017-01-24-17:00"/>
        <s v="2017-01-24-18:00"/>
        <s v="2017-03-17-14:00"/>
        <s v="2017-03-17-15:00"/>
        <s v="2017-03-17-16:00"/>
        <s v="2017-03-17-17:00"/>
        <s v="2017-03-17-18:00"/>
        <s v="2017-03-17-19:00"/>
        <s v="2017-03-17-20:00"/>
        <s v="2017-03-17-21:00"/>
        <s v="2017-03-17-22:00"/>
        <s v="2017-03-20-00:00"/>
        <s v="2017-03-20-01:00"/>
        <s v="2017-03-20-02:00"/>
        <s v="2017-03-20-03:00"/>
        <s v="2017-03-20-04:00"/>
        <s v="2017-03-20-05:00"/>
        <s v="2017-03-20-06:00"/>
        <s v="2017-03-20-07:00"/>
        <s v="2017-03-20-08:00"/>
        <s v="2017-03-20-09:00"/>
        <s v="2017-03-20-10:00"/>
        <s v="2017-03-20-11:00"/>
        <s v="2017-03-20-12:00"/>
        <s v="2017-03-20-13:00"/>
        <s v="2017-03-20-14:00"/>
        <s v="2017-03-20-15:00"/>
        <s v="2017-03-20-16:00"/>
        <s v="2017-03-20-17:00"/>
        <s v="2017-03-20-18:00"/>
        <s v="2017-03-20-19:00"/>
        <s v="2017-03-20-20:00"/>
        <s v="2017-03-20-21:00"/>
        <s v="2017-03-20-22:00"/>
        <s v="2017-03-20-23:00"/>
        <s v="2017-03-21-00:00"/>
        <s v="2017-03-21-01:00"/>
        <s v="2017-03-21-02:00"/>
        <s v="2017-03-21-03:00"/>
        <s v="2017-03-21-04:00"/>
        <s v="2017-03-21-05:00"/>
        <s v="2017-03-21-06:00"/>
        <s v="2017-03-21-07:00"/>
        <s v="2017-03-21-08:00"/>
        <s v="2017-03-21-09:00"/>
        <s v="2017-03-21-10:00"/>
        <s v="2017-03-21-11:00"/>
        <s v="2017-03-21-12:00"/>
        <s v="2017-03-21-13:00"/>
        <s v="2017-03-21-14:00"/>
        <s v="2017-03-21-15:00"/>
        <s v="2017-03-21-16:00"/>
        <s v="2017-03-21-17:00"/>
        <s v="2017-03-21-18:00"/>
        <s v="2017-03-21-19:00"/>
        <s v="2017-03-21-20:00"/>
        <s v="2017-03-21-21:00"/>
        <s v="2017-03-21-22:00"/>
        <s v="2017-03-21-23:00"/>
        <s v="2017-03-22-00:00"/>
        <s v="2017-03-22-01:00"/>
        <s v="2017-03-22-02:00"/>
        <s v="2017-03-22-03:00"/>
        <s v="2017-05-15-01:00"/>
        <s v="2017-05-15-02:00"/>
        <s v="2017-05-15-03:00"/>
        <s v="2017-05-15-04:00"/>
        <s v="2017-05-15-05:00"/>
        <s v="2017-05-15-06:00"/>
        <s v="2017-05-15-07:00"/>
        <s v="2017-05-15-08:00"/>
        <s v="2017-05-15-09:00"/>
        <s v="2017-05-15-10:00"/>
        <s v="2017-05-15-11:00"/>
        <s v="2017-05-15-12:00"/>
        <s v="2017-05-15-13:00"/>
        <s v="2017-05-15-14:00"/>
        <s v="2017-05-15-15:00"/>
        <s v="2017-05-15-16:00"/>
        <s v="2017-05-15-17:00"/>
        <s v="2017-05-15-18:00"/>
        <s v="2017-05-15-19:00"/>
        <s v="2017-05-15-20:00"/>
        <s v="2017-05-15-21:00"/>
        <s v="2017-05-15-22:00"/>
        <s v="2017-05-15-23:00"/>
        <s v="2017-05-16-00:00"/>
        <s v="2017-05-16-01:00"/>
        <s v="2017-05-16-02:00"/>
        <s v="2017-05-16-03:00"/>
        <s v="2017-05-16-04:00"/>
        <s v="2017-05-16-05:00"/>
        <s v="2017-05-16-06:00"/>
        <s v="2017-05-16-07:00"/>
        <s v="2017-05-16-08:00"/>
        <s v="2017-05-16-09:00"/>
        <s v="2017-05-16-10:00"/>
        <s v="2017-05-16-11:00"/>
        <s v="2017-05-16-12:00"/>
        <s v="2017-05-16-13:00"/>
        <s v="2017-05-16-14:00"/>
        <s v="2017-05-16-15:00"/>
        <s v="2017-05-16-16:00"/>
        <s v="2017-05-16-17:00"/>
        <s v="2017-05-16-18:00"/>
        <s v="2017-05-16-19:00"/>
        <s v="2017-05-16-20:00"/>
        <s v="2017-05-16-21:00"/>
        <s v="2017-05-16-22:00"/>
        <s v="2017-05-16-23:00"/>
        <s v="2017-05-17-00:00"/>
        <s v="2017-05-17-01:00"/>
        <s v="2017-05-17-02:00"/>
        <s v="2017-05-17-03:00"/>
        <s v="2017-05-17-04:00"/>
        <s v="2017-05-17-05:00"/>
        <s v="2017-05-17-06:00"/>
        <s v="2017-05-17-07:00"/>
        <s v="2017-05-17-08:00"/>
        <s v="2017-05-17-09:00"/>
        <s v="2017-05-17-10:00"/>
        <s v="2017-05-17-11:00"/>
        <s v="2017-05-17-12:00"/>
        <s v="2017-05-17-13:00"/>
        <s v="2017-07-10-09:00"/>
        <s v="2017-07-10-10:00"/>
        <s v="2017-07-10-11:00"/>
        <s v="2017-07-10-12:00"/>
        <s v="2017-07-10-13:00"/>
        <s v="2017-07-10-14:00"/>
        <s v="2017-07-10-15:00"/>
        <s v="2017-07-10-16:00"/>
        <s v="2017-07-10-17:00"/>
        <s v="2017-07-10-18:00"/>
        <s v="2017-07-10-19:00"/>
        <s v="2017-07-10-20:00"/>
        <s v="2017-07-10-21:00"/>
        <s v="2017-07-10-22:00"/>
        <s v="2017-07-10-23:00"/>
        <s v="2017-07-11-00:00"/>
        <s v="2017-07-11-01:00"/>
        <s v="2017-07-11-02:00"/>
        <s v="2017-07-11-03:00"/>
        <s v="2017-07-11-04:00"/>
        <s v="2017-07-11-05:00"/>
        <s v="2017-07-11-06:00"/>
        <s v="2017-07-11-07:00"/>
        <s v="2017-07-11-08:00"/>
        <s v="2017-07-11-09:00"/>
        <s v="2017-07-11-10:00"/>
        <s v="2017-07-11-11:00"/>
        <s v="2017-07-11-12:00"/>
        <s v="2017-07-11-13:00"/>
        <s v="2017-07-11-14:00"/>
        <s v="2017-07-11-15:00"/>
        <s v="2017-07-11-16:00"/>
        <s v="2017-07-11-17:00"/>
        <s v="2017-07-11-18:00"/>
        <s v="2017-07-11-19:00"/>
        <s v="2017-07-11-20:00"/>
        <s v="2017-07-11-21:00"/>
        <s v="2017-07-11-22:00"/>
        <s v="2017-07-11-23:00"/>
        <s v="2017-07-12-00:00"/>
        <s v="2017-07-12-01:00"/>
        <s v="2017-07-12-02:00"/>
        <s v="2017-07-12-03:00"/>
        <s v="2017-07-12-04:00"/>
        <s v="2017-07-12-05:00"/>
        <s v="2017-07-12-06:00"/>
        <s v="2017-07-12-07:00"/>
        <s v="2017-07-12-08:00"/>
        <s v="2017-07-12-09:00"/>
        <s v="2017-07-12-10:00"/>
        <s v="2017-07-12-11:00"/>
        <s v="2017-07-12-12:00"/>
        <s v="2017-07-12-13:00"/>
        <s v="2017-07-12-14:00"/>
        <s v="2017-07-12-15:00"/>
        <s v="2017-07-12-16:00"/>
        <s v="2017-07-12-17:00"/>
        <s v="2017-07-12-18:00"/>
        <s v="2017-07-12-19:00"/>
        <s v="2017-07-12-20:00"/>
        <s v="2017-07-12-21:00"/>
        <s v="2017-09-04-15:00"/>
        <s v="2017-09-04-16:00"/>
        <s v="2017-09-04-17:00"/>
        <s v="2017-09-04-18:00"/>
        <s v="2017-09-04-19:00"/>
        <s v="2017-09-04-20:00"/>
        <s v="2017-09-04-21:00"/>
        <s v="2017-09-04-22:00"/>
        <s v="2017-09-04-23:00"/>
        <s v="2017-09-05-00:00"/>
        <s v="2017-09-05-01:00"/>
        <s v="2017-09-05-02:00"/>
        <s v="2017-09-05-03:00"/>
        <s v="2017-09-05-04:00"/>
        <s v="2017-09-05-05:00"/>
        <s v="2017-09-05-06:00"/>
        <s v="2017-09-05-07:00"/>
        <s v="2017-09-05-08:00"/>
        <s v="2017-09-05-09:00"/>
        <s v="2017-09-05-10:00"/>
        <s v="2017-09-05-11:00"/>
        <s v="2017-09-05-12:00"/>
        <s v="2017-09-05-13:00"/>
        <s v="2017-09-05-14:00"/>
        <s v="2017-09-05-15:00"/>
        <s v="2017-09-05-16:00"/>
        <s v="2017-09-05-17:00"/>
        <s v="2017-09-05-18:00"/>
        <s v="2017-09-05-19:00"/>
        <s v="2017-09-05-20:00"/>
        <s v="2017-09-05-21:00"/>
        <s v="2017-09-05-22:00"/>
        <s v="2017-09-05-23:00"/>
        <s v="2017-09-06-00:00"/>
        <s v="2017-09-06-01:00"/>
        <s v="2017-09-06-02:00"/>
        <s v="2017-09-06-03:00"/>
        <s v="2017-09-06-04:00"/>
        <s v="2017-09-06-05:00"/>
        <s v="2017-09-06-06:00"/>
        <s v="2017-09-06-07:00"/>
        <s v="2017-09-06-08:00"/>
        <s v="2017-09-06-09:00"/>
        <s v="2017-09-06-10:00"/>
        <s v="2017-09-06-11:00"/>
        <s v="2017-09-06-12:00"/>
        <s v="2017-09-06-13:00"/>
        <s v="2017-09-06-14:00"/>
        <s v="2017-09-06-15:00"/>
        <s v="2017-09-06-16:00"/>
        <s v="2017-09-06-17:00"/>
        <s v="2017-09-06-18:00"/>
        <s v="2017-09-06-19:00"/>
        <s v="2017-09-06-20:00"/>
        <s v="2017-09-06-21:00"/>
        <s v="2017-09-06-22:00"/>
        <s v="2017-09-06-23:00"/>
        <s v="2017-09-07-00:00"/>
        <s v="2017-09-07-01:00"/>
        <s v="2017-09-07-02: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0-17:00"/>
        <s v="2016-06-10-18:00"/>
        <s v="2016-06-10-19: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5-17:00"/>
        <s v="2016-08-05-18:00"/>
        <s v="2016-08-05-19:00"/>
        <s v="2016-08-05-20:00"/>
        <s v="2016-08-05-21:00"/>
        <s v="2016-08-05-22:00"/>
        <s v="2016-08-05-23:00"/>
        <s v="2016-08-08-00:00"/>
        <s v="2016-08-08-01:00"/>
        <s v="2016-08-08-02:00"/>
        <s v="2016-08-08-03:00"/>
        <s v="2016-08-08-04: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09-30-17:00"/>
        <s v="2016-09-30-18:00"/>
        <s v="2016-09-30-19:00"/>
        <s v="2016-09-30-20:00"/>
        <s v="2016-09-30-21:00"/>
        <s v="2016-09-30-22:00"/>
        <s v="2016-09-30-23:00"/>
        <s v="2016-10-03-00:00"/>
        <s v="2016-10-03-01:00"/>
        <s v="2016-10-03-02:00"/>
        <s v="2016-10-03-03:00"/>
        <s v="2016-10-03-04:00"/>
        <s v="2016-10-03-05:00"/>
        <s v="2016-10-03-06:00"/>
        <s v="2016-10-03-07:00"/>
        <s v="2016-10-03-08:00"/>
        <s v="2016-10-03-09:00"/>
        <s v="2016-10-03-10:00"/>
        <s v="2016-10-03-11:00"/>
        <s v="2016-10-03-12:00"/>
        <s v="2016-10-03-13:00"/>
        <s v="2016-10-03-14:00"/>
        <s v="2016-11-28-19:00"/>
        <s v="2016-11-28-20:00"/>
        <s v="2016-11-28-21:00"/>
        <s v="2016-11-28-22:00"/>
        <s v="2016-11-28-23:00"/>
        <s v="2016-11-29-00:00"/>
        <s v="2016-11-29-01:00"/>
        <s v="2016-11-29-02:00"/>
        <s v="2016-11-29-03:00"/>
        <s v="2016-11-29-04:00"/>
        <s v="2016-11-29-05:00"/>
        <s v="2016-11-29-06:00"/>
        <s v="2016-11-29-07:00"/>
        <s v="2016-11-29-08:00"/>
        <s v="2016-11-29-09:00"/>
        <s v="2016-11-29-10:00"/>
        <s v="2016-11-29-11:00"/>
        <s v="2016-11-29-12:00"/>
        <s v="2016-11-29-13:00"/>
        <s v="2016-11-29-14:00"/>
        <s v="2016-11-29-15:00"/>
        <s v="2016-11-29-16:00"/>
        <s v="2016-11-29-17:00"/>
        <s v="2016-11-29-18:00"/>
        <s v="2016-11-29-19:00"/>
        <s v="2016-11-29-20:00"/>
        <s v="2016-11-29-21:00"/>
        <s v="2016-11-29-22:00"/>
        <s v="2016-11-29-23:00"/>
        <s v="2016-11-30-00:00"/>
        <s v="2016-11-30-01:00"/>
        <s v="2016-11-30-02:00"/>
        <s v="2016-11-30-03:00"/>
        <s v="2016-11-30-04:00"/>
        <s v="2016-11-30-05:00"/>
        <s v="2016-11-30-06:00"/>
        <s v="2016-11-30-07:00"/>
        <s v="2016-11-30-08:00"/>
        <s v="2016-11-30-09:00"/>
        <s v="2016-11-30-10:00"/>
        <s v="2016-11-30-11:00"/>
        <s v="2016-11-30-12:00"/>
        <s v="2016-11-30-13:00"/>
        <s v="2016-11-30-14:00"/>
        <s v="2016-11-30-15:00"/>
        <s v="2016-11-30-16:00"/>
        <s v="2016-11-30-17:00"/>
        <s v="2016-11-30-18:00"/>
        <s v="2016-11-30-19:00"/>
        <s v="2016-11-30-20:00"/>
        <s v="2016-11-30-21:00"/>
        <s v="2016-11-30-22:00"/>
        <s v="2016-11-30-23:00"/>
        <s v="2016-12-01-00:00"/>
        <s v="2016-12-01-01:00"/>
        <s v="2016-12-01-02:00"/>
        <s v="2016-12-01-03:00"/>
        <s v="2016-12-01-04:00"/>
        <s v="2016-12-01-05:00"/>
        <s v="2016-12-01-06:00"/>
        <s v="2016-12-01-07:00"/>
        <s v="2017-01-24-19:00"/>
        <s v="2017-01-24-20:00"/>
        <s v="2017-01-24-21:00"/>
        <s v="2017-01-24-22:00"/>
        <s v="2017-01-24-23:00"/>
        <s v="2017-01-25-00:00"/>
        <s v="2017-01-25-01:00"/>
        <s v="2017-01-25-02:00"/>
        <s v="2017-01-25-03:00"/>
        <s v="2017-01-25-04:00"/>
        <s v="2017-01-25-05:00"/>
        <s v="2017-01-25-06:00"/>
        <s v="2017-01-25-07:00"/>
        <s v="2017-01-25-08:00"/>
        <s v="2017-01-25-09:00"/>
        <s v="2017-01-25-10:00"/>
        <s v="2017-01-25-11:00"/>
        <s v="2017-01-25-12:00"/>
        <s v="2017-01-25-13:00"/>
        <s v="2017-01-25-14:00"/>
        <s v="2017-01-25-15:00"/>
        <s v="2017-01-25-16:00"/>
        <s v="2017-01-25-17:00"/>
        <s v="2017-01-25-18:00"/>
        <s v="2017-01-25-19:00"/>
        <s v="2017-01-25-20:00"/>
        <s v="2017-01-25-21:00"/>
        <s v="2017-01-25-22:00"/>
        <s v="2017-01-25-23:00"/>
        <s v="2017-01-26-00:00"/>
        <s v="2017-01-26-01:00"/>
        <s v="2017-01-26-02:00"/>
        <s v="2017-01-26-03:00"/>
        <s v="2017-01-26-04:00"/>
        <s v="2017-01-26-05:00"/>
        <s v="2017-01-26-06:00"/>
        <s v="2017-01-26-07:00"/>
        <s v="2017-01-26-08:00"/>
        <s v="2017-01-26-09:00"/>
        <s v="2017-01-26-10:00"/>
        <s v="2017-01-26-11:00"/>
        <s v="2017-01-26-12:00"/>
        <s v="2017-01-26-13:00"/>
        <s v="2017-01-26-14:00"/>
        <s v="2017-01-26-15:00"/>
        <s v="2017-01-26-16:00"/>
        <s v="2017-01-26-17:00"/>
        <s v="2017-01-26-18:00"/>
        <s v="2017-01-26-19:00"/>
        <s v="2017-01-26-20:00"/>
        <s v="2017-01-26-21:00"/>
        <s v="2017-01-26-22:00"/>
        <s v="2017-01-26-23:00"/>
        <s v="2017-01-27-00:00"/>
        <s v="2017-01-27-01:00"/>
        <s v="2017-01-27-02:00"/>
        <s v="2017-01-27-03:00"/>
        <s v="2017-01-27-04:00"/>
        <s v="2017-01-27-05:00"/>
        <s v="2017-01-27-06:00"/>
        <s v="2017-01-27-07:00"/>
        <s v="2017-03-22-04:00"/>
        <s v="2017-03-22-05:00"/>
        <s v="2017-03-22-06:00"/>
        <s v="2017-03-22-07:00"/>
        <s v="2017-03-22-08:00"/>
        <s v="2017-03-22-09:00"/>
        <s v="2017-03-22-10:00"/>
        <s v="2017-03-22-11:00"/>
        <s v="2017-03-22-12:00"/>
        <s v="2017-03-22-13:00"/>
        <s v="2017-03-22-14:00"/>
        <s v="2017-03-22-15:00"/>
        <s v="2017-03-22-16:00"/>
        <s v="2017-03-22-17:00"/>
        <s v="2017-03-22-18:00"/>
        <s v="2017-03-22-19:00"/>
        <s v="2017-03-22-20:00"/>
        <s v="2017-03-22-21:00"/>
        <s v="2017-03-22-22:00"/>
        <s v="2017-03-22-23:00"/>
        <s v="2017-03-23-00:00"/>
        <s v="2017-03-23-01:00"/>
        <s v="2017-03-23-02:00"/>
        <s v="2017-03-23-03:00"/>
        <s v="2017-03-23-04:00"/>
        <s v="2017-03-23-05:00"/>
        <s v="2017-03-23-06:00"/>
        <s v="2017-03-23-07:00"/>
        <s v="2017-03-23-08:00"/>
        <s v="2017-03-23-09:00"/>
        <s v="2017-03-23-10:00"/>
        <s v="2017-03-23-11:00"/>
        <s v="2017-03-23-12:00"/>
        <s v="2017-03-23-13:00"/>
        <s v="2017-03-23-14:00"/>
        <s v="2017-03-23-15:00"/>
        <s v="2017-03-23-16:00"/>
        <s v="2017-03-23-17:00"/>
        <s v="2017-03-23-18:00"/>
        <s v="2017-03-23-19:00"/>
        <s v="2017-03-23-20:00"/>
        <s v="2017-03-23-21:00"/>
        <s v="2017-03-23-22:00"/>
        <s v="2017-03-23-23:00"/>
        <s v="2017-03-24-00:00"/>
        <s v="2017-03-24-01:00"/>
        <s v="2017-03-24-02:00"/>
        <s v="2017-03-24-03:00"/>
        <s v="2017-03-24-04:00"/>
        <s v="2017-03-24-05:00"/>
        <s v="2017-03-24-06:00"/>
        <s v="2017-03-24-07:00"/>
        <s v="2017-03-24-08:00"/>
        <s v="2017-03-24-09:00"/>
        <s v="2017-03-24-10:00"/>
        <s v="2017-03-24-11:00"/>
        <s v="2017-03-24-12:00"/>
        <s v="2017-03-24-13:00"/>
        <s v="2017-03-24-14:00"/>
        <s v="2017-03-24-15:00"/>
        <s v="2017-03-24-16:00"/>
        <s v="2017-05-17-14:00"/>
        <s v="2017-05-17-15:00"/>
        <s v="2017-05-17-16:00"/>
        <s v="2017-05-17-17:00"/>
        <s v="2017-05-17-18:00"/>
        <s v="2017-05-17-19:00"/>
        <s v="2017-05-17-20:00"/>
        <s v="2017-05-17-21:00"/>
        <s v="2017-05-17-22:00"/>
        <s v="2017-05-17-23:00"/>
        <s v="2017-05-18-00:00"/>
        <s v="2017-05-18-01:00"/>
        <s v="2017-05-18-02:00"/>
        <s v="2017-05-18-03:00"/>
        <s v="2017-05-18-04:00"/>
        <s v="2017-05-18-05:00"/>
        <s v="2017-05-18-06:00"/>
        <s v="2017-05-18-07:00"/>
        <s v="2017-05-18-08:00"/>
        <s v="2017-05-18-09:00"/>
        <s v="2017-05-18-10:00"/>
        <s v="2017-05-18-11:00"/>
        <s v="2017-05-18-12:00"/>
        <s v="2017-05-18-13:00"/>
        <s v="2017-05-18-14:00"/>
        <s v="2017-05-18-15:00"/>
        <s v="2017-05-18-16:00"/>
        <s v="2017-05-18-17:00"/>
        <s v="2017-05-18-18:00"/>
        <s v="2017-05-18-19:00"/>
        <s v="2017-05-18-20:00"/>
        <s v="2017-05-18-21:00"/>
        <s v="2017-05-18-22:00"/>
        <s v="2017-05-18-23:00"/>
        <s v="2017-05-19-00:00"/>
        <s v="2017-05-19-01:00"/>
        <s v="2017-05-19-02:00"/>
        <s v="2017-05-19-03:00"/>
        <s v="2017-05-19-04:00"/>
        <s v="2017-05-19-05:00"/>
        <s v="2017-05-19-06:00"/>
        <s v="2017-05-19-07:00"/>
        <s v="2017-05-19-08:00"/>
        <s v="2017-05-19-09:00"/>
        <s v="2017-05-19-10:00"/>
        <s v="2017-05-19-11:00"/>
        <s v="2017-05-19-12:00"/>
        <s v="2017-05-19-13:00"/>
        <s v="2017-05-19-14:00"/>
        <s v="2017-05-19-15:00"/>
        <s v="2017-05-19-16:00"/>
        <s v="2017-05-19-17:00"/>
        <s v="2017-05-19-18:00"/>
        <s v="2017-05-19-19:00"/>
        <s v="2017-05-19-20:00"/>
        <s v="2017-05-19-21:00"/>
        <s v="2017-05-19-22:00"/>
        <s v="2017-05-19-23:00"/>
        <s v="2017-05-22-00:00"/>
        <s v="2017-05-22-01:00"/>
        <s v="2017-05-22-02:00"/>
        <s v="2017-07-12-22:00"/>
        <s v="2017-07-12-23:00"/>
        <s v="2017-07-13-00:00"/>
        <s v="2017-07-13-01:00"/>
        <s v="2017-07-13-02:00"/>
        <s v="2017-07-13-03:00"/>
        <s v="2017-07-13-04:00"/>
        <s v="2017-07-13-05:00"/>
        <s v="2017-07-13-06:00"/>
        <s v="2017-07-13-07:00"/>
        <s v="2017-07-13-08:00"/>
        <s v="2017-07-13-09:00"/>
        <s v="2017-07-13-10:00"/>
        <s v="2017-07-13-11:00"/>
        <s v="2017-07-13-12:00"/>
        <s v="2017-07-13-13:00"/>
        <s v="2017-07-13-14:00"/>
        <s v="2017-07-13-15:00"/>
        <s v="2017-07-13-16:00"/>
        <s v="2017-07-13-17:00"/>
        <s v="2017-07-13-18:00"/>
        <s v="2017-07-13-19:00"/>
        <s v="2017-07-13-20:00"/>
        <s v="2017-07-13-21:00"/>
        <s v="2017-07-13-22:00"/>
        <s v="2017-07-13-23:00"/>
        <s v="2017-07-14-00:00"/>
        <s v="2017-07-14-01:00"/>
        <s v="2017-07-14-02:00"/>
        <s v="2017-07-14-03:00"/>
        <s v="2017-07-14-04:00"/>
        <s v="2017-07-14-05:00"/>
        <s v="2017-07-14-06:00"/>
        <s v="2017-07-14-07:00"/>
        <s v="2017-07-14-08:00"/>
        <s v="2017-07-14-09:00"/>
        <s v="2017-07-14-10:00"/>
        <s v="2017-07-14-11:00"/>
        <s v="2017-07-14-12:00"/>
        <s v="2017-07-14-13:00"/>
        <s v="2017-07-14-14:00"/>
        <s v="2017-07-14-15:00"/>
        <s v="2017-07-14-16:00"/>
        <s v="2017-07-14-17:00"/>
        <s v="2017-07-14-18:00"/>
        <s v="2017-07-14-19:00"/>
        <s v="2017-07-14-20:00"/>
        <s v="2017-07-14-21:00"/>
        <s v="2017-07-14-22:00"/>
        <s v="2017-07-14-23:00"/>
        <s v="2017-07-17-00:00"/>
        <s v="2017-07-17-01:00"/>
        <s v="2017-07-17-02:00"/>
        <s v="2017-07-17-03:00"/>
        <s v="2017-07-17-04:00"/>
        <s v="2017-07-17-05:00"/>
        <s v="2017-07-17-06:00"/>
        <s v="2017-07-17-07:00"/>
        <s v="2017-07-17-08:00"/>
        <s v="2017-07-17-09:00"/>
        <s v="2017-07-17-10:00"/>
        <s v="2017-09-07-03:00"/>
        <s v="2017-09-07-04:00"/>
        <s v="2017-09-07-05:00"/>
        <s v="2017-09-07-06:00"/>
        <s v="2017-09-07-07:00"/>
        <s v="2017-09-07-08:00"/>
        <s v="2017-09-07-09:00"/>
        <s v="2017-09-07-10:00"/>
        <s v="2017-09-07-11:00"/>
        <s v="2017-09-07-12:00"/>
        <s v="2017-09-07-13:00"/>
        <s v="2017-09-07-14:00"/>
        <s v="2017-09-07-15:00"/>
        <s v="2017-09-07-16:00"/>
        <s v="2017-09-07-17:00"/>
        <s v="2017-09-07-18:00"/>
        <s v="2017-09-07-19:00"/>
        <s v="2017-09-07-20:00"/>
        <s v="2017-09-07-21:00"/>
        <s v="2017-09-07-22:00"/>
        <s v="2017-09-07-23:00"/>
        <s v="2017-09-08-00:00"/>
        <s v="2017-09-08-01:00"/>
        <s v="2017-09-08-02:00"/>
        <s v="2017-09-08-03:00"/>
        <s v="2017-09-08-04:00"/>
        <s v="2017-09-08-05:00"/>
        <s v="2017-09-08-06:00"/>
        <s v="2017-09-08-07:00"/>
        <s v="2017-09-08-08:00"/>
        <s v="2017-09-08-09:00"/>
        <s v="2017-09-08-10:00"/>
        <s v="2017-09-08-11:00"/>
        <s v="2017-09-08-12:00"/>
        <s v="2017-09-08-13:00"/>
        <s v="2017-09-08-14:00"/>
        <s v="2017-09-08-15:00"/>
        <s v="2017-09-08-16:00"/>
        <s v="2017-09-08-17:00"/>
        <s v="2017-09-08-18:00"/>
        <s v="2017-09-08-19:00"/>
        <s v="2017-09-08-20:00"/>
        <s v="2017-09-08-21:00"/>
        <s v="2017-09-08-22:00"/>
        <s v="2017-09-08-23:00"/>
        <s v="2017-09-11-00:00"/>
        <s v="2017-09-11-01:00"/>
        <s v="2017-09-11-02:00"/>
        <s v="2017-09-11-03:00"/>
        <s v="2017-09-11-04:00"/>
        <s v="2017-09-11-05:00"/>
        <s v="2017-09-11-06:00"/>
        <s v="2017-09-11-07:00"/>
        <s v="2017-09-11-08:00"/>
        <s v="2017-09-11-09:00"/>
        <s v="2017-09-11-10:00"/>
        <s v="2017-09-11-11:00"/>
        <s v="2017-09-11-12:00"/>
        <s v="2017-09-11-13:00"/>
        <s v="2017-09-11-14:00"/>
        <s v="2017-09-11-15: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18-17:00"/>
        <s v="2016-03-18-18:00"/>
        <s v="2016-03-18-19:00"/>
        <s v="2016-03-18-20:00"/>
        <s v="2016-03-18-21:00"/>
        <s v="2016-03-18-22:00"/>
        <s v="2016-03-21-00:00"/>
        <s v="2016-03-21-01:00"/>
        <s v="2016-03-21-02:00"/>
        <s v="2016-04-15-14:00"/>
        <s v="2016-04-15-15:00"/>
        <s v="2016-04-15-16:00"/>
        <s v="2016-04-15-17:00"/>
        <s v="2016-04-15-18:00"/>
        <s v="2016-04-15-19:00"/>
        <s v="2016-04-15-20:00"/>
        <s v="2016-04-15-21:00"/>
        <s v="2016-04-15-22:00"/>
        <s v="2016-04-15-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6-10-20:00"/>
        <s v="2016-06-10-21:00"/>
        <s v="2016-06-10-22:00"/>
        <s v="2016-06-10-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2-01-08:00"/>
        <s v="2016-12-01-09:00"/>
        <s v="2016-12-01-10:00"/>
        <s v="2016-12-01-11:00"/>
        <s v="2016-12-01-12:00"/>
        <s v="2016-12-01-13:00"/>
        <s v="2016-12-01-14:00"/>
        <s v="2016-12-01-15:00"/>
        <s v="2016-12-01-16:00"/>
        <s v="2016-12-01-17:00"/>
        <s v="2016-12-01-18:00"/>
        <s v="2016-12-01-19:00"/>
        <s v="2016-12-01-20:00"/>
        <s v="2016-12-01-21:00"/>
        <s v="2016-12-01-22:00"/>
        <s v="2016-12-01-23:00"/>
        <s v="2016-12-02-00:00"/>
        <s v="2016-12-02-01:00"/>
        <s v="2016-12-02-02:00"/>
        <s v="2016-12-02-03:00"/>
        <s v="2016-12-02-04:00"/>
        <s v="2016-12-02-05:00"/>
        <s v="2016-12-02-06:00"/>
        <s v="2016-12-02-07:00"/>
        <s v="2016-12-02-08:00"/>
        <s v="2016-12-02-09:00"/>
        <s v="2016-12-02-10:00"/>
        <s v="2016-12-02-11:00"/>
        <s v="2016-12-02-12:00"/>
        <s v="2016-12-02-13:00"/>
        <s v="2016-12-02-14:00"/>
        <s v="2016-12-02-15:00"/>
        <s v="2016-12-02-16:00"/>
        <s v="2016-12-02-17:00"/>
        <s v="2016-12-02-18:00"/>
        <s v="2016-12-02-19:00"/>
        <s v="2016-12-02-20:00"/>
        <s v="2016-12-02-21:00"/>
        <s v="2016-12-02-22:00"/>
        <s v="2016-12-02-23:00"/>
        <s v="2016-12-05-00:00"/>
        <s v="2016-12-05-01:00"/>
        <s v="2016-12-05-02:00"/>
        <s v="2016-12-05-03:00"/>
        <s v="2016-12-05-04:00"/>
        <s v="2016-12-05-05:00"/>
        <s v="2016-12-05-06:00"/>
        <s v="2016-12-05-07:00"/>
        <s v="2016-12-05-08:00"/>
        <s v="2016-12-05-09:00"/>
        <s v="2016-12-05-10:00"/>
        <s v="2016-12-05-11:00"/>
        <s v="2016-12-05-12:00"/>
        <s v="2016-12-05-13:00"/>
        <s v="2016-12-05-14:00"/>
        <s v="2016-12-05-15:00"/>
        <s v="2016-12-05-16:00"/>
        <s v="2016-12-05-17:00"/>
        <s v="2016-12-05-18:00"/>
        <s v="2016-12-05-19:00"/>
        <s v="2017-01-27-08:00"/>
        <s v="2017-01-27-09:00"/>
        <s v="2017-01-27-10:00"/>
        <s v="2017-01-27-11:00"/>
        <s v="2017-01-27-12:00"/>
        <s v="2017-01-27-13:00"/>
        <s v="2017-01-27-14:00"/>
        <s v="2017-01-27-15:00"/>
        <s v="2017-01-27-16:00"/>
        <s v="2017-01-27-17:00"/>
        <s v="2017-01-27-18:00"/>
        <s v="2017-01-27-19:00"/>
        <s v="2017-01-27-20:00"/>
        <s v="2017-01-27-21:00"/>
        <s v="2017-01-27-22:00"/>
        <s v="2017-01-27-23:00"/>
        <s v="2017-01-30-00:00"/>
        <s v="2017-01-30-01:00"/>
        <s v="2017-01-30-02:00"/>
        <s v="2017-01-30-03:00"/>
        <s v="2017-01-30-04:00"/>
        <s v="2017-01-30-05:00"/>
        <s v="2017-01-30-06:00"/>
        <s v="2017-01-30-07:00"/>
        <s v="2017-01-30-08:00"/>
        <s v="2017-01-30-09:00"/>
        <s v="2017-01-30-10:00"/>
        <s v="2017-01-30-11:00"/>
        <s v="2017-01-30-12:00"/>
        <s v="2017-01-30-13:00"/>
        <s v="2017-01-30-14:00"/>
        <s v="2017-01-30-15:00"/>
        <s v="2017-01-30-16:00"/>
        <s v="2017-01-30-17:00"/>
        <s v="2017-01-30-18:00"/>
        <s v="2017-01-30-19:00"/>
        <s v="2017-01-30-20:00"/>
        <s v="2017-01-30-21:00"/>
        <s v="2017-01-30-22:00"/>
        <s v="2017-01-30-23:00"/>
        <s v="2017-01-31-00:00"/>
        <s v="2017-01-31-01:00"/>
        <s v="2017-01-31-02:00"/>
        <s v="2017-01-31-03:00"/>
        <s v="2017-01-31-04:00"/>
        <s v="2017-01-31-05:00"/>
        <s v="2017-01-31-06:00"/>
        <s v="2017-01-31-07:00"/>
        <s v="2017-01-31-08:00"/>
        <s v="2017-01-31-09:00"/>
        <s v="2017-01-31-10:00"/>
        <s v="2017-01-31-11:00"/>
        <s v="2017-01-31-12:00"/>
        <s v="2017-01-31-13:00"/>
        <s v="2017-01-31-14:00"/>
        <s v="2017-01-31-15:00"/>
        <s v="2017-01-31-16:00"/>
        <s v="2017-01-31-17:00"/>
        <s v="2017-01-31-18:00"/>
        <s v="2017-01-31-19:00"/>
        <s v="2017-03-24-17:00"/>
        <s v="2017-03-24-18:00"/>
        <s v="2017-03-24-19:00"/>
        <s v="2017-03-24-20:00"/>
        <s v="2017-03-24-21:00"/>
        <s v="2017-03-24-22:00"/>
        <s v="2017-03-27-00:00"/>
        <s v="2017-03-27-01:00"/>
        <s v="2017-03-27-02:00"/>
        <s v="2017-03-27-03:00"/>
        <s v="2017-03-27-04:00"/>
        <s v="2017-03-27-05:00"/>
        <s v="2017-03-27-06:00"/>
        <s v="2017-03-27-07:00"/>
        <s v="2017-03-27-08:00"/>
        <s v="2017-03-27-09:00"/>
        <s v="2017-03-27-10:00"/>
        <s v="2017-03-27-11:00"/>
        <s v="2017-03-27-12:00"/>
        <s v="2017-03-27-13:00"/>
        <s v="2017-03-27-14:00"/>
        <s v="2017-03-27-15:00"/>
        <s v="2017-03-27-16:00"/>
        <s v="2017-03-27-17:00"/>
        <s v="2017-03-27-18:00"/>
        <s v="2017-03-27-19:00"/>
        <s v="2017-03-27-20:00"/>
        <s v="2017-03-27-21:00"/>
        <s v="2017-03-27-22:00"/>
        <s v="2017-03-27-23:00"/>
        <s v="2017-03-28-00:00"/>
        <s v="2017-03-28-01:00"/>
        <s v="2017-03-28-02:00"/>
        <s v="2017-03-28-03:00"/>
        <s v="2017-03-28-04:00"/>
        <s v="2017-03-28-05:00"/>
        <s v="2017-03-28-06:00"/>
        <s v="2017-03-28-07:00"/>
        <s v="2017-03-28-08:00"/>
        <s v="2017-03-28-09:00"/>
        <s v="2017-03-28-10:00"/>
        <s v="2017-03-28-11:00"/>
        <s v="2017-03-28-12:00"/>
        <s v="2017-03-28-13:00"/>
        <s v="2017-03-28-14:00"/>
        <s v="2017-03-28-15:00"/>
        <s v="2017-03-28-16:00"/>
        <s v="2017-03-28-17:00"/>
        <s v="2017-03-28-18:00"/>
        <s v="2017-03-28-19:00"/>
        <s v="2017-03-28-20:00"/>
        <s v="2017-03-28-21:00"/>
        <s v="2017-03-28-22:00"/>
        <s v="2017-03-28-23:00"/>
        <s v="2017-03-29-00:00"/>
        <s v="2017-03-29-01:00"/>
        <s v="2017-03-29-02:00"/>
        <s v="2017-03-29-03:00"/>
        <s v="2017-03-29-04:00"/>
        <s v="2017-03-29-05:00"/>
        <s v="2017-05-22-03:00"/>
        <s v="2017-05-22-04:00"/>
        <s v="2017-05-22-05:00"/>
        <s v="2017-05-22-06:00"/>
        <s v="2017-05-22-07:00"/>
        <s v="2017-05-22-08:00"/>
        <s v="2017-05-22-09:00"/>
        <s v="2017-05-22-10:00"/>
        <s v="2017-05-22-11:00"/>
        <s v="2017-05-22-12:00"/>
        <s v="2017-05-22-13:00"/>
        <s v="2017-05-22-14:00"/>
        <s v="2017-05-22-15:00"/>
        <s v="2017-05-22-16:00"/>
        <s v="2017-05-22-17:00"/>
        <s v="2017-05-22-18:00"/>
        <s v="2017-05-22-19:00"/>
        <s v="2017-05-22-20:00"/>
        <s v="2017-05-22-21:00"/>
        <s v="2017-05-22-22:00"/>
        <s v="2017-05-22-23:00"/>
        <s v="2017-05-23-00:00"/>
        <s v="2017-05-23-01:00"/>
        <s v="2017-05-23-02:00"/>
        <s v="2017-05-23-03:00"/>
        <s v="2017-05-23-04:00"/>
        <s v="2017-05-23-05:00"/>
        <s v="2017-05-23-06:00"/>
        <s v="2017-05-23-07:00"/>
        <s v="2017-05-23-08:00"/>
        <s v="2017-05-23-09:00"/>
        <s v="2017-05-23-10:00"/>
        <s v="2017-05-23-11:00"/>
        <s v="2017-05-23-12:00"/>
        <s v="2017-05-23-13:00"/>
        <s v="2017-05-23-14:00"/>
        <s v="2017-05-23-15:00"/>
        <s v="2017-05-23-16:00"/>
        <s v="2017-05-23-17:00"/>
        <s v="2017-05-23-18:00"/>
        <s v="2017-05-23-19:00"/>
        <s v="2017-05-23-20:00"/>
        <s v="2017-05-23-21:00"/>
        <s v="2017-05-23-22:00"/>
        <s v="2017-05-23-23:00"/>
        <s v="2017-05-24-00:00"/>
        <s v="2017-05-24-01:00"/>
        <s v="2017-05-24-02:00"/>
        <s v="2017-05-24-03:00"/>
        <s v="2017-05-24-04:00"/>
        <s v="2017-05-24-05:00"/>
        <s v="2017-05-24-06:00"/>
        <s v="2017-05-24-07:00"/>
        <s v="2017-05-24-08:00"/>
        <s v="2017-05-24-09:00"/>
        <s v="2017-05-24-10:00"/>
        <s v="2017-05-24-11:00"/>
        <s v="2017-05-24-12:00"/>
        <s v="2017-05-24-13:00"/>
        <s v="2017-05-24-14:00"/>
        <s v="2017-07-17-11:00"/>
        <s v="2017-07-17-12:00"/>
        <s v="2017-07-17-13:00"/>
        <s v="2017-07-17-14:00"/>
        <s v="2017-07-17-15:00"/>
        <s v="2017-07-17-16:00"/>
        <s v="2017-07-17-17:00"/>
        <s v="2017-07-17-18:00"/>
        <s v="2017-07-17-19:00"/>
        <s v="2017-07-17-20:00"/>
        <s v="2017-07-17-21:00"/>
        <s v="2017-07-17-22:00"/>
        <s v="2017-07-17-23:00"/>
        <s v="2017-07-18-00:00"/>
        <s v="2017-07-18-01:00"/>
        <s v="2017-07-18-02:00"/>
        <s v="2017-07-18-03:00"/>
        <s v="2017-07-18-04:00"/>
        <s v="2017-07-18-05:00"/>
        <s v="2017-07-18-06:00"/>
        <s v="2017-07-18-07:00"/>
        <s v="2017-07-18-08:00"/>
        <s v="2017-07-18-09:00"/>
        <s v="2017-07-18-10:00"/>
        <s v="2017-07-18-11:00"/>
        <s v="2017-07-18-12:00"/>
        <s v="2017-07-18-13:00"/>
        <s v="2017-07-18-14:00"/>
        <s v="2017-07-18-15:00"/>
        <s v="2017-07-18-16:00"/>
        <s v="2017-07-18-17:00"/>
        <s v="2017-07-18-18:00"/>
        <s v="2017-07-18-19:00"/>
        <s v="2017-07-18-20:00"/>
        <s v="2017-07-18-21:00"/>
        <s v="2017-07-18-22:00"/>
        <s v="2017-07-18-23:00"/>
        <s v="2017-07-19-00:00"/>
        <s v="2017-07-19-01:00"/>
        <s v="2017-07-19-02:00"/>
        <s v="2017-07-19-03:00"/>
        <s v="2017-07-19-04:00"/>
        <s v="2017-07-19-05:00"/>
        <s v="2017-07-19-06:00"/>
        <s v="2017-07-19-07:00"/>
        <s v="2017-07-19-08:00"/>
        <s v="2017-07-19-09:00"/>
        <s v="2017-07-19-10:00"/>
        <s v="2017-07-19-11:00"/>
        <s v="2017-07-19-12:00"/>
        <s v="2017-07-19-13:00"/>
        <s v="2017-07-19-14:00"/>
        <s v="2017-07-19-15:00"/>
        <s v="2017-07-19-16:00"/>
        <s v="2017-07-19-17:00"/>
        <s v="2017-07-19-18:00"/>
        <s v="2017-07-19-19:00"/>
        <s v="2017-07-19-20:00"/>
        <s v="2017-07-19-21:00"/>
        <s v="2017-07-19-22:00"/>
        <s v="2017-07-19-23:00"/>
        <s v="2017-09-11-16:00"/>
        <s v="2017-09-11-17:00"/>
        <s v="2017-09-11-18:00"/>
        <s v="2017-09-11-19:00"/>
        <s v="2017-09-11-20:00"/>
        <s v="2017-09-11-21:00"/>
        <s v="2017-09-11-22:00"/>
        <s v="2017-09-11-23:00"/>
        <s v="2017-09-12-00:00"/>
        <s v="2017-09-12-01:00"/>
        <s v="2017-09-12-02:00"/>
        <s v="2017-09-12-03:00"/>
        <s v="2017-09-12-04:00"/>
        <s v="2017-09-12-05:00"/>
        <s v="2017-09-12-06:00"/>
        <s v="2017-09-12-07:00"/>
        <s v="2017-09-12-08:00"/>
        <s v="2017-09-12-09:00"/>
        <s v="2017-09-12-10:00"/>
        <s v="2017-09-12-11:00"/>
        <s v="2017-09-12-12:00"/>
        <s v="2017-09-12-13:00"/>
        <s v="2017-09-12-14:00"/>
        <s v="2017-09-12-15:00"/>
        <s v="2017-09-12-16:00"/>
        <s v="2017-09-12-17:00"/>
        <s v="2017-09-12-18:00"/>
        <s v="2017-09-12-19:00"/>
        <s v="2017-09-12-20:00"/>
        <s v="2017-09-12-21:00"/>
        <s v="2017-09-12-22:00"/>
        <s v="2017-09-12-23:00"/>
        <s v="2017-09-13-00:00"/>
        <s v="2017-09-13-01:00"/>
        <s v="2017-09-13-02:00"/>
        <s v="2017-09-13-03:00"/>
        <s v="2017-09-13-04:00"/>
        <s v="2017-09-13-05:00"/>
        <s v="2017-09-13-06:00"/>
        <s v="2017-09-13-07:00"/>
        <s v="2017-09-13-08:00"/>
        <s v="2017-09-13-09:00"/>
        <s v="2017-09-13-10:00"/>
        <s v="2017-09-13-11:00"/>
        <s v="2017-09-13-12:00"/>
        <s v="2017-09-13-13:00"/>
        <s v="2017-09-13-14:00"/>
        <s v="2017-09-13-15:00"/>
        <s v="2017-09-13-16:00"/>
        <s v="2017-09-13-17:00"/>
        <s v="2017-09-13-18:00"/>
        <s v="2017-09-13-19:00"/>
        <s v="2017-09-13-20:00"/>
        <s v="2017-09-13-21:00"/>
        <s v="2017-09-13-22:00"/>
        <s v="2017-09-13-23:00"/>
        <s v="2017-09-14-00:00"/>
        <s v="2017-09-14-01:00"/>
        <s v="2017-09-14-02:00"/>
        <s v="2017-09-14-03: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7-17:00"/>
        <s v="2016-06-17-18:00"/>
        <s v="2016-06-17-19:00"/>
        <s v="2016-06-17-20: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2-17:00"/>
        <s v="2016-08-12-18:00"/>
        <s v="2016-08-12-19:00"/>
        <s v="2016-08-12-20:00"/>
        <s v="2016-08-12-21:00"/>
        <s v="2016-08-12-22:00"/>
        <s v="2016-08-12-23:00"/>
        <s v="2016-08-15-00:00"/>
        <s v="2016-08-15-01:00"/>
        <s v="2016-08-15-02:00"/>
        <s v="2016-08-15-03:00"/>
        <s v="2016-08-15-04:00"/>
        <s v="2016-08-15-05:00"/>
        <s v="2016-08-15-06: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7-17:00"/>
        <s v="2016-10-07-18:00"/>
        <s v="2016-10-07-19:00"/>
        <s v="2016-10-07-20:00"/>
        <s v="2016-10-07-21:00"/>
        <s v="2016-10-07-22:00"/>
        <s v="2016-10-07-23:00"/>
        <s v="2016-10-10-00:00"/>
        <s v="2016-10-10-01:00"/>
        <s v="2016-10-10-02:00"/>
        <s v="2016-10-10-03:00"/>
        <s v="2016-10-10-04:00"/>
        <s v="2016-10-10-05:00"/>
        <s v="2016-10-10-06:00"/>
        <s v="2016-10-10-07:00"/>
        <s v="2016-10-10-08:00"/>
        <s v="2016-10-10-09:00"/>
        <s v="2016-10-10-10:00"/>
        <s v="2016-10-10-11:00"/>
        <s v="2016-10-10-12:00"/>
        <s v="2016-10-10-13:00"/>
        <s v="2016-10-10-14:00"/>
        <s v="2016-12-05-20:00"/>
        <s v="2016-12-05-21:00"/>
        <s v="2016-12-05-22:00"/>
        <s v="2016-12-05-23:00"/>
        <s v="2016-12-06-00:00"/>
        <s v="2016-12-06-01:00"/>
        <s v="2016-12-06-02:00"/>
        <s v="2016-12-06-03:00"/>
        <s v="2016-12-06-04:00"/>
        <s v="2016-12-06-05:00"/>
        <s v="2016-12-06-06:00"/>
        <s v="2016-12-06-07:00"/>
        <s v="2016-12-06-08:00"/>
        <s v="2016-12-06-09:00"/>
        <s v="2016-12-06-10:00"/>
        <s v="2016-12-06-11:00"/>
        <s v="2016-12-06-12:00"/>
        <s v="2016-12-06-13:00"/>
        <s v="2016-12-06-14:00"/>
        <s v="2016-12-06-15:00"/>
        <s v="2016-12-06-16:00"/>
        <s v="2016-12-06-17:00"/>
        <s v="2016-12-06-18:00"/>
        <s v="2016-12-06-19:00"/>
        <s v="2016-12-06-20:00"/>
        <s v="2016-12-06-21:00"/>
        <s v="2016-12-06-22:00"/>
        <s v="2016-12-06-23:00"/>
        <s v="2016-12-07-00:00"/>
        <s v="2016-12-07-01:00"/>
        <s v="2016-12-07-02:00"/>
        <s v="2016-12-07-03:00"/>
        <s v="2016-12-07-04:00"/>
        <s v="2016-12-07-05:00"/>
        <s v="2016-12-07-06:00"/>
        <s v="2016-12-07-07:00"/>
        <s v="2016-12-07-08:00"/>
        <s v="2016-12-07-09:00"/>
        <s v="2016-12-07-10:00"/>
        <s v="2016-12-07-11:00"/>
        <s v="2016-12-07-12:00"/>
        <s v="2016-12-07-13:00"/>
        <s v="2016-12-07-14:00"/>
        <s v="2016-12-07-15:00"/>
        <s v="2016-12-07-16:00"/>
        <s v="2016-12-07-17:00"/>
        <s v="2016-12-07-18:00"/>
        <s v="2016-12-07-19:00"/>
        <s v="2016-12-07-20:00"/>
        <s v="2016-12-07-21:00"/>
        <s v="2016-12-07-22:00"/>
        <s v="2016-12-07-23:00"/>
        <s v="2016-12-08-00:00"/>
        <s v="2016-12-08-01:00"/>
        <s v="2016-12-08-02:00"/>
        <s v="2016-12-08-03:00"/>
        <s v="2016-12-08-04:00"/>
        <s v="2016-12-08-05:00"/>
        <s v="2016-12-08-06:00"/>
        <s v="2016-12-08-07:00"/>
        <s v="2016-12-08-08:00"/>
        <s v="2017-01-31-20:00"/>
        <s v="2017-01-31-21:00"/>
        <s v="2017-01-31-22:00"/>
        <s v="2017-01-31-23:00"/>
        <s v="2017-02-01-00:00"/>
        <s v="2017-02-01-01:00"/>
        <s v="2017-02-01-02:00"/>
        <s v="2017-02-01-03:00"/>
        <s v="2017-02-01-04:00"/>
        <s v="2017-02-01-05:00"/>
        <s v="2017-02-01-06:00"/>
        <s v="2017-02-01-07:00"/>
        <s v="2017-02-01-08:00"/>
        <s v="2017-02-01-09:00"/>
        <s v="2017-02-01-10:00"/>
        <s v="2017-02-01-11:00"/>
        <s v="2017-02-01-12:00"/>
        <s v="2017-02-01-13:00"/>
        <s v="2017-02-01-14:00"/>
        <s v="2017-02-01-15:00"/>
        <s v="2017-02-01-16:00"/>
        <s v="2017-02-01-17:00"/>
        <s v="2017-02-01-18:00"/>
        <s v="2017-02-01-19:00"/>
        <s v="2017-02-01-20:00"/>
        <s v="2017-02-01-21:00"/>
        <s v="2017-02-01-22:00"/>
        <s v="2017-02-01-23:00"/>
        <s v="2017-02-02-00:00"/>
        <s v="2017-02-02-01:00"/>
        <s v="2017-02-02-02:00"/>
        <s v="2017-02-02-03:00"/>
        <s v="2017-02-02-04:00"/>
        <s v="2017-02-02-05:00"/>
        <s v="2017-02-02-06:00"/>
        <s v="2017-02-02-07:00"/>
        <s v="2017-02-02-08:00"/>
        <s v="2017-02-02-09:00"/>
        <s v="2017-02-02-10:00"/>
        <s v="2017-02-02-11:00"/>
        <s v="2017-02-02-12:00"/>
        <s v="2017-02-02-13:00"/>
        <s v="2017-02-02-14:00"/>
        <s v="2017-02-02-15:00"/>
        <s v="2017-02-02-16:00"/>
        <s v="2017-02-02-17:00"/>
        <s v="2017-02-02-18:00"/>
        <s v="2017-02-02-19:00"/>
        <s v="2017-02-02-20:00"/>
        <s v="2017-02-02-21:00"/>
        <s v="2017-02-02-22:00"/>
        <s v="2017-02-02-23:00"/>
        <s v="2017-02-03-00:00"/>
        <s v="2017-02-03-01:00"/>
        <s v="2017-02-03-02:00"/>
        <s v="2017-02-03-03:00"/>
        <s v="2017-02-03-04:00"/>
        <s v="2017-02-03-05:00"/>
        <s v="2017-02-03-06:00"/>
        <s v="2017-02-03-07:00"/>
        <s v="2017-03-29-06:00"/>
        <s v="2017-03-29-07:00"/>
        <s v="2017-03-29-08:00"/>
        <s v="2017-03-29-09:00"/>
        <s v="2017-03-29-10:00"/>
        <s v="2017-03-29-11:00"/>
        <s v="2017-03-29-12:00"/>
        <s v="2017-03-29-13:00"/>
        <s v="2017-03-29-14:00"/>
        <s v="2017-03-29-15:00"/>
        <s v="2017-03-29-16:00"/>
        <s v="2017-03-29-17:00"/>
        <s v="2017-03-29-18:00"/>
        <s v="2017-03-29-19:00"/>
        <s v="2017-03-29-20:00"/>
        <s v="2017-03-29-21:00"/>
        <s v="2017-03-29-22:00"/>
        <s v="2017-03-29-23:00"/>
        <s v="2017-03-30-00:00"/>
        <s v="2017-03-30-01:00"/>
        <s v="2017-03-30-02:00"/>
        <s v="2017-03-30-03:00"/>
        <s v="2017-03-30-04:00"/>
        <s v="2017-03-30-05:00"/>
        <s v="2017-03-30-06:00"/>
        <s v="2017-03-30-07:00"/>
        <s v="2017-03-30-08:00"/>
        <s v="2017-03-30-09:00"/>
        <s v="2017-03-30-10:00"/>
        <s v="2017-03-30-11:00"/>
        <s v="2017-03-30-12:00"/>
        <s v="2017-03-30-13:00"/>
        <s v="2017-03-30-14:00"/>
        <s v="2017-03-30-15:00"/>
        <s v="2017-03-30-16:00"/>
        <s v="2017-03-30-17:00"/>
        <s v="2017-03-30-18:00"/>
        <s v="2017-03-30-19:00"/>
        <s v="2017-03-30-20:00"/>
        <s v="2017-03-30-21:00"/>
        <s v="2017-03-30-22:00"/>
        <s v="2017-03-30-23:00"/>
        <s v="2017-03-31-00:00"/>
        <s v="2017-03-31-01:00"/>
        <s v="2017-03-31-02:00"/>
        <s v="2017-03-31-03:00"/>
        <s v="2017-03-31-04:00"/>
        <s v="2017-03-31-05:00"/>
        <s v="2017-03-31-06:00"/>
        <s v="2017-03-31-07:00"/>
        <s v="2017-03-31-08:00"/>
        <s v="2017-03-31-09:00"/>
        <s v="2017-03-31-10:00"/>
        <s v="2017-03-31-11:00"/>
        <s v="2017-03-31-12:00"/>
        <s v="2017-03-31-13:00"/>
        <s v="2017-03-31-14:00"/>
        <s v="2017-03-31-15:00"/>
        <s v="2017-03-31-16:00"/>
        <s v="2017-03-31-17:00"/>
        <s v="2017-05-24-15:00"/>
        <s v="2017-05-24-16:00"/>
        <s v="2017-05-24-17:00"/>
        <s v="2017-05-24-18:00"/>
        <s v="2017-05-24-19:00"/>
        <s v="2017-05-24-20:00"/>
        <s v="2017-05-24-21:00"/>
        <s v="2017-05-24-22:00"/>
        <s v="2017-05-24-23:00"/>
        <s v="2017-05-25-00:00"/>
        <s v="2017-05-25-01:00"/>
        <s v="2017-05-25-02:00"/>
        <s v="2017-05-25-03:00"/>
        <s v="2017-05-25-04:00"/>
        <s v="2017-05-25-05:00"/>
        <s v="2017-05-25-06:00"/>
        <s v="2017-05-25-07:00"/>
        <s v="2017-05-25-08:00"/>
        <s v="2017-05-25-09:00"/>
        <s v="2017-05-25-10:00"/>
        <s v="2017-05-25-11:00"/>
        <s v="2017-05-25-12:00"/>
        <s v="2017-05-25-13:00"/>
        <s v="2017-05-25-14:00"/>
        <s v="2017-05-25-15:00"/>
        <s v="2017-05-25-16:00"/>
        <s v="2017-05-25-17:00"/>
        <s v="2017-05-25-18:00"/>
        <s v="2017-05-25-19:00"/>
        <s v="2017-05-25-20:00"/>
        <s v="2017-05-25-21:00"/>
        <s v="2017-05-25-22:00"/>
        <s v="2017-05-25-23:00"/>
        <s v="2017-05-26-00:00"/>
        <s v="2017-05-26-01:00"/>
        <s v="2017-05-26-02:00"/>
        <s v="2017-05-26-03:00"/>
        <s v="2017-05-26-04:00"/>
        <s v="2017-05-26-05:00"/>
        <s v="2017-05-26-06:00"/>
        <s v="2017-05-26-07:00"/>
        <s v="2017-05-26-08:00"/>
        <s v="2017-05-26-09:00"/>
        <s v="2017-05-26-10:00"/>
        <s v="2017-05-26-11:00"/>
        <s v="2017-05-26-12:00"/>
        <s v="2017-05-26-13:00"/>
        <s v="2017-05-26-14:00"/>
        <s v="2017-05-26-15:00"/>
        <s v="2017-05-26-16:00"/>
        <s v="2017-05-26-17:00"/>
        <s v="2017-05-26-18:00"/>
        <s v="2017-05-26-19:00"/>
        <s v="2017-05-26-20:00"/>
        <s v="2017-05-26-21:00"/>
        <s v="2017-05-26-22:00"/>
        <s v="2017-05-26-23:00"/>
        <s v="2017-05-29-00:00"/>
        <s v="2017-05-29-01:00"/>
        <s v="2017-05-29-02:00"/>
        <s v="2017-07-20-00:00"/>
        <s v="2017-07-20-01:00"/>
        <s v="2017-07-20-02:00"/>
        <s v="2017-07-20-03:00"/>
        <s v="2017-07-20-04:00"/>
        <s v="2017-07-20-05:00"/>
        <s v="2017-07-20-06:00"/>
        <s v="2017-07-20-07:00"/>
        <s v="2017-07-20-08:00"/>
        <s v="2017-07-20-09:00"/>
        <s v="2017-07-20-10:00"/>
        <s v="2017-07-20-11:00"/>
        <s v="2017-07-20-12:00"/>
        <s v="2017-07-20-13:00"/>
        <s v="2017-07-20-14:00"/>
        <s v="2017-07-20-15:00"/>
        <s v="2017-07-20-16:00"/>
        <s v="2017-07-20-17:00"/>
        <s v="2017-07-20-18:00"/>
        <s v="2017-07-20-19:00"/>
        <s v="2017-07-20-20:00"/>
        <s v="2017-07-20-21:00"/>
        <s v="2017-07-20-22:00"/>
        <s v="2017-07-20-23:00"/>
        <s v="2017-07-21-00:00"/>
        <s v="2017-07-21-01:00"/>
        <s v="2017-07-21-02:00"/>
        <s v="2017-07-21-03:00"/>
        <s v="2017-07-21-04:00"/>
        <s v="2017-07-21-05:00"/>
        <s v="2017-07-21-06:00"/>
        <s v="2017-07-21-07:00"/>
        <s v="2017-07-21-08:00"/>
        <s v="2017-07-21-09:00"/>
        <s v="2017-07-21-10:00"/>
        <s v="2017-07-21-11:00"/>
        <s v="2017-07-21-12:00"/>
        <s v="2017-07-21-13:00"/>
        <s v="2017-07-21-14:00"/>
        <s v="2017-07-21-15:00"/>
        <s v="2017-07-21-16:00"/>
        <s v="2017-07-21-17:00"/>
        <s v="2017-07-21-18:00"/>
        <s v="2017-07-21-19:00"/>
        <s v="2017-07-21-20:00"/>
        <s v="2017-07-21-21:00"/>
        <s v="2017-07-21-22:00"/>
        <s v="2017-07-21-23:00"/>
        <s v="2017-07-24-00:00"/>
        <s v="2017-07-24-01:00"/>
        <s v="2017-07-24-02:00"/>
        <s v="2017-07-24-03:00"/>
        <s v="2017-07-24-04:00"/>
        <s v="2017-07-24-05:00"/>
        <s v="2017-07-24-06:00"/>
        <s v="2017-07-24-07:00"/>
        <s v="2017-07-24-08:00"/>
        <s v="2017-07-24-09:00"/>
        <s v="2017-07-24-10:00"/>
        <s v="2017-07-24-11:00"/>
        <s v="2017-09-14-04:00"/>
        <s v="2017-09-14-05:00"/>
        <s v="2017-09-14-06:00"/>
        <s v="2017-09-14-07:00"/>
        <s v="2017-09-14-08:00"/>
        <s v="2017-09-14-09:00"/>
        <s v="2017-09-14-10:00"/>
        <s v="2017-09-14-11:00"/>
        <s v="2017-09-14-12:00"/>
        <s v="2017-09-14-13:00"/>
        <s v="2017-09-14-14:00"/>
        <s v="2017-09-14-15:00"/>
        <s v="2017-09-14-16:00"/>
        <s v="2017-09-14-17:00"/>
        <s v="2017-09-14-18:00"/>
        <s v="2017-09-14-19:00"/>
        <s v="2017-09-14-20:00"/>
        <s v="2017-09-14-21:00"/>
        <s v="2017-09-14-22:00"/>
        <s v="2017-09-14-23:00"/>
        <s v="2017-09-15-00:00"/>
        <s v="2017-09-15-01:00"/>
        <s v="2017-09-15-02:00"/>
        <s v="2017-09-15-03:00"/>
        <s v="2017-09-15-04:00"/>
        <s v="2017-09-15-05:00"/>
        <s v="2017-09-15-06:00"/>
        <s v="2017-09-15-07:00"/>
        <s v="2017-09-15-08:00"/>
        <s v="2017-09-15-09:00"/>
        <s v="2017-09-15-10:00"/>
        <s v="2017-09-15-11:00"/>
        <s v="2017-09-15-12:00"/>
        <s v="2017-09-15-13:00"/>
        <s v="2017-09-15-14:00"/>
        <s v="2017-09-15-15:00"/>
        <s v="2017-09-15-16:00"/>
        <s v="2017-09-15-17:00"/>
        <s v="2017-09-15-18:00"/>
        <s v="2017-09-15-19:00"/>
        <s v="2017-09-15-20:00"/>
        <s v="2017-09-15-21:00"/>
        <s v="2017-09-15-22:00"/>
        <s v="2017-09-15-23:00"/>
        <s v="2017-09-18-00:00"/>
        <s v="2017-09-18-01:00"/>
        <s v="2017-09-18-02:00"/>
        <s v="2017-09-18-03:00"/>
        <s v="2017-09-18-04:00"/>
        <s v="2017-09-18-05:00"/>
        <s v="2017-09-18-06:00"/>
        <s v="2017-09-18-07:00"/>
        <s v="2017-09-18-08:00"/>
        <s v="2017-09-18-09:00"/>
        <s v="2017-09-18-10:00"/>
        <s v="2017-09-18-11:00"/>
        <s v="2017-09-18-12:00"/>
        <s v="2017-09-18-13:00"/>
        <s v="2017-09-18-14:00"/>
        <s v="2017-09-18-15: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5-17:00"/>
        <s v="2016-03-25-18:00"/>
        <s v="2016-03-25-19:00"/>
        <s v="2016-03-25-20:00"/>
        <s v="2016-03-25-21:00"/>
        <s v="2016-03-25-22:00"/>
        <s v="2016-03-28-00:00"/>
        <s v="2016-03-28-01:00"/>
        <s v="2016-04-22-15:00"/>
        <s v="2016-04-22-16:00"/>
        <s v="2016-04-22-17:00"/>
        <s v="2016-04-22-18:00"/>
        <s v="2016-04-22-19:00"/>
        <s v="2016-04-22-20:00"/>
        <s v="2016-04-22-21:00"/>
        <s v="2016-04-22-22:00"/>
        <s v="2016-04-22-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6-17-21:00"/>
        <s v="2016-06-17-22:00"/>
        <s v="2016-06-17-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2-08-09:00"/>
        <s v="2016-12-08-10:00"/>
        <s v="2016-12-08-11:00"/>
        <s v="2016-12-08-12:00"/>
        <s v="2016-12-08-13:00"/>
        <s v="2016-12-08-14:00"/>
        <s v="2016-12-08-15:00"/>
        <s v="2016-12-08-16:00"/>
        <s v="2016-12-08-17:00"/>
        <s v="2016-12-08-18:00"/>
        <s v="2016-12-08-19:00"/>
        <s v="2016-12-08-20:00"/>
        <s v="2016-12-08-21:00"/>
        <s v="2016-12-08-22:00"/>
        <s v="2016-12-08-23:00"/>
        <s v="2016-12-09-00:00"/>
        <s v="2016-12-09-01:00"/>
        <s v="2016-12-09-02:00"/>
        <s v="2016-12-09-03:00"/>
        <s v="2016-12-09-04:00"/>
        <s v="2016-12-09-05:00"/>
        <s v="2016-12-09-06:00"/>
        <s v="2016-12-09-07:00"/>
        <s v="2016-12-09-08:00"/>
        <s v="2016-12-09-09:00"/>
        <s v="2016-12-09-10:00"/>
        <s v="2016-12-09-11:00"/>
        <s v="2016-12-09-12:00"/>
        <s v="2016-12-09-13:00"/>
        <s v="2016-12-09-14:00"/>
        <s v="2016-12-09-15:00"/>
        <s v="2016-12-09-16:00"/>
        <s v="2016-12-09-17:00"/>
        <s v="2016-12-09-18:00"/>
        <s v="2016-12-09-19:00"/>
        <s v="2016-12-09-20:00"/>
        <s v="2016-12-09-21:00"/>
        <s v="2016-12-09-22:00"/>
        <s v="2016-12-09-23:00"/>
        <s v="2016-12-12-00:00"/>
        <s v="2016-12-12-01:00"/>
        <s v="2016-12-12-02:00"/>
        <s v="2016-12-12-03:00"/>
        <s v="2016-12-12-04:00"/>
        <s v="2016-12-12-05:00"/>
        <s v="2016-12-12-06:00"/>
        <s v="2016-12-12-07:00"/>
        <s v="2016-12-12-08:00"/>
        <s v="2016-12-12-09:00"/>
        <s v="2016-12-12-10:00"/>
        <s v="2016-12-12-11:00"/>
        <s v="2016-12-12-12:00"/>
        <s v="2016-12-12-13:00"/>
        <s v="2016-12-12-14:00"/>
        <s v="2016-12-12-15:00"/>
        <s v="2016-12-12-16:00"/>
        <s v="2016-12-12-17:00"/>
        <s v="2016-12-12-18:00"/>
        <s v="2016-12-12-19:00"/>
        <s v="2016-12-12-20:00"/>
        <s v="2017-02-03-08:00"/>
        <s v="2017-02-03-09:00"/>
        <s v="2017-02-03-10:00"/>
        <s v="2017-02-03-11:00"/>
        <s v="2017-02-03-12:00"/>
        <s v="2017-02-03-13:00"/>
        <s v="2017-02-03-14:00"/>
        <s v="2017-02-03-15:00"/>
        <s v="2017-02-03-16:00"/>
        <s v="2017-02-03-17:00"/>
        <s v="2017-02-03-18:00"/>
        <s v="2017-02-03-19:00"/>
        <s v="2017-02-03-20:00"/>
        <s v="2017-02-03-21:00"/>
        <s v="2017-02-03-22:00"/>
        <s v="2017-02-03-23:00"/>
        <s v="2017-02-06-00:00"/>
        <s v="2017-02-06-01:00"/>
        <s v="2017-02-06-02:00"/>
        <s v="2017-02-06-03:00"/>
        <s v="2017-02-06-04:00"/>
        <s v="2017-02-06-05:00"/>
        <s v="2017-02-06-06:00"/>
        <s v="2017-02-06-07:00"/>
        <s v="2017-02-06-08:00"/>
        <s v="2017-02-06-09:00"/>
        <s v="2017-02-06-10:00"/>
        <s v="2017-02-06-11:00"/>
        <s v="2017-02-06-12:00"/>
        <s v="2017-02-06-13:00"/>
        <s v="2017-02-06-14:00"/>
        <s v="2017-02-06-15:00"/>
        <s v="2017-02-06-16:00"/>
        <s v="2017-02-06-17:00"/>
        <s v="2017-02-06-18:00"/>
        <s v="2017-02-06-19:00"/>
        <s v="2017-02-06-20:00"/>
        <s v="2017-02-06-21:00"/>
        <s v="2017-02-06-22:00"/>
        <s v="2017-02-06-23:00"/>
        <s v="2017-02-07-00:00"/>
        <s v="2017-02-07-01:00"/>
        <s v="2017-02-07-02:00"/>
        <s v="2017-02-07-03:00"/>
        <s v="2017-02-07-04:00"/>
        <s v="2017-02-07-05:00"/>
        <s v="2017-02-07-06:00"/>
        <s v="2017-02-07-07:00"/>
        <s v="2017-02-07-08:00"/>
        <s v="2017-02-07-09:00"/>
        <s v="2017-02-07-10:00"/>
        <s v="2017-02-07-11:00"/>
        <s v="2017-02-07-12:00"/>
        <s v="2017-02-07-13:00"/>
        <s v="2017-02-07-14:00"/>
        <s v="2017-02-07-15:00"/>
        <s v="2017-02-07-16:00"/>
        <s v="2017-02-07-17:00"/>
        <s v="2017-02-07-18:00"/>
        <s v="2017-02-07-19:00"/>
        <s v="2017-03-31-18:00"/>
        <s v="2017-03-31-19:00"/>
        <s v="2017-03-31-20:00"/>
        <s v="2017-03-31-21:00"/>
        <s v="2017-03-31-22:00"/>
        <s v="2017-03-31-23:00"/>
        <s v="2017-04-03-00:00"/>
        <s v="2017-04-03-01:00"/>
        <s v="2017-04-03-02:00"/>
        <s v="2017-04-03-03:00"/>
        <s v="2017-04-03-04:00"/>
        <s v="2017-04-03-05:00"/>
        <s v="2017-04-03-06:00"/>
        <s v="2017-04-03-07:00"/>
        <s v="2017-04-03-08:00"/>
        <s v="2017-04-03-09:00"/>
        <s v="2017-04-03-10:00"/>
        <s v="2017-04-03-11:00"/>
        <s v="2017-04-03-12:00"/>
        <s v="2017-04-03-13:00"/>
        <s v="2017-04-03-14:00"/>
        <s v="2017-04-03-15:00"/>
        <s v="2017-04-03-16:00"/>
        <s v="2017-04-03-17:00"/>
        <s v="2017-04-03-18:00"/>
        <s v="2017-04-03-19:00"/>
        <s v="2017-04-03-20:00"/>
        <s v="2017-04-03-21:00"/>
        <s v="2017-04-03-22:00"/>
        <s v="2017-04-03-23:00"/>
        <s v="2017-04-04-00:00"/>
        <s v="2017-04-04-01:00"/>
        <s v="2017-04-04-02:00"/>
        <s v="2017-04-04-03:00"/>
        <s v="2017-04-04-04:00"/>
        <s v="2017-04-04-05:00"/>
        <s v="2017-04-04-06:00"/>
        <s v="2017-04-04-07:00"/>
        <s v="2017-04-04-08:00"/>
        <s v="2017-04-04-09:00"/>
        <s v="2017-04-04-10:00"/>
        <s v="2017-04-04-11:00"/>
        <s v="2017-04-04-12:00"/>
        <s v="2017-04-04-13:00"/>
        <s v="2017-04-04-14:00"/>
        <s v="2017-04-04-15:00"/>
        <s v="2017-04-04-16:00"/>
        <s v="2017-04-04-17:00"/>
        <s v="2017-04-04-18:00"/>
        <s v="2017-04-04-19:00"/>
        <s v="2017-04-04-20:00"/>
        <s v="2017-04-04-21:00"/>
        <s v="2017-04-04-22:00"/>
        <s v="2017-04-04-23:00"/>
        <s v="2017-04-05-00:00"/>
        <s v="2017-04-05-01:00"/>
        <s v="2017-04-05-02:00"/>
        <s v="2017-04-05-03:00"/>
        <s v="2017-04-05-04:00"/>
        <s v="2017-04-05-05:00"/>
        <s v="2017-04-05-06:00"/>
        <s v="2017-05-29-03:00"/>
        <s v="2017-05-29-04:00"/>
        <s v="2017-05-29-05:00"/>
        <s v="2017-05-29-06:00"/>
        <s v="2017-05-29-07:00"/>
        <s v="2017-05-29-08:00"/>
        <s v="2017-05-29-09:00"/>
        <s v="2017-05-29-10:00"/>
        <s v="2017-05-29-11:00"/>
        <s v="2017-05-29-12:00"/>
        <s v="2017-05-29-13:00"/>
        <s v="2017-05-29-14:00"/>
        <s v="2017-05-29-15:00"/>
        <s v="2017-05-29-16:00"/>
        <s v="2017-05-29-17:00"/>
        <s v="2017-05-29-18:00"/>
        <s v="2017-05-29-19:00"/>
        <s v="2017-05-29-20:00"/>
        <s v="2017-05-29-21:00"/>
        <s v="2017-05-29-22:00"/>
        <s v="2017-05-29-23:00"/>
        <s v="2017-05-30-00:00"/>
        <s v="2017-05-30-01:00"/>
        <s v="2017-05-30-02:00"/>
        <s v="2017-05-30-03:00"/>
        <s v="2017-05-30-04:00"/>
        <s v="2017-05-30-05:00"/>
        <s v="2017-05-30-06:00"/>
        <s v="2017-05-30-07:00"/>
        <s v="2017-05-30-08:00"/>
        <s v="2017-05-30-09:00"/>
        <s v="2017-05-30-10:00"/>
        <s v="2017-05-30-11:00"/>
        <s v="2017-05-30-12:00"/>
        <s v="2017-05-30-13:00"/>
        <s v="2017-05-30-14:00"/>
        <s v="2017-05-30-15:00"/>
        <s v="2017-05-30-16:00"/>
        <s v="2017-05-30-17:00"/>
        <s v="2017-05-30-18:00"/>
        <s v="2017-05-30-19:00"/>
        <s v="2017-05-30-20:00"/>
        <s v="2017-05-30-21:00"/>
        <s v="2017-05-30-22:00"/>
        <s v="2017-05-30-23:00"/>
        <s v="2017-05-31-00:00"/>
        <s v="2017-05-31-01:00"/>
        <s v="2017-05-31-02:00"/>
        <s v="2017-05-31-03:00"/>
        <s v="2017-05-31-04:00"/>
        <s v="2017-05-31-05:00"/>
        <s v="2017-05-31-06:00"/>
        <s v="2017-05-31-07:00"/>
        <s v="2017-05-31-08:00"/>
        <s v="2017-05-31-09:00"/>
        <s v="2017-05-31-10:00"/>
        <s v="2017-05-31-11:00"/>
        <s v="2017-05-31-12:00"/>
        <s v="2017-05-31-13:00"/>
        <s v="2017-05-31-14:00"/>
        <s v="2017-05-31-15:00"/>
        <s v="2017-07-24-12:00"/>
        <s v="2017-07-24-13:00"/>
        <s v="2017-07-24-14:00"/>
        <s v="2017-07-24-15:00"/>
        <s v="2017-07-24-16:00"/>
        <s v="2017-07-24-17:00"/>
        <s v="2017-07-24-18:00"/>
        <s v="2017-07-24-19:00"/>
        <s v="2017-07-24-20:00"/>
        <s v="2017-07-24-21:00"/>
        <s v="2017-07-24-22:00"/>
        <s v="2017-07-24-23:00"/>
        <s v="2017-07-25-00:00"/>
        <s v="2017-07-25-01:00"/>
        <s v="2017-07-25-02:00"/>
        <s v="2017-07-25-03:00"/>
        <s v="2017-07-25-04:00"/>
        <s v="2017-07-25-05:00"/>
        <s v="2017-07-25-06:00"/>
        <s v="2017-07-25-07:00"/>
        <s v="2017-07-25-08:00"/>
        <s v="2017-07-25-09:00"/>
        <s v="2017-07-25-10:00"/>
        <s v="2017-07-25-11:00"/>
        <s v="2017-07-25-12:00"/>
        <s v="2017-07-25-13:00"/>
        <s v="2017-07-25-14:00"/>
        <s v="2017-07-25-15:00"/>
        <s v="2017-07-25-16:00"/>
        <s v="2017-07-25-17:00"/>
        <s v="2017-07-25-18:00"/>
        <s v="2017-07-25-19:00"/>
        <s v="2017-07-25-20:00"/>
        <s v="2017-07-25-21:00"/>
        <s v="2017-07-25-22:00"/>
        <s v="2017-07-25-23:00"/>
        <s v="2017-07-26-00:00"/>
        <s v="2017-07-26-01:00"/>
        <s v="2017-07-26-02:00"/>
        <s v="2017-07-26-03:00"/>
        <s v="2017-07-26-04:00"/>
        <s v="2017-07-26-05:00"/>
        <s v="2017-07-26-06:00"/>
        <s v="2017-07-26-07:00"/>
        <s v="2017-07-26-08:00"/>
        <s v="2017-07-26-09:00"/>
        <s v="2017-07-26-10:00"/>
        <s v="2017-07-26-11:00"/>
        <s v="2017-07-26-12:00"/>
        <s v="2017-07-26-13:00"/>
        <s v="2017-07-26-14:00"/>
        <s v="2017-07-26-15:00"/>
        <s v="2017-07-26-16:00"/>
        <s v="2017-07-26-17:00"/>
        <s v="2017-07-26-18:00"/>
        <s v="2017-07-26-19:00"/>
        <s v="2017-07-26-20:00"/>
        <s v="2017-07-26-21:00"/>
        <s v="2017-07-26-22:00"/>
        <s v="2017-07-26-23:00"/>
        <s v="2017-09-18-16:00"/>
        <s v="2017-09-18-17:00"/>
        <s v="2017-09-18-18:00"/>
        <s v="2017-09-18-19:00"/>
        <s v="2017-09-18-20:00"/>
        <s v="2017-09-18-21:00"/>
        <s v="2017-09-18-22:00"/>
        <s v="2017-09-18-23:00"/>
        <s v="2017-09-19-00:00"/>
        <s v="2017-09-19-01:00"/>
        <s v="2017-09-19-02:00"/>
        <s v="2017-09-19-03:00"/>
        <s v="2017-09-19-04:00"/>
        <s v="2017-09-19-05:00"/>
        <s v="2017-09-19-06:00"/>
        <s v="2017-09-19-07:00"/>
        <s v="2017-09-19-08:00"/>
        <s v="2017-09-19-09:00"/>
        <s v="2017-09-19-10:00"/>
        <s v="2017-09-19-11:00"/>
        <s v="2017-09-19-12:00"/>
        <s v="2017-09-19-13:00"/>
        <s v="2017-09-19-14:00"/>
        <s v="2017-09-19-15:00"/>
        <s v="2017-09-19-16:00"/>
        <s v="2017-09-19-17:00"/>
        <s v="2017-09-19-18:00"/>
        <s v="2017-09-19-19:00"/>
        <s v="2017-09-19-20:00"/>
        <s v="2017-09-19-21:00"/>
        <s v="2017-09-19-22:00"/>
        <s v="2017-09-19-23:00"/>
        <s v="2017-09-20-00:00"/>
        <s v="2017-09-20-01:00"/>
        <s v="2017-09-20-02:00"/>
        <s v="2017-09-20-03:00"/>
        <s v="2017-09-20-04:00"/>
        <s v="2017-09-20-05:00"/>
        <s v="2017-09-20-06:00"/>
        <s v="2017-09-20-07:00"/>
        <s v="2017-09-20-08:00"/>
        <s v="2017-09-20-09:00"/>
        <s v="2017-09-20-10:00"/>
        <s v="2017-09-20-11:00"/>
        <s v="2017-09-20-12:00"/>
        <s v="2017-09-20-13:00"/>
        <s v="2017-09-20-14:00"/>
        <s v="2017-09-20-15:00"/>
        <s v="2017-09-20-16:00"/>
        <s v="2017-09-20-17:00"/>
        <s v="2017-09-20-18:00"/>
        <s v="2017-09-20-19:00"/>
        <s v="2017-09-20-20:00"/>
        <s v="2017-09-20-21:00"/>
        <s v="2017-09-20-22:00"/>
        <s v="2017-09-20-23:00"/>
        <s v="2017-09-21-00:00"/>
        <s v="2017-09-21-01:00"/>
        <s v="2017-09-21-02:00"/>
        <s v="2017-09-21-03:00"/>
        <s v="2017-09-21-04:00"/>
        <s v="2016-03-01-08:00"/>
        <s v="2016-03-01-09:00"/>
        <s v="2016-03-01-10:00"/>
        <s v="2016-03-01-11:00"/>
        <s v="2016-03-01-12:00"/>
        <s v="2016-03-01-13:00"/>
        <s v="2016-03-01-14:00"/>
        <s v="2016-03-01-15:00"/>
        <s v="2016-03-01-16:00"/>
        <s v="2016-03-01-17:00"/>
        <s v="2016-03-01-18:00"/>
        <s v="2016-03-01-19:00"/>
        <s v="2016-03-01-20:00"/>
        <s v="2016-03-01-21:00"/>
        <s v="2016-03-01-22:00"/>
        <s v="2016-03-01-23:00"/>
        <s v="2016-03-02-00:00"/>
        <s v="2016-03-02-01:00"/>
        <s v="2016-03-02-02:00"/>
        <s v="2016-03-02-03:00"/>
        <s v="2016-03-02-04:00"/>
        <s v="2016-03-02-05:00"/>
        <s v="2016-03-02-06:00"/>
        <s v="2016-03-02-07:00"/>
        <s v="2016-03-02-08:00"/>
        <s v="2016-03-02-09:00"/>
        <s v="2016-03-02-10:00"/>
        <s v="2016-03-02-11:00"/>
        <s v="2016-03-02-12:00"/>
        <s v="2016-03-02-13:00"/>
        <s v="2016-03-02-14:00"/>
        <s v="2016-03-02-15:00"/>
        <s v="2016-03-02-16:00"/>
        <s v="2016-03-02-17:00"/>
        <s v="2016-03-02-18:00"/>
        <s v="2016-03-02-19:00"/>
        <s v="2016-03-02-20:00"/>
        <s v="2016-03-02-21:00"/>
        <s v="2016-03-02-22:00"/>
        <s v="2016-03-02-23:00"/>
        <s v="2016-03-03-00:00"/>
        <s v="2016-03-03-01:00"/>
        <s v="2016-03-03-02:00"/>
        <s v="2016-03-03-03:00"/>
        <s v="2016-03-03-04:00"/>
        <s v="2016-03-03-05:00"/>
        <s v="2016-03-03-06:00"/>
        <s v="2016-03-03-07:00"/>
        <s v="2016-03-03-08:00"/>
        <s v="2016-03-03-09:00"/>
        <s v="2016-03-03-10:00"/>
        <s v="2016-03-03-11:00"/>
        <s v="2016-03-03-12:00"/>
        <s v="2016-03-03-13:00"/>
        <s v="2016-03-03-14:00"/>
        <s v="2016-03-03-15:00"/>
        <s v="2016-03-03-16:00"/>
        <s v="2016-03-03-17:00"/>
        <s v="2016-03-03-18:00"/>
        <s v="2016-03-03-19:00"/>
        <s v="2016-03-03-20:00"/>
        <s v="2016-03-03-21:00"/>
        <s v="2016-03-03-22:00"/>
        <s v="2016-03-03-23:00"/>
        <s v="2016-03-04-00:00"/>
        <s v="2016-03-04-01:00"/>
        <s v="2016-03-04-02:00"/>
        <s v="2016-03-04-03:00"/>
        <s v="2016-03-04-04:00"/>
        <s v="2016-03-04-05:00"/>
        <s v="2016-03-04-06:00"/>
        <s v="2016-03-04-07:00"/>
        <s v="2016-03-04-08: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4-17:00"/>
        <s v="2016-06-24-18:00"/>
        <s v="2016-06-24-19:00"/>
        <s v="2016-06-24-20: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19-17:00"/>
        <s v="2016-08-19-18:00"/>
        <s v="2016-08-19-19:00"/>
        <s v="2016-08-19-20:00"/>
        <s v="2016-08-19-21:00"/>
        <s v="2016-08-19-22:00"/>
        <s v="2016-08-19-23:00"/>
        <s v="2016-08-22-00:00"/>
        <s v="2016-08-22-01:00"/>
        <s v="2016-08-22-02:00"/>
        <s v="2016-08-22-03:00"/>
        <s v="2016-08-22-04:00"/>
        <s v="2016-08-22-05:00"/>
        <s v="2016-08-22-06:00"/>
        <s v="2016-08-22-07: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4-17:00"/>
        <s v="2016-10-14-18:00"/>
        <s v="2016-10-14-19:00"/>
        <s v="2016-10-14-20:00"/>
        <s v="2016-10-14-21:00"/>
        <s v="2016-10-14-22:00"/>
        <s v="2016-10-14-23:00"/>
        <s v="2016-10-17-00:00"/>
        <s v="2016-10-17-01:00"/>
        <s v="2016-10-17-02:00"/>
        <s v="2016-10-17-03:00"/>
        <s v="2016-10-17-04:00"/>
        <s v="2016-10-17-05:00"/>
        <s v="2016-10-17-06:00"/>
        <s v="2016-10-17-07:00"/>
        <s v="2016-10-17-08:00"/>
        <s v="2016-10-17-09:00"/>
        <s v="2016-10-17-10:00"/>
        <s v="2016-10-17-11:00"/>
        <s v="2016-10-17-12:00"/>
        <s v="2016-10-17-13:00"/>
        <s v="2016-10-17-14:00"/>
        <s v="2016-12-12-21:00"/>
        <s v="2016-12-12-22:00"/>
        <s v="2016-12-12-23:00"/>
        <s v="2016-12-13-00:00"/>
        <s v="2016-12-13-01:00"/>
        <s v="2016-12-13-02:00"/>
        <s v="2016-12-13-03:00"/>
        <s v="2016-12-13-04:00"/>
        <s v="2016-12-13-05:00"/>
        <s v="2016-12-13-06:00"/>
        <s v="2016-12-13-07:00"/>
        <s v="2016-12-13-08:00"/>
        <s v="2016-12-13-09:00"/>
        <s v="2016-12-13-10:00"/>
        <s v="2016-12-13-11:00"/>
        <s v="2016-12-13-12:00"/>
        <s v="2016-12-13-13:00"/>
        <s v="2016-12-13-14:00"/>
        <s v="2016-12-13-15:00"/>
        <s v="2016-12-13-16:00"/>
        <s v="2016-12-13-17:00"/>
        <s v="2016-12-13-18:00"/>
        <s v="2016-12-13-19:00"/>
        <s v="2016-12-13-20:00"/>
        <s v="2016-12-13-21:00"/>
        <s v="2016-12-13-22:00"/>
        <s v="2016-12-13-23:00"/>
        <s v="2016-12-14-00:00"/>
        <s v="2016-12-14-01:00"/>
        <s v="2016-12-14-02:00"/>
        <s v="2016-12-14-03:00"/>
        <s v="2016-12-14-04:00"/>
        <s v="2016-12-14-05:00"/>
        <s v="2016-12-14-06:00"/>
        <s v="2016-12-14-07:00"/>
        <s v="2016-12-14-08:00"/>
        <s v="2016-12-14-09:00"/>
        <s v="2016-12-14-10:00"/>
        <s v="2016-12-14-11:00"/>
        <s v="2016-12-14-12:00"/>
        <s v="2016-12-14-13:00"/>
        <s v="2016-12-14-14:00"/>
        <s v="2016-12-14-15:00"/>
        <s v="2016-12-14-16:00"/>
        <s v="2016-12-14-17:00"/>
        <s v="2016-12-14-18:00"/>
        <s v="2016-12-14-19:00"/>
        <s v="2016-12-14-20:00"/>
        <s v="2016-12-14-21:00"/>
        <s v="2016-12-14-22:00"/>
        <s v="2016-12-14-23:00"/>
        <s v="2016-12-15-00:00"/>
        <s v="2016-12-15-01:00"/>
        <s v="2016-12-15-02:00"/>
        <s v="2016-12-15-03:00"/>
        <s v="2016-12-15-04:00"/>
        <s v="2016-12-15-05:00"/>
        <s v="2016-12-15-06:00"/>
        <s v="2016-12-15-07:00"/>
        <s v="2016-12-15-08:00"/>
        <s v="2017-02-07-20:00"/>
        <s v="2017-02-07-21:00"/>
        <s v="2017-02-07-22:00"/>
        <s v="2017-02-07-23:00"/>
        <s v="2017-02-08-00:00"/>
        <s v="2017-02-08-01:00"/>
        <s v="2017-02-08-02:00"/>
        <s v="2017-02-08-03:00"/>
        <s v="2017-02-08-04:00"/>
        <s v="2017-02-08-05:00"/>
        <s v="2017-02-08-06:00"/>
        <s v="2017-02-08-07:00"/>
        <s v="2017-02-08-08:00"/>
        <s v="2017-02-08-09:00"/>
        <s v="2017-02-08-10:00"/>
        <s v="2017-02-08-11:00"/>
        <s v="2017-02-08-12:00"/>
        <s v="2017-02-08-13:00"/>
        <s v="2017-02-08-14:00"/>
        <s v="2017-02-08-15:00"/>
        <s v="2017-02-08-16:00"/>
        <s v="2017-02-08-17:00"/>
        <s v="2017-02-08-18:00"/>
        <s v="2017-02-08-19:00"/>
        <s v="2017-02-08-20:00"/>
        <s v="2017-02-08-21:00"/>
        <s v="2017-02-08-22:00"/>
        <s v="2017-02-08-23:00"/>
        <s v="2017-02-09-00:00"/>
        <s v="2017-02-09-01:00"/>
        <s v="2017-02-09-02:00"/>
        <s v="2017-02-09-03:00"/>
        <s v="2017-02-09-04:00"/>
        <s v="2017-02-09-05:00"/>
        <s v="2017-02-09-06:00"/>
        <s v="2017-02-09-07:00"/>
        <s v="2017-02-09-08:00"/>
        <s v="2017-02-09-09:00"/>
        <s v="2017-02-09-10:00"/>
        <s v="2017-02-09-11:00"/>
        <s v="2017-02-09-12:00"/>
        <s v="2017-02-09-13:00"/>
        <s v="2017-02-09-14:00"/>
        <s v="2017-02-09-15:00"/>
        <s v="2017-02-09-16:00"/>
        <s v="2017-02-09-17:00"/>
        <s v="2017-02-09-18:00"/>
        <s v="2017-02-09-19:00"/>
        <s v="2017-02-09-20:00"/>
        <s v="2017-02-09-21:00"/>
        <s v="2017-02-09-22:00"/>
        <s v="2017-02-09-23:00"/>
        <s v="2017-02-10-00:00"/>
        <s v="2017-02-10-01:00"/>
        <s v="2017-02-10-02:00"/>
        <s v="2017-02-10-03:00"/>
        <s v="2017-02-10-04:00"/>
        <s v="2017-02-10-05:00"/>
        <s v="2017-02-10-06:00"/>
        <s v="2017-02-10-07:00"/>
        <s v="2017-04-05-07:00"/>
        <s v="2017-04-05-08:00"/>
        <s v="2017-04-05-09:00"/>
        <s v="2017-04-05-10:00"/>
        <s v="2017-04-05-11:00"/>
        <s v="2017-04-05-12:00"/>
        <s v="2017-04-05-13:00"/>
        <s v="2017-04-05-14:00"/>
        <s v="2017-04-05-15:00"/>
        <s v="2017-04-05-16:00"/>
        <s v="2017-04-05-17:00"/>
        <s v="2017-04-05-18:00"/>
        <s v="2017-04-05-19:00"/>
        <s v="2017-04-05-20:00"/>
        <s v="2017-04-05-21:00"/>
        <s v="2017-04-05-22:00"/>
        <s v="2017-04-05-23:00"/>
        <s v="2017-04-06-00:00"/>
        <s v="2017-04-06-01:00"/>
        <s v="2017-04-06-02:00"/>
        <s v="2017-04-06-03:00"/>
        <s v="2017-04-06-04:00"/>
        <s v="2017-04-06-05:00"/>
        <s v="2017-04-06-06:00"/>
        <s v="2017-04-06-07:00"/>
        <s v="2017-04-06-08:00"/>
        <s v="2017-04-06-09:00"/>
        <s v="2017-04-06-10:00"/>
        <s v="2017-04-06-11:00"/>
        <s v="2017-04-06-12:00"/>
        <s v="2017-04-06-13:00"/>
        <s v="2017-04-06-14:00"/>
        <s v="2017-04-06-15:00"/>
        <s v="2017-04-06-16:00"/>
        <s v="2017-04-06-17:00"/>
        <s v="2017-04-06-18:00"/>
        <s v="2017-04-06-19:00"/>
        <s v="2017-04-06-20:00"/>
        <s v="2017-04-06-21:00"/>
        <s v="2017-04-06-22:00"/>
        <s v="2017-04-06-23:00"/>
        <s v="2017-04-07-00:00"/>
        <s v="2017-04-07-01:00"/>
        <s v="2017-04-07-02:00"/>
        <s v="2017-04-07-03:00"/>
        <s v="2017-04-07-04:00"/>
        <s v="2017-04-07-05:00"/>
        <s v="2017-04-07-06:00"/>
        <s v="2017-04-07-07:00"/>
        <s v="2017-04-07-08:00"/>
        <s v="2017-04-07-09:00"/>
        <s v="2017-04-07-10:00"/>
        <s v="2017-04-07-11:00"/>
        <s v="2017-04-07-12:00"/>
        <s v="2017-04-07-13:00"/>
        <s v="2017-04-07-14:00"/>
        <s v="2017-04-07-15:00"/>
        <s v="2017-04-07-16:00"/>
        <s v="2017-04-07-17:00"/>
        <s v="2017-04-07-18:00"/>
        <s v="2017-05-31-16:00"/>
        <s v="2017-05-31-17:00"/>
        <s v="2017-05-31-18:00"/>
        <s v="2017-05-31-19:00"/>
        <s v="2017-05-31-20:00"/>
        <s v="2017-05-31-21:00"/>
        <s v="2017-05-31-22:00"/>
        <s v="2017-05-31-23:00"/>
        <s v="2017-06-01-00:00"/>
        <s v="2017-06-01-01:00"/>
        <s v="2017-06-01-02:00"/>
        <s v="2017-06-01-03:00"/>
        <s v="2017-06-01-04:00"/>
        <s v="2017-06-01-05:00"/>
        <s v="2017-06-01-06:00"/>
        <s v="2017-06-01-07:00"/>
        <s v="2017-06-01-08:00"/>
        <s v="2017-06-01-09:00"/>
        <s v="2017-06-01-10:00"/>
        <s v="2017-06-01-11:00"/>
        <s v="2017-06-01-12:00"/>
        <s v="2017-06-01-13:00"/>
        <s v="2017-06-01-14:00"/>
        <s v="2017-06-01-15:00"/>
        <s v="2017-06-01-16:00"/>
        <s v="2017-06-01-17:00"/>
        <s v="2017-06-01-18:00"/>
        <s v="2017-06-01-19:00"/>
        <s v="2017-06-01-20:00"/>
        <s v="2017-06-01-21:00"/>
        <s v="2017-06-01-22:00"/>
        <s v="2017-06-01-23:00"/>
        <s v="2017-06-02-00:00"/>
        <s v="2017-06-02-01:00"/>
        <s v="2017-06-02-02:00"/>
        <s v="2017-06-02-03:00"/>
        <s v="2017-06-02-04:00"/>
        <s v="2017-06-02-05:00"/>
        <s v="2017-06-02-06:00"/>
        <s v="2017-06-02-07:00"/>
        <s v="2017-06-02-08:00"/>
        <s v="2017-06-02-09:00"/>
        <s v="2017-06-02-10:00"/>
        <s v="2017-06-02-11:00"/>
        <s v="2017-06-02-12:00"/>
        <s v="2017-06-02-13:00"/>
        <s v="2017-06-02-14:00"/>
        <s v="2017-06-02-15:00"/>
        <s v="2017-06-02-16:00"/>
        <s v="2017-06-02-17:00"/>
        <s v="2017-06-02-18:00"/>
        <s v="2017-06-02-19:00"/>
        <s v="2017-06-02-20:00"/>
        <s v="2017-06-02-21:00"/>
        <s v="2017-06-02-22:00"/>
        <s v="2017-06-02-23:00"/>
        <s v="2017-06-05-00:00"/>
        <s v="2017-06-05-01:00"/>
        <s v="2017-06-05-02:00"/>
        <s v="2017-06-05-03:00"/>
        <s v="2017-07-27-00:00"/>
        <s v="2017-07-27-01:00"/>
        <s v="2017-07-27-02:00"/>
        <s v="2017-07-27-03:00"/>
        <s v="2017-07-27-04:00"/>
        <s v="2017-07-27-05:00"/>
        <s v="2017-07-27-06:00"/>
        <s v="2017-07-27-07:00"/>
        <s v="2017-07-27-08:00"/>
        <s v="2017-07-27-09:00"/>
        <s v="2017-07-27-10:00"/>
        <s v="2017-07-27-11:00"/>
        <s v="2017-07-27-12:00"/>
        <s v="2017-07-27-13:00"/>
        <s v="2017-07-27-14:00"/>
        <s v="2017-07-27-15:00"/>
        <s v="2017-07-27-16:00"/>
        <s v="2017-07-27-17:00"/>
        <s v="2017-07-27-18:00"/>
        <s v="2017-07-27-19:00"/>
        <s v="2017-07-27-20:00"/>
        <s v="2017-07-27-21:00"/>
        <s v="2017-07-27-22:00"/>
        <s v="2017-07-27-23:00"/>
        <s v="2017-07-28-00:00"/>
        <s v="2017-07-28-01:00"/>
        <s v="2017-07-28-02:00"/>
        <s v="2017-07-28-03:00"/>
        <s v="2017-07-28-04:00"/>
        <s v="2017-07-28-05:00"/>
        <s v="2017-07-28-06:00"/>
        <s v="2017-07-28-07:00"/>
        <s v="2017-07-28-08:00"/>
        <s v="2017-07-28-09:00"/>
        <s v="2017-07-28-10:00"/>
        <s v="2017-07-28-11:00"/>
        <s v="2017-07-28-12:00"/>
        <s v="2017-07-28-13:00"/>
        <s v="2017-07-28-14:00"/>
        <s v="2017-07-28-15:00"/>
        <s v="2017-07-28-16:00"/>
        <s v="2017-07-28-17:00"/>
        <s v="2017-07-28-18:00"/>
        <s v="2017-07-28-19:00"/>
        <s v="2017-07-28-20:00"/>
        <s v="2017-07-28-21:00"/>
        <s v="2017-07-28-22:00"/>
        <s v="2017-07-28-23:00"/>
        <s v="2017-07-31-00:00"/>
        <s v="2017-07-31-01:00"/>
        <s v="2017-07-31-02:00"/>
        <s v="2017-07-31-03:00"/>
        <s v="2017-07-31-04:00"/>
        <s v="2017-07-31-05:00"/>
        <s v="2017-07-31-06:00"/>
        <s v="2017-07-31-07:00"/>
        <s v="2017-07-31-08:00"/>
        <s v="2017-07-31-09:00"/>
        <s v="2017-07-31-10:00"/>
        <s v="2017-07-31-11:00"/>
        <s v="2017-09-21-05:00"/>
        <s v="2017-09-21-06:00"/>
        <s v="2017-09-21-07:00"/>
        <s v="2017-09-21-08:00"/>
        <s v="2017-09-21-09:00"/>
        <s v="2017-09-21-10:00"/>
        <s v="2017-09-21-11:00"/>
        <s v="2017-09-21-12:00"/>
        <s v="2017-09-21-13:00"/>
        <s v="2017-09-21-14:00"/>
        <s v="2017-09-21-15:00"/>
        <s v="2017-09-21-16:00"/>
        <s v="2017-09-21-17:00"/>
        <s v="2017-09-21-18:00"/>
        <s v="2017-09-21-19:00"/>
        <s v="2017-09-21-20:00"/>
        <s v="2017-09-21-21:00"/>
        <s v="2017-09-21-22:00"/>
        <s v="2017-09-21-23:00"/>
        <s v="2017-09-22-00:00"/>
        <s v="2017-09-22-01:00"/>
        <s v="2017-09-22-02:00"/>
        <s v="2017-09-22-03:00"/>
        <s v="2017-09-22-04:00"/>
        <s v="2017-09-22-05:00"/>
        <s v="2017-09-22-06:00"/>
        <s v="2017-09-22-07:00"/>
        <s v="2017-09-22-08:00"/>
        <s v="2017-09-22-09:00"/>
        <s v="2017-09-22-10:00"/>
        <s v="2017-09-22-11:00"/>
        <s v="2017-09-22-12:00"/>
        <s v="2017-09-22-13:00"/>
        <s v="2017-09-22-14:00"/>
        <s v="2017-09-22-15:00"/>
        <s v="2017-09-22-16:00"/>
        <s v="2017-09-22-17:00"/>
        <s v="2017-09-22-18:00"/>
        <s v="2017-09-22-19:00"/>
        <s v="2017-09-22-20:00"/>
        <s v="2017-09-22-21:00"/>
        <s v="2017-09-22-22:00"/>
        <s v="2017-09-22-23:00"/>
        <s v="2017-09-25-00:00"/>
        <s v="2017-09-25-01:00"/>
        <s v="2017-09-25-02:00"/>
        <s v="2017-09-25-03:00"/>
        <s v="2017-09-25-04:00"/>
        <s v="2017-09-25-05:00"/>
        <s v="2017-09-25-06:00"/>
        <s v="2017-09-25-07:00"/>
        <s v="2017-09-25-08:00"/>
        <s v="2017-09-25-09:00"/>
        <s v="2017-09-25-10:00"/>
        <s v="2017-09-25-11:00"/>
        <s v="2017-09-25-12:00"/>
        <s v="2017-09-25-13:00"/>
        <s v="2017-09-25-14:00"/>
        <s v="2017-09-25-15:00"/>
        <s v="2017-09-25-16:00"/>
        <s v="2016-03-04-09:00"/>
        <s v="2016-03-04-10:00"/>
        <s v="2016-03-04-11:00"/>
        <s v="2016-03-04-12:00"/>
        <s v="2016-03-04-13:00"/>
        <s v="2016-03-04-14:00"/>
        <s v="2016-03-04-15:00"/>
        <s v="2016-03-04-16:00"/>
        <s v="2016-03-04-17:00"/>
        <s v="2016-03-04-18:00"/>
        <s v="2016-03-04-19:00"/>
        <s v="2016-03-04-20:00"/>
        <s v="2016-03-04-21:00"/>
        <s v="2016-03-04-22:00"/>
        <s v="2016-03-04-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4-29-16:00"/>
        <s v="2016-04-29-17:00"/>
        <s v="2016-04-29-18:00"/>
        <s v="2016-04-29-19:00"/>
        <s v="2016-04-29-20:00"/>
        <s v="2016-04-29-21:00"/>
        <s v="2016-04-29-22:00"/>
        <s v="2016-04-29-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6-24-21:00"/>
        <s v="2016-06-24-22:00"/>
        <s v="2016-06-24-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2-15-09:00"/>
        <s v="2016-12-15-10:00"/>
        <s v="2016-12-15-11:00"/>
        <s v="2016-12-15-12:00"/>
        <s v="2016-12-15-13:00"/>
        <s v="2016-12-15-14:00"/>
        <s v="2016-12-15-15:00"/>
        <s v="2016-12-15-16:00"/>
        <s v="2016-12-15-17:00"/>
        <s v="2016-12-15-18:00"/>
        <s v="2016-12-15-19:00"/>
        <s v="2016-12-15-20:00"/>
        <s v="2016-12-15-21:00"/>
        <s v="2016-12-15-22:00"/>
        <s v="2016-12-15-23:00"/>
        <s v="2016-12-16-00:00"/>
        <s v="2016-12-16-01:00"/>
        <s v="2016-12-16-02:00"/>
        <s v="2016-12-16-03:00"/>
        <s v="2016-12-16-04:00"/>
        <s v="2016-12-16-05:00"/>
        <s v="2016-12-16-06:00"/>
        <s v="2016-12-16-07:00"/>
        <s v="2016-12-16-08:00"/>
        <s v="2016-12-16-09:00"/>
        <s v="2016-12-16-10:00"/>
        <s v="2016-12-16-11:00"/>
        <s v="2016-12-16-12:00"/>
        <s v="2016-12-16-13:00"/>
        <s v="2016-12-16-14:00"/>
        <s v="2016-12-16-15:00"/>
        <s v="2016-12-16-16:00"/>
        <s v="2016-12-16-17:00"/>
        <s v="2016-12-16-18:00"/>
        <s v="2016-12-16-19:00"/>
        <s v="2016-12-16-20:00"/>
        <s v="2016-12-16-21:00"/>
        <s v="2016-12-16-22:00"/>
        <s v="2016-12-16-23:00"/>
        <s v="2016-12-19-00:00"/>
        <s v="2016-12-19-01:00"/>
        <s v="2016-12-19-02:00"/>
        <s v="2016-12-19-03:00"/>
        <s v="2016-12-19-04:00"/>
        <s v="2016-12-19-05:00"/>
        <s v="2016-12-19-06:00"/>
        <s v="2016-12-19-07:00"/>
        <s v="2016-12-19-08:00"/>
        <s v="2016-12-19-09:00"/>
        <s v="2016-12-19-10:00"/>
        <s v="2016-12-19-11:00"/>
        <s v="2016-12-19-12:00"/>
        <s v="2016-12-19-13:00"/>
        <s v="2016-12-19-14:00"/>
        <s v="2016-12-19-15:00"/>
        <s v="2016-12-19-16:00"/>
        <s v="2016-12-19-17:00"/>
        <s v="2016-12-19-18:00"/>
        <s v="2016-12-19-19:00"/>
        <s v="2016-12-19-20:00"/>
        <s v="2017-02-10-08:00"/>
        <s v="2017-02-10-09:00"/>
        <s v="2017-02-10-10:00"/>
        <s v="2017-02-10-11:00"/>
        <s v="2017-02-10-12:00"/>
        <s v="2017-02-10-13:00"/>
        <s v="2017-02-10-14:00"/>
        <s v="2017-02-10-15:00"/>
        <s v="2017-02-10-16:00"/>
        <s v="2017-02-10-17:00"/>
        <s v="2017-02-10-18:00"/>
        <s v="2017-02-10-19:00"/>
        <s v="2017-02-10-20:00"/>
        <s v="2017-02-10-21:00"/>
        <s v="2017-02-10-22:00"/>
        <s v="2017-02-10-23:00"/>
        <s v="2017-02-13-00:00"/>
        <s v="2017-02-13-01:00"/>
        <s v="2017-02-13-02:00"/>
        <s v="2017-02-13-03:00"/>
        <s v="2017-02-13-04:00"/>
        <s v="2017-02-13-05:00"/>
        <s v="2017-02-13-06:00"/>
        <s v="2017-02-13-07:00"/>
        <s v="2017-02-13-08:00"/>
        <s v="2017-02-13-09:00"/>
        <s v="2017-02-13-10:00"/>
        <s v="2017-02-13-11:00"/>
        <s v="2017-02-13-12:00"/>
        <s v="2017-02-13-13:00"/>
        <s v="2017-02-13-14:00"/>
        <s v="2017-02-13-15:00"/>
        <s v="2017-02-13-16:00"/>
        <s v="2017-02-13-17:00"/>
        <s v="2017-02-13-18:00"/>
        <s v="2017-02-13-19:00"/>
        <s v="2017-02-13-20:00"/>
        <s v="2017-02-13-21:00"/>
        <s v="2017-02-13-22:00"/>
        <s v="2017-02-13-23:00"/>
        <s v="2017-02-14-00:00"/>
        <s v="2017-02-14-01:00"/>
        <s v="2017-02-14-02:00"/>
        <s v="2017-02-14-03:00"/>
        <s v="2017-02-14-04:00"/>
        <s v="2017-02-14-05:00"/>
        <s v="2017-02-14-06:00"/>
        <s v="2017-02-14-07:00"/>
        <s v="2017-02-14-08:00"/>
        <s v="2017-02-14-09:00"/>
        <s v="2017-02-14-10:00"/>
        <s v="2017-02-14-11:00"/>
        <s v="2017-02-14-12:00"/>
        <s v="2017-02-14-13:00"/>
        <s v="2017-02-14-14:00"/>
        <s v="2017-02-14-15:00"/>
        <s v="2017-02-14-16:00"/>
        <s v="2017-02-14-17:00"/>
        <s v="2017-02-14-18:00"/>
        <s v="2017-02-14-19:00"/>
        <s v="2017-04-07-19:00"/>
        <s v="2017-04-07-20:00"/>
        <s v="2017-04-07-21:00"/>
        <s v="2017-04-07-22:00"/>
        <s v="2017-04-07-23:00"/>
        <s v="2017-04-10-00:00"/>
        <s v="2017-04-10-01:00"/>
        <s v="2017-04-10-02:00"/>
        <s v="2017-04-10-03:00"/>
        <s v="2017-04-10-04:00"/>
        <s v="2017-04-10-05:00"/>
        <s v="2017-04-10-06:00"/>
        <s v="2017-04-10-07:00"/>
        <s v="2017-04-10-08:00"/>
        <s v="2017-04-10-09:00"/>
        <s v="2017-04-10-10:00"/>
        <s v="2017-04-10-11:00"/>
        <s v="2017-04-10-12:00"/>
        <s v="2017-04-10-13:00"/>
        <s v="2017-04-10-14:00"/>
        <s v="2017-04-10-15:00"/>
        <s v="2017-04-10-16:00"/>
        <s v="2017-04-10-17:00"/>
        <s v="2017-04-10-18:00"/>
        <s v="2017-04-10-19:00"/>
        <s v="2017-04-10-20:00"/>
        <s v="2017-04-10-21:00"/>
        <s v="2017-04-10-22:00"/>
        <s v="2017-04-10-23:00"/>
        <s v="2017-04-11-00:00"/>
        <s v="2017-04-11-01:00"/>
        <s v="2017-04-11-02:00"/>
        <s v="2017-04-11-03:00"/>
        <s v="2017-04-11-04:00"/>
        <s v="2017-04-11-05:00"/>
        <s v="2017-04-11-06:00"/>
        <s v="2017-04-11-07:00"/>
        <s v="2017-04-11-08:00"/>
        <s v="2017-04-11-09:00"/>
        <s v="2017-04-11-10:00"/>
        <s v="2017-04-11-11:00"/>
        <s v="2017-04-11-12:00"/>
        <s v="2017-04-11-13:00"/>
        <s v="2017-04-11-14:00"/>
        <s v="2017-04-11-15:00"/>
        <s v="2017-04-11-16:00"/>
        <s v="2017-04-11-17:00"/>
        <s v="2017-04-11-18:00"/>
        <s v="2017-04-11-19:00"/>
        <s v="2017-04-11-20:00"/>
        <s v="2017-04-11-21:00"/>
        <s v="2017-04-11-22:00"/>
        <s v="2017-04-11-23:00"/>
        <s v="2017-04-12-00:00"/>
        <s v="2017-04-12-01:00"/>
        <s v="2017-04-12-02:00"/>
        <s v="2017-04-12-03:00"/>
        <s v="2017-04-12-04:00"/>
        <s v="2017-04-12-05:00"/>
        <s v="2017-04-12-06:00"/>
        <s v="2017-04-12-07:00"/>
        <s v="2017-06-05-04:00"/>
        <s v="2017-06-05-05:00"/>
        <s v="2017-06-05-06:00"/>
        <s v="2017-06-05-07:00"/>
        <s v="2017-06-05-08:00"/>
        <s v="2017-06-05-09:00"/>
        <s v="2017-06-05-10:00"/>
        <s v="2017-06-05-11:00"/>
        <s v="2017-06-05-12:00"/>
        <s v="2017-06-05-13:00"/>
        <s v="2017-06-05-14:00"/>
        <s v="2017-06-05-15:00"/>
        <s v="2017-06-05-16:00"/>
        <s v="2017-06-05-17:00"/>
        <s v="2017-06-05-18:00"/>
        <s v="2017-06-05-19:00"/>
        <s v="2017-06-05-20:00"/>
        <s v="2017-06-05-21:00"/>
        <s v="2017-06-05-22:00"/>
        <s v="2017-06-05-23:00"/>
        <s v="2017-06-06-00:00"/>
        <s v="2017-06-06-01:00"/>
        <s v="2017-06-06-02:00"/>
        <s v="2017-06-06-03:00"/>
        <s v="2017-06-06-04:00"/>
        <s v="2017-06-06-05:00"/>
        <s v="2017-06-06-06:00"/>
        <s v="2017-06-06-07:00"/>
        <s v="2017-06-06-08:00"/>
        <s v="2017-06-06-09:00"/>
        <s v="2017-06-06-10:00"/>
        <s v="2017-06-06-11:00"/>
        <s v="2017-06-06-12:00"/>
        <s v="2017-06-06-13:00"/>
        <s v="2017-06-06-14:00"/>
        <s v="2017-06-06-15:00"/>
        <s v="2017-06-06-16:00"/>
        <s v="2017-06-06-17:00"/>
        <s v="2017-06-06-18:00"/>
        <s v="2017-06-06-19:00"/>
        <s v="2017-06-06-20:00"/>
        <s v="2017-06-06-21:00"/>
        <s v="2017-06-06-22:00"/>
        <s v="2017-06-06-23:00"/>
        <s v="2017-06-07-00:00"/>
        <s v="2017-06-07-01:00"/>
        <s v="2017-06-07-02:00"/>
        <s v="2017-06-07-03:00"/>
        <s v="2017-06-07-04:00"/>
        <s v="2017-06-07-05:00"/>
        <s v="2017-06-07-06:00"/>
        <s v="2017-06-07-07:00"/>
        <s v="2017-06-07-08:00"/>
        <s v="2017-06-07-09:00"/>
        <s v="2017-06-07-10:00"/>
        <s v="2017-06-07-11:00"/>
        <s v="2017-06-07-12:00"/>
        <s v="2017-06-07-13:00"/>
        <s v="2017-06-07-14:00"/>
        <s v="2017-06-07-15:00"/>
        <s v="2017-06-07-16:00"/>
        <s v="2017-07-31-12:00"/>
        <s v="2017-07-31-13:00"/>
        <s v="2017-07-31-14:00"/>
        <s v="2017-07-31-15:00"/>
        <s v="2017-07-31-16:00"/>
        <s v="2017-07-31-17:00"/>
        <s v="2017-07-31-18:00"/>
        <s v="2017-07-31-19:00"/>
        <s v="2017-07-31-20:00"/>
        <s v="2017-07-31-21:00"/>
        <s v="2017-07-31-22:00"/>
        <s v="2017-07-31-23:00"/>
        <s v="2017-08-01-00:00"/>
        <s v="2017-08-01-01:00"/>
        <s v="2017-08-01-02:00"/>
        <s v="2017-08-01-03:00"/>
        <s v="2017-08-01-04:00"/>
        <s v="2017-08-01-05:00"/>
        <s v="2017-08-01-06:00"/>
        <s v="2017-08-01-07:00"/>
        <s v="2017-08-01-08:00"/>
        <s v="2017-08-01-09:00"/>
        <s v="2017-08-01-10:00"/>
        <s v="2017-08-01-11:00"/>
        <s v="2017-08-01-12:00"/>
        <s v="2017-08-01-13:00"/>
        <s v="2017-08-01-14:00"/>
        <s v="2017-08-01-15:00"/>
        <s v="2017-08-01-16:00"/>
        <s v="2017-08-01-17:00"/>
        <s v="2017-08-01-18:00"/>
        <s v="2017-08-01-19:00"/>
        <s v="2017-08-01-20:00"/>
        <s v="2017-08-01-21:00"/>
        <s v="2017-08-01-22:00"/>
        <s v="2017-08-01-23:00"/>
        <s v="2017-08-02-00:00"/>
        <s v="2017-08-02-01:00"/>
        <s v="2017-08-02-02:00"/>
        <s v="2017-08-02-03:00"/>
        <s v="2017-08-02-04:00"/>
        <s v="2017-08-02-05:00"/>
        <s v="2017-08-02-06:00"/>
        <s v="2017-08-02-07:00"/>
        <s v="2017-08-02-08:00"/>
        <s v="2017-08-02-09:00"/>
        <s v="2017-08-02-10:00"/>
        <s v="2017-08-02-11:00"/>
        <s v="2017-08-02-12:00"/>
        <s v="2017-08-02-13:00"/>
        <s v="2017-08-02-14:00"/>
        <s v="2017-08-02-15:00"/>
        <s v="2017-08-02-16:00"/>
        <s v="2017-08-02-17:00"/>
        <s v="2017-08-02-18:00"/>
        <s v="2017-08-02-19:00"/>
        <s v="2017-08-02-20:00"/>
        <s v="2017-08-02-21:00"/>
        <s v="2017-08-02-22:00"/>
        <s v="2017-08-02-23:00"/>
        <s v="2017-09-25-17:00"/>
        <s v="2017-09-25-18:00"/>
        <s v="2017-09-25-19:00"/>
        <s v="2017-09-25-20:00"/>
        <s v="2017-09-25-21:00"/>
        <s v="2017-09-25-22:00"/>
        <s v="2017-09-25-23:00"/>
        <s v="2017-09-26-00:00"/>
        <s v="2017-09-26-01:00"/>
        <s v="2017-09-26-02:00"/>
        <s v="2017-09-26-03:00"/>
        <s v="2017-09-26-04:00"/>
        <s v="2017-09-26-05:00"/>
        <s v="2017-09-26-06:00"/>
        <s v="2017-09-26-07:00"/>
        <s v="2017-09-26-08:00"/>
        <s v="2017-09-26-09:00"/>
        <s v="2017-09-26-10:00"/>
        <s v="2017-09-26-11:00"/>
        <s v="2017-09-26-12:00"/>
        <s v="2017-09-26-13:00"/>
        <s v="2017-09-26-14:00"/>
        <s v="2017-09-26-15:00"/>
        <s v="2017-09-26-16:00"/>
        <s v="2017-09-26-17:00"/>
        <s v="2017-09-26-18:00"/>
        <s v="2017-09-26-19:00"/>
        <s v="2017-09-26-20:00"/>
        <s v="2017-09-26-21:00"/>
        <s v="2017-09-26-22:00"/>
        <s v="2017-09-26-23:00"/>
        <s v="2017-09-27-00:00"/>
        <s v="2017-09-27-01:00"/>
        <s v="2017-09-27-02:00"/>
        <s v="2017-09-27-03:00"/>
        <s v="2017-09-27-04:00"/>
        <s v="2017-09-27-05:00"/>
        <s v="2017-09-27-06:00"/>
        <s v="2017-09-27-07:00"/>
        <s v="2017-09-27-08:00"/>
        <s v="2017-09-27-09:00"/>
        <s v="2017-09-27-10:00"/>
        <s v="2017-09-27-11:00"/>
        <s v="2017-09-27-12:00"/>
        <s v="2017-09-27-13:00"/>
        <s v="2017-09-27-14:00"/>
        <s v="2017-09-27-15:00"/>
        <s v="2017-09-27-16:00"/>
        <s v="2017-09-27-17:00"/>
        <s v="2017-09-27-18:00"/>
        <s v="2017-09-27-19:00"/>
        <s v="2017-09-27-20:00"/>
        <s v="2017-09-27-21:00"/>
        <s v="2017-09-27-22:00"/>
        <s v="2017-09-27-23:00"/>
        <s v="2017-09-28-00:00"/>
        <s v="2017-09-28-01:00"/>
        <s v="2017-09-28-02:00"/>
        <s v="2017-09-28-03:00"/>
        <s v="2017-09-28-04: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1-17:00"/>
        <s v="2016-07-01-18:00"/>
        <s v="2016-07-01-19:00"/>
        <s v="2016-07-01-20:00"/>
        <s v="2016-07-01-21: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6-17:00"/>
        <s v="2016-08-26-18:00"/>
        <s v="2016-08-26-19:00"/>
        <s v="2016-08-26-20:00"/>
        <s v="2016-08-26-21:00"/>
        <s v="2016-08-26-22:00"/>
        <s v="2016-08-26-23:00"/>
        <s v="2016-08-29-00:00"/>
        <s v="2016-08-29-01:00"/>
        <s v="2016-08-29-02:00"/>
        <s v="2016-08-29-03:00"/>
        <s v="2016-08-29-04:00"/>
        <s v="2016-08-29-05:00"/>
        <s v="2016-08-29-06:00"/>
        <s v="2016-08-29-07:00"/>
        <s v="2016-08-29-08: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1-17:00"/>
        <s v="2016-10-21-18:00"/>
        <s v="2016-10-21-19:00"/>
        <s v="2016-10-21-20:00"/>
        <s v="2016-10-21-21:00"/>
        <s v="2016-10-21-22:00"/>
        <s v="2016-10-21-23:00"/>
        <s v="2016-10-24-00:00"/>
        <s v="2016-10-24-01:00"/>
        <s v="2016-10-24-02:00"/>
        <s v="2016-10-24-03:00"/>
        <s v="2016-10-24-04:00"/>
        <s v="2016-10-24-05:00"/>
        <s v="2016-10-24-06:00"/>
        <s v="2016-10-24-07:00"/>
        <s v="2016-10-24-08:00"/>
        <s v="2016-10-24-09:00"/>
        <s v="2016-10-24-10:00"/>
        <s v="2016-10-24-11:00"/>
        <s v="2016-10-24-12:00"/>
        <s v="2016-10-24-13:00"/>
        <s v="2016-10-24-14:00"/>
        <s v="2016-10-24-15:00"/>
        <s v="2016-12-19-21:00"/>
        <s v="2016-12-19-22:00"/>
        <s v="2016-12-19-23:00"/>
        <s v="2016-12-20-00:00"/>
        <s v="2016-12-20-01:00"/>
        <s v="2016-12-20-02:00"/>
        <s v="2016-12-20-03:00"/>
        <s v="2016-12-20-04:00"/>
        <s v="2016-12-20-05:00"/>
        <s v="2016-12-20-06:00"/>
        <s v="2016-12-20-07:00"/>
        <s v="2016-12-20-08:00"/>
        <s v="2016-12-20-09:00"/>
        <s v="2016-12-20-10:00"/>
        <s v="2016-12-20-11:00"/>
        <s v="2016-12-20-12:00"/>
        <s v="2016-12-20-13:00"/>
        <s v="2016-12-20-14:00"/>
        <s v="2016-12-20-15:00"/>
        <s v="2016-12-20-16:00"/>
        <s v="2016-12-20-17:00"/>
        <s v="2016-12-20-18:00"/>
        <s v="2016-12-20-19:00"/>
        <s v="2016-12-20-20:00"/>
        <s v="2016-12-20-21:00"/>
        <s v="2016-12-20-22:00"/>
        <s v="2016-12-20-23:00"/>
        <s v="2016-12-21-00:00"/>
        <s v="2016-12-21-01:00"/>
        <s v="2016-12-21-02:00"/>
        <s v="2016-12-21-03:00"/>
        <s v="2016-12-21-04:00"/>
        <s v="2016-12-21-05:00"/>
        <s v="2016-12-21-06:00"/>
        <s v="2016-12-21-07:00"/>
        <s v="2016-12-21-08:00"/>
        <s v="2016-12-21-09:00"/>
        <s v="2016-12-21-10:00"/>
        <s v="2016-12-21-11:00"/>
        <s v="2016-12-21-12:00"/>
        <s v="2016-12-21-13:00"/>
        <s v="2016-12-21-14:00"/>
        <s v="2016-12-21-15:00"/>
        <s v="2016-12-21-16:00"/>
        <s v="2016-12-21-17:00"/>
        <s v="2016-12-21-18:00"/>
        <s v="2016-12-21-19:00"/>
        <s v="2016-12-21-20:00"/>
        <s v="2016-12-21-21:00"/>
        <s v="2016-12-21-22:00"/>
        <s v="2016-12-21-23:00"/>
        <s v="2016-12-22-00:00"/>
        <s v="2016-12-22-01:00"/>
        <s v="2016-12-22-02:00"/>
        <s v="2016-12-22-03:00"/>
        <s v="2016-12-22-04:00"/>
        <s v="2016-12-22-05:00"/>
        <s v="2016-12-22-06:00"/>
        <s v="2016-12-22-07:00"/>
        <s v="2016-12-22-08:00"/>
        <s v="2017-02-14-20:00"/>
        <s v="2017-02-14-21:00"/>
        <s v="2017-02-14-22:00"/>
        <s v="2017-02-14-23:00"/>
        <s v="2017-02-15-00:00"/>
        <s v="2017-02-15-01:00"/>
        <s v="2017-02-15-02:00"/>
        <s v="2017-02-15-03:00"/>
        <s v="2017-02-15-04:00"/>
        <s v="2017-02-15-05:00"/>
        <s v="2017-02-15-06:00"/>
        <s v="2017-02-15-07:00"/>
        <s v="2017-02-15-08:00"/>
        <s v="2017-02-15-09:00"/>
        <s v="2017-02-15-10:00"/>
        <s v="2017-02-15-11:00"/>
        <s v="2017-02-15-12:00"/>
        <s v="2017-02-15-13:00"/>
        <s v="2017-02-15-14:00"/>
        <s v="2017-02-15-15:00"/>
        <s v="2017-02-15-16:00"/>
        <s v="2017-02-15-17:00"/>
        <s v="2017-02-15-18:00"/>
        <s v="2017-02-15-19:00"/>
        <s v="2017-02-15-20:00"/>
        <s v="2017-02-15-21:00"/>
        <s v="2017-02-15-22:00"/>
        <s v="2017-02-15-23:00"/>
        <s v="2017-02-16-00:00"/>
        <s v="2017-02-16-01:00"/>
        <s v="2017-02-16-02:00"/>
        <s v="2017-02-16-03:00"/>
        <s v="2017-02-16-04:00"/>
        <s v="2017-02-16-05:00"/>
        <s v="2017-02-16-06:00"/>
        <s v="2017-02-16-07:00"/>
        <s v="2017-02-16-08:00"/>
        <s v="2017-02-16-09:00"/>
        <s v="2017-02-16-10:00"/>
        <s v="2017-02-16-11:00"/>
        <s v="2017-02-16-12:00"/>
        <s v="2017-02-16-13:00"/>
        <s v="2017-02-16-14:00"/>
        <s v="2017-02-16-15:00"/>
        <s v="2017-02-16-16:00"/>
        <s v="2017-02-16-17:00"/>
        <s v="2017-02-16-18:00"/>
        <s v="2017-02-16-19:00"/>
        <s v="2017-02-16-20:00"/>
        <s v="2017-02-16-21:00"/>
        <s v="2017-02-16-22:00"/>
        <s v="2017-02-16-23:00"/>
        <s v="2017-02-17-00:00"/>
        <s v="2017-02-17-01:00"/>
        <s v="2017-02-17-02:00"/>
        <s v="2017-02-17-03:00"/>
        <s v="2017-02-17-04:00"/>
        <s v="2017-02-17-05:00"/>
        <s v="2017-02-17-06:00"/>
        <s v="2017-02-17-07:00"/>
        <s v="2017-02-17-08:00"/>
        <s v="2017-04-12-08:00"/>
        <s v="2017-04-12-09:00"/>
        <s v="2017-04-12-10:00"/>
        <s v="2017-04-12-11:00"/>
        <s v="2017-04-12-12:00"/>
        <s v="2017-04-12-13:00"/>
        <s v="2017-04-12-14:00"/>
        <s v="2017-04-12-15:00"/>
        <s v="2017-04-12-16:00"/>
        <s v="2017-04-12-17:00"/>
        <s v="2017-04-12-18:00"/>
        <s v="2017-04-12-19:00"/>
        <s v="2017-04-12-20:00"/>
        <s v="2017-04-12-21:00"/>
        <s v="2017-04-12-22:00"/>
        <s v="2017-04-12-23:00"/>
        <s v="2017-04-13-00:00"/>
        <s v="2017-04-13-01:00"/>
        <s v="2017-04-13-02:00"/>
        <s v="2017-04-13-03:00"/>
        <s v="2017-04-13-04:00"/>
        <s v="2017-04-13-05:00"/>
        <s v="2017-04-13-06:00"/>
        <s v="2017-04-13-07:00"/>
        <s v="2017-04-13-08:00"/>
        <s v="2017-04-13-09:00"/>
        <s v="2017-04-13-10:00"/>
        <s v="2017-04-13-11:00"/>
        <s v="2017-04-13-12:00"/>
        <s v="2017-04-13-13:00"/>
        <s v="2017-04-13-14:00"/>
        <s v="2017-04-13-15:00"/>
        <s v="2017-04-13-16:00"/>
        <s v="2017-04-13-17:00"/>
        <s v="2017-04-13-18:00"/>
        <s v="2017-04-13-19:00"/>
        <s v="2017-04-13-20:00"/>
        <s v="2017-04-13-21:00"/>
        <s v="2017-04-13-22:00"/>
        <s v="2017-04-13-23:00"/>
        <s v="2017-04-14-00:00"/>
        <s v="2017-04-14-01:00"/>
        <s v="2017-04-14-02:00"/>
        <s v="2017-04-14-03:00"/>
        <s v="2017-04-14-04:00"/>
        <s v="2017-04-14-05:00"/>
        <s v="2017-04-14-06:00"/>
        <s v="2017-04-14-07:00"/>
        <s v="2017-04-14-08:00"/>
        <s v="2017-04-14-09:00"/>
        <s v="2017-04-14-10:00"/>
        <s v="2017-04-14-11:00"/>
        <s v="2017-04-14-12:00"/>
        <s v="2017-04-14-13:00"/>
        <s v="2017-04-14-14:00"/>
        <s v="2017-04-14-15:00"/>
        <s v="2017-04-14-16:00"/>
        <s v="2017-04-14-17:00"/>
        <s v="2017-04-14-18:00"/>
        <s v="2017-04-14-19:00"/>
        <s v="2017-06-07-17:00"/>
        <s v="2017-06-07-18:00"/>
        <s v="2017-06-07-19:00"/>
        <s v="2017-06-07-20:00"/>
        <s v="2017-06-07-21:00"/>
        <s v="2017-06-07-22:00"/>
        <s v="2017-06-07-23:00"/>
        <s v="2017-06-08-00:00"/>
        <s v="2017-06-08-01:00"/>
        <s v="2017-06-08-02:00"/>
        <s v="2017-06-08-03:00"/>
        <s v="2017-06-08-04:00"/>
        <s v="2017-06-08-05:00"/>
        <s v="2017-06-08-06:00"/>
        <s v="2017-06-08-07:00"/>
        <s v="2017-06-08-08:00"/>
        <s v="2017-06-08-09:00"/>
        <s v="2017-06-08-10:00"/>
        <s v="2017-06-08-11:00"/>
        <s v="2017-06-08-12:00"/>
        <s v="2017-06-08-13:00"/>
        <s v="2017-06-08-14:00"/>
        <s v="2017-06-08-15:00"/>
        <s v="2017-06-08-16:00"/>
        <s v="2017-06-08-17:00"/>
        <s v="2017-06-08-18:00"/>
        <s v="2017-06-08-19:00"/>
        <s v="2017-06-08-20:00"/>
        <s v="2017-06-08-21:00"/>
        <s v="2017-06-08-22:00"/>
        <s v="2017-06-08-23:00"/>
        <s v="2017-06-09-00:00"/>
        <s v="2017-06-09-01:00"/>
        <s v="2017-06-09-02:00"/>
        <s v="2017-06-09-03:00"/>
        <s v="2017-06-09-04:00"/>
        <s v="2017-06-09-05:00"/>
        <s v="2017-06-09-06:00"/>
        <s v="2017-06-09-07:00"/>
        <s v="2017-06-09-08:00"/>
        <s v="2017-06-09-09:00"/>
        <s v="2017-06-09-10:00"/>
        <s v="2017-06-09-11:00"/>
        <s v="2017-06-09-12:00"/>
        <s v="2017-06-09-13:00"/>
        <s v="2017-06-09-14:00"/>
        <s v="2017-06-09-15:00"/>
        <s v="2017-06-09-16:00"/>
        <s v="2017-06-09-17:00"/>
        <s v="2017-06-09-18:00"/>
        <s v="2017-06-09-19:00"/>
        <s v="2017-06-09-20:00"/>
        <s v="2017-06-09-21:00"/>
        <s v="2017-06-09-22:00"/>
        <s v="2017-06-09-23:00"/>
        <s v="2017-06-12-00:00"/>
        <s v="2017-06-12-01:00"/>
        <s v="2017-06-12-02:00"/>
        <s v="2017-06-12-03:00"/>
        <s v="2017-06-12-04:00"/>
        <s v="2017-08-03-00:00"/>
        <s v="2017-08-03-01:00"/>
        <s v="2017-08-03-02:00"/>
        <s v="2017-08-03-03:00"/>
        <s v="2017-08-03-04:00"/>
        <s v="2017-08-03-05:00"/>
        <s v="2017-08-03-06:00"/>
        <s v="2017-08-03-07:00"/>
        <s v="2017-08-03-08:00"/>
        <s v="2017-08-03-09:00"/>
        <s v="2017-08-03-10:00"/>
        <s v="2017-08-03-11:00"/>
        <s v="2017-08-03-12:00"/>
        <s v="2017-08-03-13:00"/>
        <s v="2017-08-03-14:00"/>
        <s v="2017-08-03-15:00"/>
        <s v="2017-08-03-16:00"/>
        <s v="2017-08-03-17:00"/>
        <s v="2017-08-03-18:00"/>
        <s v="2017-08-03-19:00"/>
        <s v="2017-08-03-20:00"/>
        <s v="2017-08-03-21:00"/>
        <s v="2017-08-03-22:00"/>
        <s v="2017-08-03-23:00"/>
        <s v="2017-08-04-00:00"/>
        <s v="2017-08-04-01:00"/>
        <s v="2017-08-04-02:00"/>
        <s v="2017-08-04-03:00"/>
        <s v="2017-08-04-04:00"/>
        <s v="2017-08-04-05:00"/>
        <s v="2017-08-04-06:00"/>
        <s v="2017-08-04-07:00"/>
        <s v="2017-08-04-08:00"/>
        <s v="2017-08-04-09:00"/>
        <s v="2017-08-04-10:00"/>
        <s v="2017-08-04-11:00"/>
        <s v="2017-08-04-12:00"/>
        <s v="2017-08-04-13:00"/>
        <s v="2017-08-04-14:00"/>
        <s v="2017-08-04-15:00"/>
        <s v="2017-08-04-16:00"/>
        <s v="2017-08-04-17:00"/>
        <s v="2017-08-04-18:00"/>
        <s v="2017-08-04-19:00"/>
        <s v="2017-08-04-20:00"/>
        <s v="2017-08-04-21:00"/>
        <s v="2017-08-04-22:00"/>
        <s v="2017-08-04-23:00"/>
        <s v="2017-08-07-00:00"/>
        <s v="2017-08-07-01:00"/>
        <s v="2017-08-07-02:00"/>
        <s v="2017-08-07-03:00"/>
        <s v="2017-08-07-04:00"/>
        <s v="2017-08-07-05:00"/>
        <s v="2017-08-07-06:00"/>
        <s v="2017-08-07-07:00"/>
        <s v="2017-08-07-08:00"/>
        <s v="2017-08-07-09:00"/>
        <s v="2017-08-07-10:00"/>
        <s v="2017-08-07-11:00"/>
        <s v="2017-08-07-12:00"/>
        <s v="2017-09-28-05:00"/>
        <s v="2017-09-28-06:00"/>
        <s v="2017-09-28-07:00"/>
        <s v="2017-09-28-08:00"/>
        <s v="2017-09-28-09:00"/>
        <s v="2017-09-28-10:00"/>
        <s v="2017-09-28-11:00"/>
        <s v="2017-09-28-12:00"/>
        <s v="2017-09-28-13:00"/>
        <s v="2017-09-28-14:00"/>
        <s v="2017-09-28-15:00"/>
        <s v="2017-09-28-16:00"/>
        <s v="2017-09-28-17:00"/>
        <s v="2017-09-28-18:00"/>
        <s v="2017-09-28-19:00"/>
        <s v="2017-09-28-20:00"/>
        <s v="2017-09-28-21:00"/>
        <s v="2017-09-28-22:00"/>
        <s v="2017-09-28-23:00"/>
        <s v="2017-09-29-00:00"/>
        <s v="2017-09-29-01:00"/>
        <s v="2017-09-29-02:00"/>
        <s v="2017-09-29-03:00"/>
        <s v="2017-09-29-04:00"/>
        <s v="2017-09-29-05:00"/>
        <s v="2017-09-29-06:00"/>
        <s v="2017-09-29-07:00"/>
        <s v="2017-09-29-08:00"/>
        <s v="2017-09-29-09:00"/>
        <s v="2017-09-29-10:00"/>
        <s v="2017-09-29-11:00"/>
        <s v="2017-09-29-12:00"/>
        <s v="2017-09-29-13:00"/>
        <s v="2017-09-29-14:00"/>
        <s v="2017-09-29-15:00"/>
        <s v="2017-09-29-16:00"/>
        <s v="2017-09-29-17:00"/>
        <s v="2017-09-29-18:00"/>
        <s v="2017-09-29-19:00"/>
        <s v="2017-09-29-20:00"/>
        <s v="2017-09-29-21:00"/>
        <s v="2017-09-29-22:00"/>
        <s v="2017-09-29-23:00"/>
        <s v="2017-10-02-00:00"/>
        <s v="2017-10-02-01:00"/>
        <s v="2017-10-02-02:00"/>
        <s v="2017-10-02-03:00"/>
        <s v="2017-10-02-04:00"/>
        <s v="2017-10-02-05:00"/>
        <s v="2017-10-02-06:00"/>
        <s v="2017-10-02-07:00"/>
        <s v="2017-10-02-08:00"/>
        <s v="2017-10-02-09:00"/>
        <s v="2017-10-02-10:00"/>
        <s v="2017-10-02-11:00"/>
        <s v="2017-10-02-12:00"/>
        <s v="2017-10-02-13:00"/>
        <s v="2017-10-02-14:00"/>
        <s v="2017-10-02-15:00"/>
        <s v="2017-10-02-16:00"/>
        <s v="2016-03-11-10:00"/>
        <s v="2016-03-11-11:00"/>
        <s v="2016-03-11-12:00"/>
        <s v="2016-03-11-13:00"/>
        <s v="2016-03-11-14:00"/>
        <s v="2016-03-11-15:00"/>
        <s v="2016-03-11-16:00"/>
        <s v="2016-03-11-17:00"/>
        <s v="2016-03-11-18:00"/>
        <s v="2016-03-11-19:00"/>
        <s v="2016-03-11-20:00"/>
        <s v="2016-03-11-21:00"/>
        <s v="2016-03-11-22:00"/>
        <s v="2016-03-11-23:00"/>
        <s v="2016-03-14-00:00"/>
        <s v="2016-03-14-01:00"/>
        <s v="2016-03-14-02:00"/>
        <s v="2016-03-14-03:00"/>
        <s v="2016-05-06-17:00"/>
        <s v="2016-05-06-18:00"/>
        <s v="2016-05-06-19:00"/>
        <s v="2016-05-06-20:00"/>
        <s v="2016-05-06-21:00"/>
        <s v="2016-05-06-22:00"/>
        <s v="2016-05-06-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7-01-22:00"/>
        <s v="2016-07-01-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2-22-09:00"/>
        <s v="2016-12-22-10:00"/>
        <s v="2016-12-22-11:00"/>
        <s v="2016-12-22-12:00"/>
        <s v="2016-12-22-13:00"/>
        <s v="2016-12-22-14:00"/>
        <s v="2016-12-22-15:00"/>
        <s v="2016-12-22-16:00"/>
        <s v="2016-12-22-17:00"/>
        <s v="2016-12-22-18:00"/>
        <s v="2016-12-22-19:00"/>
        <s v="2016-12-22-20:00"/>
        <s v="2016-12-22-21:00"/>
        <s v="2016-12-22-22:00"/>
        <s v="2016-12-22-23:00"/>
        <s v="2016-12-23-00:00"/>
        <s v="2016-12-23-01:00"/>
        <s v="2016-12-23-02:00"/>
        <s v="2016-12-23-03:00"/>
        <s v="2016-12-23-04:00"/>
        <s v="2016-12-23-05:00"/>
        <s v="2016-12-23-06:00"/>
        <s v="2016-12-23-07:00"/>
        <s v="2016-12-23-08:00"/>
        <s v="2016-12-23-09:00"/>
        <s v="2016-12-23-10:00"/>
        <s v="2016-12-23-11:00"/>
        <s v="2016-12-23-12:00"/>
        <s v="2016-12-23-13:00"/>
        <s v="2016-12-23-14:00"/>
        <s v="2016-12-23-15:00"/>
        <s v="2016-12-23-16:00"/>
        <s v="2016-12-23-17:00"/>
        <s v="2016-12-23-18:00"/>
        <s v="2016-12-23-19:00"/>
        <s v="2016-12-23-20:00"/>
        <s v="2016-12-23-21:00"/>
        <s v="2016-12-23-22:00"/>
        <s v="2016-12-23-23:00"/>
        <s v="2016-12-26-09:00"/>
        <s v="2016-12-26-10:00"/>
        <s v="2016-12-26-11:00"/>
        <s v="2016-12-26-12:00"/>
        <s v="2016-12-26-13:00"/>
        <s v="2016-12-26-14:00"/>
        <s v="2016-12-26-15:00"/>
        <s v="2016-12-26-16:00"/>
        <s v="2016-12-26-17:00"/>
        <s v="2016-12-26-18:00"/>
        <s v="2016-12-26-19:00"/>
        <s v="2016-12-26-20:00"/>
        <s v="2016-12-26-21:00"/>
        <s v="2016-12-26-22:00"/>
        <s v="2016-12-26-23:00"/>
        <s v="2016-12-27-00:00"/>
        <s v="2016-12-27-01:00"/>
        <s v="2016-12-27-02:00"/>
        <s v="2016-12-27-03:00"/>
        <s v="2016-12-27-04:00"/>
        <s v="2016-12-27-05:00"/>
        <s v="2017-02-17-09:00"/>
        <s v="2017-02-17-10:00"/>
        <s v="2017-02-17-11:00"/>
        <s v="2017-02-17-12:00"/>
        <s v="2017-02-17-13:00"/>
        <s v="2017-02-17-14:00"/>
        <s v="2017-02-17-15:00"/>
        <s v="2017-02-17-16:00"/>
        <s v="2017-02-17-17:00"/>
        <s v="2017-02-17-18:00"/>
        <s v="2017-02-17-19:00"/>
        <s v="2017-02-17-20:00"/>
        <s v="2017-02-17-21:00"/>
        <s v="2017-02-17-22:00"/>
        <s v="2017-02-17-23:00"/>
        <s v="2017-02-20-00:00"/>
        <s v="2017-02-20-01:00"/>
        <s v="2017-02-20-02:00"/>
        <s v="2017-02-20-03:00"/>
        <s v="2017-02-20-04:00"/>
        <s v="2017-02-20-05:00"/>
        <s v="2017-02-20-06:00"/>
        <s v="2017-02-20-07:00"/>
        <s v="2017-02-20-08:00"/>
        <s v="2017-02-20-09:00"/>
        <s v="2017-02-20-10:00"/>
        <s v="2017-02-20-11:00"/>
        <s v="2017-02-20-12:00"/>
        <s v="2017-02-20-13:00"/>
        <s v="2017-02-20-14:00"/>
        <s v="2017-02-20-15:00"/>
        <s v="2017-02-20-16:00"/>
        <s v="2017-02-20-17:00"/>
        <s v="2017-02-20-18:00"/>
        <s v="2017-02-20-19:00"/>
        <s v="2017-02-20-20:00"/>
        <s v="2017-02-20-21:00"/>
        <s v="2017-02-20-22:00"/>
        <s v="2017-02-20-23:00"/>
        <s v="2017-02-21-00:00"/>
        <s v="2017-02-21-01:00"/>
        <s v="2017-02-21-02:00"/>
        <s v="2017-02-21-03:00"/>
        <s v="2017-02-21-04:00"/>
        <s v="2017-02-21-05:00"/>
        <s v="2017-02-21-06:00"/>
        <s v="2017-02-21-07:00"/>
        <s v="2017-02-21-08:00"/>
        <s v="2017-02-21-09:00"/>
        <s v="2017-02-21-10:00"/>
        <s v="2017-02-21-11:00"/>
        <s v="2017-02-21-12:00"/>
        <s v="2017-02-21-13:00"/>
        <s v="2017-02-21-14:00"/>
        <s v="2017-02-21-15:00"/>
        <s v="2017-02-21-16:00"/>
        <s v="2017-02-21-17:00"/>
        <s v="2017-02-21-18:00"/>
        <s v="2017-02-21-19:00"/>
        <s v="2017-02-21-20:00"/>
        <s v="2017-04-14-20:00"/>
        <s v="2017-04-14-21:00"/>
        <s v="2017-04-14-22:00"/>
        <s v="2017-04-14-23:00"/>
        <s v="2017-04-17-00:00"/>
        <s v="2017-04-17-01:00"/>
        <s v="2017-04-17-02:00"/>
        <s v="2017-04-17-03:00"/>
        <s v="2017-04-17-04:00"/>
        <s v="2017-04-17-05:00"/>
        <s v="2017-04-17-06:00"/>
        <s v="2017-04-17-07:00"/>
        <s v="2017-04-17-08:00"/>
        <s v="2017-04-17-09:00"/>
        <s v="2017-04-17-10:00"/>
        <s v="2017-04-17-11:00"/>
        <s v="2017-04-17-12:00"/>
        <s v="2017-04-17-13:00"/>
        <s v="2017-04-17-14:00"/>
        <s v="2017-04-17-15:00"/>
        <s v="2017-04-17-16:00"/>
        <s v="2017-04-17-17:00"/>
        <s v="2017-04-17-18:00"/>
        <s v="2017-04-17-19:00"/>
        <s v="2017-04-17-20:00"/>
        <s v="2017-04-17-21:00"/>
        <s v="2017-04-17-22:00"/>
        <s v="2017-04-17-23:00"/>
        <s v="2017-04-18-00:00"/>
        <s v="2017-04-18-01:00"/>
        <s v="2017-04-18-02:00"/>
        <s v="2017-04-18-03:00"/>
        <s v="2017-04-18-04:00"/>
        <s v="2017-04-18-05:00"/>
        <s v="2017-04-18-06:00"/>
        <s v="2017-04-18-07:00"/>
        <s v="2017-04-18-08:00"/>
        <s v="2017-04-18-09:00"/>
        <s v="2017-04-18-10:00"/>
        <s v="2017-04-18-11:00"/>
        <s v="2017-04-18-12:00"/>
        <s v="2017-04-18-13:00"/>
        <s v="2017-04-18-14:00"/>
        <s v="2017-04-18-15:00"/>
        <s v="2017-04-18-16:00"/>
        <s v="2017-04-18-17:00"/>
        <s v="2017-04-18-18:00"/>
        <s v="2017-04-18-19:00"/>
        <s v="2017-04-18-20:00"/>
        <s v="2017-04-18-21:00"/>
        <s v="2017-04-18-22:00"/>
        <s v="2017-04-18-23:00"/>
        <s v="2017-04-19-00:00"/>
        <s v="2017-04-19-01:00"/>
        <s v="2017-04-19-02:00"/>
        <s v="2017-04-19-03:00"/>
        <s v="2017-04-19-04:00"/>
        <s v="2017-04-19-05:00"/>
        <s v="2017-04-19-06:00"/>
        <s v="2017-04-19-07:00"/>
        <s v="2017-04-19-08:00"/>
        <s v="2017-06-12-05:00"/>
        <s v="2017-06-12-06:00"/>
        <s v="2017-06-12-07:00"/>
        <s v="2017-06-12-08:00"/>
        <s v="2017-06-12-09:00"/>
        <s v="2017-06-12-10:00"/>
        <s v="2017-06-12-11:00"/>
        <s v="2017-06-12-12:00"/>
        <s v="2017-06-12-13:00"/>
        <s v="2017-06-12-14:00"/>
        <s v="2017-06-12-15:00"/>
        <s v="2017-06-12-16:00"/>
        <s v="2017-06-12-17:00"/>
        <s v="2017-06-12-18:00"/>
        <s v="2017-06-12-19:00"/>
        <s v="2017-06-12-20:00"/>
        <s v="2017-06-12-21:00"/>
        <s v="2017-06-12-22:00"/>
        <s v="2017-06-12-23:00"/>
        <s v="2017-06-13-00:00"/>
        <s v="2017-06-13-01:00"/>
        <s v="2017-06-13-02:00"/>
        <s v="2017-06-13-03:00"/>
        <s v="2017-06-13-04:00"/>
        <s v="2017-06-13-05:00"/>
        <s v="2017-06-13-06:00"/>
        <s v="2017-06-13-07:00"/>
        <s v="2017-06-13-08:00"/>
        <s v="2017-06-13-09:00"/>
        <s v="2017-06-13-10:00"/>
        <s v="2017-06-13-11:00"/>
        <s v="2017-06-13-12:00"/>
        <s v="2017-06-13-13:00"/>
        <s v="2017-06-13-14:00"/>
        <s v="2017-06-13-15:00"/>
        <s v="2017-06-13-16:00"/>
        <s v="2017-06-13-17:00"/>
        <s v="2017-06-13-18:00"/>
        <s v="2017-06-13-19:00"/>
        <s v="2017-06-13-20:00"/>
        <s v="2017-06-13-21:00"/>
        <s v="2017-06-13-22:00"/>
        <s v="2017-06-13-23:00"/>
        <s v="2017-06-14-00:00"/>
        <s v="2017-06-14-01:00"/>
        <s v="2017-06-14-02:00"/>
        <s v="2017-06-14-03:00"/>
        <s v="2017-06-14-04:00"/>
        <s v="2017-06-14-05:00"/>
        <s v="2017-06-14-06:00"/>
        <s v="2017-06-14-07:00"/>
        <s v="2017-06-14-08:00"/>
        <s v="2017-06-14-09:00"/>
        <s v="2017-06-14-10:00"/>
        <s v="2017-06-14-11:00"/>
        <s v="2017-06-14-12:00"/>
        <s v="2017-06-14-13:00"/>
        <s v="2017-06-14-14:00"/>
        <s v="2017-06-14-15:00"/>
        <s v="2017-06-14-16:00"/>
        <s v="2017-08-07-13:00"/>
        <s v="2017-08-07-14:00"/>
        <s v="2017-08-07-15:00"/>
        <s v="2017-08-07-16:00"/>
        <s v="2017-08-07-17:00"/>
        <s v="2017-08-07-18:00"/>
        <s v="2017-08-07-19:00"/>
        <s v="2017-08-07-20:00"/>
        <s v="2017-08-07-21:00"/>
        <s v="2017-08-07-22:00"/>
        <s v="2017-08-07-23:00"/>
        <s v="2017-08-08-00:00"/>
        <s v="2017-08-08-01:00"/>
        <s v="2017-08-08-02:00"/>
        <s v="2017-08-08-03:00"/>
        <s v="2017-08-08-04:00"/>
        <s v="2017-08-08-05:00"/>
        <s v="2017-08-08-06:00"/>
        <s v="2017-08-08-07:00"/>
        <s v="2017-08-08-08:00"/>
        <s v="2017-08-08-09:00"/>
        <s v="2017-08-08-10:00"/>
        <s v="2017-08-08-11:00"/>
        <s v="2017-08-08-12:00"/>
        <s v="2017-08-08-13:00"/>
        <s v="2017-08-08-14:00"/>
        <s v="2017-08-08-15:00"/>
        <s v="2017-08-08-16:00"/>
        <s v="2017-08-08-17:00"/>
        <s v="2017-08-08-18:00"/>
        <s v="2017-08-08-19:00"/>
        <s v="2017-08-08-20:00"/>
        <s v="2017-08-08-21:00"/>
        <s v="2017-08-08-22:00"/>
        <s v="2017-08-08-23:00"/>
        <s v="2017-08-09-00:00"/>
        <s v="2017-08-09-01:00"/>
        <s v="2017-08-09-02:00"/>
        <s v="2017-08-09-03:00"/>
        <s v="2017-08-09-04:00"/>
        <s v="2017-08-09-05:00"/>
        <s v="2017-08-09-06:00"/>
        <s v="2017-08-09-07:00"/>
        <s v="2017-08-09-08:00"/>
        <s v="2017-08-09-09:00"/>
        <s v="2017-08-09-10:00"/>
        <s v="2017-08-09-11:00"/>
        <s v="2017-08-09-12:00"/>
        <s v="2017-08-09-13:00"/>
        <s v="2017-08-09-14:00"/>
        <s v="2017-08-09-15:00"/>
        <s v="2017-08-09-16:00"/>
        <s v="2017-08-09-17:00"/>
        <s v="2017-08-09-18:00"/>
        <s v="2017-08-09-19:00"/>
        <s v="2017-08-09-20:00"/>
        <s v="2017-08-09-21:00"/>
        <s v="2017-08-09-22:00"/>
        <s v="2017-08-09-23:00"/>
        <s v="2017-08-10-00:00"/>
        <s v="2017-08-10-01:00"/>
        <s v="2017-10-02-17:00"/>
        <s v="2017-10-02-18:00"/>
        <s v="2017-10-02-19:00"/>
        <s v="2017-10-02-20:00"/>
        <s v="2017-10-02-21:00"/>
        <s v="2017-10-02-22:00"/>
        <s v="2017-10-02-23:00"/>
        <s v="2017-10-03-00:00"/>
        <s v="2017-10-03-01:00"/>
        <s v="2017-10-03-02:00"/>
        <s v="2017-10-03-03:00"/>
        <s v="2017-10-03-04:00"/>
        <s v="2017-10-03-05:00"/>
        <s v="2017-10-03-06:00"/>
        <s v="2017-10-03-07:00"/>
        <s v="2017-10-03-08:00"/>
        <s v="2017-10-03-09:00"/>
        <s v="2017-10-03-10:00"/>
        <s v="2017-10-03-11:00"/>
        <s v="2017-10-03-12:00"/>
        <s v="2017-10-03-13:00"/>
        <s v="2017-10-03-14:00"/>
        <s v="2017-10-03-15:00"/>
        <s v="2017-10-03-16:00"/>
        <s v="2017-10-03-17:00"/>
        <s v="2017-10-03-18:00"/>
        <s v="2017-10-03-19:00"/>
        <s v="2017-10-03-20:00"/>
        <s v="2017-10-03-21:00"/>
        <s v="2017-10-03-22:00"/>
        <s v="2017-10-03-23:00"/>
        <s v="2017-10-04-00:00"/>
        <s v="2017-10-04-01:00"/>
        <s v="2017-10-04-02:00"/>
        <s v="2017-10-04-03:00"/>
        <s v="2017-10-04-04:00"/>
        <s v="2017-10-04-05:00"/>
        <s v="2017-10-04-06:00"/>
        <s v="2017-10-04-07:00"/>
        <s v="2017-10-04-08:00"/>
        <s v="2017-10-04-09:00"/>
        <s v="2017-10-04-10:00"/>
        <s v="2017-10-04-11:00"/>
        <s v="2017-10-04-12:00"/>
        <s v="2017-10-04-13:00"/>
        <s v="2017-10-04-14:00"/>
        <s v="2017-10-04-15:00"/>
        <s v="2017-10-04-16:00"/>
        <s v="2017-10-04-17:00"/>
        <s v="2017-10-04-18:00"/>
        <s v="2017-10-04-19:00"/>
        <s v="2017-10-04-20:00"/>
        <s v="2017-10-04-21:00"/>
        <s v="2017-10-04-22:00"/>
        <s v="2017-10-04-23:00"/>
        <s v="2017-10-05-00:00"/>
        <s v="2017-10-05-01:00"/>
        <s v="2017-10-05-02:00"/>
        <s v="2017-10-05-03:00"/>
        <s v="2017-10-05-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08-17:00"/>
        <s v="2016-07-08-18:00"/>
        <s v="2016-07-08-19:00"/>
        <s v="2016-07-08-20:00"/>
        <s v="2016-07-08-21:00"/>
        <s v="2016-07-08-22: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2-17:00"/>
        <s v="2016-09-02-18:00"/>
        <s v="2016-09-02-19:00"/>
        <s v="2016-09-02-20:00"/>
        <s v="2016-09-02-21:00"/>
        <s v="2016-09-02-22:00"/>
        <s v="2016-09-02-23:00"/>
        <s v="2016-09-05-00:00"/>
        <s v="2016-09-05-01:00"/>
        <s v="2016-09-05-02:00"/>
        <s v="2016-09-05-03:00"/>
        <s v="2016-09-05-04:00"/>
        <s v="2016-09-05-05:00"/>
        <s v="2016-09-05-06:00"/>
        <s v="2016-09-05-07:00"/>
        <s v="2016-09-05-08:00"/>
        <s v="2016-09-05-09: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28-17:00"/>
        <s v="2016-10-28-18:00"/>
        <s v="2016-10-28-19:00"/>
        <s v="2016-10-28-20:00"/>
        <s v="2016-10-28-21:00"/>
        <s v="2016-10-28-22:00"/>
        <s v="2016-10-28-23:00"/>
        <s v="2016-10-31-00:00"/>
        <s v="2016-10-31-01:00"/>
        <s v="2016-10-31-02:00"/>
        <s v="2016-10-31-03:00"/>
        <s v="2016-10-31-04:00"/>
        <s v="2016-10-31-05:00"/>
        <s v="2016-10-31-06:00"/>
        <s v="2016-10-31-07:00"/>
        <s v="2016-10-31-08:00"/>
        <s v="2016-10-31-09:00"/>
        <s v="2016-10-31-10:00"/>
        <s v="2016-10-31-11:00"/>
        <s v="2016-10-31-12:00"/>
        <s v="2016-10-31-13:00"/>
        <s v="2016-10-31-14:00"/>
        <s v="2016-10-31-15:00"/>
        <s v="2016-10-31-16:00"/>
        <s v="2016-12-27-06:00"/>
        <s v="2016-12-27-07:00"/>
        <s v="2016-12-27-08:00"/>
        <s v="2016-12-27-09:00"/>
        <s v="2016-12-27-10:00"/>
        <s v="2016-12-27-11:00"/>
        <s v="2016-12-27-12:00"/>
        <s v="2016-12-27-13:00"/>
        <s v="2016-12-27-14:00"/>
        <s v="2016-12-27-15:00"/>
        <s v="2016-12-27-16:00"/>
        <s v="2016-12-27-17:00"/>
        <s v="2016-12-27-18:00"/>
        <s v="2016-12-27-19:00"/>
        <s v="2016-12-27-20:00"/>
        <s v="2016-12-27-21:00"/>
        <s v="2016-12-27-22:00"/>
        <s v="2016-12-27-23:00"/>
        <s v="2016-12-28-00:00"/>
        <s v="2016-12-28-01:00"/>
        <s v="2016-12-28-02:00"/>
        <s v="2016-12-28-03:00"/>
        <s v="2016-12-28-04:00"/>
        <s v="2016-12-28-05:00"/>
        <s v="2016-12-28-06:00"/>
        <s v="2016-12-28-07:00"/>
        <s v="2016-12-28-08:00"/>
        <s v="2016-12-28-09:00"/>
        <s v="2016-12-28-10:00"/>
        <s v="2016-12-28-11:00"/>
        <s v="2016-12-28-12:00"/>
        <s v="2016-12-28-13:00"/>
        <s v="2016-12-28-14:00"/>
        <s v="2016-12-28-15:00"/>
        <s v="2016-12-28-16:00"/>
        <s v="2016-12-28-17:00"/>
        <s v="2016-12-28-18:00"/>
        <s v="2016-12-28-19:00"/>
        <s v="2016-12-28-20:00"/>
        <s v="2016-12-28-21:00"/>
        <s v="2016-12-28-22:00"/>
        <s v="2016-12-28-23:00"/>
        <s v="2016-12-29-00:00"/>
        <s v="2016-12-29-01:00"/>
        <s v="2016-12-29-02:00"/>
        <s v="2016-12-29-03:00"/>
        <s v="2016-12-29-04:00"/>
        <s v="2016-12-29-05:00"/>
        <s v="2016-12-29-06:00"/>
        <s v="2016-12-29-07:00"/>
        <s v="2016-12-29-08:00"/>
        <s v="2016-12-29-09:00"/>
        <s v="2016-12-29-10:00"/>
        <s v="2016-12-29-11:00"/>
        <s v="2016-12-29-12:00"/>
        <s v="2016-12-29-13:00"/>
        <s v="2016-12-29-14:00"/>
        <s v="2016-12-29-15:00"/>
        <s v="2016-12-29-16:00"/>
        <s v="2016-12-29-17:00"/>
        <s v="2016-12-29-18:00"/>
        <s v="2017-02-21-21:00"/>
        <s v="2017-02-21-22:00"/>
        <s v="2017-02-21-23:00"/>
        <s v="2017-02-22-00:00"/>
        <s v="2017-02-22-01:00"/>
        <s v="2017-02-22-02:00"/>
        <s v="2017-02-22-03:00"/>
        <s v="2017-02-22-04:00"/>
        <s v="2017-02-22-05:00"/>
        <s v="2017-02-22-06:00"/>
        <s v="2017-02-22-07:00"/>
        <s v="2017-02-22-08:00"/>
        <s v="2017-02-22-09:00"/>
        <s v="2017-02-22-10:00"/>
        <s v="2017-02-22-11:00"/>
        <s v="2017-02-22-12:00"/>
        <s v="2017-02-22-13:00"/>
        <s v="2017-02-22-14:00"/>
        <s v="2017-02-22-15:00"/>
        <s v="2017-02-22-16:00"/>
        <s v="2017-02-22-17:00"/>
        <s v="2017-02-22-18:00"/>
        <s v="2017-02-22-19:00"/>
        <s v="2017-02-22-20:00"/>
        <s v="2017-02-22-21:00"/>
        <s v="2017-02-22-22:00"/>
        <s v="2017-02-22-23:00"/>
        <s v="2017-02-23-00:00"/>
        <s v="2017-02-23-01:00"/>
        <s v="2017-02-23-02:00"/>
        <s v="2017-02-23-03:00"/>
        <s v="2017-02-23-04:00"/>
        <s v="2017-02-23-05:00"/>
        <s v="2017-02-23-06:00"/>
        <s v="2017-02-23-07:00"/>
        <s v="2017-02-23-08:00"/>
        <s v="2017-02-23-09:00"/>
        <s v="2017-02-23-10:00"/>
        <s v="2017-02-23-11:00"/>
        <s v="2017-02-23-12:00"/>
        <s v="2017-02-23-13:00"/>
        <s v="2017-02-23-14:00"/>
        <s v="2017-02-23-15:00"/>
        <s v="2017-02-23-16:00"/>
        <s v="2017-02-23-17:00"/>
        <s v="2017-02-23-18:00"/>
        <s v="2017-02-23-19:00"/>
        <s v="2017-02-23-20:00"/>
        <s v="2017-02-23-21:00"/>
        <s v="2017-02-23-22:00"/>
        <s v="2017-02-23-23:00"/>
        <s v="2017-02-24-00:00"/>
        <s v="2017-02-24-01:00"/>
        <s v="2017-02-24-02:00"/>
        <s v="2017-02-24-03:00"/>
        <s v="2017-02-24-04:00"/>
        <s v="2017-02-24-05:00"/>
        <s v="2017-02-24-06:00"/>
        <s v="2017-02-24-07:00"/>
        <s v="2017-02-24-08:00"/>
        <s v="2017-02-24-09:00"/>
        <s v="2017-04-19-09:00"/>
        <s v="2017-04-19-10:00"/>
        <s v="2017-04-19-11:00"/>
        <s v="2017-04-19-12:00"/>
        <s v="2017-04-19-13:00"/>
        <s v="2017-04-19-14:00"/>
        <s v="2017-04-19-15:00"/>
        <s v="2017-04-19-16:00"/>
        <s v="2017-04-19-17:00"/>
        <s v="2017-04-19-18:00"/>
        <s v="2017-04-19-19:00"/>
        <s v="2017-04-19-20:00"/>
        <s v="2017-04-19-21:00"/>
        <s v="2017-04-19-22:00"/>
        <s v="2017-04-19-23:00"/>
        <s v="2017-04-20-00:00"/>
        <s v="2017-04-20-01:00"/>
        <s v="2017-04-20-02:00"/>
        <s v="2017-04-20-03:00"/>
        <s v="2017-04-20-04:00"/>
        <s v="2017-04-20-05:00"/>
        <s v="2017-04-20-06:00"/>
        <s v="2017-04-20-07:00"/>
        <s v="2017-04-20-08:00"/>
        <s v="2017-04-20-09:00"/>
        <s v="2017-04-20-10:00"/>
        <s v="2017-04-20-11:00"/>
        <s v="2017-04-20-12:00"/>
        <s v="2017-04-20-13:00"/>
        <s v="2017-04-20-14:00"/>
        <s v="2017-04-20-15:00"/>
        <s v="2017-04-20-16:00"/>
        <s v="2017-04-20-17:00"/>
        <s v="2017-04-20-18:00"/>
        <s v="2017-04-20-19:00"/>
        <s v="2017-04-20-20:00"/>
        <s v="2017-04-20-21:00"/>
        <s v="2017-04-20-22:00"/>
        <s v="2017-04-20-23:00"/>
        <s v="2017-04-21-00:00"/>
        <s v="2017-04-21-01:00"/>
        <s v="2017-04-21-02:00"/>
        <s v="2017-04-21-03:00"/>
        <s v="2017-04-21-04:00"/>
        <s v="2017-04-21-05:00"/>
        <s v="2017-04-21-06:00"/>
        <s v="2017-04-21-07:00"/>
        <s v="2017-04-21-08:00"/>
        <s v="2017-04-21-09:00"/>
        <s v="2017-04-21-10:00"/>
        <s v="2017-04-21-11:00"/>
        <s v="2017-04-21-12:00"/>
        <s v="2017-04-21-13:00"/>
        <s v="2017-04-21-14:00"/>
        <s v="2017-04-21-15:00"/>
        <s v="2017-04-21-16:00"/>
        <s v="2017-04-21-17:00"/>
        <s v="2017-04-21-18:00"/>
        <s v="2017-04-21-19:00"/>
        <s v="2017-04-21-20:00"/>
        <s v="2017-06-14-17:00"/>
        <s v="2017-06-14-18:00"/>
        <s v="2017-06-14-19:00"/>
        <s v="2017-06-14-20:00"/>
        <s v="2017-06-14-21:00"/>
        <s v="2017-06-14-22:00"/>
        <s v="2017-06-14-23:00"/>
        <s v="2017-06-15-00:00"/>
        <s v="2017-06-15-01:00"/>
        <s v="2017-06-15-02:00"/>
        <s v="2017-06-15-03:00"/>
        <s v="2017-06-15-04:00"/>
        <s v="2017-06-15-05:00"/>
        <s v="2017-06-15-06:00"/>
        <s v="2017-06-15-07:00"/>
        <s v="2017-06-15-08:00"/>
        <s v="2017-06-15-09:00"/>
        <s v="2017-06-15-10:00"/>
        <s v="2017-06-15-11:00"/>
        <s v="2017-06-15-12:00"/>
        <s v="2017-06-15-13:00"/>
        <s v="2017-06-15-14:00"/>
        <s v="2017-06-15-15:00"/>
        <s v="2017-06-15-16:00"/>
        <s v="2017-06-15-17:00"/>
        <s v="2017-06-15-18:00"/>
        <s v="2017-06-15-19:00"/>
        <s v="2017-06-15-20:00"/>
        <s v="2017-06-15-21:00"/>
        <s v="2017-06-15-22:00"/>
        <s v="2017-06-15-23:00"/>
        <s v="2017-06-16-00:00"/>
        <s v="2017-06-16-01:00"/>
        <s v="2017-06-16-02:00"/>
        <s v="2017-06-16-03:00"/>
        <s v="2017-06-16-04:00"/>
        <s v="2017-06-16-05:00"/>
        <s v="2017-06-16-06:00"/>
        <s v="2017-06-16-07:00"/>
        <s v="2017-06-16-08:00"/>
        <s v="2017-06-16-09:00"/>
        <s v="2017-06-16-10:00"/>
        <s v="2017-06-16-11:00"/>
        <s v="2017-06-16-12:00"/>
        <s v="2017-06-16-13:00"/>
        <s v="2017-06-16-14:00"/>
        <s v="2017-06-16-15:00"/>
        <s v="2017-06-16-16:00"/>
        <s v="2017-06-16-17:00"/>
        <s v="2017-06-16-18:00"/>
        <s v="2017-06-16-19:00"/>
        <s v="2017-06-16-20:00"/>
        <s v="2017-06-16-21:00"/>
        <s v="2017-06-16-22:00"/>
        <s v="2017-06-16-23:00"/>
        <s v="2017-06-19-00:00"/>
        <s v="2017-06-19-01:00"/>
        <s v="2017-06-19-02:00"/>
        <s v="2017-06-19-03:00"/>
        <s v="2017-06-19-04:00"/>
        <s v="2017-08-10-02:00"/>
        <s v="2017-08-10-03:00"/>
        <s v="2017-08-10-04:00"/>
        <s v="2017-08-10-05:00"/>
        <s v="2017-08-10-06:00"/>
        <s v="2017-08-10-07:00"/>
        <s v="2017-08-10-08:00"/>
        <s v="2017-08-10-09:00"/>
        <s v="2017-08-10-10:00"/>
        <s v="2017-08-10-11:00"/>
        <s v="2017-08-10-12:00"/>
        <s v="2017-08-10-13:00"/>
        <s v="2017-08-10-14:00"/>
        <s v="2017-08-10-15:00"/>
        <s v="2017-08-10-16:00"/>
        <s v="2017-08-10-17:00"/>
        <s v="2017-08-10-18:00"/>
        <s v="2017-08-10-19:00"/>
        <s v="2017-08-10-20:00"/>
        <s v="2017-08-10-21:00"/>
        <s v="2017-08-10-22:00"/>
        <s v="2017-08-10-23:00"/>
        <s v="2017-08-11-00:00"/>
        <s v="2017-08-11-01:00"/>
        <s v="2017-08-11-02:00"/>
        <s v="2017-08-11-03:00"/>
        <s v="2017-08-11-04:00"/>
        <s v="2017-08-11-05:00"/>
        <s v="2017-08-11-06:00"/>
        <s v="2017-08-11-07:00"/>
        <s v="2017-08-11-08:00"/>
        <s v="2017-08-11-09:00"/>
        <s v="2017-08-11-10:00"/>
        <s v="2017-08-11-11:00"/>
        <s v="2017-08-11-12:00"/>
        <s v="2017-08-11-13:00"/>
        <s v="2017-08-11-14:00"/>
        <s v="2017-08-11-15:00"/>
        <s v="2017-08-11-16:00"/>
        <s v="2017-08-11-17:00"/>
        <s v="2017-08-11-18:00"/>
        <s v="2017-08-11-19:00"/>
        <s v="2017-08-11-20:00"/>
        <s v="2017-08-11-21:00"/>
        <s v="2017-08-11-22:00"/>
        <s v="2017-08-11-23:00"/>
        <s v="2017-08-14-00:00"/>
        <s v="2017-08-14-01:00"/>
        <s v="2017-08-14-02:00"/>
        <s v="2017-08-14-03:00"/>
        <s v="2017-08-14-04:00"/>
        <s v="2017-08-14-05:00"/>
        <s v="2017-08-14-06:00"/>
        <s v="2017-08-14-07:00"/>
        <s v="2017-08-14-08:00"/>
        <s v="2017-08-14-09:00"/>
        <s v="2017-08-14-10:00"/>
        <s v="2017-08-14-11:00"/>
        <s v="2017-08-14-12:00"/>
        <s v="2017-08-14-13:00"/>
        <s v="2017-10-05-05:00"/>
        <s v="2017-10-05-06:00"/>
        <s v="2017-10-05-07:00"/>
        <s v="2017-10-05-08:00"/>
        <s v="2017-10-05-09:00"/>
        <s v="2017-10-05-10:00"/>
        <s v="2017-10-05-11:00"/>
        <s v="2017-10-05-12:00"/>
        <s v="2017-10-05-13:00"/>
        <s v="2017-10-05-14:00"/>
        <s v="2017-10-05-15:00"/>
        <s v="2017-10-05-16:00"/>
        <s v="2017-10-05-17:00"/>
        <s v="2017-10-05-18:00"/>
        <s v="2017-10-05-19:00"/>
        <s v="2017-10-05-20:00"/>
        <s v="2017-10-05-21:00"/>
        <s v="2017-10-05-22:00"/>
        <s v="2016-05-13-17:00"/>
        <s v="2016-05-13-18:00"/>
        <s v="2016-05-13-19:00"/>
        <s v="2016-05-13-20:00"/>
        <s v="2016-05-13-21:00"/>
        <s v="2016-05-13-22:00"/>
        <s v="2016-05-13-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7-08-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10-31-17:00"/>
        <s v="2016-10-31-18:00"/>
        <s v="2016-10-31-19:00"/>
        <s v="2016-10-31-20:00"/>
        <s v="2016-10-31-21:00"/>
        <s v="2016-10-31-22:00"/>
        <s v="2016-10-31-23:00"/>
        <s v="2016-11-01-00:00"/>
        <s v="2016-11-01-01:00"/>
        <s v="2016-11-01-02:00"/>
        <s v="2016-11-01-03:00"/>
        <s v="2016-11-01-04:00"/>
        <s v="2016-11-01-05:00"/>
        <s v="2016-11-01-06:00"/>
        <s v="2016-11-01-07:00"/>
        <s v="2016-11-01-08:00"/>
        <s v="2016-11-01-09:00"/>
        <s v="2016-11-01-10:00"/>
        <s v="2016-11-01-11:00"/>
        <s v="2016-11-01-12:00"/>
        <s v="2016-11-01-13:00"/>
        <s v="2016-11-01-14:00"/>
        <s v="2016-11-01-15:00"/>
        <s v="2016-11-01-16:00"/>
        <s v="2016-11-01-17:00"/>
        <s v="2016-11-01-18:00"/>
        <s v="2016-11-01-19:00"/>
        <s v="2016-11-01-20:00"/>
        <s v="2016-11-01-21:00"/>
        <s v="2016-11-01-22:00"/>
        <s v="2016-11-01-23:00"/>
        <s v="2016-11-02-00:00"/>
        <s v="2016-11-02-01:00"/>
        <s v="2016-11-02-02:00"/>
        <s v="2016-11-02-03:00"/>
        <s v="2016-11-02-04:00"/>
        <s v="2016-11-02-05:00"/>
        <s v="2016-11-02-06:00"/>
        <s v="2016-11-02-07:00"/>
        <s v="2016-11-02-08:00"/>
        <s v="2016-11-02-09:00"/>
        <s v="2016-11-02-10:00"/>
        <s v="2016-11-02-11:00"/>
        <s v="2016-11-02-12:00"/>
        <s v="2016-11-02-13:00"/>
        <s v="2016-11-02-14:00"/>
        <s v="2016-11-02-15:00"/>
        <s v="2016-11-02-16:00"/>
        <s v="2016-11-02-17:00"/>
        <s v="2016-11-02-18:00"/>
        <s v="2016-11-02-19:00"/>
        <s v="2016-11-02-20:00"/>
        <s v="2016-11-02-21:00"/>
        <s v="2016-11-02-22:00"/>
        <s v="2016-11-02-23:00"/>
        <s v="2016-11-03-00:00"/>
        <s v="2016-11-03-01:00"/>
        <s v="2016-11-03-02:00"/>
        <s v="2016-11-03-03:00"/>
        <s v="2016-11-03-04:00"/>
        <s v="2016-11-03-05:00"/>
        <s v="2016-12-29-19:00"/>
        <s v="2016-12-29-20:00"/>
        <s v="2016-12-29-21:00"/>
        <s v="2016-12-29-22:00"/>
        <s v="2016-12-29-23:00"/>
        <s v="2016-12-30-00:00"/>
        <s v="2016-12-30-01:00"/>
        <s v="2016-12-30-02:00"/>
        <s v="2016-12-30-03:00"/>
        <s v="2016-12-30-04:00"/>
        <s v="2016-12-30-05:00"/>
        <s v="2016-12-30-06:00"/>
        <s v="2016-12-30-07:00"/>
        <s v="2016-12-30-08:00"/>
        <s v="2016-12-30-09:00"/>
        <s v="2016-12-30-10:00"/>
        <s v="2016-12-30-11:00"/>
        <s v="2016-12-30-12:00"/>
        <s v="2016-12-30-13:00"/>
        <s v="2016-12-30-14:00"/>
        <s v="2016-12-30-15:00"/>
        <s v="2016-12-30-16:00"/>
        <s v="2016-12-30-17:00"/>
        <s v="2016-12-30-18:00"/>
        <s v="2016-12-30-19:00"/>
        <s v="2016-12-30-20:00"/>
        <s v="2016-12-30-21:00"/>
        <s v="2016-12-30-22:00"/>
        <s v="2016-12-30-23:00"/>
        <s v="2017-01-02-09:00"/>
        <s v="2017-01-02-10:00"/>
        <s v="2017-01-02-11:00"/>
        <s v="2017-01-02-12:00"/>
        <s v="2017-01-02-13:00"/>
        <s v="2017-01-02-14:00"/>
        <s v="2017-01-02-15:00"/>
        <s v="2017-01-02-16:00"/>
        <s v="2017-01-02-17:00"/>
        <s v="2017-01-02-18:00"/>
        <s v="2017-01-02-19:00"/>
        <s v="2017-01-02-20:00"/>
        <s v="2017-01-02-21:00"/>
        <s v="2017-01-02-22:00"/>
        <s v="2017-01-02-23:00"/>
        <s v="2017-01-03-00:00"/>
        <s v="2017-01-03-01:00"/>
        <s v="2017-01-03-02:00"/>
        <s v="2017-01-03-03:00"/>
        <s v="2017-01-03-04:00"/>
        <s v="2017-01-03-05:00"/>
        <s v="2017-01-03-06:00"/>
        <s v="2017-01-03-07:00"/>
        <s v="2017-01-03-08:00"/>
        <s v="2017-01-03-09:00"/>
        <s v="2017-01-03-10:00"/>
        <s v="2017-01-03-11:00"/>
        <s v="2017-01-03-12:00"/>
        <s v="2017-01-03-13:00"/>
        <s v="2017-01-03-14:00"/>
        <s v="2017-01-03-15:00"/>
        <s v="2017-02-24-10:00"/>
        <s v="2017-02-24-11:00"/>
        <s v="2017-02-24-12:00"/>
        <s v="2017-02-24-13:00"/>
        <s v="2017-02-24-14:00"/>
        <s v="2017-02-24-15:00"/>
        <s v="2017-02-24-16:00"/>
        <s v="2017-02-24-17:00"/>
        <s v="2017-02-24-18:00"/>
        <s v="2017-02-24-19:00"/>
        <s v="2017-02-24-20:00"/>
        <s v="2017-02-24-21:00"/>
        <s v="2017-02-24-22:00"/>
        <s v="2017-02-24-23:00"/>
        <s v="2017-02-27-00:00"/>
        <s v="2017-02-27-01:00"/>
        <s v="2017-02-27-02:00"/>
        <s v="2017-02-27-03:00"/>
        <s v="2017-02-27-04:00"/>
        <s v="2017-02-27-05:00"/>
        <s v="2017-02-27-06:00"/>
        <s v="2017-02-27-07:00"/>
        <s v="2017-02-27-08:00"/>
        <s v="2017-02-27-09:00"/>
        <s v="2017-02-27-10:00"/>
        <s v="2017-02-27-11:00"/>
        <s v="2017-02-27-12:00"/>
        <s v="2017-02-27-13:00"/>
        <s v="2017-02-27-14:00"/>
        <s v="2017-02-27-15:00"/>
        <s v="2017-02-27-16:00"/>
        <s v="2017-02-27-17:00"/>
        <s v="2017-02-27-18:00"/>
        <s v="2017-02-27-19:00"/>
        <s v="2017-02-27-20:00"/>
        <s v="2017-02-27-21:00"/>
        <s v="2017-02-27-22:00"/>
        <s v="2017-02-27-23:00"/>
        <s v="2017-02-28-00:00"/>
        <s v="2017-02-28-01:00"/>
        <s v="2017-02-28-02:00"/>
        <s v="2017-02-28-03:00"/>
        <s v="2017-02-28-04:00"/>
        <s v="2017-02-28-05:00"/>
        <s v="2017-02-28-06:00"/>
        <s v="2017-02-28-07:00"/>
        <s v="2017-02-28-08:00"/>
        <s v="2017-02-28-09:00"/>
        <s v="2017-02-28-10:00"/>
        <s v="2017-02-28-11:00"/>
        <s v="2017-02-28-12:00"/>
        <s v="2017-02-28-13:00"/>
        <s v="2017-02-28-14:00"/>
        <s v="2017-02-28-15:00"/>
        <s v="2017-02-28-16:00"/>
        <s v="2017-02-28-17:00"/>
        <s v="2017-02-28-18:00"/>
        <s v="2017-02-28-19:00"/>
        <s v="2017-02-28-20:00"/>
        <s v="2017-02-28-21:00"/>
        <s v="2017-02-28-22:00"/>
        <s v="2017-04-21-21:00"/>
        <s v="2017-04-21-22:00"/>
        <s v="2017-04-21-23:00"/>
        <s v="2017-04-24-00:00"/>
        <s v="2017-04-24-01:00"/>
        <s v="2017-04-24-02:00"/>
        <s v="2017-04-24-03:00"/>
        <s v="2017-04-24-04:00"/>
        <s v="2017-04-24-05:00"/>
        <s v="2017-04-24-06:00"/>
        <s v="2017-04-24-07:00"/>
        <s v="2017-04-24-08:00"/>
        <s v="2017-04-24-09:00"/>
        <s v="2017-04-24-10:00"/>
        <s v="2017-04-24-11:00"/>
        <s v="2017-04-24-12:00"/>
        <s v="2017-04-24-13:00"/>
        <s v="2017-04-24-14:00"/>
        <s v="2017-04-24-15:00"/>
        <s v="2017-04-24-16:00"/>
        <s v="2017-04-24-17:00"/>
        <s v="2017-04-24-18:00"/>
        <s v="2017-04-24-19:00"/>
        <s v="2017-04-24-20:00"/>
        <s v="2017-04-24-21:00"/>
        <s v="2017-04-24-22:00"/>
        <s v="2017-04-24-23:00"/>
        <s v="2017-04-25-00:00"/>
        <s v="2017-04-25-01:00"/>
        <s v="2017-04-25-02:00"/>
        <s v="2017-04-25-03:00"/>
        <s v="2017-04-25-04:00"/>
        <s v="2017-04-25-05:00"/>
        <s v="2017-04-25-06:00"/>
        <s v="2017-04-25-07:00"/>
        <s v="2017-04-25-08:00"/>
        <s v="2017-04-25-09:00"/>
        <s v="2017-04-25-10:00"/>
        <s v="2017-04-25-11:00"/>
        <s v="2017-04-25-12:00"/>
        <s v="2017-04-25-13:00"/>
        <s v="2017-04-25-14:00"/>
        <s v="2017-04-25-15:00"/>
        <s v="2017-04-25-16:00"/>
        <s v="2017-04-25-17:00"/>
        <s v="2017-04-25-18:00"/>
        <s v="2017-04-25-19:00"/>
        <s v="2017-04-25-20:00"/>
        <s v="2017-04-25-21:00"/>
        <s v="2017-04-25-22:00"/>
        <s v="2017-04-25-23:00"/>
        <s v="2017-04-26-00:00"/>
        <s v="2017-04-26-01:00"/>
        <s v="2017-04-26-02:00"/>
        <s v="2017-04-26-03:00"/>
        <s v="2017-04-26-04:00"/>
        <s v="2017-04-26-05:00"/>
        <s v="2017-04-26-06:00"/>
        <s v="2017-04-26-07:00"/>
        <s v="2017-04-26-08:00"/>
        <s v="2017-04-26-09:00"/>
        <s v="2017-06-19-05:00"/>
        <s v="2017-06-19-06:00"/>
        <s v="2017-06-19-07:00"/>
        <s v="2017-06-19-08:00"/>
        <s v="2017-06-19-09:00"/>
        <s v="2017-06-19-10:00"/>
        <s v="2017-06-19-11:00"/>
        <s v="2017-06-19-12:00"/>
        <s v="2017-06-19-13:00"/>
        <s v="2017-06-19-14:00"/>
        <s v="2017-06-19-15:00"/>
        <s v="2017-06-19-16:00"/>
        <s v="2017-06-19-17:00"/>
        <s v="2017-06-19-18:00"/>
        <s v="2017-06-19-19:00"/>
        <s v="2017-06-19-20:00"/>
        <s v="2017-06-19-21:00"/>
        <s v="2017-06-19-22:00"/>
        <s v="2017-06-19-23:00"/>
        <s v="2017-06-20-00:00"/>
        <s v="2017-06-20-01:00"/>
        <s v="2017-06-20-02:00"/>
        <s v="2017-06-20-03:00"/>
        <s v="2017-06-20-04:00"/>
        <s v="2017-06-20-05:00"/>
        <s v="2017-06-20-06:00"/>
        <s v="2017-06-20-07:00"/>
        <s v="2017-06-20-08:00"/>
        <s v="2017-06-20-09:00"/>
        <s v="2017-06-20-10:00"/>
        <s v="2017-06-20-11:00"/>
        <s v="2017-06-20-12:00"/>
        <s v="2017-06-20-13:00"/>
        <s v="2017-06-20-14:00"/>
        <s v="2017-06-20-15:00"/>
        <s v="2017-06-20-16:00"/>
        <s v="2017-06-20-17:00"/>
        <s v="2017-06-20-18:00"/>
        <s v="2017-06-20-19:00"/>
        <s v="2017-06-20-20:00"/>
        <s v="2017-06-20-21:00"/>
        <s v="2017-06-20-22:00"/>
        <s v="2017-06-20-23:00"/>
        <s v="2017-06-21-00:00"/>
        <s v="2017-06-21-01:00"/>
        <s v="2017-06-21-02:00"/>
        <s v="2017-06-21-03:00"/>
        <s v="2017-06-21-04:00"/>
        <s v="2017-06-21-05:00"/>
        <s v="2017-06-21-06:00"/>
        <s v="2017-06-21-07:00"/>
        <s v="2017-06-21-08:00"/>
        <s v="2017-06-21-09:00"/>
        <s v="2017-06-21-10:00"/>
        <s v="2017-06-21-11:00"/>
        <s v="2017-06-21-12:00"/>
        <s v="2017-06-21-13:00"/>
        <s v="2017-06-21-14:00"/>
        <s v="2017-06-21-15:00"/>
        <s v="2017-06-21-16:00"/>
        <s v="2017-08-14-14:00"/>
        <s v="2017-08-14-15:00"/>
        <s v="2017-08-14-16:00"/>
        <s v="2017-08-14-17:00"/>
        <s v="2017-08-14-18:00"/>
        <s v="2017-08-14-19:00"/>
        <s v="2017-08-14-20:00"/>
        <s v="2017-08-14-21:00"/>
        <s v="2017-08-14-22:00"/>
        <s v="2017-08-14-23:00"/>
        <s v="2017-08-15-00:00"/>
        <s v="2017-08-15-01:00"/>
        <s v="2017-08-15-02:00"/>
        <s v="2017-08-15-03:00"/>
        <s v="2017-08-15-04:00"/>
        <s v="2017-08-15-05:00"/>
        <s v="2017-08-15-06:00"/>
        <s v="2017-08-15-07:00"/>
        <s v="2017-08-15-08:00"/>
        <s v="2017-08-15-09:00"/>
        <s v="2017-08-15-10:00"/>
        <s v="2017-08-15-11:00"/>
        <s v="2017-08-15-12:00"/>
        <s v="2017-08-15-13:00"/>
        <s v="2017-08-15-14:00"/>
        <s v="2017-08-15-15:00"/>
        <s v="2017-08-15-16:00"/>
        <s v="2017-08-15-17:00"/>
        <s v="2017-08-15-18:00"/>
        <s v="2017-08-15-19:00"/>
        <s v="2017-08-15-20:00"/>
        <s v="2017-08-15-21:00"/>
        <s v="2017-08-15-22:00"/>
        <s v="2017-08-15-23:00"/>
        <s v="2017-08-16-00:00"/>
        <s v="2017-08-16-01:00"/>
        <s v="2017-08-16-02:00"/>
        <s v="2017-08-16-03:00"/>
        <s v="2017-08-16-04:00"/>
        <s v="2017-08-16-05:00"/>
        <s v="2017-08-16-06:00"/>
        <s v="2017-08-16-07:00"/>
        <s v="2017-08-16-08:00"/>
        <s v="2017-08-16-09:00"/>
        <s v="2017-08-16-10:00"/>
        <s v="2017-08-16-11:00"/>
        <s v="2017-08-16-12:00"/>
        <s v="2017-08-16-13:00"/>
        <s v="2017-08-16-14:00"/>
        <s v="2017-08-16-15:00"/>
        <s v="2017-08-16-16:00"/>
        <s v="2017-08-16-17:00"/>
        <s v="2017-08-16-18:00"/>
        <s v="2017-08-16-19:00"/>
        <s v="2017-08-16-20:00"/>
        <s v="2017-08-16-21:00"/>
        <s v="2017-08-16-22:00"/>
        <s v="2017-08-16-23:00"/>
        <s v="2017-08-17-00:00"/>
        <s v="2017-08-17-01: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0-17: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5-17:00"/>
        <s v="2016-07-15-18:00"/>
        <s v="2016-07-15-19:00"/>
        <s v="2016-07-15-20:00"/>
        <s v="2016-07-15-21:00"/>
        <s v="2016-07-15-22:00"/>
        <s v="2016-07-15-23: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09-17:00"/>
        <s v="2016-09-09-18:00"/>
        <s v="2016-09-09-19:00"/>
        <s v="2016-09-09-20:00"/>
        <s v="2016-09-09-21:00"/>
        <s v="2016-09-09-22:00"/>
        <s v="2016-09-09-23:00"/>
        <s v="2016-09-12-00:00"/>
        <s v="2016-09-12-01:00"/>
        <s v="2016-09-12-02:00"/>
        <s v="2016-09-12-03:00"/>
        <s v="2016-09-12-04:00"/>
        <s v="2016-09-12-05:00"/>
        <s v="2016-09-12-06:00"/>
        <s v="2016-09-12-07:00"/>
        <s v="2016-09-12-08:00"/>
        <s v="2016-09-12-09:00"/>
        <s v="2016-09-12-10:00"/>
        <s v="2016-09-12-11:00"/>
        <s v="2016-11-03-06:00"/>
        <s v="2016-11-03-07:00"/>
        <s v="2016-11-03-08:00"/>
        <s v="2016-11-03-09:00"/>
        <s v="2016-11-03-10:00"/>
        <s v="2016-11-03-11:00"/>
        <s v="2016-11-03-12:00"/>
        <s v="2016-11-03-13:00"/>
        <s v="2016-11-03-14:00"/>
        <s v="2016-11-03-15:00"/>
        <s v="2016-11-03-16:00"/>
        <s v="2016-11-03-17:00"/>
        <s v="2016-11-03-18:00"/>
        <s v="2016-11-03-19:00"/>
        <s v="2016-11-03-20:00"/>
        <s v="2016-11-03-21:00"/>
        <s v="2016-11-03-22:00"/>
        <s v="2016-11-03-23:00"/>
        <s v="2016-11-04-00:00"/>
        <s v="2016-11-04-01:00"/>
        <s v="2016-11-04-02:00"/>
        <s v="2016-11-04-03:00"/>
        <s v="2016-11-04-04:00"/>
        <s v="2016-11-04-05:00"/>
        <s v="2016-11-04-06:00"/>
        <s v="2016-11-04-07:00"/>
        <s v="2016-11-04-08:00"/>
        <s v="2016-11-04-09:00"/>
        <s v="2016-11-04-10:00"/>
        <s v="2016-11-04-11:00"/>
        <s v="2016-11-04-12:00"/>
        <s v="2016-11-04-13:00"/>
        <s v="2016-11-04-14:00"/>
        <s v="2016-11-04-15:00"/>
        <s v="2016-11-04-16:00"/>
        <s v="2016-11-04-17:00"/>
        <s v="2016-11-04-18:00"/>
        <s v="2016-11-04-19:00"/>
        <s v="2016-11-04-20:00"/>
        <s v="2016-11-04-21:00"/>
        <s v="2016-11-04-22:00"/>
        <s v="2016-11-07-00:00"/>
        <s v="2016-11-07-01:00"/>
        <s v="2016-11-07-02:00"/>
        <s v="2016-11-07-03:00"/>
        <s v="2016-11-07-04:00"/>
        <s v="2016-11-07-05:00"/>
        <s v="2016-11-07-06:00"/>
        <s v="2016-11-07-07:00"/>
        <s v="2016-11-07-08:00"/>
        <s v="2016-11-07-09:00"/>
        <s v="2016-11-07-10:00"/>
        <s v="2016-11-07-11:00"/>
        <s v="2016-11-07-12:00"/>
        <s v="2016-11-07-13:00"/>
        <s v="2016-11-07-14:00"/>
        <s v="2016-11-07-15:00"/>
        <s v="2016-11-07-16:00"/>
        <s v="2016-11-07-17:00"/>
        <s v="2016-11-07-18:00"/>
        <s v="2017-01-03-16:00"/>
        <s v="2017-01-03-17:00"/>
        <s v="2017-01-03-18:00"/>
        <s v="2017-01-03-19:00"/>
        <s v="2017-01-03-20:00"/>
        <s v="2017-01-03-21:00"/>
        <s v="2017-01-03-22:00"/>
        <s v="2017-01-03-23:00"/>
        <s v="2017-01-04-00:00"/>
        <s v="2017-01-04-01:00"/>
        <s v="2017-01-04-02:00"/>
        <s v="2017-01-04-03:00"/>
        <s v="2017-01-04-04:00"/>
        <s v="2017-01-04-05:00"/>
        <s v="2017-01-04-06:00"/>
        <s v="2017-01-04-07:00"/>
        <s v="2017-01-04-08:00"/>
        <s v="2017-01-04-09:00"/>
        <s v="2017-01-04-10:00"/>
        <s v="2017-01-04-11:00"/>
        <s v="2017-01-04-12:00"/>
        <s v="2017-01-04-13:00"/>
        <s v="2017-01-04-14:00"/>
        <s v="2017-01-04-15:00"/>
        <s v="2017-01-04-16:00"/>
        <s v="2017-01-04-17:00"/>
        <s v="2017-01-04-18:00"/>
        <s v="2017-01-04-19:00"/>
        <s v="2017-01-04-20:00"/>
        <s v="2017-01-04-21:00"/>
        <s v="2017-01-04-22:00"/>
        <s v="2017-01-04-23:00"/>
        <s v="2017-01-05-00:00"/>
        <s v="2017-01-05-01:00"/>
        <s v="2017-01-05-02:00"/>
        <s v="2017-01-05-03:00"/>
        <s v="2017-01-05-04:00"/>
        <s v="2017-01-05-05:00"/>
        <s v="2017-01-05-06:00"/>
        <s v="2017-01-05-07:00"/>
        <s v="2017-01-05-08:00"/>
        <s v="2017-01-05-09:00"/>
        <s v="2017-01-05-10:00"/>
        <s v="2017-01-05-11:00"/>
        <s v="2017-01-05-12:00"/>
        <s v="2017-01-05-13:00"/>
        <s v="2017-01-05-14:00"/>
        <s v="2017-01-05-15:00"/>
        <s v="2017-01-05-16:00"/>
        <s v="2017-01-05-17:00"/>
        <s v="2017-01-05-18:00"/>
        <s v="2017-01-05-19:00"/>
        <s v="2017-01-05-20:00"/>
        <s v="2017-01-05-21:00"/>
        <s v="2017-01-05-22:00"/>
        <s v="2017-01-05-23:00"/>
        <s v="2017-01-06-00:00"/>
        <s v="2017-01-06-01:00"/>
        <s v="2017-01-06-02:00"/>
        <s v="2017-01-06-03:00"/>
        <s v="2017-01-06-04:00"/>
        <s v="2017-02-28-23:00"/>
        <s v="2017-03-01-00:00"/>
        <s v="2017-03-01-01:00"/>
        <s v="2017-03-01-02:00"/>
        <s v="2017-03-01-03:00"/>
        <s v="2017-03-01-04:00"/>
        <s v="2017-03-01-05:00"/>
        <s v="2017-03-01-06:00"/>
        <s v="2017-03-01-07:00"/>
        <s v="2017-03-01-08:00"/>
        <s v="2017-03-01-09:00"/>
        <s v="2017-03-01-10:00"/>
        <s v="2017-03-01-11:00"/>
        <s v="2017-03-01-12:00"/>
        <s v="2017-03-01-13:00"/>
        <s v="2017-03-01-14:00"/>
        <s v="2017-03-01-15:00"/>
        <s v="2017-03-01-16:00"/>
        <s v="2017-03-01-17:00"/>
        <s v="2017-03-01-18:00"/>
        <s v="2017-03-01-19:00"/>
        <s v="2017-03-01-20:00"/>
        <s v="2017-03-01-21:00"/>
        <s v="2017-03-01-22:00"/>
        <s v="2017-03-01-23:00"/>
        <s v="2017-03-02-00:00"/>
        <s v="2017-03-02-01:00"/>
        <s v="2017-03-02-02:00"/>
        <s v="2017-03-02-03:00"/>
        <s v="2017-03-02-04:00"/>
        <s v="2017-03-02-05:00"/>
        <s v="2017-03-02-06:00"/>
        <s v="2017-03-02-07:00"/>
        <s v="2017-03-02-08:00"/>
        <s v="2017-03-02-09:00"/>
        <s v="2017-03-02-10:00"/>
        <s v="2017-03-02-11:00"/>
        <s v="2017-03-02-12:00"/>
        <s v="2017-03-02-13:00"/>
        <s v="2017-03-02-14:00"/>
        <s v="2017-03-02-15:00"/>
        <s v="2017-03-02-16:00"/>
        <s v="2017-03-02-17:00"/>
        <s v="2017-03-02-18:00"/>
        <s v="2017-03-02-19:00"/>
        <s v="2017-03-02-20:00"/>
        <s v="2017-03-02-21:00"/>
        <s v="2017-03-02-22:00"/>
        <s v="2017-03-02-23:00"/>
        <s v="2017-03-03-00:00"/>
        <s v="2017-03-03-01:00"/>
        <s v="2017-03-03-02:00"/>
        <s v="2017-03-03-03:00"/>
        <s v="2017-03-03-04:00"/>
        <s v="2017-03-03-05:00"/>
        <s v="2017-03-03-06:00"/>
        <s v="2017-03-03-07:00"/>
        <s v="2017-03-03-08:00"/>
        <s v="2017-03-03-09:00"/>
        <s v="2017-03-03-10:00"/>
        <s v="2017-04-26-10:00"/>
        <s v="2017-04-26-11:00"/>
        <s v="2017-04-26-12:00"/>
        <s v="2017-04-26-13:00"/>
        <s v="2017-04-26-14:00"/>
        <s v="2017-04-26-15:00"/>
        <s v="2017-04-26-16:00"/>
        <s v="2017-04-26-17:00"/>
        <s v="2017-04-26-18:00"/>
        <s v="2017-04-26-19:00"/>
        <s v="2017-04-26-20:00"/>
        <s v="2017-04-26-21:00"/>
        <s v="2017-04-26-22:00"/>
        <s v="2017-04-26-23:00"/>
        <s v="2017-04-27-00:00"/>
        <s v="2017-04-27-01:00"/>
        <s v="2017-04-27-02:00"/>
        <s v="2017-04-27-03:00"/>
        <s v="2017-04-27-04:00"/>
        <s v="2017-04-27-05:00"/>
        <s v="2017-04-27-06:00"/>
        <s v="2017-04-27-07:00"/>
        <s v="2017-04-27-08:00"/>
        <s v="2017-04-27-09:00"/>
        <s v="2017-04-27-10:00"/>
        <s v="2017-04-27-11:00"/>
        <s v="2017-04-27-12:00"/>
        <s v="2017-04-27-13:00"/>
        <s v="2017-04-27-14:00"/>
        <s v="2017-04-27-15:00"/>
        <s v="2017-04-27-16:00"/>
        <s v="2017-04-27-17:00"/>
        <s v="2017-04-27-18:00"/>
        <s v="2017-04-27-19:00"/>
        <s v="2017-04-27-20:00"/>
        <s v="2017-04-27-21:00"/>
        <s v="2017-04-27-22:00"/>
        <s v="2017-04-27-23:00"/>
        <s v="2017-04-28-00:00"/>
        <s v="2017-04-28-01:00"/>
        <s v="2017-04-28-02:00"/>
        <s v="2017-04-28-03:00"/>
        <s v="2017-04-28-04:00"/>
        <s v="2017-04-28-05:00"/>
        <s v="2017-04-28-06:00"/>
        <s v="2017-04-28-07:00"/>
        <s v="2017-04-28-08:00"/>
        <s v="2017-04-28-09:00"/>
        <s v="2017-04-28-10:00"/>
        <s v="2017-04-28-11:00"/>
        <s v="2017-04-28-12:00"/>
        <s v="2017-04-28-13:00"/>
        <s v="2017-04-28-14:00"/>
        <s v="2017-04-28-15:00"/>
        <s v="2017-04-28-16:00"/>
        <s v="2017-04-28-17:00"/>
        <s v="2017-04-28-18:00"/>
        <s v="2017-04-28-19:00"/>
        <s v="2017-04-28-20:00"/>
        <s v="2017-04-28-21:00"/>
        <s v="2017-06-21-17:00"/>
        <s v="2017-06-21-18:00"/>
        <s v="2017-06-21-19:00"/>
        <s v="2017-06-21-20:00"/>
        <s v="2017-06-21-21:00"/>
        <s v="2017-06-21-22:00"/>
        <s v="2017-06-21-23:00"/>
        <s v="2017-06-22-00:00"/>
        <s v="2017-06-22-01:00"/>
        <s v="2017-06-22-02:00"/>
        <s v="2017-06-22-03:00"/>
        <s v="2017-06-22-04:00"/>
        <s v="2017-06-22-05:00"/>
        <s v="2017-06-22-06:00"/>
        <s v="2017-06-22-07:00"/>
        <s v="2017-06-22-08:00"/>
        <s v="2017-06-22-09:00"/>
        <s v="2017-06-22-10:00"/>
        <s v="2017-06-22-11:00"/>
        <s v="2017-06-22-12:00"/>
        <s v="2017-06-22-13:00"/>
        <s v="2017-06-22-14:00"/>
        <s v="2017-06-22-15:00"/>
        <s v="2017-06-22-16:00"/>
        <s v="2017-06-22-17:00"/>
        <s v="2017-06-22-18:00"/>
        <s v="2017-06-22-19:00"/>
        <s v="2017-06-22-20:00"/>
        <s v="2017-06-22-21:00"/>
        <s v="2017-06-22-22:00"/>
        <s v="2017-06-22-23:00"/>
        <s v="2017-06-23-00:00"/>
        <s v="2017-06-23-01:00"/>
        <s v="2017-06-23-02:00"/>
        <s v="2017-06-23-03:00"/>
        <s v="2017-06-23-04:00"/>
        <s v="2017-06-23-05:00"/>
        <s v="2017-06-23-06:00"/>
        <s v="2017-06-23-07:00"/>
        <s v="2017-06-23-08:00"/>
        <s v="2017-06-23-09:00"/>
        <s v="2017-06-23-10:00"/>
        <s v="2017-06-23-11:00"/>
        <s v="2017-06-23-12:00"/>
        <s v="2017-06-23-13:00"/>
        <s v="2017-06-23-14:00"/>
        <s v="2017-06-23-15:00"/>
        <s v="2017-06-23-16:00"/>
        <s v="2017-06-23-17:00"/>
        <s v="2017-06-23-18:00"/>
        <s v="2017-06-23-19:00"/>
        <s v="2017-06-23-20:00"/>
        <s v="2017-06-23-21:00"/>
        <s v="2017-06-23-22:00"/>
        <s v="2017-06-23-23:00"/>
        <s v="2017-06-26-00:00"/>
        <s v="2017-06-26-01:00"/>
        <s v="2017-06-26-02:00"/>
        <s v="2017-06-26-03:00"/>
        <s v="2017-06-26-04:00"/>
        <s v="2017-06-26-05:00"/>
        <s v="2017-08-17-02:00"/>
        <s v="2017-08-17-03:00"/>
        <s v="2017-08-17-04:00"/>
        <s v="2017-08-17-05:00"/>
        <s v="2017-08-17-06:00"/>
        <s v="2017-08-17-07:00"/>
        <s v="2017-08-17-08:00"/>
        <s v="2017-08-17-09:00"/>
        <s v="2017-08-17-10:00"/>
        <s v="2017-08-17-11:00"/>
        <s v="2017-08-17-12:00"/>
        <s v="2017-08-17-13:00"/>
        <s v="2017-08-17-14:00"/>
        <s v="2017-08-17-15:00"/>
        <s v="2017-08-17-16:00"/>
        <s v="2017-08-17-17:00"/>
        <s v="2017-08-17-18:00"/>
        <s v="2017-08-17-19:00"/>
        <s v="2017-08-17-20:00"/>
        <s v="2017-08-17-21:00"/>
        <s v="2017-08-17-22:00"/>
        <s v="2017-08-17-23:00"/>
        <s v="2017-08-18-00:00"/>
        <s v="2017-08-18-01:00"/>
        <s v="2017-08-18-02:00"/>
        <s v="2017-08-18-03:00"/>
        <s v="2017-08-18-04:00"/>
        <s v="2017-08-18-05:00"/>
        <s v="2017-08-18-06:00"/>
        <s v="2017-08-18-07:00"/>
        <s v="2017-08-18-08:00"/>
        <s v="2017-08-18-09:00"/>
        <s v="2017-08-18-10:00"/>
        <s v="2017-08-18-11:00"/>
        <s v="2017-08-18-12:00"/>
        <s v="2017-08-18-13:00"/>
        <s v="2017-08-18-14:00"/>
        <s v="2017-08-18-15:00"/>
        <s v="2017-08-18-16:00"/>
        <s v="2017-08-18-17:00"/>
        <s v="2017-08-18-18:00"/>
        <s v="2017-08-18-19:00"/>
        <s v="2017-08-18-20:00"/>
        <s v="2017-08-18-21:00"/>
        <s v="2017-08-18-22:00"/>
        <s v="2017-08-18-23:00"/>
        <s v="2017-08-21-00:00"/>
        <s v="2017-08-21-01:00"/>
        <s v="2017-08-21-02:00"/>
        <s v="2017-08-21-03:00"/>
        <s v="2017-08-21-04:00"/>
        <s v="2017-08-21-05:00"/>
        <s v="2017-08-21-06:00"/>
        <s v="2017-08-21-07:00"/>
        <s v="2017-08-21-08:00"/>
        <s v="2017-08-21-09:00"/>
        <s v="2017-08-21-10:00"/>
        <s v="2017-08-21-11:00"/>
        <s v="2017-08-21-12:00"/>
        <s v="2017-08-21-13: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5-20-18:00"/>
        <s v="2016-05-20-19:00"/>
        <s v="2016-05-20-20:00"/>
        <s v="2016-05-20-21:00"/>
        <s v="2016-05-20-22:00"/>
        <s v="2016-05-20-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11-07-19:00"/>
        <s v="2016-11-07-20:00"/>
        <s v="2016-11-07-21:00"/>
        <s v="2016-11-07-22:00"/>
        <s v="2016-11-07-23:00"/>
        <s v="2016-11-08-00:00"/>
        <s v="2016-11-08-01:00"/>
        <s v="2016-11-08-02:00"/>
        <s v="2016-11-08-03:00"/>
        <s v="2016-11-08-04:00"/>
        <s v="2016-11-08-05:00"/>
        <s v="2016-11-08-06:00"/>
        <s v="2016-11-08-07:00"/>
        <s v="2016-11-08-08:00"/>
        <s v="2016-11-08-09:00"/>
        <s v="2016-11-08-10:00"/>
        <s v="2016-11-08-11:00"/>
        <s v="2016-11-08-12:00"/>
        <s v="2016-11-08-13:00"/>
        <s v="2016-11-08-14:00"/>
        <s v="2016-11-08-15:00"/>
        <s v="2016-11-08-16:00"/>
        <s v="2016-11-08-17:00"/>
        <s v="2016-11-08-18:00"/>
        <s v="2016-11-08-19:00"/>
        <s v="2016-11-08-20:00"/>
        <s v="2016-11-08-21:00"/>
        <s v="2016-11-08-22:00"/>
        <s v="2016-11-08-23:00"/>
        <s v="2016-11-09-00:00"/>
        <s v="2016-11-09-01:00"/>
        <s v="2016-11-09-02:00"/>
        <s v="2016-11-09-03:00"/>
        <s v="2016-11-09-04:00"/>
        <s v="2016-11-09-05:00"/>
        <s v="2016-11-09-06:00"/>
        <s v="2016-11-09-07:00"/>
        <s v="2016-11-09-08:00"/>
        <s v="2016-11-09-09:00"/>
        <s v="2016-11-09-10:00"/>
        <s v="2016-11-09-11:00"/>
        <s v="2016-11-09-12:00"/>
        <s v="2016-11-09-13:00"/>
        <s v="2016-11-09-14:00"/>
        <s v="2016-11-09-15:00"/>
        <s v="2016-11-09-16:00"/>
        <s v="2016-11-09-17:00"/>
        <s v="2016-11-09-18:00"/>
        <s v="2016-11-09-19:00"/>
        <s v="2016-11-09-20:00"/>
        <s v="2016-11-09-21:00"/>
        <s v="2016-11-09-22:00"/>
        <s v="2016-11-09-23:00"/>
        <s v="2016-11-10-00:00"/>
        <s v="2016-11-10-01:00"/>
        <s v="2016-11-10-02:00"/>
        <s v="2016-11-10-03:00"/>
        <s v="2016-11-10-04:00"/>
        <s v="2016-11-10-05:00"/>
        <s v="2016-11-10-06:00"/>
        <s v="2017-01-06-05:00"/>
        <s v="2017-01-06-06:00"/>
        <s v="2017-01-06-07:00"/>
        <s v="2017-01-06-08:00"/>
        <s v="2017-01-06-09:00"/>
        <s v="2017-01-06-10:00"/>
        <s v="2017-01-06-11:00"/>
        <s v="2017-01-06-12:00"/>
        <s v="2017-01-06-13:00"/>
        <s v="2017-01-06-14:00"/>
        <s v="2017-01-06-15:00"/>
        <s v="2017-01-06-16:00"/>
        <s v="2017-01-06-17:00"/>
        <s v="2017-01-06-18:00"/>
        <s v="2017-01-06-19:00"/>
        <s v="2017-01-06-20:00"/>
        <s v="2017-01-06-21:00"/>
        <s v="2017-01-06-22:00"/>
        <s v="2017-01-06-23:00"/>
        <s v="2017-01-09-00:00"/>
        <s v="2017-01-09-01:00"/>
        <s v="2017-01-09-02:00"/>
        <s v="2017-01-09-03:00"/>
        <s v="2017-01-09-04:00"/>
        <s v="2017-01-09-05:00"/>
        <s v="2017-01-09-06:00"/>
        <s v="2017-01-09-07:00"/>
        <s v="2017-01-09-08:00"/>
        <s v="2017-01-09-09:00"/>
        <s v="2017-01-09-10:00"/>
        <s v="2017-01-09-11:00"/>
        <s v="2017-01-09-12:00"/>
        <s v="2017-01-09-13:00"/>
        <s v="2017-01-09-14:00"/>
        <s v="2017-01-09-15:00"/>
        <s v="2017-01-09-16:00"/>
        <s v="2017-01-09-17:00"/>
        <s v="2017-01-09-18:00"/>
        <s v="2017-01-09-19:00"/>
        <s v="2017-01-09-20:00"/>
        <s v="2017-01-09-21:00"/>
        <s v="2017-01-09-22:00"/>
        <s v="2017-01-09-23:00"/>
        <s v="2017-01-10-00:00"/>
        <s v="2017-01-10-01:00"/>
        <s v="2017-01-10-02:00"/>
        <s v="2017-01-10-03:00"/>
        <s v="2017-01-10-04:00"/>
        <s v="2017-01-10-05:00"/>
        <s v="2017-01-10-06:00"/>
        <s v="2017-01-10-07:00"/>
        <s v="2017-01-10-08:00"/>
        <s v="2017-01-10-09:00"/>
        <s v="2017-01-10-10:00"/>
        <s v="2017-01-10-11:00"/>
        <s v="2017-01-10-12:00"/>
        <s v="2017-01-10-13:00"/>
        <s v="2017-01-10-14:00"/>
        <s v="2017-01-10-15:00"/>
        <s v="2017-01-10-16:00"/>
        <s v="2017-03-03-11:00"/>
        <s v="2017-03-03-12:00"/>
        <s v="2017-03-03-13:00"/>
        <s v="2017-03-03-14:00"/>
        <s v="2017-03-03-15:00"/>
        <s v="2017-03-03-16:00"/>
        <s v="2017-03-03-17:00"/>
        <s v="2017-03-03-18:00"/>
        <s v="2017-03-03-19:00"/>
        <s v="2017-03-03-20:00"/>
        <s v="2017-03-03-21:00"/>
        <s v="2017-03-03-22:00"/>
        <s v="2017-03-03-23:00"/>
        <s v="2017-03-06-00:00"/>
        <s v="2017-03-06-01:00"/>
        <s v="2017-03-06-02:00"/>
        <s v="2017-03-06-03:00"/>
        <s v="2017-03-06-04:00"/>
        <s v="2017-03-06-05:00"/>
        <s v="2017-03-06-06:00"/>
        <s v="2017-03-06-07:00"/>
        <s v="2017-03-06-08:00"/>
        <s v="2017-03-06-09:00"/>
        <s v="2017-03-06-10:00"/>
        <s v="2017-03-06-11:00"/>
        <s v="2017-03-06-12:00"/>
        <s v="2017-03-06-13:00"/>
        <s v="2017-03-06-14:00"/>
        <s v="2017-03-06-15:00"/>
        <s v="2017-03-06-16:00"/>
        <s v="2017-03-06-17:00"/>
        <s v="2017-03-06-18:00"/>
        <s v="2017-03-06-19:00"/>
        <s v="2017-03-06-20:00"/>
        <s v="2017-03-06-21:00"/>
        <s v="2017-03-06-22:00"/>
        <s v="2017-03-06-23:00"/>
        <s v="2017-03-07-00:00"/>
        <s v="2017-03-07-01:00"/>
        <s v="2017-03-07-02:00"/>
        <s v="2017-03-07-03:00"/>
        <s v="2017-03-07-04:00"/>
        <s v="2017-03-07-05:00"/>
        <s v="2017-03-07-06:00"/>
        <s v="2017-03-07-07:00"/>
        <s v="2017-03-07-08:00"/>
        <s v="2017-03-07-09:00"/>
        <s v="2017-03-07-10:00"/>
        <s v="2017-03-07-11:00"/>
        <s v="2017-03-07-12:00"/>
        <s v="2017-03-07-13:00"/>
        <s v="2017-03-07-14:00"/>
        <s v="2017-03-07-15:00"/>
        <s v="2017-03-07-16:00"/>
        <s v="2017-03-07-17:00"/>
        <s v="2017-03-07-18:00"/>
        <s v="2017-03-07-19:00"/>
        <s v="2017-03-07-20:00"/>
        <s v="2017-03-07-21:00"/>
        <s v="2017-03-07-22:00"/>
        <s v="2017-04-28-22:00"/>
        <s v="2017-04-28-23:00"/>
        <s v="2017-05-01-00:00"/>
        <s v="2017-05-01-01:00"/>
        <s v="2017-05-01-02:00"/>
        <s v="2017-05-01-03:00"/>
        <s v="2017-05-01-04:00"/>
        <s v="2017-05-01-05:00"/>
        <s v="2017-05-01-06:00"/>
        <s v="2017-05-01-07:00"/>
        <s v="2017-05-01-08:00"/>
        <s v="2017-05-01-09:00"/>
        <s v="2017-05-01-10:00"/>
        <s v="2017-05-01-11:00"/>
        <s v="2017-05-01-12:00"/>
        <s v="2017-05-01-13:00"/>
        <s v="2017-05-01-14:00"/>
        <s v="2017-05-01-15:00"/>
        <s v="2017-05-01-16:00"/>
        <s v="2017-05-01-17:00"/>
        <s v="2017-05-01-18:00"/>
        <s v="2017-05-01-19:00"/>
        <s v="2017-05-01-20:00"/>
        <s v="2017-05-01-21:00"/>
        <s v="2017-05-01-22:00"/>
        <s v="2017-05-01-23:00"/>
        <s v="2017-05-02-00:00"/>
        <s v="2017-05-02-01:00"/>
        <s v="2017-05-02-02:00"/>
        <s v="2017-05-02-03:00"/>
        <s v="2017-05-02-04:00"/>
        <s v="2017-05-02-05:00"/>
        <s v="2017-05-02-06:00"/>
        <s v="2017-05-02-07:00"/>
        <s v="2017-05-02-08:00"/>
        <s v="2017-05-02-09:00"/>
        <s v="2017-05-02-10:00"/>
        <s v="2017-05-02-11:00"/>
        <s v="2017-05-02-12:00"/>
        <s v="2017-05-02-13:00"/>
        <s v="2017-05-02-14:00"/>
        <s v="2017-05-02-15:00"/>
        <s v="2017-05-02-16:00"/>
        <s v="2017-05-02-17:00"/>
        <s v="2017-05-02-18:00"/>
        <s v="2017-05-02-19:00"/>
        <s v="2017-05-02-20:00"/>
        <s v="2017-05-02-21:00"/>
        <s v="2017-05-02-22:00"/>
        <s v="2017-05-02-23:00"/>
        <s v="2017-05-03-00:00"/>
        <s v="2017-05-03-01:00"/>
        <s v="2017-05-03-02:00"/>
        <s v="2017-05-03-03:00"/>
        <s v="2017-05-03-04:00"/>
        <s v="2017-05-03-05:00"/>
        <s v="2017-05-03-06:00"/>
        <s v="2017-05-03-07:00"/>
        <s v="2017-05-03-08:00"/>
        <s v="2017-05-03-09:00"/>
        <s v="2017-05-03-10:00"/>
        <s v="2017-06-26-06:00"/>
        <s v="2017-06-26-07:00"/>
        <s v="2017-06-26-08:00"/>
        <s v="2017-06-26-09:00"/>
        <s v="2017-06-26-10:00"/>
        <s v="2017-06-26-11:00"/>
        <s v="2017-06-26-12:00"/>
        <s v="2017-06-26-13:00"/>
        <s v="2017-06-26-14:00"/>
        <s v="2017-06-26-15:00"/>
        <s v="2017-06-26-16:00"/>
        <s v="2017-06-26-17:00"/>
        <s v="2017-06-26-18:00"/>
        <s v="2017-06-26-19:00"/>
        <s v="2017-06-26-20:00"/>
        <s v="2017-06-26-21:00"/>
        <s v="2017-06-26-22:00"/>
        <s v="2017-06-26-23:00"/>
        <s v="2017-06-27-00:00"/>
        <s v="2017-06-27-01:00"/>
        <s v="2017-06-27-02:00"/>
        <s v="2017-06-27-03:00"/>
        <s v="2017-06-27-04:00"/>
        <s v="2017-06-27-05:00"/>
        <s v="2017-06-27-06:00"/>
        <s v="2017-06-27-07:00"/>
        <s v="2017-06-27-08:00"/>
        <s v="2017-06-27-09:00"/>
        <s v="2017-06-27-10:00"/>
        <s v="2017-06-27-11:00"/>
        <s v="2017-06-27-12:00"/>
        <s v="2017-06-27-13:00"/>
        <s v="2017-06-27-14:00"/>
        <s v="2017-06-27-15:00"/>
        <s v="2017-06-27-16:00"/>
        <s v="2017-06-27-17:00"/>
        <s v="2017-06-27-18:00"/>
        <s v="2017-06-27-19:00"/>
        <s v="2017-06-27-20:00"/>
        <s v="2017-06-27-21:00"/>
        <s v="2017-06-27-22:00"/>
        <s v="2017-06-27-23:00"/>
        <s v="2017-06-28-00:00"/>
        <s v="2017-06-28-01:00"/>
        <s v="2017-06-28-02:00"/>
        <s v="2017-06-28-03:00"/>
        <s v="2017-06-28-04:00"/>
        <s v="2017-06-28-05:00"/>
        <s v="2017-06-28-06:00"/>
        <s v="2017-06-28-07:00"/>
        <s v="2017-06-28-08:00"/>
        <s v="2017-06-28-09:00"/>
        <s v="2017-06-28-10:00"/>
        <s v="2017-06-28-11:00"/>
        <s v="2017-06-28-12:00"/>
        <s v="2017-06-28-13:00"/>
        <s v="2017-06-28-14:00"/>
        <s v="2017-06-28-15:00"/>
        <s v="2017-06-28-16:00"/>
        <s v="2017-06-28-17:00"/>
        <s v="2017-06-28-18:00"/>
        <s v="2017-08-21-14:00"/>
        <s v="2017-08-21-15:00"/>
        <s v="2017-08-21-16:00"/>
        <s v="2017-08-21-17:00"/>
        <s v="2017-08-21-18:00"/>
        <s v="2017-08-21-19:00"/>
        <s v="2017-08-21-20:00"/>
        <s v="2017-08-21-21:00"/>
        <s v="2017-08-21-22:00"/>
        <s v="2017-08-21-23:00"/>
        <s v="2017-08-22-00:00"/>
        <s v="2017-08-22-01:00"/>
        <s v="2017-08-22-02:00"/>
        <s v="2017-08-22-03:00"/>
        <s v="2017-08-22-04:00"/>
        <s v="2017-08-22-05:00"/>
        <s v="2017-08-22-06:00"/>
        <s v="2017-08-22-07:00"/>
        <s v="2017-08-22-08:00"/>
        <s v="2017-08-22-09:00"/>
        <s v="2017-08-22-10:00"/>
        <s v="2017-08-22-11:00"/>
        <s v="2017-08-22-12:00"/>
        <s v="2017-08-22-13:00"/>
        <s v="2017-08-22-14:00"/>
        <s v="2017-08-22-15:00"/>
        <s v="2017-08-22-16:00"/>
        <s v="2017-08-22-17:00"/>
        <s v="2017-08-22-18:00"/>
        <s v="2017-08-22-19:00"/>
        <s v="2017-08-22-20:00"/>
        <s v="2017-08-22-21:00"/>
        <s v="2017-08-22-22:00"/>
        <s v="2017-08-22-23:00"/>
        <s v="2017-08-23-00:00"/>
        <s v="2017-08-23-01:00"/>
        <s v="2017-08-23-02:00"/>
        <s v="2017-08-23-03:00"/>
        <s v="2017-08-23-04:00"/>
        <s v="2017-08-23-05:00"/>
        <s v="2017-08-23-06:00"/>
        <s v="2017-08-23-07:00"/>
        <s v="2017-08-23-08:00"/>
        <s v="2017-08-23-09:00"/>
        <s v="2017-08-23-10:00"/>
        <s v="2017-08-23-11:00"/>
        <s v="2017-08-23-12:00"/>
        <s v="2017-08-23-13:00"/>
        <s v="2017-08-23-14:00"/>
        <s v="2017-08-23-15:00"/>
        <s v="2017-08-23-16:00"/>
        <s v="2017-08-23-17:00"/>
        <s v="2017-08-23-18:00"/>
        <s v="2017-08-23-19:00"/>
        <s v="2017-08-23-20:00"/>
        <s v="2017-08-23-21:00"/>
        <s v="2017-08-23-22:00"/>
        <s v="2017-08-23-23:00"/>
        <s v="2017-08-24-00:00"/>
        <s v="2017-08-24-01: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7-17: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2-17:00"/>
        <s v="2016-07-22-18:00"/>
        <s v="2016-07-22-19:00"/>
        <s v="2016-07-22-20:00"/>
        <s v="2016-07-22-21:00"/>
        <s v="2016-07-22-22:00"/>
        <s v="2016-07-22-23:00"/>
        <s v="2016-07-25-00: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6-17:00"/>
        <s v="2016-09-16-18:00"/>
        <s v="2016-09-16-19:00"/>
        <s v="2016-09-16-20:00"/>
        <s v="2016-09-16-21:00"/>
        <s v="2016-09-16-22:00"/>
        <s v="2016-09-16-23:00"/>
        <s v="2016-09-19-00:00"/>
        <s v="2016-09-19-01:00"/>
        <s v="2016-09-19-02:00"/>
        <s v="2016-09-19-03:00"/>
        <s v="2016-09-19-04:00"/>
        <s v="2016-09-19-05:00"/>
        <s v="2016-09-19-06:00"/>
        <s v="2016-09-19-07:00"/>
        <s v="2016-09-19-08:00"/>
        <s v="2016-09-19-09:00"/>
        <s v="2016-09-19-10:00"/>
        <s v="2016-09-19-11:00"/>
        <s v="2016-11-10-07:00"/>
        <s v="2016-11-10-08:00"/>
        <s v="2016-11-10-09:00"/>
        <s v="2016-11-10-10:00"/>
        <s v="2016-11-10-11:00"/>
        <s v="2016-11-10-12:00"/>
        <s v="2016-11-10-13:00"/>
        <s v="2016-11-10-14:00"/>
        <s v="2016-11-10-15:00"/>
        <s v="2016-11-10-16:00"/>
        <s v="2016-11-10-17:00"/>
        <s v="2016-11-10-18:00"/>
        <s v="2016-11-10-19:00"/>
        <s v="2016-11-10-20:00"/>
        <s v="2016-11-10-21:00"/>
        <s v="2016-11-10-22:00"/>
        <s v="2016-11-10-23:00"/>
        <s v="2016-11-11-00:00"/>
        <s v="2016-11-11-01:00"/>
        <s v="2016-11-11-02:00"/>
        <s v="2016-11-11-03:00"/>
        <s v="2016-11-11-04:00"/>
        <s v="2016-11-11-05:00"/>
        <s v="2016-11-11-06:00"/>
        <s v="2016-11-11-07:00"/>
        <s v="2016-11-11-08:00"/>
        <s v="2016-11-11-09:00"/>
        <s v="2016-11-11-10:00"/>
        <s v="2016-11-11-11:00"/>
        <s v="2016-11-11-12:00"/>
        <s v="2016-11-11-13:00"/>
        <s v="2016-11-11-14:00"/>
        <s v="2016-11-11-15:00"/>
        <s v="2016-11-11-16:00"/>
        <s v="2016-11-11-17:00"/>
        <s v="2016-11-11-18:00"/>
        <s v="2016-11-11-19:00"/>
        <s v="2016-11-11-20:00"/>
        <s v="2016-11-11-21:00"/>
        <s v="2016-11-11-22:00"/>
        <s v="2016-11-11-23:00"/>
        <s v="2016-11-14-00:00"/>
        <s v="2016-11-14-01:00"/>
        <s v="2016-11-14-02:00"/>
        <s v="2016-11-14-03:00"/>
        <s v="2016-11-14-04:00"/>
        <s v="2016-11-14-05:00"/>
        <s v="2016-11-14-06:00"/>
        <s v="2016-11-14-07:00"/>
        <s v="2016-11-14-08:00"/>
        <s v="2016-11-14-09:00"/>
        <s v="2016-11-14-10:00"/>
        <s v="2016-11-14-11:00"/>
        <s v="2016-11-14-12:00"/>
        <s v="2016-11-14-13:00"/>
        <s v="2016-11-14-14:00"/>
        <s v="2016-11-14-15:00"/>
        <s v="2016-11-14-16:00"/>
        <s v="2016-11-14-17:00"/>
        <s v="2016-11-14-18:00"/>
        <s v="2017-01-10-17:00"/>
        <s v="2017-01-10-18:00"/>
        <s v="2017-01-10-19:00"/>
        <s v="2017-01-10-20:00"/>
        <s v="2017-01-10-21:00"/>
        <s v="2017-01-10-22:00"/>
        <s v="2017-01-10-23:00"/>
        <s v="2017-01-11-00:00"/>
        <s v="2017-01-11-01:00"/>
        <s v="2017-01-11-02:00"/>
        <s v="2017-01-11-03:00"/>
        <s v="2017-01-11-04:00"/>
        <s v="2017-01-11-05:00"/>
        <s v="2017-01-11-06:00"/>
        <s v="2017-01-11-07:00"/>
        <s v="2017-01-11-08:00"/>
        <s v="2017-01-11-09:00"/>
        <s v="2017-01-11-10:00"/>
        <s v="2017-01-11-11:00"/>
        <s v="2017-01-11-12:00"/>
        <s v="2017-01-11-13:00"/>
        <s v="2017-01-11-14:00"/>
        <s v="2017-01-11-15:00"/>
        <s v="2017-01-11-16:00"/>
        <s v="2017-01-11-17:00"/>
        <s v="2017-01-11-18:00"/>
        <s v="2017-01-11-19:00"/>
        <s v="2017-01-11-20:00"/>
        <s v="2017-01-11-21:00"/>
        <s v="2017-01-11-22:00"/>
        <s v="2017-01-11-23:00"/>
        <s v="2017-01-12-00:00"/>
        <s v="2017-01-12-01:00"/>
        <s v="2017-01-12-02:00"/>
        <s v="2017-01-12-03:00"/>
        <s v="2017-01-12-04:00"/>
        <s v="2017-01-12-05:00"/>
        <s v="2017-01-12-06:00"/>
        <s v="2017-01-12-07:00"/>
        <s v="2017-01-12-08:00"/>
        <s v="2017-01-12-09:00"/>
        <s v="2017-01-12-10:00"/>
        <s v="2017-01-12-11:00"/>
        <s v="2017-01-12-12:00"/>
        <s v="2017-01-12-13:00"/>
        <s v="2017-01-12-14:00"/>
        <s v="2017-01-12-15:00"/>
        <s v="2017-01-12-16:00"/>
        <s v="2017-01-12-17:00"/>
        <s v="2017-01-12-18:00"/>
        <s v="2017-01-12-19:00"/>
        <s v="2017-01-12-20:00"/>
        <s v="2017-01-12-21:00"/>
        <s v="2017-01-12-22:00"/>
        <s v="2017-01-12-23:00"/>
        <s v="2017-01-13-00:00"/>
        <s v="2017-01-13-01:00"/>
        <s v="2017-01-13-02:00"/>
        <s v="2017-01-13-03:00"/>
        <s v="2017-01-13-04:00"/>
        <s v="2017-03-07-23:00"/>
        <s v="2017-03-08-00:00"/>
        <s v="2017-03-08-01:00"/>
        <s v="2017-03-08-02:00"/>
        <s v="2017-03-08-03:00"/>
        <s v="2017-03-08-04:00"/>
        <s v="2017-03-08-05:00"/>
        <s v="2017-03-08-06:00"/>
        <s v="2017-03-08-07:00"/>
        <s v="2017-03-08-08:00"/>
        <s v="2017-03-08-09:00"/>
        <s v="2017-03-08-10:00"/>
        <s v="2017-03-08-11:00"/>
        <s v="2017-03-08-12:00"/>
        <s v="2017-03-08-13:00"/>
        <s v="2017-03-08-14:00"/>
        <s v="2017-03-08-15:00"/>
        <s v="2017-03-08-16:00"/>
        <s v="2017-03-08-17:00"/>
        <s v="2017-03-08-18:00"/>
        <s v="2017-03-08-19:00"/>
        <s v="2017-03-08-20:00"/>
        <s v="2017-03-08-21:00"/>
        <s v="2017-03-08-22:00"/>
        <s v="2017-03-08-23:00"/>
        <s v="2017-03-09-00:00"/>
        <s v="2017-03-09-01:00"/>
        <s v="2017-03-09-02:00"/>
        <s v="2017-03-09-03:00"/>
        <s v="2017-03-09-04:00"/>
        <s v="2017-03-09-05:00"/>
        <s v="2017-03-09-06:00"/>
        <s v="2017-03-09-07:00"/>
        <s v="2017-03-09-08:00"/>
        <s v="2017-03-09-09:00"/>
        <s v="2017-03-09-10:00"/>
        <s v="2017-03-09-11:00"/>
        <s v="2017-03-09-12:00"/>
        <s v="2017-03-09-13:00"/>
        <s v="2017-03-09-14:00"/>
        <s v="2017-03-09-15:00"/>
        <s v="2017-03-09-16:00"/>
        <s v="2017-03-09-17:00"/>
        <s v="2017-03-09-18:00"/>
        <s v="2017-03-09-19:00"/>
        <s v="2017-03-09-20:00"/>
        <s v="2017-03-09-21:00"/>
        <s v="2017-03-09-22:00"/>
        <s v="2017-03-09-23:00"/>
        <s v="2017-03-10-00:00"/>
        <s v="2017-03-10-01:00"/>
        <s v="2017-03-10-02:00"/>
        <s v="2017-03-10-03:00"/>
        <s v="2017-03-10-04:00"/>
        <s v="2017-03-10-05:00"/>
        <s v="2017-03-10-06:00"/>
        <s v="2017-03-10-07:00"/>
        <s v="2017-03-10-08:00"/>
        <s v="2017-03-10-09:00"/>
        <s v="2017-03-10-10:00"/>
        <s v="2017-03-10-11:00"/>
        <s v="2017-05-03-11:00"/>
        <s v="2017-05-03-12:00"/>
        <s v="2017-05-03-13:00"/>
        <s v="2017-05-03-14:00"/>
        <s v="2017-05-03-15:00"/>
        <s v="2017-05-03-16:00"/>
        <s v="2017-05-03-17:00"/>
        <s v="2017-05-03-18:00"/>
        <s v="2017-05-03-19:00"/>
        <s v="2017-05-03-20:00"/>
        <s v="2017-05-03-21:00"/>
        <s v="2017-05-03-22:00"/>
        <s v="2017-05-03-23:00"/>
        <s v="2017-05-04-00:00"/>
        <s v="2017-05-04-01:00"/>
        <s v="2017-05-04-02:00"/>
        <s v="2017-05-04-03:00"/>
        <s v="2017-05-04-04:00"/>
        <s v="2017-05-04-05:00"/>
        <s v="2017-05-04-06:00"/>
        <s v="2017-05-04-07:00"/>
        <s v="2017-05-04-08:00"/>
        <s v="2017-05-04-09:00"/>
        <s v="2017-05-04-10:00"/>
        <s v="2017-05-04-11:00"/>
        <s v="2017-05-04-12:00"/>
        <s v="2017-05-04-13:00"/>
        <s v="2017-05-04-14:00"/>
        <s v="2017-05-04-15:00"/>
        <s v="2017-05-04-16:00"/>
        <s v="2017-05-04-17:00"/>
        <s v="2017-05-04-18:00"/>
        <s v="2017-05-04-19:00"/>
        <s v="2017-05-04-20:00"/>
        <s v="2017-05-04-21:00"/>
        <s v="2017-05-04-22:00"/>
        <s v="2017-05-04-23:00"/>
        <s v="2017-05-05-00:00"/>
        <s v="2017-05-05-01:00"/>
        <s v="2017-05-05-02:00"/>
        <s v="2017-05-05-03:00"/>
        <s v="2017-05-05-04:00"/>
        <s v="2017-05-05-05:00"/>
        <s v="2017-05-05-06:00"/>
        <s v="2017-05-05-07:00"/>
        <s v="2017-05-05-08:00"/>
        <s v="2017-05-05-09:00"/>
        <s v="2017-05-05-10:00"/>
        <s v="2017-05-05-11:00"/>
        <s v="2017-05-05-12:00"/>
        <s v="2017-05-05-13:00"/>
        <s v="2017-05-05-14:00"/>
        <s v="2017-05-05-15:00"/>
        <s v="2017-05-05-16:00"/>
        <s v="2017-05-05-17:00"/>
        <s v="2017-05-05-18:00"/>
        <s v="2017-05-05-19:00"/>
        <s v="2017-05-05-20:00"/>
        <s v="2017-05-05-21:00"/>
        <s v="2017-05-05-22:00"/>
        <s v="2017-05-05-23:00"/>
        <s v="2017-06-28-19:00"/>
        <s v="2017-06-28-20:00"/>
        <s v="2017-06-28-21:00"/>
        <s v="2017-06-28-22:00"/>
        <s v="2017-06-28-23:00"/>
        <s v="2017-06-29-00:00"/>
        <s v="2017-06-29-01:00"/>
        <s v="2017-06-29-02:00"/>
        <s v="2017-06-29-03:00"/>
        <s v="2017-06-29-04:00"/>
        <s v="2017-06-29-05:00"/>
        <s v="2017-06-29-06:00"/>
        <s v="2017-06-29-07:00"/>
        <s v="2017-06-29-08:00"/>
        <s v="2017-06-29-09:00"/>
        <s v="2017-06-29-10:00"/>
        <s v="2017-06-29-11:00"/>
        <s v="2017-06-29-12:00"/>
        <s v="2017-06-29-13:00"/>
        <s v="2017-06-29-14:00"/>
        <s v="2017-06-29-15:00"/>
        <s v="2017-06-29-16:00"/>
        <s v="2017-06-29-17:00"/>
        <s v="2017-06-29-18:00"/>
        <s v="2017-06-29-19:00"/>
        <s v="2017-06-29-20:00"/>
        <s v="2017-06-29-21:00"/>
        <s v="2017-06-29-22:00"/>
        <s v="2017-06-29-23:00"/>
        <s v="2017-06-30-00:00"/>
        <s v="2017-06-30-01:00"/>
        <s v="2017-06-30-02:00"/>
        <s v="2017-06-30-03:00"/>
        <s v="2017-06-30-04:00"/>
        <s v="2017-06-30-05:00"/>
        <s v="2017-06-30-06:00"/>
        <s v="2017-06-30-07:00"/>
        <s v="2017-06-30-08:00"/>
        <s v="2017-06-30-09:00"/>
        <s v="2017-06-30-10:00"/>
        <s v="2017-06-30-11:00"/>
        <s v="2017-06-30-12:00"/>
        <s v="2017-06-30-13:00"/>
        <s v="2017-06-30-14:00"/>
        <s v="2017-06-30-15:00"/>
        <s v="2017-06-30-16:00"/>
        <s v="2017-06-30-17:00"/>
        <s v="2017-06-30-18:00"/>
        <s v="2017-06-30-19:00"/>
        <s v="2017-06-30-20:00"/>
        <s v="2017-06-30-21:00"/>
        <s v="2017-06-30-22:00"/>
        <s v="2017-06-30-23:00"/>
        <s v="2017-07-03-00:00"/>
        <s v="2017-07-03-01:00"/>
        <s v="2017-07-03-02:00"/>
        <s v="2017-07-03-03:00"/>
        <s v="2017-07-03-04:00"/>
        <s v="2017-07-03-05:00"/>
        <s v="2017-07-03-06:00"/>
        <s v="2017-07-03-07:00"/>
        <s v="2017-08-24-02:00"/>
        <s v="2017-08-24-03:00"/>
        <s v="2017-08-24-04:00"/>
        <s v="2017-08-24-05:00"/>
        <s v="2017-08-24-06:00"/>
        <s v="2017-08-24-07:00"/>
        <s v="2017-08-24-08:00"/>
        <s v="2017-08-24-09:00"/>
        <s v="2017-08-24-10:00"/>
        <s v="2017-08-24-11:00"/>
        <s v="2017-08-24-12:00"/>
        <s v="2017-08-24-13:00"/>
        <s v="2017-08-24-14:00"/>
        <s v="2017-08-24-15:00"/>
        <s v="2017-08-24-16:00"/>
        <s v="2017-08-24-17:00"/>
        <s v="2017-08-24-18:00"/>
        <s v="2017-08-24-19:00"/>
        <s v="2017-08-24-20:00"/>
        <s v="2017-08-24-21:00"/>
        <s v="2017-08-24-22:00"/>
        <s v="2017-08-24-23:00"/>
        <s v="2017-08-25-00:00"/>
        <s v="2017-08-25-01:00"/>
        <s v="2017-08-25-02:00"/>
        <s v="2017-08-25-03:00"/>
        <s v="2017-08-25-04:00"/>
        <s v="2017-08-25-05:00"/>
        <s v="2017-08-25-06:00"/>
        <s v="2017-08-25-07:00"/>
        <s v="2017-08-25-08:00"/>
        <s v="2017-08-25-09:00"/>
        <s v="2017-08-25-10:00"/>
        <s v="2017-08-25-11:00"/>
        <s v="2017-08-25-12:00"/>
        <s v="2017-08-25-13:00"/>
        <s v="2017-08-25-14:00"/>
        <s v="2017-08-25-15:00"/>
        <s v="2017-08-25-16:00"/>
        <s v="2017-08-25-17:00"/>
        <s v="2017-08-25-18:00"/>
        <s v="2017-08-25-19:00"/>
        <s v="2017-08-25-20:00"/>
        <s v="2017-08-25-21:00"/>
        <s v="2017-08-25-22:00"/>
        <s v="2017-08-25-23:00"/>
        <s v="2017-08-28-00:00"/>
        <s v="2017-08-28-01:00"/>
        <s v="2017-08-28-02:00"/>
        <s v="2017-08-28-03:00"/>
        <s v="2017-08-28-04:00"/>
        <s v="2017-08-28-05:00"/>
        <s v="2017-08-28-06:00"/>
        <s v="2017-08-28-07:00"/>
        <s v="2017-08-28-08:00"/>
        <s v="2017-08-28-09:00"/>
        <s v="2017-08-28-10:00"/>
        <s v="2017-08-28-11:00"/>
        <s v="2017-08-28-12:00"/>
        <s v="2017-08-28-13:00"/>
        <s v="2016-04-01-14:00"/>
        <s v="2016-04-01-15:00"/>
        <s v="2016-04-01-16:00"/>
        <s v="2016-04-01-17:00"/>
        <s v="2016-04-01-18:00"/>
        <s v="2016-04-01-19:00"/>
        <s v="2016-04-01-20:00"/>
        <s v="2016-04-01-21:00"/>
        <s v="2016-04-01-22:00"/>
        <s v="2016-04-01-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5-27-18:00"/>
        <s v="2016-05-27-19:00"/>
        <s v="2016-05-27-20:00"/>
        <s v="2016-05-27-21:00"/>
        <s v="2016-05-27-22:00"/>
        <s v="2016-05-27-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11-14-19:00"/>
        <s v="2016-11-14-20:00"/>
        <s v="2016-11-14-21:00"/>
        <s v="2016-11-14-22:00"/>
        <s v="2016-11-14-23:00"/>
        <s v="2016-11-15-00:00"/>
        <s v="2016-11-15-01:00"/>
        <s v="2016-11-15-02:00"/>
        <s v="2016-11-15-03:00"/>
        <s v="2016-11-15-04:00"/>
        <s v="2016-11-15-05:00"/>
        <s v="2016-11-15-06:00"/>
        <s v="2016-11-15-07:00"/>
        <s v="2016-11-15-08:00"/>
        <s v="2016-11-15-09:00"/>
        <s v="2016-11-15-10:00"/>
        <s v="2016-11-15-11:00"/>
        <s v="2016-11-15-12:00"/>
        <s v="2016-11-15-13:00"/>
        <s v="2016-11-15-14:00"/>
        <s v="2016-11-15-15:00"/>
        <s v="2016-11-15-16:00"/>
        <s v="2016-11-15-17:00"/>
        <s v="2016-11-15-18:00"/>
        <s v="2016-11-15-19:00"/>
        <s v="2016-11-15-20:00"/>
        <s v="2016-11-15-21:00"/>
        <s v="2016-11-15-22:00"/>
        <s v="2016-11-15-23:00"/>
        <s v="2016-11-16-00:00"/>
        <s v="2016-11-16-01:00"/>
        <s v="2016-11-16-02:00"/>
        <s v="2016-11-16-03:00"/>
        <s v="2016-11-16-04:00"/>
        <s v="2016-11-16-05:00"/>
        <s v="2016-11-16-06:00"/>
        <s v="2016-11-16-07:00"/>
        <s v="2016-11-16-08:00"/>
        <s v="2016-11-16-09:00"/>
        <s v="2016-11-16-10:00"/>
        <s v="2016-11-16-11:00"/>
        <s v="2016-11-16-12:00"/>
        <s v="2016-11-16-13:00"/>
        <s v="2016-11-16-14:00"/>
        <s v="2016-11-16-15:00"/>
        <s v="2016-11-16-16:00"/>
        <s v="2016-11-16-17:00"/>
        <s v="2016-11-16-18:00"/>
        <s v="2016-11-16-19:00"/>
        <s v="2016-11-16-20:00"/>
        <s v="2016-11-16-21:00"/>
        <s v="2016-11-16-22:00"/>
        <s v="2016-11-16-23:00"/>
        <s v="2016-11-17-00:00"/>
        <s v="2016-11-17-01:00"/>
        <s v="2016-11-17-02:00"/>
        <s v="2016-11-17-03:00"/>
        <s v="2016-11-17-04:00"/>
        <s v="2016-11-17-05:00"/>
        <s v="2016-11-17-06:00"/>
        <s v="2017-01-13-05:00"/>
        <s v="2017-01-13-06:00"/>
        <s v="2017-01-13-07:00"/>
        <s v="2017-01-13-08:00"/>
        <s v="2017-01-13-09:00"/>
        <s v="2017-01-13-10:00"/>
        <s v="2017-01-13-11:00"/>
        <s v="2017-01-13-12:00"/>
        <s v="2017-01-13-13:00"/>
        <s v="2017-01-13-14:00"/>
        <s v="2017-01-13-15:00"/>
        <s v="2017-01-13-16:00"/>
        <s v="2017-01-13-17:00"/>
        <s v="2017-01-13-18:00"/>
        <s v="2017-01-13-19:00"/>
        <s v="2017-01-13-20:00"/>
        <s v="2017-01-13-21:00"/>
        <s v="2017-01-13-22:00"/>
        <s v="2017-01-13-23:00"/>
        <s v="2017-01-16-00:00"/>
        <s v="2017-01-16-01:00"/>
        <s v="2017-01-16-02:00"/>
        <s v="2017-01-16-03:00"/>
        <s v="2017-01-16-04:00"/>
        <s v="2017-01-16-05:00"/>
        <s v="2017-01-16-06:00"/>
        <s v="2017-01-16-07:00"/>
        <s v="2017-01-16-08:00"/>
        <s v="2017-01-16-09:00"/>
        <s v="2017-01-16-10:00"/>
        <s v="2017-01-16-11:00"/>
        <s v="2017-01-16-12:00"/>
        <s v="2017-01-16-13:00"/>
        <s v="2017-01-16-14:00"/>
        <s v="2017-01-16-15:00"/>
        <s v="2017-01-16-16:00"/>
        <s v="2017-01-16-17:00"/>
        <s v="2017-01-16-18:00"/>
        <s v="2017-01-16-19:00"/>
        <s v="2017-01-16-20:00"/>
        <s v="2017-01-16-21:00"/>
        <s v="2017-01-16-22:00"/>
        <s v="2017-01-16-23:00"/>
        <s v="2017-01-17-00:00"/>
        <s v="2017-01-17-01:00"/>
        <s v="2017-01-17-02:00"/>
        <s v="2017-01-17-03:00"/>
        <s v="2017-01-17-04:00"/>
        <s v="2017-01-17-05:00"/>
        <s v="2017-01-17-06:00"/>
        <s v="2017-01-17-07:00"/>
        <s v="2017-01-17-08:00"/>
        <s v="2017-01-17-09:00"/>
        <s v="2017-01-17-10:00"/>
        <s v="2017-01-17-11:00"/>
        <s v="2017-01-17-12:00"/>
        <s v="2017-01-17-13:00"/>
        <s v="2017-01-17-14:00"/>
        <s v="2017-01-17-15:00"/>
        <s v="2017-01-17-16:00"/>
        <s v="2017-01-17-17:00"/>
        <s v="2017-03-10-12:00"/>
        <s v="2017-03-10-13:00"/>
        <s v="2017-03-10-14:00"/>
        <s v="2017-03-10-15:00"/>
        <s v="2017-03-10-16:00"/>
        <s v="2017-03-10-17:00"/>
        <s v="2017-03-10-18:00"/>
        <s v="2017-03-10-19:00"/>
        <s v="2017-03-10-20:00"/>
        <s v="2017-03-10-21:00"/>
        <s v="2017-03-10-22:00"/>
        <s v="2017-03-10-23:00"/>
        <s v="2017-03-13-00:00"/>
        <s v="2017-03-13-01:00"/>
        <s v="2017-03-13-02:00"/>
        <s v="2017-03-13-03:00"/>
        <s v="2017-03-13-04:00"/>
        <s v="2017-03-13-05:00"/>
        <s v="2017-03-13-06:00"/>
        <s v="2017-03-13-07:00"/>
        <s v="2017-03-13-08:00"/>
        <s v="2017-03-13-09:00"/>
        <s v="2017-03-13-10:00"/>
        <s v="2017-03-13-11:00"/>
        <s v="2017-03-13-12:00"/>
        <s v="2017-03-13-13:00"/>
        <s v="2017-03-13-14:00"/>
        <s v="2017-03-13-15:00"/>
        <s v="2017-03-13-16:00"/>
        <s v="2017-03-13-17:00"/>
        <s v="2017-03-13-18:00"/>
        <s v="2017-03-13-19:00"/>
        <s v="2017-03-13-20:00"/>
        <s v="2017-03-13-21:00"/>
        <s v="2017-03-13-22:00"/>
        <s v="2017-03-13-23:00"/>
        <s v="2017-03-14-00:00"/>
        <s v="2017-03-14-01:00"/>
        <s v="2017-03-14-02:00"/>
        <s v="2017-03-14-03:00"/>
        <s v="2017-03-14-04:00"/>
        <s v="2017-03-14-05:00"/>
        <s v="2017-03-14-06:00"/>
        <s v="2017-03-14-07:00"/>
        <s v="2017-03-14-08:00"/>
        <s v="2017-03-14-09:00"/>
        <s v="2017-03-14-10:00"/>
        <s v="2017-03-14-11:00"/>
        <s v="2017-03-14-12:00"/>
        <s v="2017-03-14-13:00"/>
        <s v="2017-03-14-14:00"/>
        <s v="2017-03-14-15:00"/>
        <s v="2017-03-14-16:00"/>
        <s v="2017-03-14-17:00"/>
        <s v="2017-03-14-18:00"/>
        <s v="2017-03-14-19:00"/>
        <s v="2017-03-14-20:00"/>
        <s v="2017-03-14-21:00"/>
        <s v="2017-03-14-22:00"/>
        <s v="2017-03-14-23:00"/>
        <s v="2017-03-15-00:00"/>
        <s v="2017-05-08-00:00"/>
        <s v="2017-05-08-01:00"/>
        <s v="2017-05-08-02:00"/>
        <s v="2017-05-08-03:00"/>
        <s v="2017-05-08-04:00"/>
        <s v="2017-05-08-05:00"/>
        <s v="2017-05-08-06:00"/>
        <s v="2017-05-08-07:00"/>
        <s v="2017-05-08-08:00"/>
        <s v="2017-05-08-09:00"/>
        <s v="2017-05-08-10:00"/>
        <s v="2017-05-08-11:00"/>
        <s v="2017-05-08-12:00"/>
        <s v="2017-05-08-13:00"/>
        <s v="2017-05-08-14:00"/>
        <s v="2017-05-08-15:00"/>
        <s v="2017-05-08-16:00"/>
        <s v="2017-05-08-17:00"/>
        <s v="2017-05-08-18:00"/>
        <s v="2017-05-08-19:00"/>
        <s v="2017-05-08-20:00"/>
        <s v="2017-05-08-21:00"/>
        <s v="2017-05-08-22:00"/>
        <s v="2017-05-08-23:00"/>
        <s v="2017-05-09-00:00"/>
        <s v="2017-05-09-01:00"/>
        <s v="2017-05-09-02:00"/>
        <s v="2017-05-09-03:00"/>
        <s v="2017-05-09-04:00"/>
        <s v="2017-05-09-05:00"/>
        <s v="2017-05-09-06:00"/>
        <s v="2017-05-09-07:00"/>
        <s v="2017-05-09-08:00"/>
        <s v="2017-05-09-09:00"/>
        <s v="2017-05-09-10:00"/>
        <s v="2017-05-09-11:00"/>
        <s v="2017-05-09-12:00"/>
        <s v="2017-05-09-13:00"/>
        <s v="2017-05-09-14:00"/>
        <s v="2017-05-09-15:00"/>
        <s v="2017-05-09-16:00"/>
        <s v="2017-05-09-17:00"/>
        <s v="2017-05-09-18:00"/>
        <s v="2017-05-09-19:00"/>
        <s v="2017-05-09-20:00"/>
        <s v="2017-05-09-21:00"/>
        <s v="2017-05-09-22:00"/>
        <s v="2017-05-09-23:00"/>
        <s v="2017-05-10-00:00"/>
        <s v="2017-05-10-01:00"/>
        <s v="2017-05-10-02:00"/>
        <s v="2017-05-10-03:00"/>
        <s v="2017-05-10-04:00"/>
        <s v="2017-05-10-05:00"/>
        <s v="2017-05-10-06:00"/>
        <s v="2017-05-10-07:00"/>
        <s v="2017-05-10-08:00"/>
        <s v="2017-05-10-09:00"/>
        <s v="2017-05-10-10:00"/>
        <s v="2017-05-10-11:00"/>
        <s v="2017-07-03-08:00"/>
        <s v="2017-07-03-09:00"/>
        <s v="2017-07-03-10:00"/>
        <s v="2017-07-03-11:00"/>
        <s v="2017-07-03-12:00"/>
        <s v="2017-07-03-13:00"/>
        <s v="2017-07-03-14:00"/>
        <s v="2017-07-03-15:00"/>
        <s v="2017-07-03-16:00"/>
        <s v="2017-07-03-17:00"/>
        <s v="2017-07-03-18:00"/>
        <s v="2017-07-03-19:00"/>
        <s v="2017-07-03-20:00"/>
        <s v="2017-07-03-21:00"/>
        <s v="2017-07-03-22:00"/>
        <s v="2017-07-03-23:00"/>
        <s v="2017-07-04-00:00"/>
        <s v="2017-07-04-01:00"/>
        <s v="2017-07-04-02:00"/>
        <s v="2017-07-04-03:00"/>
        <s v="2017-07-04-04:00"/>
        <s v="2017-07-04-05:00"/>
        <s v="2017-07-04-06:00"/>
        <s v="2017-07-04-07:00"/>
        <s v="2017-07-04-08:00"/>
        <s v="2017-07-04-09:00"/>
        <s v="2017-07-04-10:00"/>
        <s v="2017-07-04-11:00"/>
        <s v="2017-07-04-12:00"/>
        <s v="2017-07-04-13:00"/>
        <s v="2017-07-04-14:00"/>
        <s v="2017-07-04-15:00"/>
        <s v="2017-07-04-16:00"/>
        <s v="2017-07-04-17:00"/>
        <s v="2017-07-04-18:00"/>
        <s v="2017-07-04-19:00"/>
        <s v="2017-07-04-20:00"/>
        <s v="2017-07-04-21:00"/>
        <s v="2017-07-04-22:00"/>
        <s v="2017-07-04-23:00"/>
        <s v="2017-07-05-00:00"/>
        <s v="2017-07-05-01:00"/>
        <s v="2017-07-05-02:00"/>
        <s v="2017-07-05-03:00"/>
        <s v="2017-07-05-04:00"/>
        <s v="2017-07-05-05:00"/>
        <s v="2017-07-05-06:00"/>
        <s v="2017-07-05-07:00"/>
        <s v="2017-07-05-08:00"/>
        <s v="2017-07-05-09:00"/>
        <s v="2017-07-05-10:00"/>
        <s v="2017-07-05-11:00"/>
        <s v="2017-07-05-12:00"/>
        <s v="2017-07-05-13:00"/>
        <s v="2017-07-05-14:00"/>
        <s v="2017-07-05-15:00"/>
        <s v="2017-07-05-16:00"/>
        <s v="2017-07-05-17:00"/>
        <s v="2017-07-05-18:00"/>
        <s v="2017-07-05-19:00"/>
        <s v="2017-08-28-14:00"/>
        <s v="2017-08-28-15:00"/>
        <s v="2017-08-28-16:00"/>
        <s v="2017-08-28-17:00"/>
        <s v="2017-08-28-18:00"/>
        <s v="2017-08-28-19:00"/>
        <s v="2017-08-28-20:00"/>
        <s v="2017-08-28-21:00"/>
        <s v="2017-08-28-22:00"/>
        <s v="2017-08-28-23:00"/>
        <s v="2017-08-29-00:00"/>
        <s v="2017-08-29-01:00"/>
        <s v="2017-08-29-02:00"/>
        <s v="2017-08-29-03:00"/>
        <s v="2017-08-29-04:00"/>
        <s v="2017-08-29-05:00"/>
        <s v="2017-08-29-06:00"/>
        <s v="2017-08-29-07:00"/>
        <s v="2017-08-29-08:00"/>
        <s v="2017-08-29-09:00"/>
        <s v="2017-08-29-10:00"/>
        <s v="2017-08-29-11:00"/>
        <s v="2017-08-29-12:00"/>
        <s v="2017-08-29-13:00"/>
        <s v="2017-08-29-14:00"/>
        <s v="2017-08-29-15:00"/>
        <s v="2017-08-29-16:00"/>
        <s v="2017-08-29-17:00"/>
        <s v="2017-08-29-18:00"/>
        <s v="2017-08-29-19:00"/>
        <s v="2017-08-29-20:00"/>
        <s v="2017-08-29-21:00"/>
        <s v="2017-08-29-22:00"/>
        <s v="2017-08-29-23:00"/>
        <s v="2017-08-30-00:00"/>
        <s v="2017-08-30-01:00"/>
        <s v="2017-08-30-02:00"/>
        <s v="2017-08-30-03:00"/>
        <s v="2017-08-30-04:00"/>
        <s v="2017-08-30-05:00"/>
        <s v="2017-08-30-06:00"/>
        <s v="2017-08-30-07:00"/>
        <s v="2017-08-30-08:00"/>
        <s v="2017-08-30-09:00"/>
        <s v="2017-08-30-10:00"/>
        <s v="2017-08-30-11:00"/>
        <s v="2017-08-30-12:00"/>
        <s v="2017-08-30-13:00"/>
        <s v="2017-08-30-14:00"/>
        <s v="2017-08-30-15:00"/>
        <s v="2017-08-30-16:00"/>
        <s v="2017-08-30-17:00"/>
        <s v="2017-08-30-18:00"/>
        <s v="2017-08-30-19:00"/>
        <s v="2017-08-30-20:00"/>
        <s v="2017-08-30-21:00"/>
        <s v="2017-08-30-22:00"/>
        <s v="2017-08-30-23:00"/>
        <s v="2017-08-31-00:00"/>
        <s v="2017-08-31-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3-17:00"/>
        <s v="2016-06-03-18:00"/>
        <s v="2016-06-03-19: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29-17:00"/>
        <s v="2016-07-29-18:00"/>
        <s v="2016-07-29-19:00"/>
        <s v="2016-07-29-20:00"/>
        <s v="2016-07-29-21:00"/>
        <s v="2016-07-29-22:00"/>
        <s v="2016-07-29-23:00"/>
        <s v="2016-08-01-00:00"/>
        <s v="2016-08-01-01:00"/>
        <s v="2016-08-01-02: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3-17:00"/>
        <s v="2016-09-23-18:00"/>
        <s v="2016-09-23-19:00"/>
        <s v="2016-09-23-20:00"/>
        <s v="2016-09-23-21:00"/>
        <s v="2016-09-23-22:00"/>
        <s v="2016-09-23-23:00"/>
        <s v="2016-09-26-00:00"/>
        <s v="2016-09-26-01:00"/>
        <s v="2016-09-26-02:00"/>
        <s v="2016-09-26-03:00"/>
        <s v="2016-09-26-04:00"/>
        <s v="2016-09-26-05:00"/>
        <s v="2016-09-26-06:00"/>
        <s v="2016-09-26-07:00"/>
        <s v="2016-09-26-08:00"/>
        <s v="2016-09-26-09:00"/>
        <s v="2016-09-26-10:00"/>
        <s v="2016-09-26-11:00"/>
        <s v="2016-09-26-12:00"/>
        <s v="2016-11-17-07:00"/>
        <s v="2016-11-17-08:00"/>
        <s v="2016-11-17-09:00"/>
        <s v="2016-11-17-10:00"/>
        <s v="2016-11-17-11:00"/>
        <s v="2016-11-17-12:00"/>
        <s v="2016-11-17-13:00"/>
        <s v="2016-11-17-14:00"/>
        <s v="2016-11-17-15:00"/>
        <s v="2016-11-17-16:00"/>
        <s v="2016-11-17-17:00"/>
        <s v="2016-11-17-18:00"/>
        <s v="2016-11-17-19:00"/>
        <s v="2016-11-17-20:00"/>
        <s v="2016-11-17-21:00"/>
        <s v="2016-11-17-22:00"/>
        <s v="2016-11-17-23:00"/>
        <s v="2016-11-18-00:00"/>
        <s v="2016-11-18-01:00"/>
        <s v="2016-11-18-02:00"/>
        <s v="2016-11-18-03:00"/>
        <s v="2016-11-18-04:00"/>
        <s v="2016-11-18-05:00"/>
        <s v="2016-11-18-06:00"/>
        <s v="2016-11-18-07:00"/>
        <s v="2016-11-18-08:00"/>
        <s v="2016-11-18-09:00"/>
        <s v="2016-11-18-10:00"/>
        <s v="2016-11-18-11:00"/>
        <s v="2016-11-18-12:00"/>
        <s v="2016-11-18-13:00"/>
        <s v="2016-11-18-14:00"/>
        <s v="2016-11-18-15:00"/>
        <s v="2016-11-18-16:00"/>
        <s v="2016-11-18-17:00"/>
        <s v="2016-11-18-18:00"/>
        <s v="2016-11-18-19:00"/>
        <s v="2016-11-18-20:00"/>
        <s v="2016-11-18-21:00"/>
        <s v="2016-11-18-22:00"/>
        <s v="2016-11-18-23:00"/>
        <s v="2016-11-21-00:00"/>
        <s v="2016-11-21-01:00"/>
        <s v="2016-11-21-02:00"/>
        <s v="2016-11-21-03:00"/>
        <s v="2016-11-21-04:00"/>
        <s v="2016-11-21-05:00"/>
        <s v="2016-11-21-06:00"/>
        <s v="2016-11-21-07:00"/>
        <s v="2016-11-21-08:00"/>
        <s v="2016-11-21-09:00"/>
        <s v="2016-11-21-10:00"/>
        <s v="2016-11-21-11:00"/>
        <s v="2016-11-21-12:00"/>
        <s v="2016-11-21-13:00"/>
        <s v="2016-11-21-14:00"/>
        <s v="2016-11-21-15:00"/>
        <s v="2016-11-21-16:00"/>
        <s v="2016-11-21-17:00"/>
        <s v="2016-11-21-18:00"/>
        <s v="2017-01-17-18:00"/>
        <s v="2017-01-17-19:00"/>
        <s v="2017-01-17-20:00"/>
        <s v="2017-01-17-21:00"/>
        <s v="2017-01-17-22:00"/>
        <s v="2017-01-17-23:00"/>
        <s v="2017-01-18-00:00"/>
        <s v="2017-01-18-01:00"/>
        <s v="2017-01-18-02:00"/>
        <s v="2017-01-18-03:00"/>
        <s v="2017-01-18-04:00"/>
        <s v="2017-01-18-05:00"/>
        <s v="2017-01-18-06:00"/>
        <s v="2017-01-18-07:00"/>
        <s v="2017-01-18-08:00"/>
        <s v="2017-01-18-09:00"/>
        <s v="2017-01-18-10:00"/>
        <s v="2017-01-18-11:00"/>
        <s v="2017-01-18-12:00"/>
        <s v="2017-01-18-13:00"/>
        <s v="2017-01-18-14:00"/>
        <s v="2017-01-18-15:00"/>
        <s v="2017-01-18-16:00"/>
        <s v="2017-01-18-17:00"/>
        <s v="2017-01-18-18:00"/>
        <s v="2017-01-18-19:00"/>
        <s v="2017-01-18-20:00"/>
        <s v="2017-01-18-21:00"/>
        <s v="2017-01-18-22:00"/>
        <s v="2017-01-18-23:00"/>
        <s v="2017-01-19-00:00"/>
        <s v="2017-01-19-01:00"/>
        <s v="2017-01-19-02:00"/>
        <s v="2017-01-19-03:00"/>
        <s v="2017-01-19-04:00"/>
        <s v="2017-01-19-05:00"/>
        <s v="2017-01-19-06:00"/>
        <s v="2017-01-19-07:00"/>
        <s v="2017-01-19-08:00"/>
        <s v="2017-01-19-09:00"/>
        <s v="2017-01-19-10:00"/>
        <s v="2017-01-19-11:00"/>
        <s v="2017-01-19-12:00"/>
        <s v="2017-01-19-13:00"/>
        <s v="2017-01-19-14:00"/>
        <s v="2017-01-19-15:00"/>
        <s v="2017-01-19-16:00"/>
        <s v="2017-01-19-17:00"/>
        <s v="2017-01-19-18:00"/>
        <s v="2017-01-19-19:00"/>
        <s v="2017-01-19-20:00"/>
        <s v="2017-01-19-21:00"/>
        <s v="2017-01-19-22:00"/>
        <s v="2017-01-19-23:00"/>
        <s v="2017-01-20-00:00"/>
        <s v="2017-01-20-01:00"/>
        <s v="2017-01-20-02:00"/>
        <s v="2017-01-20-03:00"/>
        <s v="2017-01-20-04:00"/>
        <s v="2017-01-20-05:00"/>
        <s v="2017-01-20-06:00"/>
        <s v="2017-03-15-01:00"/>
        <s v="2017-03-15-02:00"/>
        <s v="2017-03-15-03:00"/>
        <s v="2017-03-15-04:00"/>
        <s v="2017-03-15-05:00"/>
        <s v="2017-03-15-06:00"/>
        <s v="2017-03-15-07:00"/>
        <s v="2017-03-15-08:00"/>
        <s v="2017-03-15-09:00"/>
        <s v="2017-03-15-10:00"/>
        <s v="2017-03-15-11:00"/>
        <s v="2017-03-15-12:00"/>
        <s v="2017-03-15-13:00"/>
        <s v="2017-03-15-14:00"/>
        <s v="2017-03-15-15:00"/>
        <s v="2017-03-15-16:00"/>
        <s v="2017-03-15-17:00"/>
        <s v="2017-03-15-18:00"/>
        <s v="2017-03-15-19:00"/>
        <s v="2017-03-15-20:00"/>
        <s v="2017-03-15-21:00"/>
        <s v="2017-03-15-22:00"/>
        <s v="2017-03-15-23:00"/>
        <s v="2017-03-16-00:00"/>
        <s v="2017-03-16-01:00"/>
        <s v="2017-03-16-02:00"/>
        <s v="2017-03-16-03:00"/>
        <s v="2017-03-16-04:00"/>
        <s v="2017-03-16-05:00"/>
        <s v="2017-03-16-06:00"/>
        <s v="2017-03-16-07:00"/>
        <s v="2017-03-16-08:00"/>
        <s v="2017-03-16-09:00"/>
        <s v="2017-03-16-10:00"/>
        <s v="2017-03-16-11:00"/>
        <s v="2017-03-16-12:00"/>
        <s v="2017-03-16-13:00"/>
        <s v="2017-03-16-14:00"/>
        <s v="2017-03-16-15:00"/>
        <s v="2017-03-16-16:00"/>
        <s v="2017-03-16-17:00"/>
        <s v="2017-03-16-18:00"/>
        <s v="2017-03-16-19:00"/>
        <s v="2017-03-16-20:00"/>
        <s v="2017-03-16-21:00"/>
        <s v="2017-03-16-22:00"/>
        <s v="2017-03-16-23:00"/>
        <s v="2017-03-17-00:00"/>
        <s v="2017-03-17-01:00"/>
        <s v="2017-03-17-02:00"/>
        <s v="2017-03-17-03:00"/>
        <s v="2017-03-17-04:00"/>
        <s v="2017-03-17-05:00"/>
        <s v="2017-03-17-06:00"/>
        <s v="2017-03-17-07:00"/>
        <s v="2017-03-17-08:00"/>
        <s v="2017-03-17-09:00"/>
        <s v="2017-03-17-10:00"/>
        <s v="2017-03-17-11:00"/>
        <s v="2017-03-17-12:00"/>
        <s v="2017-03-17-13:00"/>
        <s v="2017-05-10-12:00"/>
        <s v="2017-05-10-13:00"/>
        <s v="2017-05-10-14:00"/>
        <s v="2017-05-10-15:00"/>
        <s v="2017-05-10-16:00"/>
        <s v="2017-05-10-17:00"/>
        <s v="2017-05-10-18:00"/>
        <s v="2017-05-10-19:00"/>
        <s v="2017-05-10-20:00"/>
        <s v="2017-05-10-21:00"/>
        <s v="2017-05-10-22:00"/>
        <s v="2017-05-10-23:00"/>
        <s v="2017-05-11-00:00"/>
        <s v="2017-05-11-01:00"/>
        <s v="2017-05-11-02:00"/>
        <s v="2017-05-11-03:00"/>
        <s v="2017-05-11-04:00"/>
        <s v="2017-05-11-05:00"/>
        <s v="2017-05-11-06:00"/>
        <s v="2017-05-11-07:00"/>
        <s v="2017-05-11-08:00"/>
        <s v="2017-05-11-09:00"/>
        <s v="2017-05-11-10:00"/>
        <s v="2017-05-11-11:00"/>
        <s v="2017-05-11-12:00"/>
        <s v="2017-05-11-13:00"/>
        <s v="2017-05-11-14:00"/>
        <s v="2017-05-11-15:00"/>
        <s v="2017-05-11-16:00"/>
        <s v="2017-05-11-17:00"/>
        <s v="2017-05-11-18:00"/>
        <s v="2017-05-11-19:00"/>
        <s v="2017-05-11-20:00"/>
        <s v="2017-05-11-21:00"/>
        <s v="2017-05-11-22:00"/>
        <s v="2017-05-11-23:00"/>
        <s v="2017-05-12-00:00"/>
        <s v="2017-05-12-01:00"/>
        <s v="2017-05-12-02:00"/>
        <s v="2017-05-12-03:00"/>
        <s v="2017-05-12-04:00"/>
        <s v="2017-05-12-05:00"/>
        <s v="2017-05-12-06:00"/>
        <s v="2017-05-12-07:00"/>
        <s v="2017-05-12-08:00"/>
        <s v="2017-05-12-09:00"/>
        <s v="2017-05-12-10:00"/>
        <s v="2017-05-12-11:00"/>
        <s v="2017-05-12-12:00"/>
        <s v="2017-05-12-13:00"/>
        <s v="2017-05-12-14:00"/>
        <s v="2017-05-12-15:00"/>
        <s v="2017-05-12-16:00"/>
        <s v="2017-05-12-17:00"/>
        <s v="2017-05-12-18:00"/>
        <s v="2017-05-12-19:00"/>
        <s v="2017-05-12-20:00"/>
        <s v="2017-05-12-21:00"/>
        <s v="2017-05-12-22:00"/>
        <s v="2017-05-12-23:00"/>
        <s v="2017-05-15-00:00"/>
        <s v="2017-07-05-20:00"/>
        <s v="2017-07-05-21:00"/>
        <s v="2017-07-05-22:00"/>
        <s v="2017-07-05-23:00"/>
        <s v="2017-07-06-00:00"/>
        <s v="2017-07-06-01:00"/>
        <s v="2017-07-06-02:00"/>
        <s v="2017-07-06-03:00"/>
        <s v="2017-07-06-04:00"/>
        <s v="2017-07-06-05:00"/>
        <s v="2017-07-06-06:00"/>
        <s v="2017-07-06-07:00"/>
        <s v="2017-07-06-08:00"/>
        <s v="2017-07-06-09:00"/>
        <s v="2017-07-06-10:00"/>
        <s v="2017-07-06-11:00"/>
        <s v="2017-07-06-12:00"/>
        <s v="2017-07-06-13:00"/>
        <s v="2017-07-06-14:00"/>
        <s v="2017-07-06-15:00"/>
        <s v="2017-07-06-16:00"/>
        <s v="2017-07-06-17:00"/>
        <s v="2017-07-06-18:00"/>
        <s v="2017-07-06-19:00"/>
        <s v="2017-07-06-20:00"/>
        <s v="2017-07-06-21:00"/>
        <s v="2017-07-06-22:00"/>
        <s v="2017-07-06-23:00"/>
        <s v="2017-07-07-00:00"/>
        <s v="2017-07-07-01:00"/>
        <s v="2017-07-07-02:00"/>
        <s v="2017-07-07-03:00"/>
        <s v="2017-07-07-04:00"/>
        <s v="2017-07-07-05:00"/>
        <s v="2017-07-07-06:00"/>
        <s v="2017-07-07-07:00"/>
        <s v="2017-07-07-08:00"/>
        <s v="2017-07-07-09:00"/>
        <s v="2017-07-07-10:00"/>
        <s v="2017-07-07-11:00"/>
        <s v="2017-07-07-12:00"/>
        <s v="2017-07-07-13:00"/>
        <s v="2017-07-07-14:00"/>
        <s v="2017-07-07-15:00"/>
        <s v="2017-07-07-16:00"/>
        <s v="2017-07-07-17:00"/>
        <s v="2017-07-07-18:00"/>
        <s v="2017-07-07-19:00"/>
        <s v="2017-07-07-20:00"/>
        <s v="2017-07-07-21:00"/>
        <s v="2017-07-07-22:00"/>
        <s v="2017-07-07-23:00"/>
        <s v="2017-07-10-00:00"/>
        <s v="2017-07-10-01:00"/>
        <s v="2017-07-10-02:00"/>
        <s v="2017-07-10-03:00"/>
        <s v="2017-07-10-04:00"/>
        <s v="2017-07-10-05:00"/>
        <s v="2017-07-10-06:00"/>
        <s v="2017-07-10-07:00"/>
        <s v="2017-07-10-08:00"/>
        <s v="2017-08-31-02:00"/>
        <s v="2017-08-31-03:00"/>
        <s v="2017-08-31-04:00"/>
        <s v="2017-08-31-05:00"/>
        <s v="2017-08-31-06:00"/>
        <s v="2017-08-31-07:00"/>
        <s v="2017-08-31-08:00"/>
        <s v="2017-08-31-09:00"/>
        <s v="2017-08-31-10:00"/>
        <s v="2017-08-31-11:00"/>
        <s v="2017-08-31-12:00"/>
        <s v="2017-08-31-13:00"/>
        <s v="2017-08-31-14:00"/>
        <s v="2017-08-31-15:00"/>
        <s v="2017-08-31-16:00"/>
        <s v="2017-08-31-17:00"/>
        <s v="2017-08-31-18:00"/>
        <s v="2017-08-31-19:00"/>
        <s v="2017-08-31-20:00"/>
        <s v="2017-08-31-21:00"/>
        <s v="2017-08-31-22:00"/>
        <s v="2017-08-31-23:00"/>
        <s v="2017-09-01-00:00"/>
        <s v="2017-09-01-01:00"/>
        <s v="2017-09-01-02:00"/>
        <s v="2017-09-01-03:00"/>
        <s v="2017-09-01-04:00"/>
        <s v="2017-09-01-05:00"/>
        <s v="2017-09-01-06:00"/>
        <s v="2017-09-01-07:00"/>
        <s v="2017-09-01-08:00"/>
        <s v="2017-09-01-09:00"/>
        <s v="2017-09-01-10:00"/>
        <s v="2017-09-01-11:00"/>
        <s v="2017-09-01-12:00"/>
        <s v="2017-09-01-13:00"/>
        <s v="2017-09-01-14:00"/>
        <s v="2017-09-01-15:00"/>
        <s v="2017-09-01-16:00"/>
        <s v="2017-09-01-17:00"/>
        <s v="2017-09-01-18:00"/>
        <s v="2017-09-01-19:00"/>
        <s v="2017-09-01-20:00"/>
        <s v="2017-09-01-21:00"/>
        <s v="2017-09-01-22:00"/>
        <s v="2017-09-01-23:00"/>
        <s v="2017-09-04-00:00"/>
        <s v="2017-09-04-01:00"/>
        <s v="2017-09-04-02:00"/>
        <s v="2017-09-04-03:00"/>
        <s v="2017-09-04-04:00"/>
        <s v="2017-09-04-05:00"/>
        <s v="2017-09-04-06:00"/>
        <s v="2017-09-04-07:00"/>
        <s v="2017-09-04-08:00"/>
        <s v="2017-09-04-09:00"/>
        <s v="2017-09-04-10:00"/>
        <s v="2017-09-04-11:00"/>
        <s v="2017-09-04-12:00"/>
        <s v="2017-09-04-13:00"/>
        <s v="2017-09-04-14:00"/>
        <s v="2016-04-08-14:00"/>
        <s v="2016-04-08-15:00"/>
        <s v="2016-04-08-16:00"/>
        <s v="2016-04-08-17:00"/>
        <s v="2016-04-08-18:00"/>
        <s v="2016-04-08-19:00"/>
        <s v="2016-04-08-20:00"/>
        <s v="2016-04-08-21:00"/>
        <s v="2016-04-08-22:00"/>
        <s v="2016-04-08-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6-03-20:00"/>
        <s v="2016-06-03-21:00"/>
        <s v="2016-06-03-22:00"/>
        <s v="2016-06-03-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11-21-19:00"/>
        <s v="2016-11-21-20:00"/>
        <s v="2016-11-21-21:00"/>
        <s v="2016-11-21-22:00"/>
        <s v="2016-11-21-23:00"/>
        <s v="2016-11-22-00:00"/>
        <s v="2016-11-22-01:00"/>
        <s v="2016-11-22-02:00"/>
        <s v="2016-11-22-03:00"/>
        <s v="2016-11-22-04:00"/>
        <s v="2016-11-22-05:00"/>
        <s v="2016-11-22-06:00"/>
        <s v="2016-11-22-07:00"/>
        <s v="2016-11-22-08:00"/>
        <s v="2016-11-22-09:00"/>
        <s v="2016-11-22-10:00"/>
        <s v="2016-11-22-11:00"/>
        <s v="2016-11-22-12:00"/>
        <s v="2016-11-22-13:00"/>
        <s v="2016-11-22-14:00"/>
        <s v="2016-11-22-15:00"/>
        <s v="2016-11-22-16:00"/>
        <s v="2016-11-22-17:00"/>
        <s v="2016-11-22-18:00"/>
        <s v="2016-11-22-19:00"/>
        <s v="2016-11-22-20:00"/>
        <s v="2016-11-22-21:00"/>
        <s v="2016-11-22-22:00"/>
        <s v="2016-11-22-23:00"/>
        <s v="2016-11-23-00:00"/>
        <s v="2016-11-23-01:00"/>
        <s v="2016-11-23-02:00"/>
        <s v="2016-11-23-03:00"/>
        <s v="2016-11-23-04:00"/>
        <s v="2016-11-23-05:00"/>
        <s v="2016-11-23-06:00"/>
        <s v="2016-11-23-07:00"/>
        <s v="2016-11-23-08:00"/>
        <s v="2016-11-23-09:00"/>
        <s v="2016-11-23-10:00"/>
        <s v="2016-11-23-11:00"/>
        <s v="2016-11-23-12:00"/>
        <s v="2016-11-23-13:00"/>
        <s v="2016-11-23-14:00"/>
        <s v="2016-11-23-15:00"/>
        <s v="2016-11-23-16:00"/>
        <s v="2016-11-23-17:00"/>
        <s v="2016-11-23-18:00"/>
        <s v="2016-11-23-19:00"/>
        <s v="2016-11-23-20:00"/>
        <s v="2016-11-23-21:00"/>
        <s v="2016-11-23-22:00"/>
        <s v="2016-11-23-23:00"/>
        <s v="2016-11-24-00:00"/>
        <s v="2016-11-24-01:00"/>
        <s v="2016-11-24-02:00"/>
        <s v="2016-11-24-03:00"/>
        <s v="2016-11-24-04:00"/>
        <s v="2016-11-24-05:00"/>
        <s v="2016-11-24-06:00"/>
        <s v="2018-08-31-02:00"/>
        <s v="2016-08-07-17:00" u="1"/>
        <s v="2017-05-07-17:00" u="1"/>
        <s v="2016-03-06-21:00" u="1"/>
        <s v="2016-06-26-20:00" u="1"/>
        <s v="2016-12-04-23:00" u="1"/>
        <s v="2017-02-26-20:00" u="1"/>
        <s v="2017-03-26-20:00" u="1"/>
        <s v="2017-08-06-21:00" u="1"/>
        <s v="2016-11-20-20:00" u="1"/>
        <s v="9018-06-28-04:00" u="1"/>
        <s v="2016-10-16-20:00" u="1"/>
        <s v="9018-07-25-08:00" u="1"/>
        <s v="2016-05-15-22:00" u="1"/>
        <s v="2017-01-15-22:00" u="1"/>
        <s v="9018-06-28-14:00" u="1"/>
        <s v="2016-09-11-20:00" u="1"/>
        <s v="9018-07-25-18:00" u="1"/>
        <s v="2017-06-11-20:00" u="1"/>
        <s v="9018-07-24-12:00" u="1"/>
        <s v="2016-11-06-18:00" u="1"/>
        <s v="2016-08-07-20:00" u="1"/>
        <s v="2016-12-25-21:00" u="1"/>
        <s v="2017-05-07-20:00" u="1"/>
        <s v="2016-04-24-23:00" u="1"/>
        <s v="2016-07-24-23:00" u="1"/>
        <s v="2017-09-24-23:00" u="1"/>
        <s v="2016-03-20-21:00" u="1"/>
        <s v="2017-10-01-20:00" u="1"/>
        <s v="2017-08-20-21:00" u="1"/>
        <s v="2016-04-17-17:00" u="1"/>
        <s v="2016-07-17-17:00" u="1"/>
        <s v="2017-09-17-17:00" u="1"/>
        <s v="9018-06-26-07:00" u="1"/>
        <s v="9018-07-26-07:00" u="1"/>
        <s v="2017-04-16-21:00" u="1"/>
        <s v="2017-07-16-21:00" u="1"/>
        <s v="9018-07-02-06:00" u="1"/>
        <s v="9018-06-29-13:00" u="1"/>
        <s v="2016-10-30-20:00" u="1"/>
        <s v="9018-06-26-17:00" u="1"/>
        <s v="9018-07-26-17:00" u="1"/>
        <s v="9018-07-25-11:00" u="1"/>
        <s v="9018-06-29-23:00" u="1"/>
        <s v="9018-07-25-21:00" u="1"/>
        <s v="2016-12-26-00:00" u="1"/>
        <s v="2017-01-02-07:00" u="1"/>
        <s v="2017-04-02-17:00" u="1"/>
        <s v="2017-07-02-17:00" u="1"/>
        <s v="2016-11-06-21:00" u="1"/>
        <s v="2016-06-05-23:00" u="1"/>
        <s v="2016-09-25-22:00" u="1"/>
        <s v="2017-02-05-23:00" u="1"/>
        <s v="2017-03-05-23:00" u="1"/>
        <s v="2017-06-25-22:00" u="1"/>
        <s v="2016-05-01-21:00" u="1"/>
        <s v="2016-08-21-20:00" u="1"/>
        <s v="2017-05-21-20:00" u="1"/>
        <s v="2018-07-30-01:00" u="1"/>
        <s v="9018-06-27-06:00" u="1"/>
        <s v="9018-07-27-06:00" u="1"/>
        <s v="9018-06-27-16:00" u="1"/>
        <s v="9018-07-27-16:00" u="1"/>
        <s v="9018-06-26-20:00" u="1"/>
        <s v="9018-07-26-20:00" u="1"/>
        <s v="9999-99-99-99:01" u="1"/>
        <s v="9999-99-99-99:02" u="1"/>
        <s v="9018-06-28-05:00" u="1"/>
        <s v="9018-07-25-09:00" u="1"/>
        <s v="9018-07-24-03:00" u="1"/>
        <s v="9018-06-28-15:00" u="1"/>
        <s v="9018-07-25-19:00" u="1"/>
        <s v="9018-07-24-13:00" u="1"/>
        <s v="9018-07-24-23:00" u="1"/>
        <s v="9018-06-26-08:00" u="1"/>
        <s v="9018-07-26-08:00" u="1"/>
        <s v="9018-06-29-14:00" u="1"/>
        <s v="9018-06-26-18:00" u="1"/>
        <s v="9018-07-26-18:00" u="1"/>
        <s v="9018-07-25-12:00" u="1"/>
        <s v="9018-07-25-22:00" u="1"/>
        <s v="9018-07-30-01:00" u="1"/>
        <s v="9018-06-27-07:00" u="1"/>
        <s v="9018-07-27-07:00" u="1"/>
        <s v="9018-06-27-17:00" u="1"/>
        <s v="9018-07-27-17:00" u="1"/>
        <s v="9018-06-26-11:00" u="1"/>
        <s v="9018-07-26-11:00" u="1"/>
        <s v="9018-06-26-21:00" u="1"/>
        <s v="9018-07-26-21:00" u="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3" count="4">
        <n v="0"/>
        <n v="1"/>
        <n v="2" u="1"/>
        <n v="3" u="1"/>
      </sharedItems>
    </cacheField>
    <cacheField name="WTLEVEL" numFmtId="0" sqlType="6">
      <sharedItems containsSemiMixedTypes="0" containsString="0" containsNumber="1" containsInteger="1" minValue="0" maxValue="0" count="1">
        <n v="0"/>
      </sharedItems>
    </cacheField>
    <cacheField name="ACTUALTRS" numFmtId="0" sqlType="6">
      <sharedItems containsSemiMixedTypes="0" containsString="0" containsNumber="1" minValue="-1.00000011920929" maxValue="1"/>
    </cacheField>
    <cacheField name="PREDICTEDTRS" numFmtId="0" sqlType="6">
      <sharedItems containsString="0" containsBlank="1" containsNumber="1" minValue="-0.85158646106720004" maxValue="0.83642220497131303"/>
    </cacheField>
    <cacheField name="ABS(ACTUALTRS-PREDICTEDTRS)" numFmtId="0" sqlType="6">
      <sharedItems containsString="0" containsBlank="1" containsNumber="1" minValue="2.9802322000000001E-8" maxValue="1.0317943729460239"/>
    </cacheField>
    <cacheField name="ACTUALTR" numFmtId="0" sqlType="6">
      <sharedItems containsSemiMixedTypes="0" containsString="0" containsNumber="1" minValue="-2.0570039749145501E-2" maxValue="1.8980026245117201E-2"/>
    </cacheField>
    <cacheField name="PREDICTEDTR" numFmtId="0" sqlType="6">
      <sharedItems containsString="0" containsBlank="1" containsNumber="1" minValue="-1.5866138041019402E-2" maxValue="1.46514000371099E-2"/>
    </cacheField>
    <cacheField name="ABS(ACTUALTR-PREDICTEDTR)" numFmtId="0" sqlType="6">
      <sharedItems containsString="0" containsBlank="1" containsNumber="1" minValue="2.76486389E-10" maxValue="9.4047859311103699E-3"/>
    </cacheField>
    <cacheField name="ACTUALBASE" numFmtId="0" sqlType="6">
      <sharedItems containsSemiMixedTypes="0" containsString="0" containsNumber="1" minValue="1.0339499711990401" maxValue="1.255499958992"/>
    </cacheField>
    <cacheField name="PREDICTEDBASE" numFmtId="0" sqlType="6">
      <sharedItems containsString="0" containsBlank="1" containsNumber="1" minValue="1.03369200229645" maxValue="1.25551509857178"/>
    </cacheField>
    <cacheField name="ABS(ACTUALBASE-PREDICTEDBASE)" numFmtId="0" sqlType="6">
      <sharedItems containsString="0" containsBlank="1" containsNumber="1" minValue="0" maxValue="9.4047784805300003E-3"/>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Cache/pivotCacheRecords4.xml><?xml version="1.0" encoding="utf-8"?>
<pivotCacheRecords xmlns="http://schemas.openxmlformats.org/spreadsheetml/2006/main" xmlns:r="http://schemas.openxmlformats.org/officeDocument/2006/relationships" count="32">
  <r>
    <x v="0"/>
    <x v="0"/>
    <x v="0"/>
    <x v="0"/>
    <x v="0"/>
    <x v="0"/>
    <x v="0"/>
    <x v="0"/>
    <x v="0"/>
    <x v="0"/>
    <x v="0"/>
    <x v="0"/>
    <x v="0"/>
    <x v="0"/>
    <x v="0"/>
    <x v="0"/>
    <x v="0"/>
    <x v="0"/>
    <x v="0"/>
    <x v="0"/>
    <x v="0"/>
    <x v="0"/>
    <x v="0"/>
    <x v="0"/>
    <x v="0"/>
    <n v="1.3954777977925772E-3"/>
    <n v="0.13208522069601519"/>
  </r>
  <r>
    <x v="0"/>
    <x v="0"/>
    <x v="0"/>
    <x v="0"/>
    <x v="0"/>
    <x v="0"/>
    <x v="0"/>
    <x v="0"/>
    <x v="0"/>
    <x v="0"/>
    <x v="0"/>
    <x v="0"/>
    <x v="0"/>
    <x v="0"/>
    <x v="0"/>
    <x v="0"/>
    <x v="0"/>
    <x v="0"/>
    <x v="0"/>
    <x v="0"/>
    <x v="0"/>
    <x v="1"/>
    <x v="0"/>
    <x v="0"/>
    <x v="0"/>
    <n v="1.1933573705993716E-3"/>
    <n v="0.109936051210239"/>
  </r>
  <r>
    <x v="0"/>
    <x v="0"/>
    <x v="0"/>
    <x v="0"/>
    <x v="0"/>
    <x v="0"/>
    <x v="0"/>
    <x v="0"/>
    <x v="0"/>
    <x v="0"/>
    <x v="0"/>
    <x v="0"/>
    <x v="0"/>
    <x v="0"/>
    <x v="0"/>
    <x v="0"/>
    <x v="0"/>
    <x v="0"/>
    <x v="0"/>
    <x v="0"/>
    <x v="0"/>
    <x v="2"/>
    <x v="0"/>
    <x v="0"/>
    <x v="0"/>
    <n v="1.2605685586672983E-3"/>
    <n v="0.1194289917741813"/>
  </r>
  <r>
    <x v="0"/>
    <x v="0"/>
    <x v="0"/>
    <x v="0"/>
    <x v="0"/>
    <x v="0"/>
    <x v="0"/>
    <x v="0"/>
    <x v="0"/>
    <x v="0"/>
    <x v="0"/>
    <x v="0"/>
    <x v="0"/>
    <x v="0"/>
    <x v="0"/>
    <x v="0"/>
    <x v="0"/>
    <x v="0"/>
    <x v="0"/>
    <x v="0"/>
    <x v="0"/>
    <x v="3"/>
    <x v="0"/>
    <x v="0"/>
    <x v="0"/>
    <n v="7.9533224458049978E-4"/>
    <n v="7.4678781277371861E-2"/>
  </r>
  <r>
    <x v="1"/>
    <x v="0"/>
    <x v="0"/>
    <x v="0"/>
    <x v="0"/>
    <x v="0"/>
    <x v="0"/>
    <x v="0"/>
    <x v="0"/>
    <x v="0"/>
    <x v="0"/>
    <x v="0"/>
    <x v="0"/>
    <x v="0"/>
    <x v="0"/>
    <x v="1"/>
    <x v="0"/>
    <x v="1"/>
    <x v="1"/>
    <x v="1"/>
    <x v="1"/>
    <x v="0"/>
    <x v="0"/>
    <x v="0"/>
    <x v="1"/>
    <n v="8.3093107679864712E-4"/>
    <n v="7.8649608613321265E-2"/>
  </r>
  <r>
    <x v="1"/>
    <x v="0"/>
    <x v="0"/>
    <x v="0"/>
    <x v="0"/>
    <x v="0"/>
    <x v="0"/>
    <x v="0"/>
    <x v="0"/>
    <x v="0"/>
    <x v="0"/>
    <x v="0"/>
    <x v="0"/>
    <x v="0"/>
    <x v="0"/>
    <x v="1"/>
    <x v="0"/>
    <x v="1"/>
    <x v="1"/>
    <x v="1"/>
    <x v="1"/>
    <x v="1"/>
    <x v="0"/>
    <x v="0"/>
    <x v="1"/>
    <n v="7.1145254940642108E-4"/>
    <n v="6.5541288149263632E-2"/>
  </r>
  <r>
    <x v="1"/>
    <x v="0"/>
    <x v="0"/>
    <x v="0"/>
    <x v="0"/>
    <x v="0"/>
    <x v="0"/>
    <x v="0"/>
    <x v="0"/>
    <x v="0"/>
    <x v="0"/>
    <x v="0"/>
    <x v="0"/>
    <x v="0"/>
    <x v="0"/>
    <x v="1"/>
    <x v="0"/>
    <x v="1"/>
    <x v="1"/>
    <x v="1"/>
    <x v="1"/>
    <x v="2"/>
    <x v="0"/>
    <x v="0"/>
    <x v="1"/>
    <n v="7.1280945835706347E-4"/>
    <n v="6.7533094247614098E-2"/>
  </r>
  <r>
    <x v="1"/>
    <x v="0"/>
    <x v="0"/>
    <x v="0"/>
    <x v="0"/>
    <x v="0"/>
    <x v="0"/>
    <x v="0"/>
    <x v="0"/>
    <x v="0"/>
    <x v="0"/>
    <x v="0"/>
    <x v="0"/>
    <x v="0"/>
    <x v="0"/>
    <x v="1"/>
    <x v="0"/>
    <x v="1"/>
    <x v="1"/>
    <x v="1"/>
    <x v="1"/>
    <x v="3"/>
    <x v="0"/>
    <x v="0"/>
    <x v="1"/>
    <n v="7.6457352008464869E-4"/>
    <n v="7.1790676057003733E-2"/>
  </r>
  <r>
    <x v="2"/>
    <x v="0"/>
    <x v="0"/>
    <x v="0"/>
    <x v="0"/>
    <x v="0"/>
    <x v="0"/>
    <x v="0"/>
    <x v="0"/>
    <x v="0"/>
    <x v="0"/>
    <x v="0"/>
    <x v="0"/>
    <x v="0"/>
    <x v="0"/>
    <x v="2"/>
    <x v="0"/>
    <x v="2"/>
    <x v="2"/>
    <x v="2"/>
    <x v="2"/>
    <x v="0"/>
    <x v="0"/>
    <x v="0"/>
    <x v="2"/>
    <n v="1.1427611627046789E-3"/>
    <n v="0.10816500218529193"/>
  </r>
  <r>
    <x v="2"/>
    <x v="0"/>
    <x v="0"/>
    <x v="0"/>
    <x v="0"/>
    <x v="0"/>
    <x v="0"/>
    <x v="0"/>
    <x v="0"/>
    <x v="0"/>
    <x v="0"/>
    <x v="0"/>
    <x v="0"/>
    <x v="0"/>
    <x v="0"/>
    <x v="2"/>
    <x v="0"/>
    <x v="2"/>
    <x v="2"/>
    <x v="2"/>
    <x v="2"/>
    <x v="1"/>
    <x v="0"/>
    <x v="0"/>
    <x v="2"/>
    <n v="8.3690862586726614E-4"/>
    <n v="7.7098833565368036E-2"/>
  </r>
  <r>
    <x v="2"/>
    <x v="0"/>
    <x v="0"/>
    <x v="0"/>
    <x v="0"/>
    <x v="0"/>
    <x v="0"/>
    <x v="0"/>
    <x v="0"/>
    <x v="0"/>
    <x v="0"/>
    <x v="0"/>
    <x v="0"/>
    <x v="0"/>
    <x v="0"/>
    <x v="2"/>
    <x v="0"/>
    <x v="2"/>
    <x v="2"/>
    <x v="2"/>
    <x v="2"/>
    <x v="2"/>
    <x v="0"/>
    <x v="0"/>
    <x v="2"/>
    <n v="8.2948044187718985E-4"/>
    <n v="7.8586676100761352E-2"/>
  </r>
  <r>
    <x v="2"/>
    <x v="0"/>
    <x v="0"/>
    <x v="0"/>
    <x v="0"/>
    <x v="0"/>
    <x v="0"/>
    <x v="0"/>
    <x v="0"/>
    <x v="0"/>
    <x v="0"/>
    <x v="0"/>
    <x v="0"/>
    <x v="0"/>
    <x v="0"/>
    <x v="2"/>
    <x v="0"/>
    <x v="2"/>
    <x v="2"/>
    <x v="2"/>
    <x v="2"/>
    <x v="3"/>
    <x v="0"/>
    <x v="0"/>
    <x v="2"/>
    <n v="7.650642115541108E-4"/>
    <n v="7.1836721792141164E-2"/>
  </r>
  <r>
    <x v="3"/>
    <x v="0"/>
    <x v="0"/>
    <x v="0"/>
    <x v="0"/>
    <x v="0"/>
    <x v="0"/>
    <x v="0"/>
    <x v="0"/>
    <x v="0"/>
    <x v="0"/>
    <x v="0"/>
    <x v="1"/>
    <x v="0"/>
    <x v="0"/>
    <x v="0"/>
    <x v="0"/>
    <x v="3"/>
    <x v="3"/>
    <x v="3"/>
    <x v="3"/>
    <x v="0"/>
    <x v="0"/>
    <x v="0"/>
    <x v="3"/>
    <n v="6.9653399255762747E-5"/>
    <n v="6.5928553528641666E-3"/>
  </r>
  <r>
    <x v="3"/>
    <x v="0"/>
    <x v="0"/>
    <x v="0"/>
    <x v="0"/>
    <x v="0"/>
    <x v="0"/>
    <x v="0"/>
    <x v="0"/>
    <x v="0"/>
    <x v="0"/>
    <x v="0"/>
    <x v="1"/>
    <x v="0"/>
    <x v="0"/>
    <x v="0"/>
    <x v="0"/>
    <x v="3"/>
    <x v="3"/>
    <x v="3"/>
    <x v="3"/>
    <x v="1"/>
    <x v="0"/>
    <x v="0"/>
    <x v="3"/>
    <n v="5.4236070452233444E-4"/>
    <n v="4.9964048182150618E-2"/>
  </r>
  <r>
    <x v="3"/>
    <x v="0"/>
    <x v="0"/>
    <x v="0"/>
    <x v="0"/>
    <x v="0"/>
    <x v="0"/>
    <x v="0"/>
    <x v="0"/>
    <x v="0"/>
    <x v="0"/>
    <x v="0"/>
    <x v="1"/>
    <x v="0"/>
    <x v="0"/>
    <x v="0"/>
    <x v="0"/>
    <x v="3"/>
    <x v="3"/>
    <x v="3"/>
    <x v="3"/>
    <x v="2"/>
    <x v="0"/>
    <x v="0"/>
    <x v="3"/>
    <n v="6.0876319801789842E-4"/>
    <n v="5.7675539321497542E-2"/>
  </r>
  <r>
    <x v="3"/>
    <x v="0"/>
    <x v="0"/>
    <x v="0"/>
    <x v="0"/>
    <x v="0"/>
    <x v="0"/>
    <x v="0"/>
    <x v="0"/>
    <x v="0"/>
    <x v="0"/>
    <x v="0"/>
    <x v="1"/>
    <x v="0"/>
    <x v="0"/>
    <x v="0"/>
    <x v="0"/>
    <x v="3"/>
    <x v="3"/>
    <x v="3"/>
    <x v="3"/>
    <x v="3"/>
    <x v="0"/>
    <x v="0"/>
    <x v="3"/>
    <n v="7.8140552720604975E-4"/>
    <n v="7.3371118291261361E-2"/>
  </r>
  <r>
    <x v="4"/>
    <x v="0"/>
    <x v="0"/>
    <x v="0"/>
    <x v="0"/>
    <x v="0"/>
    <x v="0"/>
    <x v="0"/>
    <x v="0"/>
    <x v="0"/>
    <x v="0"/>
    <x v="0"/>
    <x v="1"/>
    <x v="0"/>
    <x v="0"/>
    <x v="2"/>
    <x v="0"/>
    <x v="4"/>
    <x v="4"/>
    <x v="4"/>
    <x v="4"/>
    <x v="0"/>
    <x v="0"/>
    <x v="0"/>
    <x v="4"/>
    <n v="7.4231351824154962E-5"/>
    <n v="7.0260857871276197E-3"/>
  </r>
  <r>
    <x v="4"/>
    <x v="0"/>
    <x v="0"/>
    <x v="0"/>
    <x v="0"/>
    <x v="0"/>
    <x v="0"/>
    <x v="0"/>
    <x v="0"/>
    <x v="0"/>
    <x v="0"/>
    <x v="0"/>
    <x v="1"/>
    <x v="0"/>
    <x v="0"/>
    <x v="2"/>
    <x v="0"/>
    <x v="4"/>
    <x v="4"/>
    <x v="4"/>
    <x v="4"/>
    <x v="1"/>
    <x v="0"/>
    <x v="0"/>
    <x v="4"/>
    <n v="5.4839582435581898E-4"/>
    <n v="5.0520015922806846E-2"/>
  </r>
  <r>
    <x v="4"/>
    <x v="0"/>
    <x v="0"/>
    <x v="0"/>
    <x v="0"/>
    <x v="0"/>
    <x v="0"/>
    <x v="0"/>
    <x v="0"/>
    <x v="0"/>
    <x v="0"/>
    <x v="0"/>
    <x v="1"/>
    <x v="0"/>
    <x v="0"/>
    <x v="2"/>
    <x v="0"/>
    <x v="4"/>
    <x v="4"/>
    <x v="4"/>
    <x v="4"/>
    <x v="2"/>
    <x v="0"/>
    <x v="0"/>
    <x v="4"/>
    <n v="5.8057785799884589E-4"/>
    <n v="5.5005236952052006E-2"/>
  </r>
  <r>
    <x v="4"/>
    <x v="0"/>
    <x v="0"/>
    <x v="0"/>
    <x v="0"/>
    <x v="0"/>
    <x v="0"/>
    <x v="0"/>
    <x v="0"/>
    <x v="0"/>
    <x v="0"/>
    <x v="0"/>
    <x v="1"/>
    <x v="0"/>
    <x v="0"/>
    <x v="2"/>
    <x v="0"/>
    <x v="4"/>
    <x v="4"/>
    <x v="4"/>
    <x v="4"/>
    <x v="3"/>
    <x v="0"/>
    <x v="0"/>
    <x v="4"/>
    <n v="7.6441432710926734E-4"/>
    <n v="7.1775741133403709E-2"/>
  </r>
  <r>
    <x v="5"/>
    <x v="0"/>
    <x v="0"/>
    <x v="0"/>
    <x v="0"/>
    <x v="0"/>
    <x v="0"/>
    <x v="0"/>
    <x v="0"/>
    <x v="0"/>
    <x v="0"/>
    <x v="0"/>
    <x v="1"/>
    <x v="0"/>
    <x v="0"/>
    <x v="3"/>
    <x v="0"/>
    <x v="5"/>
    <x v="5"/>
    <x v="5"/>
    <x v="5"/>
    <x v="0"/>
    <x v="0"/>
    <x v="0"/>
    <x v="5"/>
    <n v="7.1682230337982733E-5"/>
    <n v="6.7849238824919181E-3"/>
  </r>
  <r>
    <x v="5"/>
    <x v="0"/>
    <x v="0"/>
    <x v="0"/>
    <x v="0"/>
    <x v="0"/>
    <x v="0"/>
    <x v="0"/>
    <x v="0"/>
    <x v="0"/>
    <x v="0"/>
    <x v="0"/>
    <x v="1"/>
    <x v="0"/>
    <x v="0"/>
    <x v="3"/>
    <x v="0"/>
    <x v="5"/>
    <x v="5"/>
    <x v="5"/>
    <x v="5"/>
    <x v="1"/>
    <x v="0"/>
    <x v="0"/>
    <x v="5"/>
    <n v="5.4651223622562627E-4"/>
    <n v="5.0346520506720414E-2"/>
  </r>
  <r>
    <x v="5"/>
    <x v="0"/>
    <x v="0"/>
    <x v="0"/>
    <x v="0"/>
    <x v="0"/>
    <x v="0"/>
    <x v="0"/>
    <x v="0"/>
    <x v="0"/>
    <x v="0"/>
    <x v="0"/>
    <x v="1"/>
    <x v="0"/>
    <x v="0"/>
    <x v="3"/>
    <x v="0"/>
    <x v="5"/>
    <x v="5"/>
    <x v="5"/>
    <x v="5"/>
    <x v="2"/>
    <x v="0"/>
    <x v="0"/>
    <x v="5"/>
    <n v="5.8784591582154559E-4"/>
    <n v="5.5693647377447218E-2"/>
  </r>
  <r>
    <x v="5"/>
    <x v="0"/>
    <x v="0"/>
    <x v="0"/>
    <x v="0"/>
    <x v="0"/>
    <x v="0"/>
    <x v="0"/>
    <x v="0"/>
    <x v="0"/>
    <x v="0"/>
    <x v="0"/>
    <x v="1"/>
    <x v="0"/>
    <x v="0"/>
    <x v="3"/>
    <x v="0"/>
    <x v="5"/>
    <x v="5"/>
    <x v="5"/>
    <x v="5"/>
    <x v="3"/>
    <x v="0"/>
    <x v="0"/>
    <x v="5"/>
    <n v="7.6736508005352273E-4"/>
    <n v="7.2052779629533437E-2"/>
  </r>
  <r>
    <x v="6"/>
    <x v="0"/>
    <x v="0"/>
    <x v="0"/>
    <x v="0"/>
    <x v="0"/>
    <x v="0"/>
    <x v="0"/>
    <x v="0"/>
    <x v="0"/>
    <x v="0"/>
    <x v="0"/>
    <x v="0"/>
    <x v="0"/>
    <x v="0"/>
    <x v="3"/>
    <x v="0"/>
    <x v="6"/>
    <x v="6"/>
    <x v="6"/>
    <x v="6"/>
    <x v="0"/>
    <x v="0"/>
    <x v="0"/>
    <x v="6"/>
    <n v="1.0319154265413287E-3"/>
    <n v="9.7673239347324262E-2"/>
  </r>
  <r>
    <x v="6"/>
    <x v="0"/>
    <x v="0"/>
    <x v="0"/>
    <x v="0"/>
    <x v="0"/>
    <x v="0"/>
    <x v="0"/>
    <x v="0"/>
    <x v="0"/>
    <x v="0"/>
    <x v="0"/>
    <x v="0"/>
    <x v="0"/>
    <x v="0"/>
    <x v="3"/>
    <x v="0"/>
    <x v="6"/>
    <x v="6"/>
    <x v="6"/>
    <x v="6"/>
    <x v="1"/>
    <x v="0"/>
    <x v="0"/>
    <x v="6"/>
    <n v="8.6763490399699916E-4"/>
    <n v="7.9929336564902684E-2"/>
  </r>
  <r>
    <x v="6"/>
    <x v="0"/>
    <x v="0"/>
    <x v="0"/>
    <x v="0"/>
    <x v="0"/>
    <x v="0"/>
    <x v="0"/>
    <x v="0"/>
    <x v="0"/>
    <x v="0"/>
    <x v="0"/>
    <x v="0"/>
    <x v="0"/>
    <x v="0"/>
    <x v="3"/>
    <x v="0"/>
    <x v="6"/>
    <x v="6"/>
    <x v="6"/>
    <x v="6"/>
    <x v="2"/>
    <x v="0"/>
    <x v="0"/>
    <x v="6"/>
    <n v="8.5454798759306103E-4"/>
    <n v="8.096162523431813E-2"/>
  </r>
  <r>
    <x v="6"/>
    <x v="0"/>
    <x v="0"/>
    <x v="0"/>
    <x v="0"/>
    <x v="0"/>
    <x v="0"/>
    <x v="0"/>
    <x v="0"/>
    <x v="0"/>
    <x v="0"/>
    <x v="0"/>
    <x v="0"/>
    <x v="0"/>
    <x v="0"/>
    <x v="3"/>
    <x v="0"/>
    <x v="6"/>
    <x v="6"/>
    <x v="6"/>
    <x v="6"/>
    <x v="3"/>
    <x v="0"/>
    <x v="0"/>
    <x v="6"/>
    <n v="7.6937754438475506E-4"/>
    <n v="7.2241793375795796E-2"/>
  </r>
  <r>
    <x v="7"/>
    <x v="0"/>
    <x v="0"/>
    <x v="0"/>
    <x v="0"/>
    <x v="0"/>
    <x v="0"/>
    <x v="0"/>
    <x v="0"/>
    <x v="0"/>
    <x v="0"/>
    <x v="0"/>
    <x v="1"/>
    <x v="0"/>
    <x v="0"/>
    <x v="1"/>
    <x v="0"/>
    <x v="7"/>
    <x v="7"/>
    <x v="7"/>
    <x v="7"/>
    <x v="0"/>
    <x v="0"/>
    <x v="0"/>
    <x v="7"/>
    <n v="8.1287670786433163E-5"/>
    <n v="7.6940509700669669E-3"/>
  </r>
  <r>
    <x v="7"/>
    <x v="0"/>
    <x v="0"/>
    <x v="0"/>
    <x v="0"/>
    <x v="0"/>
    <x v="0"/>
    <x v="0"/>
    <x v="0"/>
    <x v="0"/>
    <x v="0"/>
    <x v="0"/>
    <x v="1"/>
    <x v="0"/>
    <x v="0"/>
    <x v="1"/>
    <x v="0"/>
    <x v="7"/>
    <x v="7"/>
    <x v="7"/>
    <x v="7"/>
    <x v="1"/>
    <x v="0"/>
    <x v="0"/>
    <x v="7"/>
    <n v="5.5296121472474507E-4"/>
    <n v="5.094062557845145E-2"/>
  </r>
  <r>
    <x v="7"/>
    <x v="0"/>
    <x v="0"/>
    <x v="0"/>
    <x v="0"/>
    <x v="0"/>
    <x v="0"/>
    <x v="0"/>
    <x v="0"/>
    <x v="0"/>
    <x v="0"/>
    <x v="0"/>
    <x v="1"/>
    <x v="0"/>
    <x v="0"/>
    <x v="1"/>
    <x v="0"/>
    <x v="7"/>
    <x v="7"/>
    <x v="7"/>
    <x v="7"/>
    <x v="2"/>
    <x v="0"/>
    <x v="0"/>
    <x v="7"/>
    <n v="5.7930484061166599E-4"/>
    <n v="5.4884552515670065E-2"/>
  </r>
  <r>
    <x v="7"/>
    <x v="0"/>
    <x v="0"/>
    <x v="0"/>
    <x v="0"/>
    <x v="0"/>
    <x v="0"/>
    <x v="0"/>
    <x v="0"/>
    <x v="0"/>
    <x v="0"/>
    <x v="0"/>
    <x v="1"/>
    <x v="0"/>
    <x v="0"/>
    <x v="1"/>
    <x v="0"/>
    <x v="7"/>
    <x v="7"/>
    <x v="7"/>
    <x v="7"/>
    <x v="3"/>
    <x v="0"/>
    <x v="0"/>
    <x v="7"/>
    <n v="7.6362475100806701E-4"/>
    <n v="7.1701623023824504E-2"/>
  </r>
</pivotCacheRecords>
</file>

<file path=xl/pivotCache/pivotCacheRecords5.xml><?xml version="1.0" encoding="utf-8"?>
<pivotCacheRecords xmlns="http://schemas.openxmlformats.org/spreadsheetml/2006/main" xmlns:r="http://schemas.openxmlformats.org/officeDocument/2006/relationships" count="43">
  <r>
    <x v="0"/>
    <x v="0"/>
    <x v="0"/>
    <x v="0"/>
    <x v="0"/>
    <x v="0"/>
    <x v="0"/>
    <x v="0"/>
    <x v="0"/>
    <x v="0"/>
    <x v="0"/>
    <x v="0"/>
    <x v="0"/>
    <x v="0"/>
  </r>
  <r>
    <x v="1"/>
    <x v="0"/>
    <x v="0"/>
    <x v="0"/>
    <x v="0"/>
    <x v="1"/>
    <x v="0"/>
    <x v="0"/>
    <x v="0"/>
    <x v="0"/>
    <x v="0"/>
    <x v="0"/>
    <x v="0"/>
    <x v="0"/>
  </r>
  <r>
    <x v="2"/>
    <x v="0"/>
    <x v="0"/>
    <x v="0"/>
    <x v="0"/>
    <x v="1"/>
    <x v="0"/>
    <x v="0"/>
    <x v="0"/>
    <x v="0"/>
    <x v="0"/>
    <x v="0"/>
    <x v="0"/>
    <x v="0"/>
  </r>
  <r>
    <x v="3"/>
    <x v="0"/>
    <x v="0"/>
    <x v="1"/>
    <x v="0"/>
    <x v="1"/>
    <x v="0"/>
    <x v="0"/>
    <x v="0"/>
    <x v="0"/>
    <x v="0"/>
    <x v="0"/>
    <x v="0"/>
    <x v="0"/>
  </r>
  <r>
    <x v="4"/>
    <x v="0"/>
    <x v="0"/>
    <x v="0"/>
    <x v="0"/>
    <x v="1"/>
    <x v="0"/>
    <x v="0"/>
    <x v="0"/>
    <x v="0"/>
    <x v="0"/>
    <x v="0"/>
    <x v="0"/>
    <x v="0"/>
  </r>
  <r>
    <x v="5"/>
    <x v="0"/>
    <x v="1"/>
    <x v="1"/>
    <x v="0"/>
    <x v="1"/>
    <x v="0"/>
    <x v="0"/>
    <x v="0"/>
    <x v="0"/>
    <x v="0"/>
    <x v="0"/>
    <x v="0"/>
    <x v="0"/>
  </r>
  <r>
    <x v="6"/>
    <x v="0"/>
    <x v="1"/>
    <x v="1"/>
    <x v="0"/>
    <x v="1"/>
    <x v="0"/>
    <x v="0"/>
    <x v="0"/>
    <x v="0"/>
    <x v="0"/>
    <x v="0"/>
    <x v="0"/>
    <x v="0"/>
  </r>
  <r>
    <x v="7"/>
    <x v="0"/>
    <x v="1"/>
    <x v="1"/>
    <x v="0"/>
    <x v="1"/>
    <x v="0"/>
    <x v="0"/>
    <x v="0"/>
    <x v="0"/>
    <x v="0"/>
    <x v="0"/>
    <x v="0"/>
    <x v="0"/>
  </r>
  <r>
    <x v="8"/>
    <x v="0"/>
    <x v="1"/>
    <x v="1"/>
    <x v="0"/>
    <x v="1"/>
    <x v="0"/>
    <x v="0"/>
    <x v="0"/>
    <x v="0"/>
    <x v="0"/>
    <x v="0"/>
    <x v="0"/>
    <x v="0"/>
  </r>
  <r>
    <x v="9"/>
    <x v="0"/>
    <x v="2"/>
    <x v="2"/>
    <x v="0"/>
    <x v="2"/>
    <x v="0"/>
    <x v="0"/>
    <x v="0"/>
    <x v="0"/>
    <x v="0"/>
    <x v="0"/>
    <x v="0"/>
    <x v="0"/>
  </r>
  <r>
    <x v="10"/>
    <x v="0"/>
    <x v="2"/>
    <x v="0"/>
    <x v="0"/>
    <x v="3"/>
    <x v="0"/>
    <x v="0"/>
    <x v="0"/>
    <x v="0"/>
    <x v="0"/>
    <x v="0"/>
    <x v="0"/>
    <x v="0"/>
  </r>
  <r>
    <x v="11"/>
    <x v="0"/>
    <x v="0"/>
    <x v="3"/>
    <x v="0"/>
    <x v="1"/>
    <x v="0"/>
    <x v="0"/>
    <x v="0"/>
    <x v="0"/>
    <x v="0"/>
    <x v="0"/>
    <x v="0"/>
    <x v="0"/>
  </r>
  <r>
    <x v="12"/>
    <x v="0"/>
    <x v="2"/>
    <x v="0"/>
    <x v="0"/>
    <x v="1"/>
    <x v="0"/>
    <x v="0"/>
    <x v="0"/>
    <x v="0"/>
    <x v="0"/>
    <x v="0"/>
    <x v="0"/>
    <x v="0"/>
  </r>
  <r>
    <x v="13"/>
    <x v="0"/>
    <x v="2"/>
    <x v="0"/>
    <x v="0"/>
    <x v="1"/>
    <x v="0"/>
    <x v="0"/>
    <x v="0"/>
    <x v="0"/>
    <x v="0"/>
    <x v="0"/>
    <x v="0"/>
    <x v="0"/>
  </r>
  <r>
    <x v="14"/>
    <x v="0"/>
    <x v="2"/>
    <x v="0"/>
    <x v="0"/>
    <x v="1"/>
    <x v="0"/>
    <x v="0"/>
    <x v="0"/>
    <x v="0"/>
    <x v="0"/>
    <x v="0"/>
    <x v="0"/>
    <x v="0"/>
  </r>
  <r>
    <x v="15"/>
    <x v="0"/>
    <x v="2"/>
    <x v="0"/>
    <x v="0"/>
    <x v="1"/>
    <x v="0"/>
    <x v="0"/>
    <x v="0"/>
    <x v="0"/>
    <x v="0"/>
    <x v="0"/>
    <x v="0"/>
    <x v="0"/>
  </r>
  <r>
    <x v="16"/>
    <x v="0"/>
    <x v="2"/>
    <x v="0"/>
    <x v="0"/>
    <x v="1"/>
    <x v="0"/>
    <x v="0"/>
    <x v="0"/>
    <x v="0"/>
    <x v="0"/>
    <x v="0"/>
    <x v="0"/>
    <x v="0"/>
  </r>
  <r>
    <x v="17"/>
    <x v="0"/>
    <x v="2"/>
    <x v="0"/>
    <x v="0"/>
    <x v="1"/>
    <x v="0"/>
    <x v="0"/>
    <x v="0"/>
    <x v="0"/>
    <x v="0"/>
    <x v="0"/>
    <x v="0"/>
    <x v="0"/>
  </r>
  <r>
    <x v="18"/>
    <x v="0"/>
    <x v="3"/>
    <x v="0"/>
    <x v="0"/>
    <x v="1"/>
    <x v="0"/>
    <x v="0"/>
    <x v="0"/>
    <x v="0"/>
    <x v="0"/>
    <x v="0"/>
    <x v="0"/>
    <x v="0"/>
  </r>
  <r>
    <x v="19"/>
    <x v="0"/>
    <x v="3"/>
    <x v="0"/>
    <x v="0"/>
    <x v="1"/>
    <x v="0"/>
    <x v="0"/>
    <x v="0"/>
    <x v="0"/>
    <x v="0"/>
    <x v="0"/>
    <x v="0"/>
    <x v="0"/>
  </r>
  <r>
    <x v="20"/>
    <x v="0"/>
    <x v="3"/>
    <x v="3"/>
    <x v="0"/>
    <x v="4"/>
    <x v="0"/>
    <x v="0"/>
    <x v="0"/>
    <x v="0"/>
    <x v="0"/>
    <x v="0"/>
    <x v="0"/>
    <x v="0"/>
  </r>
  <r>
    <x v="21"/>
    <x v="0"/>
    <x v="2"/>
    <x v="2"/>
    <x v="0"/>
    <x v="1"/>
    <x v="0"/>
    <x v="0"/>
    <x v="0"/>
    <x v="0"/>
    <x v="0"/>
    <x v="0"/>
    <x v="0"/>
    <x v="0"/>
  </r>
  <r>
    <x v="22"/>
    <x v="0"/>
    <x v="0"/>
    <x v="0"/>
    <x v="0"/>
    <x v="5"/>
    <x v="0"/>
    <x v="0"/>
    <x v="0"/>
    <x v="0"/>
    <x v="0"/>
    <x v="0"/>
    <x v="0"/>
    <x v="0"/>
  </r>
  <r>
    <x v="23"/>
    <x v="0"/>
    <x v="0"/>
    <x v="0"/>
    <x v="0"/>
    <x v="1"/>
    <x v="0"/>
    <x v="0"/>
    <x v="0"/>
    <x v="0"/>
    <x v="0"/>
    <x v="0"/>
    <x v="0"/>
    <x v="0"/>
  </r>
  <r>
    <x v="24"/>
    <x v="0"/>
    <x v="0"/>
    <x v="0"/>
    <x v="0"/>
    <x v="1"/>
    <x v="0"/>
    <x v="0"/>
    <x v="0"/>
    <x v="0"/>
    <x v="0"/>
    <x v="0"/>
    <x v="0"/>
    <x v="0"/>
  </r>
  <r>
    <x v="25"/>
    <x v="0"/>
    <x v="0"/>
    <x v="0"/>
    <x v="0"/>
    <x v="1"/>
    <x v="0"/>
    <x v="0"/>
    <x v="0"/>
    <x v="0"/>
    <x v="0"/>
    <x v="0"/>
    <x v="0"/>
    <x v="0"/>
  </r>
  <r>
    <x v="26"/>
    <x v="0"/>
    <x v="0"/>
    <x v="0"/>
    <x v="0"/>
    <x v="1"/>
    <x v="0"/>
    <x v="0"/>
    <x v="0"/>
    <x v="0"/>
    <x v="0"/>
    <x v="0"/>
    <x v="0"/>
    <x v="0"/>
  </r>
  <r>
    <x v="27"/>
    <x v="0"/>
    <x v="2"/>
    <x v="2"/>
    <x v="0"/>
    <x v="2"/>
    <x v="0"/>
    <x v="0"/>
    <x v="0"/>
    <x v="0"/>
    <x v="0"/>
    <x v="0"/>
    <x v="0"/>
    <x v="0"/>
  </r>
  <r>
    <x v="28"/>
    <x v="0"/>
    <x v="0"/>
    <x v="0"/>
    <x v="0"/>
    <x v="1"/>
    <x v="0"/>
    <x v="0"/>
    <x v="0"/>
    <x v="0"/>
    <x v="0"/>
    <x v="0"/>
    <x v="0"/>
    <x v="0"/>
  </r>
  <r>
    <x v="29"/>
    <x v="0"/>
    <x v="3"/>
    <x v="3"/>
    <x v="0"/>
    <x v="1"/>
    <x v="0"/>
    <x v="0"/>
    <x v="0"/>
    <x v="0"/>
    <x v="0"/>
    <x v="0"/>
    <x v="0"/>
    <x v="0"/>
  </r>
  <r>
    <x v="30"/>
    <x v="0"/>
    <x v="3"/>
    <x v="3"/>
    <x v="0"/>
    <x v="1"/>
    <x v="0"/>
    <x v="0"/>
    <x v="0"/>
    <x v="0"/>
    <x v="0"/>
    <x v="0"/>
    <x v="0"/>
    <x v="0"/>
  </r>
  <r>
    <x v="31"/>
    <x v="0"/>
    <x v="3"/>
    <x v="3"/>
    <x v="0"/>
    <x v="2"/>
    <x v="0"/>
    <x v="0"/>
    <x v="0"/>
    <x v="0"/>
    <x v="0"/>
    <x v="0"/>
    <x v="0"/>
    <x v="0"/>
  </r>
  <r>
    <x v="32"/>
    <x v="0"/>
    <x v="2"/>
    <x v="0"/>
    <x v="0"/>
    <x v="3"/>
    <x v="0"/>
    <x v="0"/>
    <x v="0"/>
    <x v="0"/>
    <x v="0"/>
    <x v="0"/>
    <x v="0"/>
    <x v="0"/>
  </r>
  <r>
    <x v="33"/>
    <x v="0"/>
    <x v="3"/>
    <x v="3"/>
    <x v="0"/>
    <x v="1"/>
    <x v="0"/>
    <x v="0"/>
    <x v="0"/>
    <x v="0"/>
    <x v="0"/>
    <x v="0"/>
    <x v="0"/>
    <x v="0"/>
  </r>
  <r>
    <x v="34"/>
    <x v="0"/>
    <x v="0"/>
    <x v="0"/>
    <x v="0"/>
    <x v="1"/>
    <x v="0"/>
    <x v="0"/>
    <x v="0"/>
    <x v="0"/>
    <x v="0"/>
    <x v="0"/>
    <x v="0"/>
    <x v="0"/>
  </r>
  <r>
    <x v="35"/>
    <x v="0"/>
    <x v="2"/>
    <x v="0"/>
    <x v="0"/>
    <x v="1"/>
    <x v="0"/>
    <x v="0"/>
    <x v="0"/>
    <x v="0"/>
    <x v="0"/>
    <x v="0"/>
    <x v="0"/>
    <x v="0"/>
  </r>
  <r>
    <x v="36"/>
    <x v="0"/>
    <x v="0"/>
    <x v="0"/>
    <x v="0"/>
    <x v="5"/>
    <x v="0"/>
    <x v="0"/>
    <x v="0"/>
    <x v="0"/>
    <x v="0"/>
    <x v="0"/>
    <x v="0"/>
    <x v="0"/>
  </r>
  <r>
    <x v="37"/>
    <x v="0"/>
    <x v="0"/>
    <x v="3"/>
    <x v="0"/>
    <x v="1"/>
    <x v="0"/>
    <x v="0"/>
    <x v="0"/>
    <x v="0"/>
    <x v="0"/>
    <x v="0"/>
    <x v="0"/>
    <x v="0"/>
  </r>
  <r>
    <x v="38"/>
    <x v="0"/>
    <x v="0"/>
    <x v="0"/>
    <x v="0"/>
    <x v="1"/>
    <x v="0"/>
    <x v="0"/>
    <x v="0"/>
    <x v="0"/>
    <x v="0"/>
    <x v="0"/>
    <x v="0"/>
    <x v="0"/>
  </r>
  <r>
    <x v="39"/>
    <x v="0"/>
    <x v="2"/>
    <x v="1"/>
    <x v="0"/>
    <x v="1"/>
    <x v="0"/>
    <x v="0"/>
    <x v="0"/>
    <x v="0"/>
    <x v="0"/>
    <x v="0"/>
    <x v="0"/>
    <x v="0"/>
  </r>
  <r>
    <x v="40"/>
    <x v="0"/>
    <x v="2"/>
    <x v="2"/>
    <x v="0"/>
    <x v="1"/>
    <x v="0"/>
    <x v="0"/>
    <x v="0"/>
    <x v="0"/>
    <x v="0"/>
    <x v="0"/>
    <x v="0"/>
    <x v="0"/>
  </r>
  <r>
    <x v="41"/>
    <x v="0"/>
    <x v="0"/>
    <x v="0"/>
    <x v="0"/>
    <x v="2"/>
    <x v="0"/>
    <x v="0"/>
    <x v="0"/>
    <x v="0"/>
    <x v="0"/>
    <x v="0"/>
    <x v="0"/>
    <x v="0"/>
  </r>
  <r>
    <x v="42"/>
    <x v="0"/>
    <x v="0"/>
    <x v="0"/>
    <x v="0"/>
    <x v="2"/>
    <x v="0"/>
    <x v="0"/>
    <x v="0"/>
    <x v="0"/>
    <x v="0"/>
    <x v="0"/>
    <x v="0"/>
    <x v="0"/>
  </r>
</pivotCacheRecords>
</file>

<file path=xl/pivotCache/pivotCacheRecords6.xml><?xml version="1.0" encoding="utf-8"?>
<pivotCacheRecords xmlns="http://schemas.openxmlformats.org/spreadsheetml/2006/main" xmlns:r="http://schemas.openxmlformats.org/officeDocument/2006/relationships" count="48">
  <r>
    <x v="0"/>
    <x v="0"/>
    <x v="0"/>
    <x v="0"/>
    <n v="1.170415"/>
    <n v="4.95E-4"/>
    <x v="0"/>
    <n v="1.1692709999999999"/>
    <n v="9.4899999999999997E-4"/>
    <x v="0"/>
    <x v="0"/>
    <x v="0"/>
  </r>
  <r>
    <x v="0"/>
    <x v="1"/>
    <x v="1"/>
    <x v="1"/>
    <n v="1.1700159999999999"/>
    <n v="8.1400000000000005E-4"/>
    <x v="1"/>
    <n v="1.1686099999999999"/>
    <n v="1.8E-3"/>
    <x v="1"/>
    <x v="1"/>
    <x v="0"/>
  </r>
  <r>
    <x v="0"/>
    <x v="2"/>
    <x v="2"/>
    <x v="2"/>
    <n v="1.1705950000000001"/>
    <n v="3.3500000000000001E-4"/>
    <x v="2"/>
    <n v="1.169508"/>
    <n v="1.0319999999999999E-3"/>
    <x v="2"/>
    <x v="2"/>
    <x v="0"/>
  </r>
  <r>
    <x v="0"/>
    <x v="3"/>
    <x v="3"/>
    <x v="3"/>
    <n v="1.1707970000000001"/>
    <n v="1.83E-4"/>
    <x v="2"/>
    <n v="1.169986"/>
    <n v="5.5400000000000002E-4"/>
    <x v="3"/>
    <x v="3"/>
    <x v="0"/>
  </r>
  <r>
    <x v="0"/>
    <x v="4"/>
    <x v="4"/>
    <x v="4"/>
    <n v="1.170712"/>
    <n v="5.5800000000000001E-4"/>
    <x v="3"/>
    <n v="1.1701589999999999"/>
    <n v="3.8999999999999999E-5"/>
    <x v="4"/>
    <x v="4"/>
    <x v="0"/>
  </r>
  <r>
    <x v="0"/>
    <x v="5"/>
    <x v="5"/>
    <x v="5"/>
    <n v="1.170757"/>
    <n v="2.33E-4"/>
    <x v="4"/>
    <n v="1.170269"/>
    <n v="6.8900000000000005E-4"/>
    <x v="5"/>
    <x v="5"/>
    <x v="0"/>
  </r>
  <r>
    <x v="0"/>
    <x v="6"/>
    <x v="6"/>
    <x v="6"/>
    <n v="1.170876"/>
    <n v="2.8600000000000001E-4"/>
    <x v="5"/>
    <n v="1.1703220000000001"/>
    <n v="3.5199999999999999E-4"/>
    <x v="6"/>
    <x v="6"/>
    <x v="0"/>
  </r>
  <r>
    <x v="0"/>
    <x v="7"/>
    <x v="7"/>
    <x v="7"/>
    <n v="1.1712560000000001"/>
    <n v="8.0599999999999997E-4"/>
    <x v="6"/>
    <n v="1.169934"/>
    <n v="4.64E-4"/>
    <x v="7"/>
    <x v="7"/>
    <x v="0"/>
  </r>
  <r>
    <x v="0"/>
    <x v="8"/>
    <x v="8"/>
    <x v="8"/>
    <n v="1.170917"/>
    <n v="6.7699999999999998E-4"/>
    <x v="7"/>
    <n v="1.169387"/>
    <n v="2.63E-4"/>
    <x v="8"/>
    <x v="8"/>
    <x v="0"/>
  </r>
  <r>
    <x v="0"/>
    <x v="9"/>
    <x v="9"/>
    <x v="9"/>
    <n v="1.1705000000000001"/>
    <n v="6.0999999999999997E-4"/>
    <x v="8"/>
    <n v="1.169789"/>
    <n v="1.289E-3"/>
    <x v="9"/>
    <x v="9"/>
    <x v="0"/>
  </r>
  <r>
    <x v="0"/>
    <x v="10"/>
    <x v="10"/>
    <x v="10"/>
    <n v="1.170382"/>
    <n v="1.2799999999999999E-4"/>
    <x v="9"/>
    <n v="1.169354"/>
    <n v="5.2400000000000005E-4"/>
    <x v="10"/>
    <x v="10"/>
    <x v="0"/>
  </r>
  <r>
    <x v="0"/>
    <x v="11"/>
    <x v="11"/>
    <x v="11"/>
    <n v="1.1700980000000001"/>
    <n v="1.642E-3"/>
    <x v="10"/>
    <n v="1.16954"/>
    <n v="5.0000000000000002E-5"/>
    <x v="11"/>
    <x v="11"/>
    <x v="0"/>
  </r>
  <r>
    <x v="0"/>
    <x v="12"/>
    <x v="12"/>
    <x v="12"/>
    <n v="1.1696530000000001"/>
    <n v="7.0699999999999995E-4"/>
    <x v="11"/>
    <n v="1.168274"/>
    <n v="8.4400000000000002E-4"/>
    <x v="12"/>
    <x v="12"/>
    <x v="0"/>
  </r>
  <r>
    <x v="0"/>
    <x v="13"/>
    <x v="13"/>
    <x v="13"/>
    <n v="1.170517"/>
    <n v="6.0700000000000001E-4"/>
    <x v="12"/>
    <n v="1.1688270000000001"/>
    <n v="4.37E-4"/>
    <x v="8"/>
    <x v="8"/>
    <x v="0"/>
  </r>
  <r>
    <x v="0"/>
    <x v="14"/>
    <x v="14"/>
    <x v="14"/>
    <n v="1.171748"/>
    <n v="9.2800000000000001E-4"/>
    <x v="13"/>
    <n v="1.169608"/>
    <n v="5.4799999999999998E-4"/>
    <x v="13"/>
    <x v="13"/>
    <x v="0"/>
  </r>
  <r>
    <x v="0"/>
    <x v="15"/>
    <x v="15"/>
    <x v="15"/>
    <n v="1.170369"/>
    <n v="5.3899999999999998E-4"/>
    <x v="14"/>
    <n v="1.1674310000000001"/>
    <n v="7.1900000000000002E-4"/>
    <x v="14"/>
    <x v="14"/>
    <x v="0"/>
  </r>
  <r>
    <x v="0"/>
    <x v="16"/>
    <x v="16"/>
    <x v="16"/>
    <n v="1.1700349999999999"/>
    <n v="5.1500000000000005E-4"/>
    <x v="15"/>
    <n v="1.168558"/>
    <n v="9.4799999999999995E-4"/>
    <x v="15"/>
    <x v="15"/>
    <x v="0"/>
  </r>
  <r>
    <x v="0"/>
    <x v="17"/>
    <x v="17"/>
    <x v="17"/>
    <n v="1.170944"/>
    <n v="2.7539999999999999E-3"/>
    <x v="16"/>
    <n v="1.1692419999999999"/>
    <n v="4.9020000000000001E-3"/>
    <x v="16"/>
    <x v="16"/>
    <x v="0"/>
  </r>
  <r>
    <x v="0"/>
    <x v="18"/>
    <x v="18"/>
    <x v="18"/>
    <n v="1.170088"/>
    <n v="3.3180000000000002E-3"/>
    <x v="17"/>
    <n v="1.16804"/>
    <n v="3.0699999999999998E-3"/>
    <x v="17"/>
    <x v="17"/>
    <x v="0"/>
  </r>
  <r>
    <x v="0"/>
    <x v="19"/>
    <x v="19"/>
    <x v="19"/>
    <n v="1.1696800000000001"/>
    <n v="3.5599999999999998E-3"/>
    <x v="18"/>
    <n v="1.1677439999999999"/>
    <n v="3.614E-3"/>
    <x v="18"/>
    <x v="18"/>
    <x v="0"/>
  </r>
  <r>
    <x v="0"/>
    <x v="20"/>
    <x v="20"/>
    <x v="20"/>
    <n v="1.168553"/>
    <n v="2.5730000000000002E-3"/>
    <x v="19"/>
    <n v="1.1649499999999999"/>
    <n v="8.4999999999999995E-4"/>
    <x v="17"/>
    <x v="17"/>
    <x v="0"/>
  </r>
  <r>
    <x v="0"/>
    <x v="21"/>
    <x v="21"/>
    <x v="21"/>
    <n v="1.1671240000000001"/>
    <n v="2.04E-4"/>
    <x v="20"/>
    <n v="1.1654659999999999"/>
    <n v="5.5599999999999996E-4"/>
    <x v="19"/>
    <x v="19"/>
    <x v="0"/>
  </r>
  <r>
    <x v="0"/>
    <x v="22"/>
    <x v="22"/>
    <x v="22"/>
    <n v="1.166377"/>
    <n v="7.6300000000000001E-4"/>
    <x v="21"/>
    <n v="1.1645490000000001"/>
    <n v="9.7099999999999997E-4"/>
    <x v="20"/>
    <x v="20"/>
    <x v="0"/>
  </r>
  <r>
    <x v="0"/>
    <x v="23"/>
    <x v="23"/>
    <x v="23"/>
    <n v="1.16618"/>
    <n v="1.65E-3"/>
    <x v="22"/>
    <n v="1.164364"/>
    <n v="1.536E-3"/>
    <x v="21"/>
    <x v="21"/>
    <x v="0"/>
  </r>
  <r>
    <x v="1"/>
    <x v="0"/>
    <x v="0"/>
    <x v="0"/>
    <n v="1.170166"/>
    <n v="7.4399999999999998E-4"/>
    <x v="0"/>
    <n v="1.16909"/>
    <n v="1.1299999999999999E-3"/>
    <x v="0"/>
    <x v="0"/>
    <x v="0"/>
  </r>
  <r>
    <x v="1"/>
    <x v="1"/>
    <x v="1"/>
    <x v="1"/>
    <n v="1.1699170000000001"/>
    <n v="9.1299999999999997E-4"/>
    <x v="1"/>
    <n v="1.1687110000000001"/>
    <n v="1.699E-3"/>
    <x v="1"/>
    <x v="1"/>
    <x v="0"/>
  </r>
  <r>
    <x v="1"/>
    <x v="2"/>
    <x v="2"/>
    <x v="2"/>
    <n v="1.170302"/>
    <n v="6.2799999999999998E-4"/>
    <x v="2"/>
    <n v="1.1694230000000001"/>
    <n v="1.1169999999999999E-3"/>
    <x v="2"/>
    <x v="2"/>
    <x v="0"/>
  </r>
  <r>
    <x v="1"/>
    <x v="3"/>
    <x v="3"/>
    <x v="3"/>
    <n v="1.170534"/>
    <n v="4.46E-4"/>
    <x v="2"/>
    <n v="1.1698090000000001"/>
    <n v="7.3099999999999999E-4"/>
    <x v="3"/>
    <x v="3"/>
    <x v="0"/>
  </r>
  <r>
    <x v="1"/>
    <x v="4"/>
    <x v="4"/>
    <x v="4"/>
    <n v="1.1705760000000001"/>
    <n v="6.9399999999999996E-4"/>
    <x v="3"/>
    <n v="1.1700470000000001"/>
    <n v="7.2999999999999999E-5"/>
    <x v="4"/>
    <x v="4"/>
    <x v="0"/>
  </r>
  <r>
    <x v="1"/>
    <x v="5"/>
    <x v="5"/>
    <x v="5"/>
    <n v="1.170585"/>
    <n v="4.0499999999999998E-4"/>
    <x v="4"/>
    <n v="1.1702269999999999"/>
    <n v="6.4700000000000001E-4"/>
    <x v="5"/>
    <x v="5"/>
    <x v="0"/>
  </r>
  <r>
    <x v="1"/>
    <x v="6"/>
    <x v="6"/>
    <x v="6"/>
    <n v="1.170636"/>
    <n v="4.6E-5"/>
    <x v="5"/>
    <n v="1.1703699999999999"/>
    <n v="4.0000000000000002E-4"/>
    <x v="6"/>
    <x v="6"/>
    <x v="0"/>
  </r>
  <r>
    <x v="1"/>
    <x v="7"/>
    <x v="7"/>
    <x v="7"/>
    <n v="1.171001"/>
    <n v="5.5099999999999995E-4"/>
    <x v="6"/>
    <n v="1.169764"/>
    <n v="2.9399999999999999E-4"/>
    <x v="7"/>
    <x v="7"/>
    <x v="0"/>
  </r>
  <r>
    <x v="1"/>
    <x v="8"/>
    <x v="8"/>
    <x v="8"/>
    <n v="1.1705220000000001"/>
    <n v="2.8200000000000002E-4"/>
    <x v="7"/>
    <n v="1.169163"/>
    <n v="4.8700000000000002E-4"/>
    <x v="8"/>
    <x v="8"/>
    <x v="0"/>
  </r>
  <r>
    <x v="1"/>
    <x v="9"/>
    <x v="9"/>
    <x v="9"/>
    <n v="1.1700999999999999"/>
    <n v="2.1000000000000001E-4"/>
    <x v="8"/>
    <n v="1.1695420000000001"/>
    <n v="1.042E-3"/>
    <x v="9"/>
    <x v="9"/>
    <x v="0"/>
  </r>
  <r>
    <x v="1"/>
    <x v="10"/>
    <x v="10"/>
    <x v="10"/>
    <n v="1.1700189999999999"/>
    <n v="4.9100000000000001E-4"/>
    <x v="9"/>
    <n v="1.1693849999999999"/>
    <n v="5.5500000000000005E-4"/>
    <x v="10"/>
    <x v="10"/>
    <x v="0"/>
  </r>
  <r>
    <x v="1"/>
    <x v="11"/>
    <x v="11"/>
    <x v="11"/>
    <n v="1.1701600000000001"/>
    <n v="1.58E-3"/>
    <x v="10"/>
    <n v="1.169341"/>
    <n v="2.4899999999999998E-4"/>
    <x v="11"/>
    <x v="11"/>
    <x v="0"/>
  </r>
  <r>
    <x v="1"/>
    <x v="12"/>
    <x v="12"/>
    <x v="12"/>
    <n v="1.169948"/>
    <n v="4.1199999999999999E-4"/>
    <x v="11"/>
    <n v="1.1682619999999999"/>
    <n v="8.3199999999999995E-4"/>
    <x v="12"/>
    <x v="12"/>
    <x v="0"/>
  </r>
  <r>
    <x v="1"/>
    <x v="13"/>
    <x v="13"/>
    <x v="13"/>
    <n v="1.1702109999999999"/>
    <n v="3.01E-4"/>
    <x v="12"/>
    <n v="1.1692290000000001"/>
    <n v="8.3900000000000001E-4"/>
    <x v="8"/>
    <x v="8"/>
    <x v="0"/>
  </r>
  <r>
    <x v="1"/>
    <x v="14"/>
    <x v="14"/>
    <x v="14"/>
    <n v="1.1718820000000001"/>
    <n v="1.062E-3"/>
    <x v="13"/>
    <n v="1.1695359999999999"/>
    <n v="4.7600000000000002E-4"/>
    <x v="13"/>
    <x v="13"/>
    <x v="0"/>
  </r>
  <r>
    <x v="1"/>
    <x v="15"/>
    <x v="15"/>
    <x v="15"/>
    <n v="1.1701539999999999"/>
    <n v="3.2400000000000001E-4"/>
    <x v="14"/>
    <n v="1.1675420000000001"/>
    <n v="6.0800000000000003E-4"/>
    <x v="14"/>
    <x v="14"/>
    <x v="0"/>
  </r>
  <r>
    <x v="1"/>
    <x v="16"/>
    <x v="16"/>
    <x v="16"/>
    <n v="1.1698740000000001"/>
    <n v="3.5399999999999999E-4"/>
    <x v="15"/>
    <n v="1.1687339999999999"/>
    <n v="1.124E-3"/>
    <x v="15"/>
    <x v="15"/>
    <x v="0"/>
  </r>
  <r>
    <x v="1"/>
    <x v="17"/>
    <x v="17"/>
    <x v="17"/>
    <n v="1.1710039999999999"/>
    <n v="2.8140000000000001E-3"/>
    <x v="16"/>
    <n v="1.1694100000000001"/>
    <n v="5.0699999999999999E-3"/>
    <x v="16"/>
    <x v="16"/>
    <x v="0"/>
  </r>
  <r>
    <x v="1"/>
    <x v="18"/>
    <x v="18"/>
    <x v="18"/>
    <n v="1.169996"/>
    <n v="3.2260000000000001E-3"/>
    <x v="17"/>
    <n v="1.1679539999999999"/>
    <n v="2.9840000000000001E-3"/>
    <x v="17"/>
    <x v="17"/>
    <x v="0"/>
  </r>
  <r>
    <x v="1"/>
    <x v="19"/>
    <x v="19"/>
    <x v="19"/>
    <n v="1.1702870000000001"/>
    <n v="4.1669999999999997E-3"/>
    <x v="18"/>
    <n v="1.1679839999999999"/>
    <n v="3.8539999999999998E-3"/>
    <x v="18"/>
    <x v="18"/>
    <x v="0"/>
  </r>
  <r>
    <x v="1"/>
    <x v="20"/>
    <x v="20"/>
    <x v="20"/>
    <n v="1.168838"/>
    <n v="2.8579999999999999E-3"/>
    <x v="19"/>
    <n v="1.16503"/>
    <n v="9.3000000000000005E-4"/>
    <x v="17"/>
    <x v="17"/>
    <x v="0"/>
  </r>
  <r>
    <x v="1"/>
    <x v="21"/>
    <x v="21"/>
    <x v="21"/>
    <n v="1.167724"/>
    <n v="8.0400000000000003E-4"/>
    <x v="20"/>
    <n v="1.165815"/>
    <n v="9.0499999999999999E-4"/>
    <x v="19"/>
    <x v="19"/>
    <x v="0"/>
  </r>
  <r>
    <x v="1"/>
    <x v="22"/>
    <x v="22"/>
    <x v="22"/>
    <n v="1.1666609999999999"/>
    <n v="4.7899999999999999E-4"/>
    <x v="21"/>
    <n v="1.1646590000000001"/>
    <n v="8.61E-4"/>
    <x v="20"/>
    <x v="20"/>
    <x v="0"/>
  </r>
  <r>
    <x v="1"/>
    <x v="23"/>
    <x v="23"/>
    <x v="23"/>
    <n v="1.166596"/>
    <n v="1.2340000000000001E-3"/>
    <x v="22"/>
    <n v="1.164763"/>
    <n v="1.137E-3"/>
    <x v="21"/>
    <x v="2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52" firstHeaderRow="0" firstDataRow="1" firstDataCol="1"/>
  <pivotFields count="7">
    <pivotField showAll="0" defaultSubtotal="0">
      <items count="66">
        <item x="0"/>
        <item m="1" x="17"/>
        <item m="1" x="37"/>
        <item m="1" x="62"/>
        <item m="1" x="8"/>
        <item m="1" x="19"/>
        <item m="1" x="27"/>
        <item m="1" x="38"/>
        <item m="1" x="43"/>
        <item m="1" x="48"/>
        <item m="1" x="55"/>
        <item m="1" x="63"/>
        <item m="1" x="13"/>
        <item m="1" x="29"/>
        <item m="1" x="31"/>
        <item m="1" x="35"/>
        <item m="1" x="57"/>
        <item m="1" x="61"/>
        <item m="1" x="64"/>
        <item m="1" x="9"/>
        <item m="1" x="20"/>
        <item m="1" x="51"/>
        <item m="1" x="22"/>
        <item m="1" x="56"/>
        <item m="1" x="11"/>
        <item m="1" x="28"/>
        <item m="1" x="14"/>
        <item m="1" x="65"/>
        <item m="1" x="33"/>
        <item m="1" x="50"/>
        <item m="1" x="36"/>
        <item m="1" x="21"/>
        <item m="1" x="7"/>
        <item m="1" x="52"/>
        <item m="1" x="39"/>
        <item m="1" x="23"/>
        <item m="1" x="10"/>
        <item m="1" x="58"/>
        <item m="1" x="42"/>
        <item m="1" x="26"/>
        <item m="1" x="30"/>
        <item m="1" x="15"/>
        <item m="1" x="1"/>
        <item m="1" x="45"/>
        <item m="1" x="32"/>
        <item m="1" x="18"/>
        <item m="1" x="2"/>
        <item m="1" x="49"/>
        <item m="1" x="41"/>
        <item m="1" x="53"/>
        <item m="1" x="24"/>
        <item m="1" x="46"/>
        <item m="1" x="3"/>
        <item m="1" x="4"/>
        <item m="1" x="59"/>
        <item m="1" x="44"/>
        <item m="1" x="54"/>
        <item m="1" x="40"/>
        <item m="1" x="34"/>
        <item m="1" x="25"/>
        <item m="1" x="16"/>
        <item m="1" x="6"/>
        <item m="1" x="60"/>
        <item m="1" x="47"/>
        <item m="1" x="12"/>
        <item m="1" x="5"/>
      </items>
    </pivotField>
    <pivotField showAll="0">
      <items count="715">
        <item h="1" m="1" x="354"/>
        <item h="1" m="1" x="216"/>
        <item h="1" m="1" x="451"/>
        <item h="1" m="1" x="62"/>
        <item h="1" m="1" x="257"/>
        <item h="1" m="1" x="217"/>
        <item h="1" m="1" x="288"/>
        <item h="1" m="1" x="697"/>
        <item h="1" m="1" x="621"/>
        <item h="1" m="1" x="610"/>
        <item h="1" m="1" x="159"/>
        <item h="1" m="1" x="146"/>
        <item h="1" m="1" x="198"/>
        <item h="1" m="1" x="329"/>
        <item h="1" m="1" x="374"/>
        <item h="1" m="1" x="507"/>
        <item h="1" m="1" x="184"/>
        <item h="1" m="1" x="495"/>
        <item h="1" m="1" x="395"/>
        <item h="1" m="1" x="247"/>
        <item h="1" m="1" x="404"/>
        <item h="1" m="1" x="453"/>
        <item h="1" m="1" x="440"/>
        <item h="1" m="1" x="562"/>
        <item h="1" m="1" x="153"/>
        <item h="1" m="1" x="60"/>
        <item h="1" m="1" x="115"/>
        <item h="1" m="1" x="265"/>
        <item h="1" m="1" x="479"/>
        <item h="1" m="1" x="637"/>
        <item h="1" m="1" x="22"/>
        <item h="1" m="1" x="207"/>
        <item h="1" m="1" x="335"/>
        <item h="1" m="1" x="423"/>
        <item h="1" m="1" x="84"/>
        <item h="1" m="1" x="490"/>
        <item h="1" m="1" x="589"/>
        <item h="1" m="1" x="112"/>
        <item h="1" m="1" x="164"/>
        <item h="1" m="1" x="189"/>
        <item h="1" m="1" x="218"/>
        <item h="1" m="1" x="461"/>
        <item h="1" m="1" x="560"/>
        <item h="1" m="1" x="602"/>
        <item h="1" m="1" x="17"/>
        <item h="1" m="1" x="270"/>
        <item h="1" m="1" x="446"/>
        <item h="1" m="1" x="611"/>
        <item h="1" m="1" x="643"/>
        <item h="1" m="1" x="33"/>
        <item h="1" m="1" x="238"/>
        <item h="1" m="1" x="319"/>
        <item h="1" m="1" x="201"/>
        <item h="1" m="1" x="227"/>
        <item h="1" m="1" x="286"/>
        <item h="1" m="1" x="421"/>
        <item h="1" m="1" x="529"/>
        <item h="1" m="1" x="694"/>
        <item h="1" m="1" x="31"/>
        <item h="1" m="1" x="213"/>
        <item h="1" m="1" x="456"/>
        <item h="1" m="1" x="539"/>
        <item h="1" m="1" x="598"/>
        <item h="1" m="1" x="11"/>
        <item h="1" m="1" x="93"/>
        <item h="1" m="1" x="120"/>
        <item h="1" m="1" x="283"/>
        <item h="1" m="1" x="484"/>
        <item h="1" m="1" x="549"/>
        <item h="1" m="1" x="557"/>
        <item h="1" m="1" x="633"/>
        <item h="1" m="1" x="707"/>
        <item h="1" m="1" x="9"/>
        <item h="1" m="1" x="43"/>
        <item h="1" m="1" x="107"/>
        <item h="1" m="1" x="364"/>
        <item h="1" m="1" x="429"/>
        <item h="1" m="1" x="547"/>
        <item h="1" m="1" x="596"/>
        <item h="1" m="1" x="41"/>
        <item h="1" m="1" x="68"/>
        <item h="1" m="1" x="131"/>
        <item h="1" m="1" x="156"/>
        <item h="1" m="1" x="233"/>
        <item h="1" m="1" x="248"/>
        <item h="1" m="1" x="388"/>
        <item h="1" m="1" x="396"/>
        <item h="1" m="1" x="493"/>
        <item h="1" m="1" x="538"/>
        <item h="1" m="1" x="631"/>
        <item h="1" m="1" x="67"/>
        <item h="1" m="1" x="679"/>
        <item h="1" m="1" x="180"/>
        <item h="1" m="1" x="353"/>
        <item h="1" m="1" x="545"/>
        <item h="1" m="1" x="555"/>
        <item h="1" m="1" x="595"/>
        <item h="1" m="1" x="617"/>
        <item h="1" m="1" x="54"/>
        <item h="1" m="1" x="223"/>
        <item h="1" m="1" x="416"/>
        <item h="1" m="1" x="454"/>
        <item h="1" m="1" x="471"/>
        <item h="1" m="1" x="492"/>
        <item h="1" m="1" x="504"/>
        <item h="1" m="1" x="535"/>
        <item h="1" m="1" x="578"/>
        <item h="1" m="1" x="630"/>
        <item h="1" m="1" x="639"/>
        <item h="1" m="1" x="168"/>
        <item h="1" m="1" x="222"/>
        <item h="1" m="1" x="274"/>
        <item h="1" m="1" x="301"/>
        <item h="1" m="1" x="336"/>
        <item h="1" m="1" x="481"/>
        <item h="1" m="1" x="511"/>
        <item h="1" m="1" x="457"/>
        <item h="1" m="1" x="629"/>
        <item h="1" m="1" x="682"/>
        <item h="1" m="1" x="66"/>
        <item h="1" m="1" x="106"/>
        <item h="1" m="1" x="130"/>
        <item h="1" m="1" x="279"/>
        <item h="1" m="1" x="311"/>
        <item h="1" m="1" x="370"/>
        <item h="1" m="1" x="414"/>
        <item h="1" m="1" x="526"/>
        <item h="1" m="1" x="691"/>
        <item h="1" m="1" x="713"/>
        <item h="1" m="1" x="7"/>
        <item h="1" m="1" x="87"/>
        <item h="1" m="1" x="129"/>
        <item h="1" m="1" x="142"/>
        <item h="1" m="1" x="166"/>
        <item h="1" m="1" x="195"/>
        <item h="1" m="1" x="267"/>
        <item h="1" m="1" x="309"/>
        <item h="1" m="1" x="350"/>
        <item h="1" m="1" x="361"/>
        <item h="1" m="1" x="402"/>
        <item h="1" m="1" x="480"/>
        <item h="1" m="1" x="561"/>
        <item h="1" m="1" x="432"/>
        <item h="1" m="1" x="690"/>
        <item h="1" m="1" x="25"/>
        <item h="1" m="1" x="51"/>
        <item h="1" m="1" x="61"/>
        <item h="1" m="1" x="177"/>
        <item h="1" m="1" x="230"/>
        <item h="1" m="1" x="291"/>
        <item h="1" m="1" x="323"/>
        <item h="1" m="1" x="37"/>
        <item h="1" m="1" x="439"/>
        <item h="1" m="1" x="104"/>
        <item h="1" m="1" x="491"/>
        <item h="1" m="1" x="503"/>
        <item h="1" m="1" x="141"/>
        <item h="1" m="1" x="193"/>
        <item h="1" m="1" x="245"/>
        <item h="1" m="1" x="628"/>
        <item h="1" m="1" x="701"/>
        <item h="1" m="1" x="24"/>
        <item h="1" m="1" x="103"/>
        <item h="1" m="1" x="191"/>
        <item h="1" m="1" x="208"/>
        <item h="1" m="1" x="541"/>
        <item h="1" m="1" x="23"/>
        <item h="1" m="1" x="412"/>
        <item h="1" m="1" x="36"/>
        <item h="1" m="1" x="140"/>
        <item h="1" m="1" x="524"/>
        <item h="1" m="1" x="256"/>
        <item h="1" m="1" x="306"/>
        <item h="1" m="1" x="322"/>
        <item h="1" m="1" x="699"/>
        <item h="1" m="1" x="711"/>
        <item h="1" m="1" x="49"/>
        <item h="1" m="1" x="59"/>
        <item h="1" m="1" x="85"/>
        <item h="1" m="1" x="113"/>
        <item h="1" m="1" x="13"/>
        <item h="1" m="1" x="126"/>
        <item h="1" m="1" x="552"/>
        <item h="1" m="1" x="228"/>
        <item h="1" m="1" x="575"/>
        <item h="1" m="1" x="277"/>
        <item h="1" m="1" x="663"/>
        <item h="1" m="1" x="333"/>
        <item h="1" m="1" x="670"/>
        <item h="1" m="1" x="710"/>
        <item h="1" m="1" x="466"/>
        <item h="1" m="1" x="125"/>
        <item h="1" m="1" x="150"/>
        <item h="1" m="1" x="521"/>
        <item h="1" m="1" x="219"/>
        <item h="1" m="1" x="264"/>
        <item h="1" m="1" x="627"/>
        <item h="1" m="1" x="332"/>
        <item h="1" m="1" x="63"/>
        <item h="1" m="1" x="358"/>
        <item h="1" m="1" x="698"/>
        <item h="1" m="1" x="382"/>
        <item h="1" m="1" x="20"/>
        <item h="1" m="1" x="410"/>
        <item h="1" m="1" x="342"/>
        <item h="1" m="1" x="99"/>
        <item h="1" m="1" x="587"/>
        <item h="1" m="1" x="290"/>
        <item h="1" m="1" x="357"/>
        <item h="1" m="1" x="4"/>
        <item h="1" m="1" x="400"/>
        <item h="1" m="1" x="409"/>
        <item h="1" m="1" x="460"/>
        <item h="1" m="1" x="82"/>
        <item h="1" m="1" x="478"/>
        <item h="1" m="1" x="45"/>
        <item h="1" m="1" x="149"/>
        <item h="1" m="1" x="174"/>
        <item h="1" m="1" x="543"/>
        <item h="1" m="1" x="205"/>
        <item h="1" m="1" x="559"/>
        <item h="1" m="1" x="568"/>
        <item h="1" m="1" x="254"/>
        <item h="1" m="1" x="271"/>
        <item h="1" m="1" x="276"/>
        <item h="1" m="1" x="304"/>
        <item h="1" m="1" x="651"/>
        <item h="1" m="1" x="659"/>
        <item h="1" m="1" x="380"/>
        <item h="1" m="1" x="34"/>
        <item h="1" m="1" x="436"/>
        <item h="1" m="1" x="447"/>
        <item h="1" m="1" x="74"/>
        <item h="1" m="1" x="97"/>
        <item h="1" m="1" x="148"/>
        <item h="1" m="1" x="239"/>
        <item h="1" m="1" x="635"/>
        <item h="1" m="1" x="320"/>
        <item h="1" m="1" x="658"/>
        <item h="1" m="1" x="678"/>
        <item h="1" m="1" x="379"/>
        <item h="1" m="1" x="399"/>
        <item h="1" m="1" x="16"/>
        <item h="1" m="1" x="408"/>
        <item h="1" m="1" x="458"/>
        <item h="1" m="1" x="162"/>
        <item h="1" m="1" x="531"/>
        <item h="1" m="1" x="567"/>
        <item h="1" m="1" x="133"/>
        <item h="1" m="1" x="252"/>
        <item h="1" m="1" x="601"/>
        <item h="1" m="1" x="303"/>
        <item h="1" m="1" x="669"/>
        <item h="1" m="1" x="356"/>
        <item h="1" m="1" x="687"/>
        <item h="1" m="1" x="316"/>
        <item h="1" m="1" x="47"/>
        <item h="1" m="1" x="445"/>
        <item h="1" m="1" x="111"/>
        <item h="1" m="1" x="8"/>
        <item h="1" m="1" x="123"/>
        <item h="1" m="1" x="509"/>
        <item h="1" m="1" x="558"/>
        <item h="1" m="1" x="215"/>
        <item h="1" m="1" x="566"/>
        <item h="1" m="1" x="574"/>
        <item h="1" m="1" x="528"/>
        <item h="1" m="1" x="287"/>
        <item h="1" m="1" x="649"/>
        <item h="1" m="1" x="331"/>
        <item h="1" m="1" x="668"/>
        <item h="1" m="1" x="343"/>
        <item h="1" m="1" x="605"/>
        <item h="1" m="1" x="367"/>
        <item h="1" m="1" x="15"/>
        <item h="1" m="1" x="422"/>
        <item h="1" m="1" x="434"/>
        <item h="1" m="1" x="96"/>
        <item h="1" m="1" x="109"/>
        <item h="1" m="1" x="137"/>
        <item h="1" m="1" x="161"/>
        <item h="1" m="1" x="530"/>
        <item h="1" m="1" x="540"/>
        <item h="1" m="1" x="187"/>
        <item h="1" m="1" x="202"/>
        <item h="1" m="1" x="132"/>
        <item h="1" m="1" x="237"/>
        <item h="1" m="1" x="622"/>
        <item h="1" m="1" x="275"/>
        <item h="1" m="1" x="642"/>
        <item h="1" m="1" x="118"/>
        <item h="1" m="1" x="225"/>
        <item h="1" m="1" x="317"/>
        <item h="1" m="1" x="676"/>
        <item h="1" m="1" x="686"/>
        <item h="1" m="1" x="366"/>
        <item h="1" m="1" x="378"/>
        <item h="1" m="1" x="14"/>
        <item h="1" m="1" x="313"/>
        <item h="1" m="1" x="407"/>
        <item h="1" m="1" x="57"/>
        <item h="1" m="1" x="79"/>
        <item h="1" m="1" x="477"/>
        <item h="1" m="1" x="498"/>
        <item h="1" m="1" x="200"/>
        <item h="1" m="1" x="214"/>
        <item h="1" m="1" x="236"/>
        <item h="1" m="1" x="262"/>
        <item h="1" m="1" x="657"/>
        <item h="1" m="1" x="355"/>
        <item h="1" m="1" x="695"/>
        <item h="1" m="1" x="377"/>
        <item h="1" m="1" x="46"/>
        <item h="1" m="1" x="433"/>
        <item h="1" m="1" x="78"/>
        <item h="1" m="1" x="95"/>
        <item h="1" m="1" x="476"/>
        <item h="1" m="1" x="108"/>
        <item h="1" m="1" x="487"/>
        <item h="1" m="1" x="27"/>
        <item h="1" m="1" x="136"/>
        <item h="1" m="1" x="519"/>
        <item h="1" m="1" x="186"/>
        <item h="1" m="1" x="600"/>
        <item h="1" m="1" x="261"/>
        <item h="1" m="1" x="619"/>
        <item h="1" m="1" x="224"/>
        <item h="1" m="1" x="579"/>
        <item h="1" m="1" x="685"/>
        <item h="1" m="1" x="365"/>
        <item h="1" m="1" x="391"/>
        <item h="1" m="1" x="3"/>
        <item h="1" m="1" x="12"/>
        <item h="1" m="1" x="405"/>
        <item h="1" m="1" x="420"/>
        <item h="1" m="1" x="71"/>
        <item h="1" m="1" x="77"/>
        <item h="1" m="1" x="94"/>
        <item h="1" m="1" x="475"/>
        <item h="1" m="1" x="486"/>
        <item h="1" m="1" x="122"/>
        <item h="1" m="1" x="310"/>
        <item h="1" m="1" x="171"/>
        <item h="1" m="1" x="550"/>
        <item h="1" m="1" x="584"/>
        <item h="1" m="1" x="251"/>
        <item h="1" m="1" x="599"/>
        <item h="1" m="1" x="52"/>
        <item h="1" m="1" x="609"/>
        <item h="1" m="1" x="618"/>
        <item h="1" m="1" x="285"/>
        <item h="1" m="1" x="296"/>
        <item h="1" m="1" x="341"/>
        <item h="1" m="1" x="708"/>
        <item h="1" m="1" x="294"/>
        <item h="1" m="1" x="444"/>
        <item h="1" m="1" x="121"/>
        <item h="1" m="1" x="508"/>
        <item h="1" m="1" x="518"/>
        <item h="1" m="1" x="158"/>
        <item h="1" m="1" x="170"/>
        <item h="1" m="1" x="226"/>
        <item h="1" m="1" x="235"/>
        <item h="1" m="1" x="250"/>
        <item h="1" m="1" x="260"/>
        <item h="1" m="1" x="608"/>
        <item h="1" m="1" x="284"/>
        <item h="1" m="1" x="634"/>
        <item h="1" m="1" x="656"/>
        <item h="1" m="1" x="667"/>
        <item h="1" m="1" x="390"/>
        <item h="1" m="1" x="431"/>
        <item h="1" m="1" x="485"/>
        <item h="1" m="1" x="135"/>
        <item h="1" m="1" x="147"/>
        <item h="1" m="1" x="583"/>
        <item h="1" m="1" x="143"/>
        <item h="1" m="1" x="597"/>
        <item h="1" m="1" x="259"/>
        <item h="1" m="1" x="607"/>
        <item h="1" m="1" x="625"/>
        <item h="1" m="1" x="282"/>
        <item h="1" m="1" x="462"/>
        <item h="1" m="1" x="655"/>
        <item h="1" m="1" x="330"/>
        <item h="1" m="1" x="666"/>
        <item h="1" m="1" x="165"/>
        <item h="1" m="1" x="533"/>
        <item h="1" m="1" x="175"/>
        <item h="1" m="1" x="280"/>
        <item h="1" m="1" x="221"/>
        <item h="1" m="1" x="398"/>
        <item h="1" m="1" x="569"/>
        <item h="1" m="1" x="10"/>
        <item h="1" m="1" x="577"/>
        <item h="1" m="1" x="44"/>
        <item h="1" m="1" x="430"/>
        <item h="1" m="1" x="603"/>
        <item h="1" m="1" x="266"/>
        <item h="1" m="1" x="615"/>
        <item h="1" m="1" x="273"/>
        <item h="1" m="1" x="278"/>
        <item h="1" m="1" x="92"/>
        <item h="1" m="1" x="638"/>
        <item h="1" m="1" x="483"/>
        <item h="1" m="1" x="308"/>
        <item h="1" m="1" x="497"/>
        <item h="1" m="1" x="134"/>
        <item h="1" m="1" x="517"/>
        <item h="1" m="1" x="349"/>
        <item h="1" m="1" x="681"/>
        <item h="1" m="1" x="360"/>
        <item h="1" m="1" x="369"/>
        <item h="1" m="1" x="662"/>
        <item h="1" m="1" x="702"/>
        <item h="1" m="1" x="385"/>
        <item h="1" m="1" x="392"/>
        <item h="1" m="1" x="401"/>
        <item h="1" m="1" x="573"/>
        <item h="1" m="1" x="582"/>
        <item x="0"/>
        <item h="1" m="1" x="606"/>
        <item h="1" m="1" x="268"/>
        <item h="1" m="1" x="450"/>
        <item h="1" m="1" x="468"/>
        <item h="1" m="1" x="114"/>
        <item h="1" m="1" x="127"/>
        <item h="1" m="1" x="340"/>
        <item h="1" m="1" x="525"/>
        <item h="1" m="1" x="192"/>
        <item h="1" m="1" x="209"/>
        <item h="1" m="1" x="2"/>
        <item h="1" m="1" x="220"/>
        <item h="1" m="1" x="244"/>
        <item h="1" m="1" x="419"/>
        <item h="1" m="1" x="704"/>
        <item h="1" m="1" x="42"/>
        <item h="1" m="1" x="443"/>
        <item h="1" m="1" x="614"/>
        <item h="1" m="1" x="69"/>
        <item h="1" m="1" x="76"/>
        <item h="1" m="1" x="91"/>
        <item h="1" m="1" x="482"/>
        <item h="1" m="1" x="653"/>
        <item h="1" m="1" x="506"/>
        <item h="1" m="1" x="665"/>
        <item h="1" m="1" x="145"/>
        <item h="1" m="1" x="672"/>
        <item h="1" m="1" x="368"/>
        <item h="1" m="1" x="548"/>
        <item h="1" m="1" x="197"/>
        <item h="1" m="1" x="515"/>
        <item h="1" m="1" x="234"/>
        <item h="1" m="1" x="249"/>
        <item h="1" m="1" x="425"/>
        <item h="1" m="1" x="438"/>
        <item h="1" m="1" x="302"/>
        <item h="1" m="1" x="18"/>
        <item h="1" m="1" x="463"/>
        <item h="1" m="1" x="624"/>
        <item h="1" m="1" x="281"/>
        <item h="1" m="1" x="102"/>
        <item h="1" m="1" x="315"/>
        <item h="1" m="1" x="502"/>
        <item h="1" m="1" x="328"/>
        <item h="1" m="1" x="152"/>
        <item h="1" m="1" x="684"/>
        <item h="1" m="1" x="373"/>
        <item h="1" m="1" x="397"/>
        <item h="1" m="1" x="229"/>
        <item h="1" m="1" x="30"/>
        <item h="1" m="1" x="243"/>
        <item h="1" m="1" x="591"/>
        <item h="1" m="1" x="56"/>
        <item h="1" m="1" x="90"/>
        <item h="1" m="1" x="307"/>
        <item h="1" m="1" x="496"/>
        <item h="1" m="1" x="664"/>
        <item h="1" m="1" x="157"/>
        <item h="1" m="1" x="359"/>
        <item h="1" m="1" x="183"/>
        <item h="1" m="1" x="546"/>
        <item h="1" m="1" x="700"/>
        <item h="1" m="1" x="384"/>
        <item h="1" m="1" x="712"/>
        <item h="1" m="1" x="212"/>
        <item h="1" m="1" x="21"/>
        <item h="1" m="1" x="411"/>
        <item h="1" m="1" x="581"/>
        <item h="1" m="1" x="35"/>
        <item h="1" m="1" x="424"/>
        <item h="1" m="1" x="50"/>
        <item h="1" m="1" x="86"/>
        <item h="1" m="1" x="101"/>
        <item h="1" m="1" x="295"/>
        <item h="1" m="1" x="641"/>
        <item h="1" m="1" x="314"/>
        <item h="1" m="1" x="327"/>
        <item h="1" m="1" x="151"/>
        <item h="1" m="1" x="339"/>
        <item h="1" m="1" x="523"/>
        <item h="1" m="1" x="363"/>
        <item h="1" m="1" x="372"/>
        <item h="1" m="1" x="553"/>
        <item h="1" m="1" x="389"/>
        <item h="1" m="1" x="576"/>
        <item h="1" m="1" x="29"/>
        <item h="1" m="1" x="242"/>
        <item h="1" m="1" x="418"/>
        <item h="1" m="1" x="590"/>
        <item h="1" m="1" x="428"/>
        <item h="1" m="1" x="623"/>
        <item h="1" m="1" x="75"/>
        <item h="1" m="1" x="472"/>
        <item h="1" m="1" x="645"/>
        <item h="1" m="1" x="119"/>
        <item h="1" m="1" x="305"/>
        <item h="1" m="1" x="494"/>
        <item h="1" m="1" x="652"/>
        <item h="1" m="1" x="334"/>
        <item h="1" m="1" x="671"/>
        <item h="1" m="1" x="348"/>
        <item h="1" m="1" x="182"/>
        <item h="1" m="1" x="556"/>
        <item h="1" m="1" x="565"/>
        <item h="1" m="1" x="5"/>
        <item h="1" m="1" x="572"/>
        <item h="1" m="1" x="580"/>
        <item h="1" x="1"/>
        <item h="1" m="1" x="48"/>
        <item h="1" m="1" x="449"/>
        <item h="1" m="1" x="83"/>
        <item h="1" m="1" x="467"/>
        <item h="1" m="1" x="632"/>
        <item h="1" m="1" x="100"/>
        <item h="1" m="1" x="489"/>
        <item h="1" m="1" x="312"/>
        <item h="1" m="1" x="654"/>
        <item h="1" m="1" x="338"/>
        <item h="1" m="1" x="522"/>
        <item h="1" m="1" x="674"/>
        <item h="1" m="1" x="683"/>
        <item h="1" m="1" x="190"/>
        <item h="1" m="1" x="510"/>
        <item h="1" m="1" x="706"/>
        <item h="1" m="1" x="206"/>
        <item h="1" m="1" x="28"/>
        <item h="1" m="1" x="588"/>
        <item h="1" m="1" x="272"/>
        <item h="1" m="1" x="415"/>
        <item h="1" m="1" x="636"/>
        <item h="1" m="1" x="300"/>
        <item h="1" m="1" x="321"/>
        <item h="1" m="1" x="505"/>
        <item h="1" m="1" x="516"/>
        <item h="1" m="1" x="347"/>
        <item h="1" m="1" x="680"/>
        <item h="1" m="1" x="169"/>
        <item h="1" m="1" x="537"/>
        <item h="1" m="1" x="181"/>
        <item h="1" m="1" x="383"/>
        <item h="1" m="1" x="232"/>
        <item h="1" m="1" x="376"/>
        <item h="1" m="1" x="488"/>
        <item h="1" m="1" x="647"/>
        <item h="1" m="1" x="501"/>
        <item h="1" m="1" x="139"/>
        <item h="1" m="1" x="163"/>
        <item h="1" m="1" x="705"/>
        <item h="1" m="1" x="241"/>
        <item h="1" m="1" x="417"/>
        <item h="1" m="1" x="427"/>
        <item h="1" m="1" x="55"/>
        <item h="1" m="1" x="442"/>
        <item h="1" m="1" x="613"/>
        <item h="1" m="1" x="626"/>
        <item h="1" m="1" x="89"/>
        <item h="1" m="1" x="661"/>
        <item h="1" m="1" x="689"/>
        <item h="1" m="1" x="381"/>
        <item h="1" m="1" x="167"/>
        <item h="1" m="1" x="19"/>
        <item h="1" m="1" x="231"/>
        <item h="1" m="1" x="544"/>
        <item h="1" m="1" x="58"/>
        <item h="1" m="1" x="465"/>
        <item h="1" m="1" x="98"/>
        <item h="1" m="1" x="124"/>
        <item h="1" m="1" x="520"/>
        <item h="1" m="1" x="352"/>
        <item h="1" m="1" x="387"/>
        <item h="1" m="1" x="474"/>
        <item h="1" m="1" x="26"/>
        <item h="1" m="1" x="586"/>
        <item h="1" m="1" x="255"/>
        <item h="1" m="1" x="289"/>
        <item h="1" m="1" x="660"/>
        <item h="1" m="1" x="346"/>
        <item h="1" m="1" x="536"/>
        <item h="1" m="1" x="211"/>
        <item h="1" m="1" x="677"/>
        <item h="1" m="1" x="571"/>
        <item h="1" m="1" x="258"/>
        <item h="1" m="1" x="437"/>
        <item h="1" m="1" x="604"/>
        <item h="1" m="1" x="448"/>
        <item h="1" m="1" x="640"/>
        <item h="1" m="1" x="500"/>
        <item h="1" m="1" x="337"/>
        <item h="1" m="1" x="351"/>
        <item h="1" m="1" x="532"/>
        <item h="1" m="1" x="542"/>
        <item h="1" m="1" x="693"/>
        <item h="1" m="1" x="188"/>
        <item h="1" m="1" x="371"/>
        <item h="1" m="1" x="240"/>
        <item h="1" m="1" x="253"/>
        <item h="1" m="1" x="612"/>
        <item h="1" m="1" x="40"/>
        <item h="1" m="1" x="299"/>
        <item h="1" m="1" x="644"/>
        <item h="1" m="1" x="513"/>
        <item h="1" m="1" x="155"/>
        <item h="1" m="1" x="179"/>
        <item h="1" m="1" x="554"/>
        <item h="1" m="1" x="73"/>
        <item h="1" m="1" x="459"/>
        <item h="1" m="1" x="81"/>
        <item h="1" m="1" x="293"/>
        <item h="1" m="1" x="173"/>
        <item h="1" m="1" x="692"/>
        <item h="1" m="1" x="473"/>
        <item h="1" m="1" x="585"/>
        <item h="1" m="1" x="426"/>
        <item h="1" m="1" x="512"/>
        <item h="1" m="1" x="297"/>
        <item h="1" m="1" x="345"/>
        <item h="1" m="1" x="709"/>
        <item h="1" m="1" x="593"/>
        <item h="1" m="1" x="435"/>
        <item h="1" m="1" x="80"/>
        <item h="1" m="1" x="592"/>
        <item h="1" m="1" x="326"/>
        <item h="1" m="1" x="292"/>
        <item h="1" m="1" x="172"/>
        <item h="1" m="1" x="551"/>
        <item h="1" m="1" x="204"/>
        <item h="1" m="1" x="263"/>
        <item h="1" m="1" x="470"/>
        <item h="1" m="1" x="650"/>
        <item h="1" m="1" x="318"/>
        <item h="1" m="1" x="105"/>
        <item h="1" m="1" x="344"/>
        <item h="1" m="1" x="534"/>
        <item h="1" m="1" x="696"/>
        <item h="1" m="1" x="210"/>
        <item h="1" m="1" x="178"/>
        <item h="1" m="1" x="675"/>
        <item h="1" m="1" x="110"/>
        <item h="1" m="1" x="138"/>
        <item h="1" m="1" x="203"/>
        <item h="1" m="1" x="441"/>
        <item h="1" m="1" x="38"/>
        <item h="1" m="1" x="648"/>
        <item h="1" m="1" x="154"/>
        <item h="1" m="1" x="196"/>
        <item h="1" m="1" x="32"/>
        <item h="1" m="1" x="464"/>
        <item h="1" m="1" x="499"/>
        <item h="1" m="1" x="325"/>
        <item h="1" m="1" x="362"/>
        <item h="1" m="1" x="403"/>
        <item h="1" m="1" x="65"/>
        <item h="1" m="1" x="452"/>
        <item h="1" m="1" x="620"/>
        <item h="1" m="1" x="298"/>
        <item h="1" m="1" x="117"/>
        <item h="1" m="1" x="527"/>
        <item h="1" m="1" x="564"/>
        <item h="1" m="1" x="570"/>
        <item h="1" m="1" x="406"/>
        <item h="1" m="1" x="616"/>
        <item h="1" m="1" x="160"/>
        <item h="1" m="1" x="199"/>
        <item h="1" m="1" x="64"/>
        <item h="1" m="1" x="88"/>
        <item h="1" m="1" x="563"/>
        <item h="1" m="1" x="246"/>
        <item h="1" m="1" x="646"/>
        <item h="1" m="1" x="703"/>
        <item h="1" m="1" x="413"/>
        <item h="1" m="1" x="269"/>
        <item h="1" m="1" x="116"/>
        <item h="1" m="1" x="194"/>
        <item h="1" m="1" x="455"/>
        <item h="1" m="1" x="39"/>
        <item h="1" m="1" x="128"/>
        <item h="1" m="1" x="375"/>
        <item h="1" m="1" x="324"/>
        <item h="1" m="1" x="6"/>
        <item h="1" m="1" x="176"/>
        <item h="1" m="1" x="70"/>
        <item h="1" m="1" x="394"/>
        <item h="1" m="1" x="53"/>
        <item h="1" m="1" x="185"/>
        <item h="1" m="1" x="688"/>
        <item h="1" m="1" x="469"/>
        <item h="1" m="1" x="594"/>
        <item h="1" m="1" x="72"/>
        <item h="1" m="1" x="673"/>
        <item h="1" m="1" x="393"/>
        <item h="1" m="1" x="386"/>
        <item h="1" m="1" x="144"/>
        <item h="1" m="1" x="514"/>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m="1" x="4380"/>
        <item m="1" x="648"/>
        <item m="1" x="1862"/>
        <item m="1" x="3086"/>
        <item m="1" x="4298"/>
        <item m="1" x="566"/>
        <item m="1" x="1780"/>
        <item m="1" x="3004"/>
        <item m="1" x="4217"/>
        <item m="1" x="485"/>
        <item m="1" x="1699"/>
        <item m="1" x="2924"/>
        <item m="1" x="4138"/>
        <item m="1" x="405"/>
        <item m="1" x="1619"/>
        <item m="1" x="2231"/>
        <item m="1" x="2844"/>
        <item m="1" x="3454"/>
        <item m="1" x="4059"/>
        <item m="1" x="4664"/>
        <item m="1" x="324"/>
        <item m="1" x="933"/>
        <item m="1" x="1537"/>
        <item m="1" x="2147"/>
        <item m="1" x="2761"/>
        <item m="1" x="3371"/>
        <item m="1" x="3977"/>
        <item m="1" x="4581"/>
        <item m="1" x="242"/>
        <item m="1" x="851"/>
        <item m="1" x="1456"/>
        <item m="1" x="2065"/>
        <item m="1" x="2679"/>
        <item m="1" x="3289"/>
        <item m="1" x="3897"/>
        <item m="1" x="4501"/>
        <item m="1" x="161"/>
        <item m="1" x="770"/>
        <item m="1" x="1376"/>
        <item m="1" x="1985"/>
        <item m="1" x="2598"/>
        <item m="1" x="3209"/>
        <item m="1" x="3816"/>
        <item m="1" x="4421"/>
        <item m="1" x="80"/>
        <item m="1" x="690"/>
        <item m="1" x="1296"/>
        <item m="1" x="1905"/>
        <item m="1" x="2517"/>
        <item m="1" x="3129"/>
        <item m="1" x="3736"/>
        <item m="1" x="4341"/>
        <item m="1" x="4948"/>
        <item m="1" x="608"/>
        <item m="1" x="1214"/>
        <item m="1" x="1822"/>
        <item m="1" x="2433"/>
        <item m="1" x="3045"/>
        <item m="1" x="3653"/>
        <item m="1" x="4258"/>
        <item m="1" x="4865"/>
        <item m="1" x="525"/>
        <item m="1" x="1132"/>
        <item m="1" x="1739"/>
        <item m="1" x="2350"/>
        <item m="1" x="2962"/>
        <item m="1" x="3572"/>
        <item m="1" x="4177"/>
        <item m="1" x="4783"/>
        <item m="1" x="442"/>
        <item m="1" x="1051"/>
        <item m="1" x="1657"/>
        <item m="1" x="2268"/>
        <item m="1" x="2880"/>
        <item m="1" x="3491"/>
        <item m="1" x="4096"/>
        <item m="1" x="4702"/>
        <item m="1" x="361"/>
        <item m="1" x="971"/>
        <item m="1" x="1274"/>
        <item m="1" x="1576"/>
        <item m="1" x="1883"/>
        <item m="1" x="2186"/>
        <item m="1" x="2494"/>
        <item m="1" x="2799"/>
        <item m="1" x="3106"/>
        <item m="1" x="3410"/>
        <item m="1" x="3714"/>
        <item m="1" x="4016"/>
        <item m="1" x="4319"/>
        <item m="1" x="4620"/>
        <item m="1" x="4926"/>
        <item m="1" x="280"/>
        <item m="1" x="586"/>
        <item m="1" x="890"/>
        <item m="1" x="1193"/>
        <item m="1" x="1495"/>
        <item m="1" x="1801"/>
        <item m="1" x="2104"/>
        <item m="1" x="2412"/>
        <item m="1" x="2718"/>
        <item m="1" x="3024"/>
        <item m="1" x="3329"/>
        <item m="1" x="3633"/>
        <item m="1" x="3936"/>
        <item m="1" x="4238"/>
        <item m="1" x="4539"/>
        <item m="1" x="4844"/>
        <item m="1" x="199"/>
        <item m="1" x="504"/>
        <item m="1" x="809"/>
        <item m="1" x="1112"/>
        <item m="1" x="1415"/>
        <item m="1" x="1719"/>
        <item m="1" x="2024"/>
        <item m="1" x="2330"/>
        <item m="1" x="2638"/>
        <item m="1" x="2943"/>
        <item m="1" x="3249"/>
        <item m="1" x="3553"/>
        <item m="1" x="3857"/>
        <item m="1" x="4158"/>
        <item m="1" x="4461"/>
        <item m="1" x="4764"/>
        <item m="1" x="120"/>
        <item m="1" x="424"/>
        <item m="1" x="730"/>
        <item m="1" x="1033"/>
        <item m="1" x="1337"/>
        <item m="1" x="1639"/>
        <item m="1" x="1946"/>
        <item m="1" x="2250"/>
        <item m="1" x="2558"/>
        <item m="1" x="2863"/>
        <item m="1" x="3170"/>
        <item m="1" x="3474"/>
        <item m="1" x="3778"/>
        <item m="1" x="4079"/>
        <item m="1" x="4383"/>
        <item m="1" x="4684"/>
        <item m="1" x="4990"/>
        <item m="1" x="344"/>
        <item m="1" x="651"/>
        <item m="1" x="954"/>
        <item m="1" x="1257"/>
        <item m="1" x="1559"/>
        <item m="1" x="1866"/>
        <item m="1" x="2169"/>
        <item m="1" x="2477"/>
        <item m="1" x="2783"/>
        <item m="1" x="3090"/>
        <item m="1" x="3393"/>
        <item m="1" x="3697"/>
        <item m="1" x="3999"/>
        <item m="1" x="4302"/>
        <item m="1" x="4603"/>
        <item m="1" x="4909"/>
        <item m="1" x="264"/>
        <item m="1" x="570"/>
        <item m="1" x="873"/>
        <item m="1" x="1176"/>
        <item m="1" x="1478"/>
        <item m="1" x="1784"/>
        <item m="1" x="2087"/>
        <item m="1" x="2395"/>
        <item m="1" x="2702"/>
        <item m="1" x="3008"/>
        <item m="1" x="3312"/>
        <item m="1" x="3616"/>
        <item m="1" x="3919"/>
        <item m="1" x="4221"/>
        <item m="1" x="4522"/>
        <item m="1" x="4827"/>
        <item m="1" x="183"/>
        <item m="1" x="488"/>
        <item m="1" x="793"/>
        <item m="1" x="1095"/>
        <item m="1" x="1398"/>
        <item m="1" x="1702"/>
        <item m="1" x="2008"/>
        <item m="1" x="2314"/>
        <item m="1" x="2622"/>
        <item m="1" x="2927"/>
        <item m="1" x="3233"/>
        <item m="1" x="3536"/>
        <item m="1" x="3840"/>
        <item m="1" x="4141"/>
        <item m="1" x="4444"/>
        <item m="1" x="4748"/>
        <item m="1" x="104"/>
        <item m="1" x="408"/>
        <item m="1" x="714"/>
        <item m="1" x="1016"/>
        <item m="1" x="1320"/>
        <item m="1" x="1622"/>
        <item m="1" x="1929"/>
        <item m="1" x="2234"/>
        <item m="1" x="2542"/>
        <item m="1" x="2847"/>
        <item m="1" x="3154"/>
        <item m="1" x="3457"/>
        <item m="1" x="3761"/>
        <item m="1" x="4062"/>
        <item m="1" x="4365"/>
        <item m="1" x="4668"/>
        <item m="1" x="4974"/>
        <item m="1" x="328"/>
        <item m="1" x="480"/>
        <item m="1" x="634"/>
        <item m="1" x="786"/>
        <item m="1" x="937"/>
        <item m="1" x="1088"/>
        <item m="1" x="1240"/>
        <item m="1" x="1391"/>
        <item m="1" x="1541"/>
        <item m="1" x="1693"/>
        <item m="1" x="1847"/>
        <item m="1" x="2000"/>
        <item m="1" x="2151"/>
        <item m="1" x="2305"/>
        <item m="1" x="2459"/>
        <item m="1" x="2613"/>
        <item m="1" x="2765"/>
        <item m="1" x="2917"/>
        <item m="1" x="3071"/>
        <item m="1" x="3224"/>
        <item m="1" x="3375"/>
        <item m="1" x="3527"/>
        <item m="1" x="3679"/>
        <item m="1" x="3831"/>
        <item m="1" x="3981"/>
        <item m="1" x="4131"/>
        <item m="1" x="4283"/>
        <item m="1" x="4435"/>
        <item m="1" x="4585"/>
        <item m="1" x="4738"/>
        <item m="1" x="4891"/>
        <item m="1" x="94"/>
        <item m="1" x="246"/>
        <item m="1" x="397"/>
        <item m="1" x="551"/>
        <item m="1" x="704"/>
        <item m="1" x="855"/>
        <item m="1" x="1006"/>
        <item m="1" x="1158"/>
        <item m="1" x="1310"/>
        <item m="1" x="1460"/>
        <item m="1" x="1610"/>
        <item m="1" x="1764"/>
        <item m="1" x="1918"/>
        <item m="1" x="2069"/>
        <item m="1" x="2221"/>
        <item m="1" x="2376"/>
        <item m="1" x="2530"/>
        <item m="1" x="2683"/>
        <item m="1" x="2834"/>
        <item m="1" x="2988"/>
        <item m="1" x="3142"/>
        <item m="1" x="3293"/>
        <item m="1" x="3444"/>
        <item m="1" x="3597"/>
        <item m="1" x="3749"/>
        <item m="1" x="3900"/>
        <item m="1" x="4049"/>
        <item m="1" x="4201"/>
        <item m="1" x="4353"/>
        <item m="1" x="4504"/>
        <item m="1" x="4654"/>
        <item m="1" x="4808"/>
        <item m="1" x="4961"/>
        <item m="1" x="164"/>
        <item m="1" x="314"/>
        <item m="1" x="467"/>
        <item m="1" x="621"/>
        <item m="1" x="773"/>
        <item m="1" x="923"/>
        <item m="1" x="1075"/>
        <item m="1" x="1227"/>
        <item m="1" x="1379"/>
        <item m="1" x="1528"/>
        <item m="1" x="1681"/>
        <item m="1" x="1835"/>
        <item m="1" x="1988"/>
        <item m="1" x="2138"/>
        <item m="1" x="2293"/>
        <item m="1" x="2447"/>
        <item m="1" x="2601"/>
        <item m="1" x="2752"/>
        <item m="1" x="2905"/>
        <item m="1" x="3059"/>
        <item m="1" x="3212"/>
        <item m="1" x="3362"/>
        <item m="1" x="3515"/>
        <item m="1" x="3667"/>
        <item m="1" x="3819"/>
        <item m="1" x="3969"/>
        <item m="1" x="4120"/>
        <item m="1" x="4272"/>
        <item m="1" x="4424"/>
        <item m="1" x="4573"/>
        <item m="1" x="4727"/>
        <item m="1" x="4880"/>
        <item m="1" x="83"/>
        <item m="1" x="234"/>
        <item m="1" x="386"/>
        <item m="1" x="540"/>
        <item m="1" x="693"/>
        <item m="1" x="843"/>
        <item m="1" x="995"/>
        <item m="1" x="1147"/>
        <item m="1" x="1299"/>
        <item m="1" x="1449"/>
        <item m="1" x="1600"/>
        <item m="1" x="1754"/>
        <item m="1" x="1908"/>
        <item m="1" x="2058"/>
        <item m="1" x="2211"/>
        <item m="1" x="2366"/>
        <item m="1" x="2520"/>
        <item m="1" x="2672"/>
        <item m="1" x="2824"/>
        <item m="1" x="2978"/>
        <item m="1" x="3132"/>
        <item m="1" x="3282"/>
        <item m="1" x="3434"/>
        <item m="1" x="3587"/>
        <item m="1" x="3739"/>
        <item m="1" x="3890"/>
        <item m="1" x="4040"/>
        <item m="1" x="4192"/>
        <item m="1" x="4344"/>
        <item m="1" x="4494"/>
        <item m="1" x="4645"/>
        <item m="1" x="4799"/>
        <item m="1" x="4952"/>
        <item m="1" x="154"/>
        <item m="1" x="305"/>
        <item m="1" x="458"/>
        <item m="1" x="612"/>
        <item m="1" x="763"/>
        <item m="1" x="914"/>
        <item m="1" x="1066"/>
        <item m="1" x="1218"/>
        <item m="1" x="1369"/>
        <item m="1" x="1519"/>
        <item m="1" x="1672"/>
        <item m="1" x="1826"/>
        <item m="1" x="1978"/>
        <item m="1" x="2128"/>
        <item m="1" x="2283"/>
        <item m="1" x="2437"/>
        <item m="1" x="2590"/>
        <item m="1" x="2742"/>
        <item m="1" x="2895"/>
        <item m="1" x="3049"/>
        <item m="1" x="3201"/>
        <item m="1" x="3352"/>
        <item m="1" x="3505"/>
        <item m="1" x="3657"/>
        <item m="1" x="3808"/>
        <item m="1" x="3959"/>
        <item m="1" x="4110"/>
        <item m="1" x="4262"/>
        <item m="1" x="4413"/>
        <item m="1" x="4562"/>
        <item m="1" x="4716"/>
        <item m="1" x="4869"/>
        <item m="1" x="71"/>
        <item m="1" x="223"/>
        <item m="1" x="375"/>
        <item m="1" x="529"/>
        <item m="1" x="681"/>
        <item m="1" x="832"/>
        <item m="1" x="984"/>
        <item m="1" x="1136"/>
        <item m="1" x="1287"/>
        <item m="1" x="1438"/>
        <item m="1" x="1589"/>
        <item m="1" x="1743"/>
        <item m="1" x="1896"/>
        <item m="1" x="2047"/>
        <item m="1" x="2199"/>
        <item m="1" x="2354"/>
        <item m="1" x="2507"/>
        <item m="1" x="2660"/>
        <item m="1" x="2812"/>
        <item m="1" x="2966"/>
        <item m="1" x="3119"/>
        <item m="1" x="3270"/>
        <item m="1" x="3422"/>
        <item m="1" x="3575"/>
        <item m="1" x="3726"/>
        <item m="1" x="3878"/>
        <item m="1" x="4028"/>
        <item m="1" x="4180"/>
        <item m="1" x="4331"/>
        <item m="1" x="4482"/>
        <item m="1" x="4632"/>
        <item m="1" x="4786"/>
        <item m="1" x="4938"/>
        <item m="1" x="141"/>
        <item m="1" x="292"/>
        <item m="1" x="445"/>
        <item m="1" x="598"/>
        <item m="1" x="750"/>
        <item m="1" x="902"/>
        <item m="1" x="1054"/>
        <item m="1" x="1205"/>
        <item m="1" x="1357"/>
        <item m="1" x="1507"/>
        <item m="1" x="1660"/>
        <item m="1" x="1813"/>
        <item m="1" x="1966"/>
        <item m="1" x="2116"/>
        <item m="1" x="2271"/>
        <item m="1" x="2424"/>
        <item m="1" x="2578"/>
        <item m="1" x="2730"/>
        <item m="1" x="2883"/>
        <item m="1" x="3036"/>
        <item m="1" x="3189"/>
        <item m="1" x="3341"/>
        <item m="1" x="3494"/>
        <item m="1" x="3645"/>
        <item m="1" x="3797"/>
        <item m="1" x="3948"/>
        <item m="1" x="4099"/>
        <item m="1" x="4250"/>
        <item m="1" x="4402"/>
        <item m="1" x="4551"/>
        <item m="1" x="4705"/>
        <item m="1" x="4857"/>
        <item m="1" x="60"/>
        <item m="1" x="212"/>
        <item m="1" x="364"/>
        <item m="1" x="517"/>
        <item m="1" x="670"/>
        <item m="1" x="822"/>
        <item m="1" x="974"/>
        <item m="1" x="1125"/>
        <item m="1" x="1277"/>
        <item m="1" x="1428"/>
        <item m="1" x="1579"/>
        <item m="1" x="1732"/>
        <item m="1" x="1886"/>
        <item m="1" x="2037"/>
        <item m="1" x="2189"/>
        <item m="1" x="2343"/>
        <item m="1" x="2497"/>
        <item m="1" x="2650"/>
        <item m="1" x="2802"/>
        <item m="1" x="2955"/>
        <item m="1" x="3109"/>
        <item m="1" x="3261"/>
        <item m="1" x="3413"/>
        <item m="1" x="3565"/>
        <item m="1" x="3717"/>
        <item m="1" x="3869"/>
        <item m="1" x="4019"/>
        <item m="1" x="4170"/>
        <item m="1" x="4322"/>
        <item m="1" x="4473"/>
        <item m="1" x="4623"/>
        <item m="1" x="4699"/>
        <item m="1" x="4776"/>
        <item m="1" x="4852"/>
        <item m="1" x="4929"/>
        <item m="1" x="55"/>
        <item m="1" x="132"/>
        <item m="1" x="207"/>
        <item m="1" x="283"/>
        <item m="1" x="358"/>
        <item m="1" x="435"/>
        <item m="1" x="512"/>
        <item m="1" x="589"/>
        <item m="1" x="665"/>
        <item m="1" x="741"/>
        <item m="1" x="817"/>
        <item m="1" x="893"/>
        <item m="1" x="968"/>
        <item m="1" x="1044"/>
        <item m="1" x="1120"/>
        <item m="1" x="1196"/>
        <item m="1" x="1271"/>
        <item m="1" x="1348"/>
        <item m="1" x="1423"/>
        <item m="1" x="1498"/>
        <item m="1" x="1573"/>
        <item m="1" x="1650"/>
        <item m="1" x="1727"/>
        <item m="1" x="1804"/>
        <item m="1" x="1880"/>
        <item m="1" x="1957"/>
        <item m="1" x="2032"/>
        <item m="1" x="2107"/>
        <item m="1" x="2183"/>
        <item m="1" x="2261"/>
        <item m="1" x="2338"/>
        <item m="1" x="2415"/>
        <item m="1" x="2491"/>
        <item m="1" x="2569"/>
        <item m="1" x="2645"/>
        <item m="1" x="2721"/>
        <item m="1" x="2796"/>
        <item m="1" x="2873"/>
        <item m="1" x="2950"/>
        <item m="1" x="3027"/>
        <item m="1" x="3103"/>
        <item m="1" x="3180"/>
        <item m="1" x="3256"/>
        <item m="1" x="3332"/>
        <item m="1" x="3407"/>
        <item m="1" x="3484"/>
        <item m="1" x="3560"/>
        <item m="1" x="3636"/>
        <item m="1" x="3711"/>
        <item m="1" x="3788"/>
        <item m="1" x="3864"/>
        <item m="1" x="3939"/>
        <item m="1" x="4013"/>
        <item m="1" x="4089"/>
        <item m="1" x="4165"/>
        <item m="1" x="4241"/>
        <item m="1" x="4316"/>
        <item m="1" x="4393"/>
        <item m="1" x="4468"/>
        <item m="1" x="4542"/>
        <item m="1" x="4617"/>
        <item m="1" x="4694"/>
        <item m="1" x="4771"/>
        <item m="1" x="4847"/>
        <item m="1" x="4923"/>
        <item m="1" x="50"/>
        <item m="1" x="127"/>
        <item m="1" x="202"/>
        <item m="1" x="277"/>
        <item m="1" x="353"/>
        <item m="1" x="430"/>
        <item m="1" x="507"/>
        <item m="1" x="583"/>
        <item m="1" x="660"/>
        <item m="1" x="736"/>
        <item m="1" x="812"/>
        <item m="1" x="887"/>
        <item m="1" x="963"/>
        <item m="1" x="1039"/>
        <item m="1" x="1115"/>
        <item m="1" x="1190"/>
        <item m="1" x="1266"/>
        <item m="1" x="1343"/>
        <item m="1" x="1418"/>
        <item m="1" x="1492"/>
        <item m="1" x="1568"/>
        <item m="1" x="1645"/>
        <item m="1" x="1722"/>
        <item m="1" x="1798"/>
        <item m="1" x="1875"/>
        <item m="1" x="1952"/>
        <item m="1" x="2027"/>
        <item m="1" x="2101"/>
        <item m="1" x="2178"/>
        <item m="1" x="2256"/>
        <item m="1" x="2333"/>
        <item m="1" x="2409"/>
        <item m="1" x="2486"/>
        <item m="1" x="2564"/>
        <item m="1" x="2640"/>
        <item m="1" x="2715"/>
        <item m="1" x="2791"/>
        <item m="1" x="2868"/>
        <item m="1" x="2945"/>
        <item m="1" x="3021"/>
        <item m="1" x="3098"/>
        <item m="1" x="3175"/>
        <item m="1" x="3251"/>
        <item m="1" x="3326"/>
        <item m="1" x="3402"/>
        <item m="1" x="3479"/>
        <item m="1" x="3555"/>
        <item m="1" x="3630"/>
        <item m="1" x="3706"/>
        <item m="1" x="3783"/>
        <item m="1" x="3859"/>
        <item m="1" x="3933"/>
        <item m="1" x="4008"/>
        <item m="1" x="4084"/>
        <item m="1" x="4160"/>
        <item m="1" x="4235"/>
        <item m="1" x="4311"/>
        <item m="1" x="4388"/>
        <item m="1" x="4463"/>
        <item m="1" x="4536"/>
        <item m="1" x="4612"/>
        <item m="1" x="4689"/>
        <item m="1" x="4766"/>
        <item m="1" x="4841"/>
        <item m="1" x="4918"/>
        <item m="1" x="4995"/>
        <item m="1" x="122"/>
        <item m="1" x="197"/>
        <item m="1" x="273"/>
        <item m="1" x="349"/>
        <item m="1" x="426"/>
        <item m="1" x="502"/>
        <item m="1" x="579"/>
        <item m="1" x="656"/>
        <item m="1" x="732"/>
        <item m="1" x="807"/>
        <item m="1" x="883"/>
        <item m="1" x="959"/>
        <item m="1" x="1035"/>
        <item m="1" x="1110"/>
        <item m="1" x="1186"/>
        <item m="1" x="1262"/>
        <item m="1" x="1339"/>
        <item m="1" x="1413"/>
        <item m="1" x="1488"/>
        <item m="1" x="1564"/>
        <item m="1" x="1641"/>
        <item m="1" x="1717"/>
        <item m="1" x="1794"/>
        <item m="1" x="1871"/>
        <item m="1" x="1948"/>
        <item m="1" x="2022"/>
        <item m="1" x="2097"/>
        <item m="1" x="2174"/>
        <item m="1" x="2252"/>
        <item m="1" x="2328"/>
        <item m="1" x="2405"/>
        <item m="1" x="2482"/>
        <item m="1" x="2560"/>
        <item m="1" x="2636"/>
        <item m="1" x="2712"/>
        <item m="1" x="2788"/>
        <item m="1" x="2865"/>
        <item m="1" x="2941"/>
        <item m="1" x="3018"/>
        <item m="1" x="3095"/>
        <item m="1" x="3172"/>
        <item m="1" x="3247"/>
        <item m="1" x="3323"/>
        <item m="1" x="3399"/>
        <item m="1" x="3476"/>
        <item m="1" x="3551"/>
        <item m="1" x="3627"/>
        <item m="1" x="3703"/>
        <item m="1" x="3780"/>
        <item m="1" x="3855"/>
        <item m="1" x="3930"/>
        <item m="1" x="4005"/>
        <item m="1" x="4081"/>
        <item m="1" x="4156"/>
        <item m="1" x="4232"/>
        <item m="1" x="4308"/>
        <item m="1" x="4385"/>
        <item m="1" x="4459"/>
        <item m="1" x="4533"/>
        <item m="1" x="4609"/>
        <item m="1" x="4686"/>
        <item m="1" x="4762"/>
        <item m="1" x="4838"/>
        <item m="1" x="4915"/>
        <item m="1" x="4992"/>
        <item m="1" x="118"/>
        <item m="1" x="194"/>
        <item m="1" x="270"/>
        <item m="1" x="346"/>
        <item m="1" x="422"/>
        <item m="1" x="499"/>
        <item m="1" x="576"/>
        <item m="1" x="653"/>
        <item m="1" x="728"/>
        <item m="1" x="804"/>
        <item m="1" x="880"/>
        <item m="1" x="956"/>
        <item m="1" x="1031"/>
        <item m="1" x="1107"/>
        <item m="1" x="1183"/>
        <item m="1" x="1259"/>
        <item m="1" x="1335"/>
        <item m="1" x="1410"/>
        <item m="1" x="1485"/>
        <item m="1" x="1561"/>
        <item m="1" x="1637"/>
        <item m="1" x="1714"/>
        <item m="1" x="1791"/>
        <item m="1" x="1868"/>
        <item m="1" x="1944"/>
        <item m="1" x="2019"/>
        <item m="1" x="2094"/>
        <item m="1" x="2171"/>
        <item m="1" x="2248"/>
        <item m="1" x="2325"/>
        <item m="1" x="2402"/>
        <item m="1" x="2479"/>
        <item m="1" x="2556"/>
        <item m="1" x="2633"/>
        <item m="1" x="2709"/>
        <item m="1" x="2785"/>
        <item m="1" x="2861"/>
        <item m="1" x="2938"/>
        <item m="1" x="3015"/>
        <item m="1" x="3092"/>
        <item m="1" x="3168"/>
        <item m="1" x="3244"/>
        <item m="1" x="3320"/>
        <item m="1" x="3396"/>
        <item m="1" x="3472"/>
        <item m="1" x="3548"/>
        <item m="1" x="3624"/>
        <item m="1" x="3700"/>
        <item m="1" x="3776"/>
        <item m="1" x="3852"/>
        <item m="1" x="3927"/>
        <item m="1" x="4002"/>
        <item m="1" x="4077"/>
        <item m="1" x="4153"/>
        <item m="1" x="4229"/>
        <item m="1" x="4305"/>
        <item m="1" x="4381"/>
        <item m="1" x="4456"/>
        <item m="1" x="4530"/>
        <item m="1" x="4606"/>
        <item m="1" x="4682"/>
        <item m="1" x="4759"/>
        <item m="1" x="4835"/>
        <item m="1" x="4912"/>
        <item m="1" x="4988"/>
        <item m="1" x="115"/>
        <item m="1" x="191"/>
        <item m="1" x="267"/>
        <item m="1" x="342"/>
        <item m="1" x="419"/>
        <item m="1" x="496"/>
        <item m="1" x="573"/>
        <item m="1" x="649"/>
        <item m="1" x="725"/>
        <item m="1" x="801"/>
        <item m="1" x="876"/>
        <item m="1" x="951"/>
        <item m="1" x="1027"/>
        <item m="1" x="1103"/>
        <item m="1" x="1179"/>
        <item m="1" x="1254"/>
        <item m="1" x="1331"/>
        <item m="1" x="1406"/>
        <item m="1" x="1481"/>
        <item m="1" x="1556"/>
        <item m="1" x="1633"/>
        <item m="1" x="1710"/>
        <item m="1" x="1787"/>
        <item m="1" x="1863"/>
        <item m="1" x="1940"/>
        <item m="1" x="2015"/>
        <item m="1" x="2090"/>
        <item m="1" x="2166"/>
        <item m="1" x="2244"/>
        <item m="1" x="2321"/>
        <item m="1" x="2398"/>
        <item m="1" x="2474"/>
        <item m="1" x="2552"/>
        <item m="1" x="2629"/>
        <item m="1" x="2705"/>
        <item m="1" x="2780"/>
        <item m="1" x="2857"/>
        <item m="1" x="2934"/>
        <item m="1" x="3011"/>
        <item m="1" x="3087"/>
        <item m="1" x="3164"/>
        <item m="1" x="3240"/>
        <item m="1" x="3315"/>
        <item m="1" x="3390"/>
        <item m="1" x="3467"/>
        <item m="1" x="3543"/>
        <item m="1" x="3619"/>
        <item m="1" x="3694"/>
        <item m="1" x="3771"/>
        <item m="1" x="3847"/>
        <item m="1" x="3922"/>
        <item m="1" x="3996"/>
        <item m="1" x="4072"/>
        <item m="1" x="4148"/>
        <item m="1" x="4224"/>
        <item m="1" x="4299"/>
        <item m="1" x="4375"/>
        <item m="1" x="4451"/>
        <item m="1" x="4525"/>
        <item m="1" x="4600"/>
        <item m="1" x="4677"/>
        <item m="1" x="4754"/>
        <item m="1" x="4830"/>
        <item m="1" x="4906"/>
        <item m="1" x="4983"/>
        <item m="1" x="110"/>
        <item m="1" x="186"/>
        <item m="1" x="261"/>
        <item m="1" x="337"/>
        <item m="1" x="414"/>
        <item m="1" x="491"/>
        <item m="1" x="567"/>
        <item m="1" x="643"/>
        <item m="1" x="720"/>
        <item m="1" x="796"/>
        <item m="1" x="870"/>
        <item m="1" x="946"/>
        <item m="1" x="1022"/>
        <item m="1" x="1098"/>
        <item m="1" x="1173"/>
        <item m="1" x="1249"/>
        <item m="1" x="1326"/>
        <item m="1" x="1401"/>
        <item m="1" x="1475"/>
        <item m="1" x="1551"/>
        <item m="1" x="1628"/>
        <item m="1" x="1705"/>
        <item m="1" x="1781"/>
        <item m="1" x="1857"/>
        <item m="1" x="1935"/>
        <item m="1" x="2010"/>
        <item m="1" x="2084"/>
        <item m="1" x="2161"/>
        <item m="1" x="2239"/>
        <item m="1" x="2316"/>
        <item m="1" x="2392"/>
        <item m="1" x="2469"/>
        <item m="1" x="2547"/>
        <item m="1" x="2624"/>
        <item m="1" x="2699"/>
        <item m="1" x="2775"/>
        <item m="1" x="2852"/>
        <item m="1" x="2929"/>
        <item m="1" x="3005"/>
        <item m="1" x="3081"/>
        <item m="1" x="3159"/>
        <item m="1" x="3235"/>
        <item m="1" x="3309"/>
        <item m="1" x="3385"/>
        <item m="1" x="3462"/>
        <item m="1" x="3538"/>
        <item m="1" x="3613"/>
        <item m="1" x="3689"/>
        <item m="1" x="3766"/>
        <item m="1" x="3842"/>
        <item m="1" x="3916"/>
        <item m="1" x="3991"/>
        <item m="1" x="4067"/>
        <item m="1" x="4143"/>
        <item m="1" x="4218"/>
        <item m="1" x="4293"/>
        <item m="1" x="4370"/>
        <item m="1" x="4446"/>
        <item m="1" x="4520"/>
        <item m="1" x="4596"/>
        <item m="1" x="4673"/>
        <item m="1" x="4750"/>
        <item m="1" x="4825"/>
        <item m="1" x="4902"/>
        <item m="1" x="4979"/>
        <item m="1" x="106"/>
        <item m="1" x="181"/>
        <item m="1" x="257"/>
        <item m="1" x="333"/>
        <item m="1" x="410"/>
        <item m="1" x="486"/>
        <item m="1" x="562"/>
        <item m="1" x="639"/>
        <item m="1" x="716"/>
        <item m="1" x="791"/>
        <item m="1" x="866"/>
        <item m="1" x="942"/>
        <item m="1" x="1018"/>
        <item m="1" x="1093"/>
        <item m="1" x="1169"/>
        <item m="1" x="1245"/>
        <item m="1" x="1322"/>
        <item m="1" x="1396"/>
        <item m="1" x="1471"/>
        <item m="1" x="1547"/>
        <item m="1" x="1624"/>
        <item m="1" x="1700"/>
        <item m="1" x="1776"/>
        <item m="1" x="1853"/>
        <item m="1" x="1931"/>
        <item m="1" x="2006"/>
        <item m="1" x="2081"/>
        <item m="1" x="2158"/>
        <item m="1" x="2236"/>
        <item m="1" x="2312"/>
        <item m="1" x="2389"/>
        <item m="1" x="2466"/>
        <item m="1" x="2544"/>
        <item m="1" x="2620"/>
        <item m="1" x="2696"/>
        <item m="1" x="2772"/>
        <item m="1" x="2849"/>
        <item m="1" x="2925"/>
        <item m="1" x="3001"/>
        <item m="1" x="3078"/>
        <item m="1" x="3156"/>
        <item m="1" x="3231"/>
        <item m="1" x="3306"/>
        <item m="1" x="3382"/>
        <item m="1" x="3459"/>
        <item m="1" x="3534"/>
        <item m="1" x="3610"/>
        <item m="1" x="3686"/>
        <item m="1" x="3763"/>
        <item m="1" x="3838"/>
        <item m="1" x="3913"/>
        <item m="1" x="3988"/>
        <item m="1" x="4064"/>
        <item m="1" x="4139"/>
        <item m="1" x="4214"/>
        <item m="1" x="4290"/>
        <item m="1" x="4367"/>
        <item m="1" x="4442"/>
        <item m="1" x="4517"/>
        <item m="1" x="4593"/>
        <item m="1" x="4670"/>
        <item m="1" x="4746"/>
        <item m="1" x="4822"/>
        <item m="1" x="4899"/>
        <item m="1" x="4976"/>
        <item m="1" x="102"/>
        <item m="1" x="178"/>
        <item m="1" x="254"/>
        <item m="1" x="330"/>
        <item m="1" x="406"/>
        <item m="1" x="482"/>
        <item m="1" x="559"/>
        <item m="1" x="636"/>
        <item m="1" x="712"/>
        <item m="1" x="788"/>
        <item m="1" x="863"/>
        <item m="1" x="939"/>
        <item m="1" x="1014"/>
        <item m="1" x="1090"/>
        <item m="1" x="1166"/>
        <item m="1" x="1242"/>
        <item m="1" x="1318"/>
        <item m="1" x="1393"/>
        <item m="1" x="1468"/>
        <item m="1" x="1544"/>
        <item m="1" x="1620"/>
        <item m="1" x="1696"/>
        <item m="1" x="1773"/>
        <item m="1" x="1850"/>
        <item m="1" x="1927"/>
        <item m="1" x="2003"/>
        <item m="1" x="2078"/>
        <item m="1" x="2155"/>
        <item m="1" x="2232"/>
        <item m="1" x="2309"/>
        <item m="1" x="2386"/>
        <item m="1" x="2463"/>
        <item m="1" x="2540"/>
        <item m="1" x="2617"/>
        <item m="1" x="2693"/>
        <item m="1" x="2769"/>
        <item m="1" x="2845"/>
        <item m="1" x="2921"/>
        <item m="1" x="2998"/>
        <item m="1" x="3075"/>
        <item m="1" x="3152"/>
        <item m="1" x="3228"/>
        <item m="1" x="3303"/>
        <item m="1" x="3379"/>
        <item m="1" x="3455"/>
        <item m="1" x="3531"/>
        <item m="1" x="3607"/>
        <item m="1" x="3683"/>
        <item m="1" x="3759"/>
        <item m="1" x="3835"/>
        <item m="1" x="3910"/>
        <item m="1" x="3985"/>
        <item m="1" x="1542"/>
        <item m="1" x="4060"/>
        <item m="1" x="1617"/>
        <item m="1" x="4135"/>
        <item m="1" x="1694"/>
        <item m="1" x="4211"/>
        <item m="1" x="1771"/>
        <item m="1" x="4287"/>
        <item m="1" x="1848"/>
        <item m="1" x="4363"/>
        <item m="1" x="1925"/>
        <item m="1" x="4439"/>
        <item m="1" x="2001"/>
        <item m="1" x="4514"/>
        <item m="1" x="2076"/>
        <item m="1" x="4589"/>
        <item m="1" x="2152"/>
        <item m="1" x="4665"/>
        <item m="1" x="2228"/>
        <item m="1" x="4742"/>
        <item m="1" x="2306"/>
        <item m="1" x="4818"/>
        <item m="1" x="2383"/>
        <item m="1" x="4895"/>
        <item m="1" x="2460"/>
        <item m="1" x="4971"/>
        <item m="1" x="2537"/>
        <item m="1" x="98"/>
        <item m="1" x="2614"/>
        <item m="1" x="174"/>
        <item m="1" x="2690"/>
        <item m="1" x="250"/>
        <item m="1" x="2766"/>
        <item m="1" x="325"/>
        <item m="1" x="2841"/>
        <item m="1" x="401"/>
        <item m="1" x="2918"/>
        <item m="1" x="477"/>
        <item m="1" x="2995"/>
        <item m="1" x="555"/>
        <item m="1" x="3072"/>
        <item m="1" x="631"/>
        <item m="1" x="3149"/>
        <item m="1" x="708"/>
        <item m="1" x="3225"/>
        <item m="1" x="783"/>
        <item m="1" x="3300"/>
        <item m="1" x="859"/>
        <item m="1" x="3376"/>
        <item m="1" x="934"/>
        <item m="1" x="3451"/>
        <item m="1" x="1010"/>
        <item m="1" x="3528"/>
        <item m="1" x="1085"/>
        <item m="1" x="3604"/>
        <item m="1" x="1162"/>
        <item m="1" x="3680"/>
        <item m="1" x="1237"/>
        <item m="1" x="3756"/>
        <item m="1" x="1314"/>
        <item m="1" x="3832"/>
        <item m="1" x="1388"/>
        <item m="1" x="3907"/>
        <item m="1" x="1464"/>
        <item m="1" x="3982"/>
        <item m="1" x="1538"/>
        <item m="1" x="4056"/>
        <item m="1" x="1614"/>
        <item m="1" x="4132"/>
        <item m="1" x="1690"/>
        <item m="1" x="4208"/>
        <item m="1" x="1768"/>
        <item m="1" x="4284"/>
        <item m="1" x="1844"/>
        <item m="1" x="4360"/>
        <item m="1" x="1922"/>
        <item m="1" x="4436"/>
        <item m="1" x="1997"/>
        <item m="1" x="4511"/>
        <item m="1" x="2073"/>
        <item m="1" x="4586"/>
        <item m="1" x="2148"/>
        <item m="1" x="4661"/>
        <item m="1" x="2225"/>
        <item m="1" x="4739"/>
        <item m="1" x="2302"/>
        <item m="1" x="4815"/>
        <item m="1" x="2380"/>
        <item m="1" x="4892"/>
        <item m="1" x="2456"/>
        <item m="1" x="4968"/>
        <item m="1" x="2534"/>
        <item m="1" x="95"/>
        <item m="1" x="2610"/>
        <item m="1" x="171"/>
        <item m="1" x="2687"/>
        <item m="1" x="247"/>
        <item m="1" x="2762"/>
        <item m="1" x="321"/>
        <item m="1" x="2838"/>
        <item m="1" x="398"/>
        <item m="1" x="2914"/>
        <item m="1" x="474"/>
        <item m="1" x="2992"/>
        <item m="1" x="552"/>
        <item m="1" x="3068"/>
        <item m="1" x="628"/>
        <item m="1" x="3146"/>
        <item m="1" x="705"/>
        <item m="1" x="3221"/>
        <item m="1" x="780"/>
        <item m="1" x="3297"/>
        <item m="1" x="856"/>
        <item m="1" x="3372"/>
        <item m="1" x="930"/>
        <item m="1" x="3448"/>
        <item m="1" x="1007"/>
        <item m="1" x="3524"/>
        <item m="1" x="1082"/>
        <item m="1" x="3601"/>
        <item m="1" x="1159"/>
        <item m="1" x="3676"/>
        <item m="1" x="1234"/>
        <item m="1" x="3753"/>
        <item m="1" x="1311"/>
        <item m="1" x="3828"/>
        <item m="1" x="1385"/>
        <item m="1" x="3904"/>
        <item m="1" x="1461"/>
        <item m="1" x="3978"/>
        <item m="1" x="1534"/>
        <item m="1" x="4053"/>
        <item m="1" x="1611"/>
        <item m="1" x="4128"/>
        <item m="1" x="1687"/>
        <item m="1" x="4205"/>
        <item m="1" x="1765"/>
        <item m="1" x="4280"/>
        <item m="1" x="1841"/>
        <item m="1" x="4357"/>
        <item m="1" x="1919"/>
        <item m="1" x="4432"/>
        <item m="1" x="1994"/>
        <item m="1" x="4508"/>
        <item m="1" x="2070"/>
        <item m="1" x="4582"/>
        <item m="1" x="2144"/>
        <item m="1" x="4658"/>
        <item m="1" x="2222"/>
        <item m="1" x="4735"/>
        <item m="1" x="2299"/>
        <item m="1" x="4812"/>
        <item m="1" x="2377"/>
        <item m="1" x="4888"/>
        <item m="1" x="2453"/>
        <item m="1" x="4965"/>
        <item m="1" x="2531"/>
        <item m="1" x="91"/>
        <item m="1" x="2607"/>
        <item m="1" x="168"/>
        <item m="1" x="2684"/>
        <item m="1" x="243"/>
        <item m="1" x="2758"/>
        <item m="1" x="318"/>
        <item m="1" x="2835"/>
        <item m="1" x="394"/>
        <item m="1" x="2911"/>
        <item m="1" x="471"/>
        <item m="1" x="2989"/>
        <item m="1" x="548"/>
        <item m="1" x="3065"/>
        <item m="1" x="625"/>
        <item m="1" x="3143"/>
        <item m="1" x="701"/>
        <item m="1" x="3218"/>
        <item m="1" x="777"/>
        <item m="1" x="3294"/>
        <item m="1" x="852"/>
        <item m="1" x="3368"/>
        <item m="1" x="927"/>
        <item m="1" x="3445"/>
        <item m="1" x="1003"/>
        <item m="1" x="3521"/>
        <item m="1" x="1079"/>
        <item m="1" x="3598"/>
        <item m="1" x="1155"/>
        <item m="1" x="3673"/>
        <item m="1" x="1231"/>
        <item m="1" x="3750"/>
        <item m="1" x="1307"/>
        <item m="1" x="3825"/>
        <item m="1" x="1382"/>
        <item m="1" x="3901"/>
        <item m="1" x="1457"/>
        <item m="1" x="3974"/>
        <item m="1" x="1531"/>
        <item m="1" x="4050"/>
        <item m="1" x="1607"/>
        <item m="1" x="4125"/>
        <item m="1" x="1684"/>
        <item m="1" x="4202"/>
        <item m="1" x="1761"/>
        <item m="1" x="4277"/>
        <item m="1" x="1838"/>
        <item m="1" x="4354"/>
        <item m="1" x="1915"/>
        <item m="1" x="4429"/>
        <item m="1" x="1991"/>
        <item m="1" x="4505"/>
        <item m="1" x="2066"/>
        <item m="1" x="4578"/>
        <item m="1" x="2141"/>
        <item m="1" x="4655"/>
        <item m="1" x="2218"/>
        <item m="1" x="4732"/>
        <item m="1" x="2296"/>
        <item m="1" x="4809"/>
        <item m="1" x="2373"/>
        <item m="1" x="4885"/>
        <item m="1" x="2450"/>
        <item m="1" x="4962"/>
        <item m="1" x="2527"/>
        <item m="1" x="88"/>
        <item m="1" x="2604"/>
        <item m="1" x="165"/>
        <item m="1" x="2680"/>
        <item m="1" x="239"/>
        <item m="1" x="2755"/>
        <item m="1" x="315"/>
        <item m="1" x="2831"/>
        <item m="1" x="391"/>
        <item m="1" x="2908"/>
        <item m="1" x="468"/>
        <item m="1" x="2985"/>
        <item m="1" x="545"/>
        <item m="1" x="3062"/>
        <item m="1" x="622"/>
        <item m="1" x="3139"/>
        <item m="1" x="698"/>
        <item m="1" x="3215"/>
        <item m="1" x="774"/>
        <item m="1" x="3290"/>
        <item m="1" x="848"/>
        <item m="1" x="3365"/>
        <item m="1" x="924"/>
        <item m="1" x="3441"/>
        <item m="1" x="1000"/>
        <item m="1" x="3518"/>
        <item m="1" x="1076"/>
        <item m="1" x="3594"/>
        <item m="1" x="1152"/>
        <item m="1" x="3670"/>
        <item m="1" x="1228"/>
        <item m="1" x="3746"/>
        <item m="1" x="1304"/>
        <item m="1" x="3822"/>
        <item m="1" x="1380"/>
        <item m="1" x="3898"/>
        <item m="1" x="1454"/>
        <item m="1" x="3972"/>
        <item m="1" x="1529"/>
        <item m="1" x="4047"/>
        <item m="1" x="1605"/>
        <item m="1" x="4123"/>
        <item m="1" x="1682"/>
        <item m="1" x="4199"/>
        <item m="1" x="1759"/>
        <item m="1" x="4275"/>
        <item m="1" x="1836"/>
        <item m="1" x="4351"/>
        <item m="1" x="1913"/>
        <item m="1" x="4427"/>
        <item m="1" x="1989"/>
        <item m="1" x="4502"/>
        <item m="1" x="2063"/>
        <item m="1" x="4576"/>
        <item m="1" x="2139"/>
        <item m="1" x="4652"/>
        <item m="1" x="2216"/>
        <item m="1" x="4730"/>
        <item m="1" x="2294"/>
        <item m="1" x="4806"/>
        <item m="1" x="2371"/>
        <item m="1" x="4883"/>
        <item m="1" x="2448"/>
        <item m="1" x="4959"/>
        <item m="1" x="2525"/>
        <item m="1" x="86"/>
        <item m="1" x="2602"/>
        <item m="1" x="162"/>
        <item m="1" x="2677"/>
        <item m="1" x="237"/>
        <item m="1" x="2753"/>
        <item m="1" x="312"/>
        <item m="1" x="2829"/>
        <item m="1" x="389"/>
        <item m="1" x="2906"/>
        <item m="1" x="465"/>
        <item m="1" x="2983"/>
        <item m="1" x="543"/>
        <item m="1" x="3060"/>
        <item m="1" x="619"/>
        <item m="1" x="3137"/>
        <item m="1" x="696"/>
        <item m="1" x="3213"/>
        <item m="1" x="771"/>
        <item m="1" x="3287"/>
        <item m="1" x="846"/>
        <item m="1" x="3363"/>
        <item m="1" x="921"/>
        <item m="1" x="3439"/>
        <item m="1" x="998"/>
        <item m="1" x="3516"/>
        <item m="1" x="1073"/>
        <item m="1" x="3592"/>
        <item m="1" x="1150"/>
        <item m="1" x="3668"/>
        <item m="1" x="1225"/>
        <item m="1" x="3744"/>
        <item m="1" x="1302"/>
        <item m="1" x="3820"/>
        <item m="1" x="1377"/>
        <item m="1" x="3895"/>
        <item m="1" x="1452"/>
        <item m="1" x="3970"/>
        <item m="1" x="1526"/>
        <item m="1" x="4045"/>
        <item m="1" x="1603"/>
        <item m="1" x="4121"/>
        <item m="1" x="1679"/>
        <item m="1" x="4197"/>
        <item m="1" x="1757"/>
        <item m="1" x="4273"/>
        <item m="1" x="1833"/>
        <item m="1" x="4349"/>
        <item m="1" x="1911"/>
        <item m="1" x="4425"/>
        <item m="1" x="1986"/>
        <item m="1" x="4499"/>
        <item m="1" x="2061"/>
        <item m="1" x="4574"/>
        <item m="1" x="2136"/>
        <item m="1" x="4650"/>
        <item m="1" x="2214"/>
        <item m="1" x="4728"/>
        <item m="1" x="2291"/>
        <item m="1" x="4804"/>
        <item m="1" x="2369"/>
        <item m="1" x="4881"/>
        <item m="1" x="2445"/>
        <item m="1" x="4957"/>
        <item m="1" x="2523"/>
        <item m="1" x="84"/>
        <item m="1" x="2599"/>
        <item m="1" x="159"/>
        <item m="1" x="2675"/>
        <item m="1" x="235"/>
        <item m="1" x="2750"/>
        <item m="1" x="310"/>
        <item m="1" x="2827"/>
        <item m="1" x="387"/>
        <item m="1" x="2903"/>
        <item m="1" x="463"/>
        <item m="1" x="2981"/>
        <item m="1" x="541"/>
        <item m="1" x="3057"/>
        <item m="1" x="617"/>
        <item m="1" x="3135"/>
        <item m="1" x="694"/>
        <item m="1" x="3210"/>
        <item m="1" x="768"/>
        <item m="1" x="3285"/>
        <item m="1" x="844"/>
        <item m="1" x="3360"/>
        <item m="1" x="919"/>
        <item m="1" x="3437"/>
        <item m="1" x="996"/>
        <item m="1" x="3513"/>
        <item m="1" x="1071"/>
        <item m="1" x="3590"/>
        <item m="1" x="1148"/>
        <item m="1" x="3665"/>
        <item m="1" x="1223"/>
        <item m="1" x="3742"/>
        <item m="1" x="1300"/>
        <item m="1" x="3817"/>
        <item m="1" x="1374"/>
        <item m="1" x="3893"/>
        <item m="1" x="1450"/>
        <item m="1" x="3967"/>
        <item m="1" x="1524"/>
        <item m="1" x="4043"/>
        <item m="1" x="1601"/>
        <item m="1" x="4118"/>
        <item m="1" x="1677"/>
        <item m="1" x="4195"/>
        <item m="1" x="1755"/>
        <item m="1" x="4270"/>
        <item m="1" x="1831"/>
        <item m="1" x="4347"/>
        <item m="1" x="1909"/>
        <item m="1" x="4422"/>
        <item m="1" x="1983"/>
        <item m="1" x="4497"/>
        <item m="1" x="2059"/>
        <item m="1" x="4571"/>
        <item m="1" x="2134"/>
        <item m="1" x="4648"/>
        <item m="1" x="2212"/>
        <item m="1" x="4725"/>
        <item m="1" x="2289"/>
        <item m="1" x="4802"/>
        <item m="1" x="2367"/>
        <item m="1" x="4878"/>
        <item m="1" x="2443"/>
        <item m="1" x="4955"/>
        <item m="1" x="2521"/>
        <item m="1" x="81"/>
        <item m="1" x="2596"/>
        <item m="1" x="157"/>
        <item m="1" x="2673"/>
        <item m="1" x="232"/>
        <item m="1" x="2748"/>
        <item m="1" x="308"/>
        <item m="1" x="2825"/>
        <item m="1" x="384"/>
        <item m="1" x="2901"/>
        <item m="1" x="461"/>
        <item m="1" x="2979"/>
        <item m="1" x="538"/>
        <item m="1" x="3055"/>
        <item m="1" x="615"/>
        <item m="1" x="3133"/>
        <item m="1" x="691"/>
        <item m="1" x="3207"/>
        <item m="1" x="766"/>
        <item m="1" x="3283"/>
        <item m="1" x="841"/>
        <item m="1" x="3358"/>
        <item m="1" x="917"/>
        <item m="1" x="3435"/>
        <item m="1" x="993"/>
        <item m="1" x="3511"/>
        <item m="1" x="1069"/>
        <item m="1" x="3588"/>
        <item m="1" x="1145"/>
        <item m="1" x="3663"/>
        <item m="1" x="1221"/>
        <item m="1" x="3740"/>
        <item m="1" x="1297"/>
        <item m="1" x="3814"/>
        <item m="1" x="1372"/>
        <item m="1" x="3891"/>
        <item m="1" x="1447"/>
        <item m="1" x="3965"/>
        <item m="1" x="1522"/>
        <item m="1" x="4041"/>
        <item m="1" x="1598"/>
        <item m="1" x="4116"/>
        <item m="1" x="1675"/>
        <item m="1" x="4193"/>
        <item m="1" x="1752"/>
        <item m="1" x="4268"/>
        <item m="1" x="1829"/>
        <item m="1" x="4345"/>
        <item m="1" x="1906"/>
        <item m="1" x="4419"/>
        <item m="1" x="1981"/>
        <item m="1" x="4495"/>
        <item m="1" x="2056"/>
        <item m="1" x="4569"/>
        <item m="1" x="2132"/>
        <item m="1" x="4646"/>
        <item m="1" x="2209"/>
        <item m="1" x="4723"/>
        <item m="1" x="2287"/>
        <item m="1" x="4800"/>
        <item m="1" x="2364"/>
        <item m="1" x="4876"/>
        <item m="1" x="2441"/>
        <item m="1" x="4953"/>
        <item m="1" x="2518"/>
        <item m="1" x="78"/>
        <item m="1" x="2594"/>
        <item m="1" x="155"/>
        <item m="1" x="2670"/>
        <item m="1" x="230"/>
        <item m="1" x="2746"/>
        <item m="1" x="306"/>
        <item m="1" x="2822"/>
        <item m="1" x="382"/>
        <item m="1" x="2899"/>
        <item m="1" x="459"/>
        <item m="1" x="2976"/>
        <item m="1" x="536"/>
        <item m="1" x="3053"/>
        <item m="1" x="613"/>
        <item m="1" x="3130"/>
        <item m="1" x="688"/>
        <item m="1" x="3205"/>
        <item m="1" x="764"/>
        <item m="1" x="3280"/>
        <item m="1" x="839"/>
        <item m="1" x="3356"/>
        <item m="1" x="915"/>
        <item m="1" x="3432"/>
        <item m="1" x="991"/>
        <item m="1" x="3509"/>
        <item m="1" x="1067"/>
        <item m="1" x="3585"/>
        <item m="1" x="1143"/>
        <item m="1" x="3661"/>
        <item m="1" x="1219"/>
        <item m="1" x="3737"/>
        <item m="1" x="1294"/>
        <item m="1" x="3812"/>
        <item m="1" x="1370"/>
        <item m="1" x="3888"/>
        <item m="1" x="1445"/>
        <item m="1" x="3963"/>
        <item m="1" x="1520"/>
        <item m="1" x="4038"/>
        <item m="1" x="1596"/>
        <item m="1" x="4114"/>
        <item m="1" x="1673"/>
        <item m="1" x="4190"/>
        <item m="1" x="1750"/>
        <item m="1" x="4266"/>
        <item m="1" x="1827"/>
        <item m="1" x="4342"/>
        <item m="1" x="1903"/>
        <item m="1" x="4417"/>
        <item m="1" x="1979"/>
        <item m="1" x="4492"/>
        <item m="1" x="2054"/>
        <item m="1" x="4566"/>
        <item m="1" x="2129"/>
        <item m="1" x="4642"/>
        <item m="1" x="2206"/>
        <item m="1" x="4720"/>
        <item m="1" x="2284"/>
        <item m="1" x="4796"/>
        <item m="1" x="2361"/>
        <item m="1" x="4873"/>
        <item m="1" x="2438"/>
        <item m="1" x="4949"/>
        <item m="1" x="2514"/>
        <item m="1" x="75"/>
        <item m="1" x="2591"/>
        <item m="1" x="151"/>
        <item m="1" x="2667"/>
        <item m="1" x="227"/>
        <item m="1" x="2743"/>
        <item m="1" x="302"/>
        <item m="1" x="2819"/>
        <item m="1" x="379"/>
        <item m="1" x="2896"/>
        <item m="1" x="455"/>
        <item m="1" x="2973"/>
        <item m="1" x="533"/>
        <item m="1" x="3050"/>
        <item m="1" x="609"/>
        <item m="1" x="3126"/>
        <item m="1" x="685"/>
        <item m="1" x="3202"/>
        <item m="1" x="760"/>
        <item m="1" x="3277"/>
        <item m="1" x="836"/>
        <item m="1" x="3353"/>
        <item m="1" x="911"/>
        <item m="1" x="3429"/>
        <item m="1" x="988"/>
        <item m="1" x="3506"/>
        <item m="1" x="1063"/>
        <item m="1" x="3582"/>
        <item m="1" x="1140"/>
        <item m="1" x="3658"/>
        <item m="1" x="1215"/>
        <item m="1" x="3733"/>
        <item m="1" x="1291"/>
        <item m="1" x="3809"/>
        <item m="1" x="1366"/>
        <item m="1" x="3885"/>
        <item m="1" x="1442"/>
        <item m="1" x="3960"/>
        <item m="1" x="1516"/>
        <item m="1" x="4035"/>
        <item m="1" x="1593"/>
        <item m="1" x="4111"/>
        <item m="1" x="1669"/>
        <item m="1" x="4187"/>
        <item m="1" x="1747"/>
        <item m="1" x="4263"/>
        <item m="1" x="1823"/>
        <item m="1" x="4338"/>
        <item m="1" x="1900"/>
        <item m="1" x="4414"/>
        <item m="1" x="1975"/>
        <item m="1" x="4489"/>
        <item m="1" x="2051"/>
        <item m="1" x="4563"/>
        <item m="1" x="2125"/>
        <item m="1" x="4639"/>
        <item m="1" x="2203"/>
        <item m="1" x="4717"/>
        <item m="1" x="2280"/>
        <item m="1" x="4793"/>
        <item m="1" x="2358"/>
        <item m="1" x="4870"/>
        <item m="1" x="2434"/>
        <item m="1" x="4945"/>
        <item m="1" x="2511"/>
        <item m="1" x="72"/>
        <item m="1" x="2587"/>
        <item m="1" x="148"/>
        <item m="1" x="2664"/>
        <item m="1" x="224"/>
        <item m="1" x="2739"/>
        <item m="1" x="299"/>
        <item m="1" x="2816"/>
        <item m="1" x="376"/>
        <item m="1" x="2892"/>
        <item m="1" x="452"/>
        <item m="1" x="2970"/>
        <item m="1" x="530"/>
        <item m="1" x="3046"/>
        <item m="1" x="605"/>
        <item m="1" x="3123"/>
        <item m="1" x="682"/>
        <item m="1" x="3198"/>
        <item m="1" x="757"/>
        <item m="1" x="3274"/>
        <item m="1" x="833"/>
        <item m="1" x="3349"/>
        <item m="1" x="908"/>
        <item m="1" x="3426"/>
        <item m="1" x="985"/>
        <item m="1" x="3502"/>
        <item m="1" x="1060"/>
        <item m="1" x="3579"/>
        <item m="1" x="1137"/>
        <item m="1" x="3654"/>
        <item m="1" x="1211"/>
        <item m="1" x="3730"/>
        <item m="1" x="1288"/>
        <item m="1" x="3805"/>
        <item m="1" x="1363"/>
        <item m="1" x="3882"/>
        <item m="1" x="1439"/>
        <item m="1" x="3956"/>
        <item m="1" x="1513"/>
        <item m="1" x="4032"/>
        <item m="1" x="1590"/>
        <item m="1" x="4107"/>
        <item m="1" x="1666"/>
        <item m="1" x="4184"/>
        <item m="1" x="1744"/>
        <item m="1" x="4259"/>
        <item m="1" x="1819"/>
        <item m="1" x="4335"/>
        <item m="1" x="1897"/>
        <item m="1" x="4410"/>
        <item m="1" x="1972"/>
        <item m="1" x="4486"/>
        <item m="1" x="2048"/>
        <item m="1" x="4559"/>
        <item m="1" x="2122"/>
        <item m="1" x="4636"/>
        <item m="1" x="2200"/>
        <item m="1" x="4713"/>
        <item m="1" x="2277"/>
        <item m="1" x="4790"/>
        <item m="1" x="2355"/>
        <item m="1" x="4866"/>
        <item m="1" x="2430"/>
        <item m="1" x="4942"/>
        <item m="1" x="2508"/>
        <item m="1" x="68"/>
        <item m="1" x="2584"/>
        <item m="1" x="145"/>
        <item m="1" x="2661"/>
        <item m="1" x="220"/>
        <item m="1" x="2736"/>
        <item m="1" x="296"/>
        <item m="1" x="2813"/>
        <item m="1" x="372"/>
        <item m="1" x="2889"/>
        <item m="1" x="449"/>
        <item m="1" x="2967"/>
        <item m="1" x="526"/>
        <item m="1" x="3042"/>
        <item m="1" x="602"/>
        <item m="1" x="3120"/>
        <item m="1" x="678"/>
        <item m="1" x="3195"/>
        <item m="1" x="754"/>
        <item m="1" x="3271"/>
        <item m="1" x="829"/>
        <item m="1" x="3346"/>
        <item m="1" x="905"/>
        <item m="1" x="3423"/>
        <item m="1" x="981"/>
        <item m="1" x="3499"/>
        <item m="1" x="1057"/>
        <item m="1" x="3576"/>
        <item m="1" x="1133"/>
        <item m="1" x="3650"/>
        <item m="1" x="1208"/>
        <item m="1" x="3727"/>
        <item m="1" x="1284"/>
        <item m="1" x="3802"/>
        <item m="1" x="1360"/>
        <item m="1" x="3879"/>
        <item m="1" x="1435"/>
        <item m="1" x="3953"/>
        <item m="1" x="1510"/>
        <item m="1" x="4029"/>
        <item m="1" x="1586"/>
        <item m="1" x="4104"/>
        <item m="1" x="1663"/>
        <item m="1" x="4181"/>
        <item m="1" x="1740"/>
        <item m="1" x="4255"/>
        <item m="1" x="1816"/>
        <item m="1" x="4332"/>
        <item m="1" x="1893"/>
        <item m="1" x="4407"/>
        <item m="1" x="1969"/>
        <item m="1" x="4483"/>
        <item m="1" x="2044"/>
        <item m="1" x="4556"/>
        <item m="1" x="2119"/>
        <item m="1" x="4633"/>
        <item m="1" x="2196"/>
        <item m="1" x="4710"/>
        <item m="1" x="2274"/>
        <item m="1" x="4787"/>
        <item m="1" x="2351"/>
        <item m="1" x="4862"/>
        <item m="1" x="2427"/>
        <item m="1" x="4939"/>
        <item m="1" x="2504"/>
        <item m="1" x="65"/>
        <item m="1" x="2581"/>
        <item m="1" x="142"/>
        <item m="1" x="2657"/>
        <item m="1" x="217"/>
        <item m="1" x="2733"/>
        <item m="1" x="293"/>
        <item m="1" x="2809"/>
        <item m="1" x="369"/>
        <item m="1" x="2886"/>
        <item m="1" x="446"/>
        <item m="1" x="2963"/>
        <item m="1" x="522"/>
        <item m="1" x="3039"/>
        <item m="1" x="599"/>
        <item m="1" x="3116"/>
        <item m="1" x="675"/>
        <item m="1" x="3192"/>
        <item m="1" x="751"/>
        <item m="1" x="3268"/>
        <item m="1" x="827"/>
        <item m="1" x="3344"/>
        <item m="1" x="903"/>
        <item m="1" x="3420"/>
        <item m="1" x="979"/>
        <item m="1" x="3497"/>
        <item m="1" x="1055"/>
        <item m="1" x="3573"/>
        <item m="1" x="1130"/>
        <item m="1" x="3648"/>
        <item m="1" x="1206"/>
        <item m="1" x="3724"/>
        <item m="1" x="1282"/>
        <item m="1" x="3800"/>
        <item m="1" x="1358"/>
        <item m="1" x="3876"/>
        <item m="1" x="1433"/>
        <item m="1" x="3951"/>
        <item m="1" x="1508"/>
        <item m="1" x="4026"/>
        <item m="1" x="1584"/>
        <item m="1" x="4102"/>
        <item m="1" x="1661"/>
        <item m="1" x="4178"/>
        <item m="1" x="1737"/>
        <item m="1" x="4253"/>
        <item m="1" x="1814"/>
        <item m="1" x="4329"/>
        <item m="1" x="1891"/>
        <item m="1" x="4405"/>
        <item m="1" x="1967"/>
        <item m="1" x="4480"/>
        <item m="1" x="2042"/>
        <item m="1" x="4554"/>
        <item m="1" x="2117"/>
        <item m="1" x="4630"/>
        <item m="1" x="2194"/>
        <item m="1" x="4708"/>
        <item m="1" x="2272"/>
        <item m="1" x="4784"/>
        <item m="1" x="2348"/>
        <item m="1" x="4860"/>
        <item m="1" x="2425"/>
        <item m="1" x="4936"/>
        <item m="1" x="2502"/>
        <item m="1" x="63"/>
        <item m="1" x="2579"/>
        <item m="1" x="139"/>
        <item m="1" x="2655"/>
        <item m="1" x="215"/>
        <item m="1" x="2731"/>
        <item m="1" x="290"/>
        <item m="1" x="2807"/>
        <item m="1" x="367"/>
        <item m="1" x="2884"/>
        <item m="1" x="443"/>
        <item m="1" x="2960"/>
        <item m="1" x="520"/>
        <item m="1" x="3037"/>
        <item m="1" x="596"/>
        <item m="1" x="3114"/>
        <item m="1" x="673"/>
        <item m="1" x="3190"/>
        <item m="1" x="748"/>
        <item m="1" x="3266"/>
        <item m="1" x="825"/>
        <item m="1" x="3342"/>
        <item m="1" x="900"/>
        <item m="1" x="3418"/>
        <item m="1" x="977"/>
        <item m="1" x="3495"/>
        <item m="1" x="1052"/>
        <item m="1" x="3570"/>
        <item m="1" x="1128"/>
        <item m="1" x="3646"/>
        <item m="1" x="1203"/>
        <item m="1" x="3722"/>
        <item m="1" x="1280"/>
        <item m="1" x="3798"/>
        <item m="1" x="1355"/>
        <item m="1" x="3874"/>
        <item m="1" x="1431"/>
        <item m="1" x="3949"/>
        <item m="1" x="1505"/>
        <item m="1" x="4024"/>
        <item m="1" x="1582"/>
        <item m="1" x="4100"/>
        <item m="1" x="1658"/>
        <item m="1" x="4175"/>
        <item m="1" x="1735"/>
        <item m="1" x="4251"/>
        <item m="1" x="1811"/>
        <item m="1" x="4327"/>
        <item m="1" x="1889"/>
        <item m="1" x="4403"/>
        <item m="1" x="1964"/>
        <item m="1" x="4478"/>
        <item m="1" x="2040"/>
        <item m="1" x="4552"/>
        <item m="1" x="2114"/>
        <item m="1" x="4628"/>
        <item m="1" x="2192"/>
        <item m="1" x="4706"/>
        <item m="1" x="2269"/>
        <item m="1" x="4781"/>
        <item m="1" x="2346"/>
        <item m="1" x="4858"/>
        <item m="1" x="2422"/>
        <item m="1" x="4934"/>
        <item m="1" x="2500"/>
        <item m="1" x="61"/>
        <item m="1" x="2576"/>
        <item m="1" x="137"/>
        <item m="1" x="2653"/>
        <item m="1" x="213"/>
        <item m="1" x="2728"/>
        <item m="1" x="288"/>
        <item m="1" x="2805"/>
        <item m="1" x="365"/>
        <item m="1" x="2881"/>
        <item m="1" x="440"/>
        <item m="1" x="2958"/>
        <item m="1" x="518"/>
        <item m="1" x="3034"/>
        <item m="1" x="594"/>
        <item m="1" x="3112"/>
        <item m="1" x="671"/>
        <item m="1" x="3187"/>
        <item m="1" x="746"/>
        <item m="1" x="3264"/>
        <item m="1" x="823"/>
        <item m="1" x="3339"/>
        <item m="1" x="898"/>
        <item m="1" x="3416"/>
        <item m="1" x="975"/>
        <item m="1" x="3492"/>
        <item m="1" x="1049"/>
        <item m="1" x="3568"/>
        <item m="1" x="1126"/>
        <item m="1" x="3643"/>
        <item m="1" x="1201"/>
        <item m="1" x="3720"/>
        <item m="1" x="1278"/>
        <item m="1" x="3795"/>
        <item m="1" x="1353"/>
        <item m="1" x="3872"/>
        <item m="1" x="1429"/>
        <item m="1" x="3946"/>
        <item m="1" x="1503"/>
        <item m="1" x="4022"/>
        <item m="1" x="1580"/>
        <item m="1" x="4097"/>
        <item m="1" x="1655"/>
        <item m="1" x="4173"/>
        <item m="1" x="1733"/>
        <item m="1" x="4248"/>
        <item m="1" x="1809"/>
        <item m="1" x="4325"/>
        <item m="1" x="1887"/>
        <item m="1" x="4400"/>
        <item m="1" x="1962"/>
        <item m="1" x="4476"/>
        <item m="1" x="2038"/>
        <item m="1" x="4549"/>
        <item m="1" x="2112"/>
        <item m="1" x="4626"/>
        <item m="1" x="2190"/>
        <item m="1" x="4703"/>
        <item m="1" x="2266"/>
        <item m="1" x="4779"/>
        <item m="1" x="2344"/>
        <item m="1" x="4855"/>
        <item m="1" x="2420"/>
        <item m="1" x="4932"/>
        <item m="1" x="2498"/>
        <item m="1" x="58"/>
        <item m="1" x="2574"/>
        <item m="1" x="135"/>
        <item m="1" x="2651"/>
        <item m="1" x="210"/>
        <item m="1" x="2726"/>
        <item m="1" x="286"/>
        <item m="1" x="2803"/>
        <item m="1" x="362"/>
        <item m="1" x="2878"/>
        <item m="1" x="438"/>
        <item m="1" x="2956"/>
        <item m="1" x="515"/>
        <item m="1" x="3032"/>
        <item m="1" x="592"/>
        <item m="1" x="3110"/>
        <item m="1" x="668"/>
        <item m="1" x="3185"/>
        <item m="1" x="744"/>
        <item m="1" x="3262"/>
        <item m="1" x="820"/>
        <item m="1" x="3337"/>
        <item m="1" x="896"/>
        <item m="1" x="3414"/>
        <item m="1" x="972"/>
        <item m="1" x="3489"/>
        <item m="1" x="1047"/>
        <item m="1" x="3566"/>
        <item m="1" x="1123"/>
        <item m="1" x="3641"/>
        <item m="1" x="1199"/>
        <item m="1" x="3718"/>
        <item m="1" x="1275"/>
        <item m="1" x="3793"/>
        <item m="1" x="1351"/>
        <item m="1" x="3870"/>
        <item m="1" x="1426"/>
        <item m="1" x="3944"/>
        <item m="1" x="1501"/>
        <item m="1" x="4020"/>
        <item m="1" x="1577"/>
        <item m="1" x="4094"/>
        <item m="1" x="1653"/>
        <item m="1" x="4171"/>
        <item m="1" x="1730"/>
        <item m="1" x="4246"/>
        <item m="1" x="1807"/>
        <item m="1" x="4323"/>
        <item m="1" x="1884"/>
        <item m="1" x="4398"/>
        <item m="1" x="1960"/>
        <item m="1" x="4474"/>
        <item m="1" x="2035"/>
        <item m="1" x="4547"/>
        <item m="1" x="2110"/>
        <item m="1" x="4624"/>
        <item m="1" x="2187"/>
        <item m="1" x="4700"/>
        <item m="1" x="2264"/>
        <item m="1" x="4777"/>
        <item m="1" x="2341"/>
        <item m="1" x="4853"/>
        <item m="1" x="2418"/>
        <item m="1" x="4930"/>
        <item m="1" x="2495"/>
        <item m="1" x="56"/>
        <item m="1" x="2572"/>
        <item m="1" x="133"/>
        <item m="1" x="2648"/>
        <item m="1" x="208"/>
        <item m="1" x="2724"/>
        <item m="1" x="284"/>
        <item m="1" x="2800"/>
        <item m="1" x="359"/>
        <item m="1" x="2876"/>
        <item m="1" x="436"/>
        <item m="1" x="2953"/>
        <item m="1" x="513"/>
        <item m="1" x="3030"/>
        <item m="1" x="590"/>
        <item m="1" x="3107"/>
        <item m="1" x="666"/>
        <item m="1" x="3183"/>
        <item m="1" x="742"/>
        <item m="1" x="3259"/>
        <item m="1" x="818"/>
        <item m="1" x="3335"/>
        <item m="1" x="4590"/>
        <item m="1" x="894"/>
        <item m="1" x="2153"/>
        <item m="1" x="3411"/>
        <item m="1" x="4666"/>
        <item m="1" x="969"/>
        <item m="1" x="2229"/>
        <item m="1" x="3487"/>
        <item m="1" x="4743"/>
        <item m="1" x="1045"/>
        <item m="1" x="2307"/>
        <item m="1" x="3563"/>
        <item m="1" x="4819"/>
        <item m="1" x="1121"/>
        <item m="1" x="2384"/>
        <item m="1" x="3639"/>
        <item m="1" x="4896"/>
        <item m="1" x="1197"/>
        <item m="1" x="2461"/>
        <item m="1" x="3715"/>
        <item m="1" x="4972"/>
        <item m="1" x="1272"/>
        <item m="1" x="2538"/>
        <item m="1" x="3791"/>
        <item m="1" x="99"/>
        <item m="1" x="1349"/>
        <item m="1" x="2615"/>
        <item m="1" x="3867"/>
        <item m="1" x="175"/>
        <item m="1" x="1424"/>
        <item m="1" x="2691"/>
        <item m="1" x="3942"/>
        <item m="1" x="251"/>
        <item m="1" x="1499"/>
        <item m="1" x="2767"/>
        <item m="1" x="4017"/>
        <item m="1" x="326"/>
        <item m="1" x="1574"/>
        <item m="1" x="2842"/>
        <item m="1" x="4092"/>
        <item m="1" x="402"/>
        <item m="1" x="1651"/>
        <item m="1" x="2919"/>
        <item m="1" x="4168"/>
        <item m="1" x="478"/>
        <item m="1" x="1728"/>
        <item m="1" x="2996"/>
        <item m="1" x="4244"/>
        <item m="1" x="556"/>
        <item m="1" x="1805"/>
        <item m="1" x="3073"/>
        <item m="1" x="4320"/>
        <item m="1" x="632"/>
        <item m="1" x="1881"/>
        <item m="1" x="3150"/>
        <item m="1" x="4396"/>
        <item m="1" x="709"/>
        <item m="1" x="1958"/>
        <item m="1" x="3226"/>
        <item m="1" x="4471"/>
        <item m="1" x="784"/>
        <item m="1" x="2033"/>
        <item m="1" x="3301"/>
        <item m="1" x="4545"/>
        <item m="1" x="860"/>
        <item m="1" x="2108"/>
        <item m="1" x="3377"/>
        <item m="1" x="4621"/>
        <item m="1" x="935"/>
        <item m="1" x="2184"/>
        <item m="1" x="3452"/>
        <item m="1" x="4697"/>
        <item m="1" x="1011"/>
        <item m="1" x="2262"/>
        <item m="1" x="3529"/>
        <item m="1" x="4774"/>
        <item m="1" x="1086"/>
        <item m="1" x="2339"/>
        <item m="1" x="3605"/>
        <item m="1" x="4850"/>
        <item m="1" x="1163"/>
        <item m="1" x="2416"/>
        <item m="1" x="3681"/>
        <item m="1" x="4927"/>
        <item m="1" x="1238"/>
        <item m="1" x="2492"/>
        <item m="1" x="3757"/>
        <item m="1" x="53"/>
        <item m="1" x="1315"/>
        <item m="1" x="2570"/>
        <item m="1" x="3833"/>
        <item m="1" x="130"/>
        <item m="1" x="1389"/>
        <item m="1" x="2646"/>
        <item m="1" x="3908"/>
        <item m="1" x="205"/>
        <item m="1" x="1465"/>
        <item m="1" x="2722"/>
        <item m="1" x="3983"/>
        <item m="1" x="281"/>
        <item m="1" x="1539"/>
        <item m="1" x="2797"/>
        <item m="1" x="4057"/>
        <item m="1" x="356"/>
        <item m="1" x="1615"/>
        <item m="1" x="2874"/>
        <item m="1" x="4133"/>
        <item m="1" x="433"/>
        <item m="1" x="1691"/>
        <item m="1" x="2951"/>
        <item m="1" x="4209"/>
        <item m="1" x="510"/>
        <item m="1" x="1769"/>
        <item m="1" x="3028"/>
        <item m="1" x="4285"/>
        <item m="1" x="587"/>
        <item m="1" x="1845"/>
        <item m="1" x="3104"/>
        <item m="1" x="4361"/>
        <item m="1" x="663"/>
        <item m="1" x="1923"/>
        <item m="1" x="3181"/>
        <item m="1" x="4437"/>
        <item m="1" x="739"/>
        <item m="1" x="1998"/>
        <item m="1" x="3257"/>
        <item m="1" x="4512"/>
        <item m="1" x="815"/>
        <item m="1" x="2074"/>
        <item m="1" x="3333"/>
        <item m="1" x="4587"/>
        <item m="1" x="891"/>
        <item m="1" x="2149"/>
        <item m="1" x="3408"/>
        <item m="1" x="4662"/>
        <item m="1" x="966"/>
        <item m="1" x="2226"/>
        <item m="1" x="3485"/>
        <item m="1" x="4740"/>
        <item m="1" x="1042"/>
        <item m="1" x="2303"/>
        <item m="1" x="3561"/>
        <item m="1" x="4816"/>
        <item m="1" x="1118"/>
        <item m="1" x="2381"/>
        <item m="1" x="3637"/>
        <item m="1" x="4893"/>
        <item m="1" x="1194"/>
        <item m="1" x="2457"/>
        <item m="1" x="3712"/>
        <item m="1" x="4969"/>
        <item m="1" x="1269"/>
        <item m="1" x="2535"/>
        <item m="1" x="3789"/>
        <item m="1" x="96"/>
        <item m="1" x="1346"/>
        <item m="1" x="2611"/>
        <item m="1" x="3865"/>
        <item m="1" x="172"/>
        <item m="1" x="1421"/>
        <item m="1" x="2688"/>
        <item m="1" x="3940"/>
        <item m="1" x="248"/>
        <item m="1" x="1496"/>
        <item m="1" x="2763"/>
        <item m="1" x="4014"/>
        <item m="1" x="322"/>
        <item m="1" x="1571"/>
        <item m="1" x="2839"/>
        <item m="1" x="4090"/>
        <item m="1" x="399"/>
        <item m="1" x="1648"/>
        <item m="1" x="2915"/>
        <item m="1" x="4166"/>
        <item m="1" x="475"/>
        <item m="1" x="1725"/>
        <item m="1" x="2993"/>
        <item m="1" x="4242"/>
        <item m="1" x="553"/>
        <item m="1" x="1802"/>
        <item m="1" x="3069"/>
        <item m="1" x="4317"/>
        <item m="1" x="629"/>
        <item m="1" x="1878"/>
        <item m="1" x="3147"/>
        <item m="1" x="4394"/>
        <item m="1" x="706"/>
        <item m="1" x="1955"/>
        <item m="1" x="3222"/>
        <item m="1" x="4469"/>
        <item m="1" x="781"/>
        <item m="1" x="2030"/>
        <item m="1" x="3298"/>
        <item m="1" x="4543"/>
        <item m="1" x="857"/>
        <item m="1" x="2105"/>
        <item m="1" x="3373"/>
        <item m="1" x="4618"/>
        <item m="1" x="931"/>
        <item m="1" x="2181"/>
        <item m="1" x="3449"/>
        <item m="1" x="4695"/>
        <item m="1" x="1008"/>
        <item m="1" x="2259"/>
        <item m="1" x="3525"/>
        <item m="1" x="4772"/>
        <item m="1" x="1083"/>
        <item m="1" x="2336"/>
        <item m="1" x="3602"/>
        <item m="1" x="4848"/>
        <item m="1" x="1160"/>
        <item m="1" x="2413"/>
        <item m="1" x="3677"/>
        <item m="1" x="4924"/>
        <item m="1" x="1235"/>
        <item m="1" x="2489"/>
        <item m="1" x="3754"/>
        <item m="1" x="51"/>
        <item m="1" x="1312"/>
        <item m="1" x="2567"/>
        <item m="1" x="3829"/>
        <item m="1" x="128"/>
        <item m="1" x="1386"/>
        <item m="1" x="2643"/>
        <item m="1" x="3905"/>
        <item m="1" x="203"/>
        <item m="1" x="1462"/>
        <item m="1" x="2719"/>
        <item m="1" x="3979"/>
        <item m="1" x="278"/>
        <item m="1" x="1535"/>
        <item m="1" x="2794"/>
        <item m="1" x="4054"/>
        <item m="1" x="354"/>
        <item m="1" x="1612"/>
        <item m="1" x="2871"/>
        <item m="1" x="4129"/>
        <item m="1" x="431"/>
        <item m="1" x="1688"/>
        <item m="1" x="2948"/>
        <item m="1" x="4206"/>
        <item m="1" x="508"/>
        <item m="1" x="1766"/>
        <item m="1" x="3025"/>
        <item m="1" x="4281"/>
        <item m="1" x="584"/>
        <item m="1" x="1842"/>
        <item m="1" x="3101"/>
        <item m="1" x="4358"/>
        <item m="1" x="661"/>
        <item m="1" x="1920"/>
        <item m="1" x="3178"/>
        <item m="1" x="4433"/>
        <item m="1" x="737"/>
        <item m="1" x="1995"/>
        <item m="1" x="3254"/>
        <item m="1" x="4509"/>
        <item m="1" x="813"/>
        <item m="1" x="2071"/>
        <item m="1" x="3330"/>
        <item m="1" x="4583"/>
        <item m="1" x="888"/>
        <item m="1" x="2145"/>
        <item m="1" x="3405"/>
        <item m="1" x="4659"/>
        <item m="1" x="964"/>
        <item m="1" x="2223"/>
        <item m="1" x="3482"/>
        <item m="1" x="4736"/>
        <item m="1" x="1040"/>
        <item m="1" x="2300"/>
        <item m="1" x="3558"/>
        <item m="1" x="4813"/>
        <item m="1" x="1116"/>
        <item m="1" x="2378"/>
        <item m="1" x="3634"/>
        <item m="1" x="4889"/>
        <item m="1" x="1191"/>
        <item m="1" x="2454"/>
        <item m="1" x="3709"/>
        <item m="1" x="4966"/>
        <item m="1" x="1267"/>
        <item m="1" x="2532"/>
        <item m="1" x="3786"/>
        <item m="1" x="92"/>
        <item m="1" x="1344"/>
        <item m="1" x="2608"/>
        <item m="1" x="3862"/>
        <item m="1" x="169"/>
        <item m="1" x="1419"/>
        <item m="1" x="2685"/>
        <item m="1" x="3937"/>
        <item m="1" x="244"/>
        <item m="1" x="1493"/>
        <item m="1" x="2759"/>
        <item m="1" x="4011"/>
        <item m="1" x="319"/>
        <item m="1" x="1569"/>
        <item m="1" x="2836"/>
        <item m="1" x="4087"/>
        <item m="1" x="395"/>
        <item m="1" x="1646"/>
        <item m="1" x="2912"/>
        <item m="1" x="4163"/>
        <item m="1" x="472"/>
        <item m="1" x="1723"/>
        <item m="1" x="2990"/>
        <item m="1" x="4239"/>
        <item m="1" x="549"/>
        <item m="1" x="1799"/>
        <item m="1" x="3066"/>
        <item m="1" x="4314"/>
        <item m="1" x="626"/>
        <item m="1" x="1876"/>
        <item m="1" x="3144"/>
        <item m="1" x="4391"/>
        <item m="1" x="702"/>
        <item m="1" x="1953"/>
        <item m="1" x="3219"/>
        <item m="1" x="4466"/>
        <item m="1" x="778"/>
        <item m="1" x="2028"/>
        <item m="1" x="3295"/>
        <item m="1" x="4540"/>
        <item m="1" x="853"/>
        <item m="1" x="2102"/>
        <item m="1" x="3369"/>
        <item m="1" x="4615"/>
        <item m="1" x="928"/>
        <item m="1" x="2179"/>
        <item m="1" x="3446"/>
        <item m="1" x="4692"/>
        <item m="1" x="1004"/>
        <item m="1" x="2257"/>
        <item m="1" x="3522"/>
        <item m="1" x="4769"/>
        <item m="1" x="1080"/>
        <item m="1" x="2334"/>
        <item m="1" x="3599"/>
        <item m="1" x="4845"/>
        <item m="1" x="1156"/>
        <item m="1" x="2410"/>
        <item m="1" x="3674"/>
        <item m="1" x="4921"/>
        <item m="1" x="1232"/>
        <item m="1" x="2487"/>
        <item m="1" x="3751"/>
        <item m="1" x="4998"/>
        <item m="1" x="1308"/>
        <item m="1" x="2565"/>
        <item m="1" x="3826"/>
        <item m="1" x="125"/>
        <item m="1" x="1383"/>
        <item m="1" x="2641"/>
        <item m="1" x="3902"/>
        <item m="1" x="200"/>
        <item m="1" x="1458"/>
        <item m="1" x="2716"/>
        <item m="1" x="3975"/>
        <item m="1" x="275"/>
        <item m="1" x="1532"/>
        <item m="1" x="2792"/>
        <item m="1" x="4051"/>
        <item m="1" x="351"/>
        <item m="1" x="1608"/>
        <item m="1" x="2869"/>
        <item m="1" x="4126"/>
        <item m="1" x="428"/>
        <item m="1" x="1685"/>
        <item m="1" x="2946"/>
        <item m="1" x="4203"/>
        <item m="1" x="505"/>
        <item m="1" x="1762"/>
        <item m="1" x="3022"/>
        <item m="1" x="4278"/>
        <item m="1" x="581"/>
        <item m="1" x="1839"/>
        <item m="1" x="3099"/>
        <item m="1" x="4355"/>
        <item m="1" x="658"/>
        <item m="1" x="1916"/>
        <item m="1" x="3176"/>
        <item m="1" x="4430"/>
        <item m="1" x="734"/>
        <item m="1" x="1992"/>
        <item m="1" x="3252"/>
        <item m="1" x="4506"/>
        <item m="1" x="810"/>
        <item m="1" x="2067"/>
        <item m="1" x="3327"/>
        <item m="1" x="4579"/>
        <item m="1" x="885"/>
        <item m="1" x="2142"/>
        <item m="1" x="3403"/>
        <item m="1" x="4656"/>
        <item m="1" x="961"/>
        <item m="1" x="2219"/>
        <item m="1" x="3480"/>
        <item m="1" x="4733"/>
        <item m="1" x="1037"/>
        <item m="1" x="2297"/>
        <item m="1" x="3556"/>
        <item m="1" x="4810"/>
        <item m="1" x="1113"/>
        <item m="1" x="2374"/>
        <item m="1" x="3631"/>
        <item m="1" x="4886"/>
        <item m="1" x="1188"/>
        <item m="1" x="2451"/>
        <item m="1" x="3707"/>
        <item m="1" x="4963"/>
        <item m="1" x="1264"/>
        <item m="1" x="2528"/>
        <item m="1" x="3784"/>
        <item m="1" x="89"/>
        <item m="1" x="1341"/>
        <item m="1" x="2605"/>
        <item m="1" x="3860"/>
        <item m="1" x="166"/>
        <item m="1" x="1416"/>
        <item m="1" x="2681"/>
        <item m="1" x="3934"/>
        <item m="1" x="240"/>
        <item m="1" x="1490"/>
        <item m="1" x="2756"/>
        <item m="1" x="4009"/>
        <item m="1" x="316"/>
        <item m="1" x="1566"/>
        <item m="1" x="2832"/>
        <item m="1" x="4085"/>
        <item m="1" x="392"/>
        <item m="1" x="1643"/>
        <item m="1" x="2909"/>
        <item m="1" x="4161"/>
        <item m="1" x="469"/>
        <item m="1" x="1720"/>
        <item m="1" x="2986"/>
        <item m="1" x="4236"/>
        <item m="1" x="546"/>
        <item m="1" x="1796"/>
        <item m="1" x="3063"/>
        <item m="1" x="4312"/>
        <item m="1" x="623"/>
        <item m="1" x="1873"/>
        <item m="1" x="3140"/>
        <item m="1" x="4389"/>
        <item m="1" x="699"/>
        <item m="1" x="1950"/>
        <item m="1" x="3216"/>
        <item m="1" x="4464"/>
        <item m="1" x="775"/>
        <item m="1" x="2025"/>
        <item m="1" x="3291"/>
        <item m="1" x="4537"/>
        <item m="1" x="849"/>
        <item m="1" x="2099"/>
        <item m="1" x="3366"/>
        <item m="1" x="4613"/>
        <item m="1" x="925"/>
        <item m="1" x="2176"/>
        <item m="1" x="3442"/>
        <item m="1" x="4690"/>
        <item m="1" x="1001"/>
        <item m="1" x="2254"/>
        <item m="1" x="3519"/>
        <item m="1" x="4767"/>
        <item m="1" x="1077"/>
        <item m="1" x="2331"/>
        <item m="1" x="3595"/>
        <item m="1" x="4842"/>
        <item m="1" x="1153"/>
        <item m="1" x="2407"/>
        <item m="1" x="3671"/>
        <item m="1" x="4919"/>
        <item m="1" x="1229"/>
        <item m="1" x="2484"/>
        <item m="1" x="3747"/>
        <item m="1" x="4996"/>
        <item m="1" x="1305"/>
        <item m="1" x="2562"/>
        <item m="1" x="3823"/>
        <item m="1" x="123"/>
        <item m="1" x="1381"/>
        <item m="1" x="2639"/>
        <item m="1" x="3899"/>
        <item m="1" x="198"/>
        <item m="1" x="1455"/>
        <item m="1" x="2714"/>
        <item m="1" x="3973"/>
        <item m="1" x="274"/>
        <item m="1" x="1530"/>
        <item m="1" x="2790"/>
        <item m="1" x="4048"/>
        <item m="1" x="350"/>
        <item m="1" x="1606"/>
        <item m="1" x="2867"/>
        <item m="1" x="4124"/>
        <item m="1" x="427"/>
        <item m="1" x="1683"/>
        <item m="1" x="2944"/>
        <item m="1" x="4200"/>
        <item m="1" x="503"/>
        <item m="1" x="1760"/>
        <item m="1" x="3020"/>
        <item m="1" x="4276"/>
        <item m="1" x="580"/>
        <item m="1" x="1837"/>
        <item m="1" x="3097"/>
        <item m="1" x="4352"/>
        <item m="1" x="657"/>
        <item m="1" x="1914"/>
        <item m="1" x="3174"/>
        <item m="1" x="4428"/>
        <item m="1" x="733"/>
        <item m="1" x="1990"/>
        <item m="1" x="3250"/>
        <item m="1" x="4503"/>
        <item m="1" x="808"/>
        <item m="1" x="2064"/>
        <item m="1" x="3325"/>
        <item m="1" x="4577"/>
        <item m="1" x="884"/>
        <item m="1" x="2140"/>
        <item m="1" x="3401"/>
        <item m="1" x="4653"/>
        <item m="1" x="960"/>
        <item m="1" x="2217"/>
        <item m="1" x="3478"/>
        <item m="1" x="4731"/>
        <item m="1" x="1036"/>
        <item m="1" x="2295"/>
        <item m="1" x="3554"/>
        <item m="1" x="4807"/>
        <item m="1" x="1111"/>
        <item m="1" x="2372"/>
        <item m="1" x="3629"/>
        <item m="1" x="4884"/>
        <item m="1" x="1187"/>
        <item m="1" x="2449"/>
        <item m="1" x="3705"/>
        <item m="1" x="4960"/>
        <item m="1" x="1263"/>
        <item m="1" x="2526"/>
        <item m="1" x="3782"/>
        <item m="1" x="87"/>
        <item m="1" x="1340"/>
        <item m="1" x="2603"/>
        <item m="1" x="3858"/>
        <item m="1" x="163"/>
        <item m="1" x="1414"/>
        <item m="1" x="2678"/>
        <item m="1" x="3932"/>
        <item m="1" x="238"/>
        <item m="1" x="1489"/>
        <item m="1" x="2754"/>
        <item m="1" x="4007"/>
        <item m="1" x="313"/>
        <item m="1" x="1565"/>
        <item m="1" x="2830"/>
        <item m="1" x="4083"/>
        <item m="1" x="390"/>
        <item m="1" x="1642"/>
        <item m="1" x="2907"/>
        <item m="1" x="4159"/>
        <item m="1" x="466"/>
        <item m="1" x="1718"/>
        <item m="1" x="2984"/>
        <item m="1" x="4234"/>
        <item m="1" x="544"/>
        <item m="1" x="1795"/>
        <item m="1" x="3061"/>
        <item m="1" x="4310"/>
        <item m="1" x="620"/>
        <item m="1" x="1872"/>
        <item m="1" x="3138"/>
        <item m="1" x="4387"/>
        <item m="1" x="697"/>
        <item m="1" x="1949"/>
        <item m="1" x="3214"/>
        <item m="1" x="4462"/>
        <item m="1" x="772"/>
        <item m="1" x="2023"/>
        <item m="1" x="3288"/>
        <item m="1" x="4535"/>
        <item m="1" x="847"/>
        <item m="1" x="2098"/>
        <item m="1" x="3364"/>
        <item m="1" x="4611"/>
        <item m="1" x="922"/>
        <item m="1" x="2175"/>
        <item m="1" x="3440"/>
        <item m="1" x="4688"/>
        <item m="1" x="999"/>
        <item m="1" x="2253"/>
        <item m="1" x="3517"/>
        <item m="1" x="4765"/>
        <item m="1" x="1074"/>
        <item m="1" x="2329"/>
        <item m="1" x="3593"/>
        <item m="1" x="4840"/>
        <item m="1" x="1151"/>
        <item m="1" x="2406"/>
        <item m="1" x="3669"/>
        <item m="1" x="4917"/>
        <item m="1" x="1226"/>
        <item m="1" x="2483"/>
        <item m="1" x="3745"/>
        <item m="1" x="4994"/>
        <item m="1" x="1303"/>
        <item m="1" x="2561"/>
        <item m="1" x="3821"/>
        <item m="1" x="121"/>
        <item m="1" x="1378"/>
        <item m="1" x="2637"/>
        <item m="1" x="3896"/>
        <item m="1" x="196"/>
        <item m="1" x="1453"/>
        <item m="1" x="2713"/>
        <item m="1" x="3971"/>
        <item m="1" x="272"/>
        <item m="1" x="1527"/>
        <item m="1" x="2789"/>
        <item m="1" x="4046"/>
        <item m="1" x="348"/>
        <item m="1" x="1604"/>
        <item m="1" x="2866"/>
        <item m="1" x="4122"/>
        <item m="1" x="425"/>
        <item m="1" x="1680"/>
        <item m="1" x="2942"/>
        <item m="1" x="4198"/>
        <item m="1" x="501"/>
        <item m="1" x="1758"/>
        <item m="1" x="3019"/>
        <item m="1" x="4274"/>
        <item m="1" x="578"/>
        <item m="1" x="1834"/>
        <item m="1" x="3096"/>
        <item m="1" x="4350"/>
        <item m="1" x="655"/>
        <item m="1" x="1912"/>
        <item m="1" x="3173"/>
        <item m="1" x="4426"/>
        <item m="1" x="731"/>
        <item m="1" x="1987"/>
        <item m="1" x="3248"/>
        <item m="1" x="4500"/>
        <item m="1" x="806"/>
        <item m="1" x="2062"/>
        <item m="1" x="3324"/>
        <item m="1" x="4575"/>
        <item m="1" x="882"/>
        <item m="1" x="2137"/>
        <item m="1" x="3400"/>
        <item m="1" x="4651"/>
        <item m="1" x="958"/>
        <item m="1" x="2215"/>
        <item m="1" x="3477"/>
        <item m="1" x="4729"/>
        <item m="1" x="1034"/>
        <item m="1" x="2292"/>
        <item m="1" x="3552"/>
        <item m="1" x="4805"/>
        <item m="1" x="1109"/>
        <item m="1" x="2370"/>
        <item m="1" x="3628"/>
        <item m="1" x="4882"/>
        <item m="1" x="1185"/>
        <item m="1" x="2446"/>
        <item m="1" x="3704"/>
        <item m="1" x="4958"/>
        <item m="1" x="1261"/>
        <item m="1" x="2524"/>
        <item m="1" x="3781"/>
        <item m="1" x="85"/>
        <item m="1" x="1338"/>
        <item m="1" x="2600"/>
        <item m="1" x="3856"/>
        <item m="1" x="160"/>
        <item m="1" x="1412"/>
        <item m="1" x="2676"/>
        <item m="1" x="3931"/>
        <item m="1" x="236"/>
        <item m="1" x="1487"/>
        <item m="1" x="2751"/>
        <item m="1" x="4006"/>
        <item m="1" x="311"/>
        <item m="1" x="1563"/>
        <item m="1" x="2828"/>
        <item m="1" x="4082"/>
        <item m="1" x="388"/>
        <item m="1" x="1640"/>
        <item m="1" x="2904"/>
        <item m="1" x="4157"/>
        <item m="1" x="464"/>
        <item m="1" x="1716"/>
        <item m="1" x="2982"/>
        <item m="1" x="4233"/>
        <item m="1" x="542"/>
        <item m="1" x="1793"/>
        <item m="1" x="3058"/>
        <item m="1" x="4309"/>
        <item m="1" x="618"/>
        <item m="1" x="1870"/>
        <item m="1" x="3136"/>
        <item m="1" x="4386"/>
        <item m="1" x="695"/>
        <item m="1" x="1947"/>
        <item m="1" x="3211"/>
        <item m="1" x="4460"/>
        <item m="1" x="769"/>
        <item m="1" x="2021"/>
        <item m="1" x="3286"/>
        <item m="1" x="4534"/>
        <item m="1" x="845"/>
        <item m="1" x="2096"/>
        <item m="1" x="3361"/>
        <item m="1" x="4610"/>
        <item m="1" x="920"/>
        <item m="1" x="2173"/>
        <item m="1" x="3438"/>
        <item m="1" x="4687"/>
        <item m="1" x="997"/>
        <item m="1" x="2251"/>
        <item m="1" x="3514"/>
        <item m="1" x="4763"/>
        <item m="1" x="1072"/>
        <item m="1" x="2327"/>
        <item m="1" x="3591"/>
        <item m="1" x="4839"/>
        <item m="1" x="1149"/>
        <item m="1" x="2404"/>
        <item m="1" x="3666"/>
        <item m="1" x="4916"/>
        <item m="1" x="1224"/>
        <item m="1" x="2481"/>
        <item m="1" x="3743"/>
        <item m="1" x="4993"/>
        <item m="1" x="1301"/>
        <item m="1" x="2559"/>
        <item m="1" x="3818"/>
        <item m="1" x="119"/>
        <item m="1" x="1375"/>
        <item m="1" x="2635"/>
        <item m="1" x="3894"/>
        <item m="1" x="195"/>
        <item m="1" x="1451"/>
        <item m="1" x="2711"/>
        <item m="1" x="3968"/>
        <item m="1" x="271"/>
        <item m="1" x="1525"/>
        <item m="1" x="2787"/>
        <item m="1" x="4044"/>
        <item m="1" x="347"/>
        <item m="1" x="1602"/>
        <item m="1" x="2864"/>
        <item m="1" x="4119"/>
        <item m="1" x="423"/>
        <item m="1" x="1678"/>
        <item m="1" x="2940"/>
        <item m="1" x="4196"/>
        <item m="1" x="500"/>
        <item m="1" x="1756"/>
        <item m="1" x="3017"/>
        <item m="1" x="4271"/>
        <item m="1" x="577"/>
        <item m="1" x="1832"/>
        <item m="1" x="3094"/>
        <item m="1" x="4348"/>
        <item m="1" x="654"/>
        <item m="1" x="1910"/>
        <item m="1" x="3171"/>
        <item m="1" x="4423"/>
        <item m="1" x="729"/>
        <item m="1" x="1984"/>
        <item m="1" x="3246"/>
        <item m="1" x="4498"/>
        <item m="1" x="805"/>
        <item m="1" x="2060"/>
        <item m="1" x="3322"/>
        <item m="1" x="4572"/>
        <item m="1" x="881"/>
        <item m="1" x="2135"/>
        <item m="1" x="3398"/>
        <item m="1" x="4649"/>
        <item m="1" x="957"/>
        <item m="1" x="2213"/>
        <item m="1" x="3475"/>
        <item m="1" x="4726"/>
        <item m="1" x="1032"/>
        <item m="1" x="2290"/>
        <item m="1" x="3550"/>
        <item m="1" x="4803"/>
        <item m="1" x="1108"/>
        <item m="1" x="2368"/>
        <item m="1" x="3626"/>
        <item m="1" x="4879"/>
        <item m="1" x="1184"/>
        <item m="1" x="2444"/>
        <item m="1" x="3702"/>
        <item m="1" x="4956"/>
        <item m="1" x="1260"/>
        <item m="1" x="2522"/>
        <item m="1" x="3779"/>
        <item m="1" x="82"/>
        <item m="1" x="1336"/>
        <item m="1" x="2597"/>
        <item m="1" x="3854"/>
        <item m="1" x="158"/>
        <item m="1" x="1411"/>
        <item m="1" x="2674"/>
        <item m="1" x="3929"/>
        <item m="1" x="233"/>
        <item m="1" x="1486"/>
        <item m="1" x="2749"/>
        <item m="1" x="4004"/>
        <item m="1" x="309"/>
        <item m="1" x="1562"/>
        <item m="1" x="2826"/>
        <item m="1" x="4080"/>
        <item m="1" x="385"/>
        <item m="1" x="1638"/>
        <item m="1" x="2902"/>
        <item m="1" x="4155"/>
        <item m="1" x="462"/>
        <item m="1" x="1715"/>
        <item m="1" x="2980"/>
        <item m="1" x="4231"/>
        <item m="1" x="539"/>
        <item m="1" x="1792"/>
        <item m="1" x="3056"/>
        <item m="1" x="4307"/>
        <item m="1" x="616"/>
        <item m="1" x="1869"/>
        <item m="1" x="3134"/>
        <item m="1" x="4384"/>
        <item m="1" x="692"/>
        <item m="1" x="1945"/>
        <item m="1" x="3208"/>
        <item m="1" x="4458"/>
        <item m="1" x="767"/>
        <item m="1" x="2020"/>
        <item m="1" x="3284"/>
        <item m="1" x="4532"/>
        <item m="1" x="842"/>
        <item m="1" x="2095"/>
        <item m="1" x="3359"/>
        <item m="1" x="4608"/>
        <item m="1" x="918"/>
        <item m="1" x="2172"/>
        <item m="1" x="3436"/>
        <item m="1" x="4685"/>
        <item m="1" x="994"/>
        <item m="1" x="2249"/>
        <item m="1" x="3512"/>
        <item m="1" x="4761"/>
        <item m="1" x="1070"/>
        <item m="1" x="2326"/>
        <item m="1" x="3589"/>
        <item m="1" x="4837"/>
        <item m="1" x="1146"/>
        <item m="1" x="2403"/>
        <item m="1" x="3664"/>
        <item m="1" x="4914"/>
        <item m="1" x="1222"/>
        <item m="1" x="2480"/>
        <item m="1" x="3741"/>
        <item m="1" x="4991"/>
        <item m="1" x="1298"/>
        <item m="1" x="2557"/>
        <item m="1" x="3815"/>
        <item m="1" x="117"/>
        <item m="1" x="1373"/>
        <item m="1" x="2634"/>
        <item m="1" x="3892"/>
        <item m="1" x="193"/>
        <item m="1" x="1448"/>
        <item m="1" x="2710"/>
        <item m="1" x="3966"/>
        <item m="1" x="269"/>
        <item m="1" x="1523"/>
        <item m="1" x="2786"/>
        <item m="1" x="4042"/>
        <item m="1" x="345"/>
        <item m="1" x="1599"/>
        <item m="1" x="2862"/>
        <item m="1" x="4117"/>
        <item m="1" x="421"/>
        <item m="1" x="1676"/>
        <item m="1" x="2939"/>
        <item m="1" x="4194"/>
        <item m="1" x="498"/>
        <item m="1" x="1753"/>
        <item m="1" x="3016"/>
        <item m="1" x="4269"/>
        <item m="1" x="575"/>
        <item m="1" x="1830"/>
        <item m="1" x="3093"/>
        <item m="1" x="4346"/>
        <item m="1" x="652"/>
        <item m="1" x="1907"/>
        <item m="1" x="3169"/>
        <item m="1" x="4420"/>
        <item m="1" x="727"/>
        <item m="1" x="1982"/>
        <item m="1" x="3245"/>
        <item m="1" x="4496"/>
        <item m="1" x="803"/>
        <item m="1" x="2057"/>
        <item m="1" x="3321"/>
        <item m="1" x="4570"/>
        <item m="1" x="879"/>
        <item m="1" x="2133"/>
        <item m="1" x="3397"/>
        <item m="1" x="4647"/>
        <item m="1" x="955"/>
        <item m="1" x="2210"/>
        <item m="1" x="3473"/>
        <item m="1" x="4724"/>
        <item m="1" x="1030"/>
        <item m="1" x="2288"/>
        <item m="1" x="3549"/>
        <item m="1" x="4801"/>
        <item m="1" x="1106"/>
        <item m="1" x="2365"/>
        <item m="1" x="3625"/>
        <item m="1" x="4877"/>
        <item m="1" x="1182"/>
        <item m="1" x="2442"/>
        <item m="1" x="3701"/>
        <item m="1" x="4954"/>
        <item m="1" x="1258"/>
        <item m="1" x="2519"/>
        <item m="1" x="3777"/>
        <item m="1" x="79"/>
        <item m="1" x="1334"/>
        <item m="1" x="2595"/>
        <item m="1" x="3853"/>
        <item m="1" x="156"/>
        <item m="1" x="1409"/>
        <item m="1" x="2671"/>
        <item m="1" x="3928"/>
        <item m="1" x="231"/>
        <item m="1" x="1484"/>
        <item m="1" x="2747"/>
        <item m="1" x="4003"/>
        <item m="1" x="307"/>
        <item m="1" x="1560"/>
        <item m="1" x="2823"/>
        <item m="1" x="4078"/>
        <item m="1" x="383"/>
        <item m="1" x="1636"/>
        <item m="1" x="2900"/>
        <item m="1" x="4154"/>
        <item m="1" x="460"/>
        <item m="1" x="1713"/>
        <item m="1" x="2977"/>
        <item m="1" x="4230"/>
        <item m="1" x="537"/>
        <item m="1" x="1790"/>
        <item m="1" x="3054"/>
        <item m="1" x="4306"/>
        <item m="1" x="614"/>
        <item m="1" x="1867"/>
        <item m="1" x="3131"/>
        <item m="1" x="4382"/>
        <item m="1" x="689"/>
        <item m="1" x="1943"/>
        <item m="1" x="3206"/>
        <item m="1" x="4457"/>
        <item m="1" x="765"/>
        <item m="1" x="2018"/>
        <item m="1" x="3281"/>
        <item m="1" x="4531"/>
        <item m="1" x="840"/>
        <item m="1" x="2093"/>
        <item m="1" x="3357"/>
        <item m="1" x="4607"/>
        <item m="1" x="916"/>
        <item m="1" x="2170"/>
        <item m="1" x="3433"/>
        <item m="1" x="4683"/>
        <item m="1" x="992"/>
        <item m="1" x="2247"/>
        <item m="1" x="3510"/>
        <item m="1" x="4760"/>
        <item m="1" x="1068"/>
        <item m="1" x="2324"/>
        <item m="1" x="3586"/>
        <item m="1" x="4836"/>
        <item m="1" x="1144"/>
        <item m="1" x="2401"/>
        <item m="1" x="3662"/>
        <item m="1" x="4913"/>
        <item m="1" x="1220"/>
        <item m="1" x="2478"/>
        <item m="1" x="3738"/>
        <item m="1" x="4989"/>
        <item m="1" x="1295"/>
        <item m="1" x="2555"/>
        <item m="1" x="3813"/>
        <item m="1" x="116"/>
        <item m="1" x="1371"/>
        <item m="1" x="2632"/>
        <item m="1" x="3889"/>
        <item m="1" x="192"/>
        <item m="1" x="1446"/>
        <item m="1" x="2708"/>
        <item m="1" x="3964"/>
        <item m="1" x="268"/>
        <item m="1" x="1521"/>
        <item m="1" x="2784"/>
        <item m="1" x="4039"/>
        <item m="1" x="343"/>
        <item m="1" x="1597"/>
        <item m="1" x="2860"/>
        <item m="1" x="4115"/>
        <item m="1" x="420"/>
        <item m="1" x="1674"/>
        <item m="1" x="2937"/>
        <item m="1" x="4191"/>
        <item m="1" x="497"/>
        <item m="1" x="1751"/>
        <item m="1" x="3014"/>
        <item m="1" x="4267"/>
        <item m="1" x="574"/>
        <item m="1" x="1828"/>
        <item m="1" x="3091"/>
        <item m="1" x="4343"/>
        <item m="1" x="650"/>
        <item m="1" x="1904"/>
        <item m="1" x="3167"/>
        <item m="1" x="4418"/>
        <item m="1" x="726"/>
        <item m="1" x="1980"/>
        <item m="1" x="3243"/>
        <item m="1" x="4493"/>
        <item m="1" x="802"/>
        <item m="1" x="2055"/>
        <item m="1" x="3318"/>
        <item m="1" x="4567"/>
        <item m="1" x="877"/>
        <item m="1" x="2130"/>
        <item m="1" x="3394"/>
        <item m="1" x="4643"/>
        <item m="1" x="952"/>
        <item m="1" x="2207"/>
        <item m="1" x="3470"/>
        <item m="1" x="4721"/>
        <item m="1" x="1028"/>
        <item m="1" x="2285"/>
        <item m="1" x="3546"/>
        <item m="1" x="4797"/>
        <item m="1" x="1104"/>
        <item m="1" x="2362"/>
        <item m="1" x="3622"/>
        <item m="1" x="4874"/>
        <item m="1" x="1180"/>
        <item m="1" x="2439"/>
        <item m="1" x="3698"/>
        <item m="1" x="4950"/>
        <item m="1" x="1255"/>
        <item m="1" x="2515"/>
        <item m="1" x="3774"/>
        <item m="1" x="76"/>
        <item m="1" x="1332"/>
        <item m="1" x="2592"/>
        <item m="1" x="3850"/>
        <item m="1" x="152"/>
        <item m="1" x="1407"/>
        <item m="1" x="2668"/>
        <item m="1" x="3925"/>
        <item m="1" x="228"/>
        <item m="1" x="1482"/>
        <item m="1" x="2744"/>
        <item m="1" x="4000"/>
        <item m="1" x="303"/>
        <item m="1" x="1557"/>
        <item m="1" x="2820"/>
        <item m="1" x="4075"/>
        <item m="1" x="380"/>
        <item m="1" x="1634"/>
        <item m="1" x="2897"/>
        <item m="1" x="4151"/>
        <item m="1" x="456"/>
        <item m="1" x="1711"/>
        <item m="1" x="2974"/>
        <item m="1" x="4227"/>
        <item m="1" x="534"/>
        <item m="1" x="1788"/>
        <item m="1" x="3051"/>
        <item m="1" x="4303"/>
        <item m="1" x="610"/>
        <item m="1" x="1864"/>
        <item m="1" x="3127"/>
        <item m="1" x="4378"/>
        <item m="1" x="686"/>
        <item m="1" x="1941"/>
        <item m="1" x="3203"/>
        <item m="1" x="4454"/>
        <item m="1" x="761"/>
        <item m="1" x="2016"/>
        <item m="1" x="3278"/>
        <item m="1" x="4528"/>
        <item m="1" x="837"/>
        <item m="1" x="2091"/>
        <item m="1" x="3354"/>
        <item m="1" x="4604"/>
        <item m="1" x="912"/>
        <item m="1" x="2167"/>
        <item m="1" x="3430"/>
        <item m="1" x="4680"/>
        <item m="1" x="989"/>
        <item m="1" x="2245"/>
        <item m="1" x="3507"/>
        <item m="1" x="4757"/>
        <item m="1" x="1064"/>
        <item m="1" x="2322"/>
        <item m="1" x="3583"/>
        <item m="1" x="4833"/>
        <item m="1" x="1141"/>
        <item m="1" x="2399"/>
        <item m="1" x="3659"/>
        <item m="1" x="4910"/>
        <item m="1" x="1216"/>
        <item m="1" x="2475"/>
        <item m="1" x="3734"/>
        <item m="1" x="4986"/>
        <item m="1" x="1292"/>
        <item m="1" x="2553"/>
        <item m="1" x="3810"/>
        <item m="1" x="113"/>
        <item m="1" x="1367"/>
        <item m="1" x="2630"/>
        <item m="1" x="3886"/>
        <item m="1" x="189"/>
        <item m="1" x="1443"/>
        <item m="1" x="2706"/>
        <item m="1" x="3961"/>
        <item m="1" x="265"/>
        <item m="1" x="1517"/>
        <item m="1" x="2781"/>
        <item m="1" x="4036"/>
        <item m="1" x="340"/>
        <item m="1" x="1594"/>
        <item m="1" x="2858"/>
        <item m="1" x="4112"/>
        <item m="1" x="417"/>
        <item m="1" x="1670"/>
        <item m="1" x="2935"/>
        <item m="1" x="4188"/>
        <item m="1" x="494"/>
        <item m="1" x="1748"/>
        <item m="1" x="3012"/>
        <item m="1" x="4264"/>
        <item m="1" x="571"/>
        <item m="1" x="1824"/>
        <item m="1" x="3088"/>
        <item m="1" x="4339"/>
        <item m="1" x="646"/>
        <item m="1" x="1901"/>
        <item m="1" x="3165"/>
        <item m="1" x="4415"/>
        <item m="1" x="723"/>
        <item m="1" x="1976"/>
        <item m="1" x="3241"/>
        <item m="1" x="4490"/>
        <item m="1" x="799"/>
        <item m="1" x="2052"/>
        <item m="1" x="3316"/>
        <item m="1" x="4564"/>
        <item m="1" x="874"/>
        <item m="1" x="2126"/>
        <item m="1" x="3391"/>
        <item m="1" x="4640"/>
        <item m="1" x="949"/>
        <item m="1" x="2204"/>
        <item m="1" x="3468"/>
        <item m="1" x="4718"/>
        <item m="1" x="1025"/>
        <item m="1" x="2281"/>
        <item m="1" x="3544"/>
        <item m="1" x="4794"/>
        <item m="1" x="1101"/>
        <item m="1" x="2359"/>
        <item m="1" x="3620"/>
        <item m="1" x="4871"/>
        <item m="1" x="1177"/>
        <item m="1" x="2435"/>
        <item m="1" x="3695"/>
        <item m="1" x="4946"/>
        <item m="1" x="1252"/>
        <item m="1" x="2512"/>
        <item m="1" x="3772"/>
        <item m="1" x="73"/>
        <item m="1" x="1329"/>
        <item m="1" x="2588"/>
        <item m="1" x="3848"/>
        <item m="1" x="149"/>
        <item m="1" x="1404"/>
        <item m="1" x="2665"/>
        <item m="1" x="3923"/>
        <item m="1" x="225"/>
        <item m="1" x="1479"/>
        <item m="1" x="2740"/>
        <item m="1" x="3997"/>
        <item m="1" x="300"/>
        <item m="1" x="1554"/>
        <item m="1" x="2817"/>
        <item m="1" x="4073"/>
        <item m="1" x="377"/>
        <item m="1" x="1631"/>
        <item m="1" x="2893"/>
        <item m="1" x="4149"/>
        <item m="1" x="453"/>
        <item m="1" x="1708"/>
        <item m="1" x="2971"/>
        <item m="1" x="4225"/>
        <item m="1" x="531"/>
        <item m="1" x="1785"/>
        <item m="1" x="3047"/>
        <item m="1" x="4300"/>
        <item m="1" x="606"/>
        <item m="1" x="1860"/>
        <item m="1" x="3124"/>
        <item m="1" x="4376"/>
        <item m="1" x="683"/>
        <item m="1" x="1938"/>
        <item m="1" x="3199"/>
        <item m="1" x="4452"/>
        <item m="1" x="758"/>
        <item m="1" x="2013"/>
        <item m="1" x="3275"/>
        <item m="1" x="4526"/>
        <item m="1" x="834"/>
        <item m="1" x="2088"/>
        <item m="1" x="3350"/>
        <item m="1" x="4601"/>
        <item m="1" x="909"/>
        <item m="1" x="2164"/>
        <item m="1" x="3427"/>
        <item m="1" x="4678"/>
        <item m="1" x="986"/>
        <item m="1" x="2242"/>
        <item m="1" x="3503"/>
        <item m="1" x="4755"/>
        <item m="1" x="1061"/>
        <item m="1" x="2319"/>
        <item m="1" x="3580"/>
        <item m="1" x="4831"/>
        <item m="1" x="1138"/>
        <item m="1" x="2396"/>
        <item m="1" x="3655"/>
        <item m="1" x="4907"/>
        <item m="1" x="1212"/>
        <item m="1" x="2472"/>
        <item m="1" x="3731"/>
        <item m="1" x="4984"/>
        <item m="1" x="1289"/>
        <item m="1" x="2550"/>
        <item m="1" x="3806"/>
        <item m="1" x="111"/>
        <item m="1" x="1364"/>
        <item m="1" x="2627"/>
        <item m="1" x="3883"/>
        <item m="1" x="187"/>
        <item m="1" x="1440"/>
        <item m="1" x="2703"/>
        <item m="1" x="3957"/>
        <item m="1" x="262"/>
        <item m="1" x="1514"/>
        <item m="1" x="2778"/>
        <item m="1" x="4033"/>
        <item m="1" x="338"/>
        <item m="1" x="1591"/>
        <item m="1" x="2855"/>
        <item m="1" x="4108"/>
        <item m="1" x="415"/>
        <item m="1" x="1667"/>
        <item m="1" x="2932"/>
        <item m="1" x="4185"/>
        <item m="1" x="492"/>
        <item m="1" x="1745"/>
        <item m="1" x="3009"/>
        <item m="1" x="4260"/>
        <item m="1" x="568"/>
        <item m="1" x="1820"/>
        <item m="1" x="3084"/>
        <item m="1" x="4336"/>
        <item m="1" x="644"/>
        <item m="1" x="1898"/>
        <item m="1" x="3162"/>
        <item m="1" x="4411"/>
        <item m="1" x="721"/>
        <item m="1" x="1973"/>
        <item m="1" x="3238"/>
        <item m="1" x="4487"/>
        <item m="1" x="797"/>
        <item m="1" x="2049"/>
        <item m="1" x="3313"/>
        <item m="1" x="4560"/>
        <item m="1" x="871"/>
        <item m="1" x="2123"/>
        <item m="1" x="3388"/>
        <item m="1" x="4637"/>
        <item m="1" x="947"/>
        <item m="1" x="2201"/>
        <item m="1" x="3465"/>
        <item m="1" x="4714"/>
        <item m="1" x="1023"/>
        <item m="1" x="2278"/>
        <item m="1" x="3541"/>
        <item m="1" x="4791"/>
        <item m="1" x="1099"/>
        <item m="1" x="2356"/>
        <item m="1" x="3617"/>
        <item m="1" x="4867"/>
        <item m="1" x="1174"/>
        <item m="1" x="2431"/>
        <item m="1" x="3692"/>
        <item m="1" x="4943"/>
        <item m="1" x="1250"/>
        <item m="1" x="2509"/>
        <item m="1" x="3769"/>
        <item m="1" x="69"/>
        <item m="1" x="1327"/>
        <item m="1" x="2585"/>
        <item m="1" x="3845"/>
        <item m="1" x="146"/>
        <item m="1" x="1402"/>
        <item m="1" x="2662"/>
        <item m="1" x="3920"/>
        <item m="1" x="221"/>
        <item m="1" x="1476"/>
        <item m="1" x="2737"/>
        <item m="1" x="3994"/>
        <item m="1" x="297"/>
        <item m="1" x="1552"/>
        <item m="1" x="2814"/>
        <item m="1" x="4070"/>
        <item m="1" x="373"/>
        <item m="1" x="1629"/>
        <item m="1" x="2890"/>
        <item m="1" x="4146"/>
        <item m="1" x="450"/>
        <item m="1" x="1706"/>
        <item m="1" x="2968"/>
        <item m="1" x="4222"/>
        <item m="1" x="527"/>
        <item m="1" x="1782"/>
        <item m="1" x="3043"/>
        <item m="1" x="4296"/>
        <item m="1" x="603"/>
        <item m="1" x="1858"/>
        <item m="1" x="3121"/>
        <item m="1" x="4373"/>
        <item m="1" x="679"/>
        <item m="1" x="1936"/>
        <item m="1" x="3196"/>
        <item m="1" x="4449"/>
        <item m="1" x="755"/>
        <item m="1" x="2011"/>
        <item m="1" x="3272"/>
        <item m="1" x="4523"/>
        <item m="1" x="830"/>
        <item m="1" x="2085"/>
        <item m="1" x="3347"/>
        <item m="1" x="4598"/>
        <item m="1" x="906"/>
        <item m="1" x="2162"/>
        <item m="1" x="3424"/>
        <item m="1" x="4675"/>
        <item m="1" x="982"/>
        <item m="1" x="2240"/>
        <item m="1" x="3500"/>
        <item m="1" x="4752"/>
        <item m="1" x="1058"/>
        <item m="1" x="2317"/>
        <item m="1" x="3577"/>
        <item m="1" x="4828"/>
        <item m="1" x="1134"/>
        <item m="1" x="2393"/>
        <item m="1" x="3651"/>
        <item m="1" x="4904"/>
        <item m="1" x="1209"/>
        <item m="1" x="2470"/>
        <item m="1" x="3728"/>
        <item m="1" x="4981"/>
        <item m="1" x="1285"/>
        <item m="1" x="2548"/>
        <item m="1" x="3803"/>
        <item m="1" x="108"/>
        <item m="1" x="1361"/>
        <item m="1" x="2625"/>
        <item m="1" x="3880"/>
        <item m="1" x="184"/>
        <item m="1" x="1436"/>
        <item m="1" x="2700"/>
        <item m="1" x="3954"/>
        <item m="1" x="259"/>
        <item m="1" x="1511"/>
        <item m="1" x="2776"/>
        <item m="1" x="4030"/>
        <item m="1" x="335"/>
        <item m="1" x="1587"/>
        <item m="1" x="2853"/>
        <item m="1" x="4105"/>
        <item m="1" x="412"/>
        <item m="1" x="1664"/>
        <item m="1" x="2930"/>
        <item m="1" x="4182"/>
        <item m="1" x="489"/>
        <item m="1" x="1741"/>
        <item m="1" x="3006"/>
        <item m="1" x="4256"/>
        <item m="1" x="564"/>
        <item m="1" x="1817"/>
        <item m="1" x="3082"/>
        <item m="1" x="4333"/>
        <item m="1" x="641"/>
        <item m="1" x="1894"/>
        <item m="1" x="3160"/>
        <item m="1" x="4408"/>
        <item m="1" x="718"/>
        <item m="1" x="1970"/>
        <item m="1" x="3236"/>
        <item m="1" x="4484"/>
        <item m="1" x="794"/>
        <item m="1" x="2045"/>
        <item m="1" x="3310"/>
        <item m="1" x="4557"/>
        <item m="1" x="868"/>
        <item m="1" x="2120"/>
        <item m="1" x="3386"/>
        <item m="1" x="4634"/>
        <item m="1" x="944"/>
        <item m="1" x="2197"/>
        <item m="1" x="3463"/>
        <item m="1" x="4711"/>
        <item m="1" x="1020"/>
        <item m="1" x="2275"/>
        <item m="1" x="3539"/>
        <item m="1" x="4788"/>
        <item m="1" x="1096"/>
        <item m="1" x="2352"/>
        <item m="1" x="3614"/>
        <item m="1" x="4863"/>
        <item m="1" x="1171"/>
        <item m="1" x="2428"/>
        <item m="1" x="3690"/>
        <item m="1" x="4940"/>
        <item m="1" x="1247"/>
        <item m="1" x="2505"/>
        <item m="1" x="3767"/>
        <item m="1" x="66"/>
        <item m="1" x="1324"/>
        <item m="1" x="2582"/>
        <item m="1" x="3843"/>
        <item m="1" x="143"/>
        <item m="1" x="1399"/>
        <item m="1" x="2658"/>
        <item m="1" x="3917"/>
        <item m="1" x="218"/>
        <item m="1" x="1473"/>
        <item m="1" x="2734"/>
        <item m="1" x="3992"/>
        <item m="1" x="294"/>
        <item m="1" x="1549"/>
        <item m="1" x="2810"/>
        <item m="1" x="4068"/>
        <item m="1" x="370"/>
        <item m="1" x="1626"/>
        <item m="1" x="2887"/>
        <item m="1" x="4144"/>
        <item m="1" x="447"/>
        <item m="1" x="1703"/>
        <item m="1" x="2964"/>
        <item m="1" x="4219"/>
        <item m="1" x="523"/>
        <item m="1" x="1778"/>
        <item m="1" x="3040"/>
        <item m="1" x="4294"/>
        <item m="1" x="600"/>
        <item m="1" x="1855"/>
        <item m="1" x="3117"/>
        <item m="1" x="4371"/>
        <item m="1" x="676"/>
        <item m="1" x="1933"/>
        <item m="1" x="3193"/>
        <item m="1" x="4447"/>
        <item m="1" x="752"/>
        <item m="1" x="2009"/>
        <item m="1" x="3269"/>
        <item m="1" x="4521"/>
        <item m="1" x="828"/>
        <item m="1" x="2083"/>
        <item m="1" x="3345"/>
        <item m="1" x="4597"/>
        <item m="1" x="904"/>
        <item m="1" x="2160"/>
        <item m="1" x="3421"/>
        <item m="1" x="4674"/>
        <item m="1" x="980"/>
        <item m="1" x="2238"/>
        <item m="1" x="3498"/>
        <item m="1" x="4751"/>
        <item m="1" x="1056"/>
        <item m="1" x="2315"/>
        <item m="1" x="3574"/>
        <item m="1" x="4826"/>
        <item m="1" x="1131"/>
        <item m="1" x="2391"/>
        <item m="1" x="3649"/>
        <item m="1" x="4903"/>
        <item m="1" x="1207"/>
        <item m="1" x="2468"/>
        <item m="1" x="3725"/>
        <item m="1" x="4980"/>
        <item m="1" x="1283"/>
        <item m="1" x="2546"/>
        <item m="1" x="3801"/>
        <item m="1" x="107"/>
        <item m="1" x="1359"/>
        <item m="1" x="2623"/>
        <item m="1" x="3877"/>
        <item m="1" x="182"/>
        <item m="1" x="1434"/>
        <item m="1" x="2698"/>
        <item m="1" x="3952"/>
        <item m="1" x="258"/>
        <item m="1" x="1509"/>
        <item m="1" x="2774"/>
        <item m="1" x="4027"/>
        <item m="1" x="334"/>
        <item m="1" x="1585"/>
        <item m="1" x="2851"/>
        <item m="1" x="4103"/>
        <item m="1" x="411"/>
        <item m="1" x="1662"/>
        <item m="1" x="2928"/>
        <item m="1" x="4179"/>
        <item m="1" x="487"/>
        <item m="1" x="1738"/>
        <item m="1" x="3003"/>
        <item m="1" x="4254"/>
        <item m="1" x="563"/>
        <item m="1" x="1815"/>
        <item m="1" x="3080"/>
        <item m="1" x="4330"/>
        <item m="1" x="640"/>
        <item m="1" x="1892"/>
        <item m="1" x="3158"/>
        <item m="1" x="4406"/>
        <item m="1" x="717"/>
        <item m="1" x="1968"/>
        <item m="1" x="3234"/>
        <item m="1" x="4481"/>
        <item m="1" x="792"/>
        <item m="1" x="2043"/>
        <item m="1" x="3308"/>
        <item m="1" x="4555"/>
        <item m="1" x="867"/>
        <item m="1" x="2118"/>
        <item m="1" x="3384"/>
        <item m="1" x="4631"/>
        <item m="1" x="943"/>
        <item m="1" x="2195"/>
        <item m="1" x="3461"/>
        <item m="1" x="4709"/>
        <item m="1" x="1019"/>
        <item m="1" x="2273"/>
        <item m="1" x="3537"/>
        <item m="1" x="4785"/>
        <item m="1" x="1094"/>
        <item m="1" x="2349"/>
        <item m="1" x="3612"/>
        <item m="1" x="4861"/>
        <item m="1" x="1170"/>
        <item m="1" x="2426"/>
        <item m="1" x="3688"/>
        <item m="1" x="4937"/>
        <item m="1" x="1246"/>
        <item m="1" x="2503"/>
        <item m="1" x="3765"/>
        <item m="1" x="64"/>
        <item m="1" x="1323"/>
        <item m="1" x="2580"/>
        <item m="1" x="3841"/>
        <item m="1" x="140"/>
        <item m="1" x="1397"/>
        <item m="1" x="2656"/>
        <item m="1" x="3915"/>
        <item m="1" x="216"/>
        <item m="1" x="1472"/>
        <item m="1" x="2732"/>
        <item m="1" x="3990"/>
        <item m="1" x="291"/>
        <item m="1" x="1548"/>
        <item m="1" x="2808"/>
        <item m="1" x="4066"/>
        <item m="1" x="368"/>
        <item m="1" x="1625"/>
        <item m="1" x="2885"/>
        <item m="1" x="4142"/>
        <item m="1" x="444"/>
        <item m="1" x="1701"/>
        <item m="1" x="2961"/>
        <item m="1" x="4216"/>
        <item m="1" x="521"/>
        <item m="1" x="1777"/>
        <item m="1" x="3038"/>
        <item m="1" x="4292"/>
        <item m="1" x="597"/>
        <item m="1" x="1854"/>
        <item m="1" x="3115"/>
        <item m="1" x="4369"/>
        <item m="1" x="674"/>
        <item m="1" x="1932"/>
        <item m="1" x="3191"/>
        <item m="1" x="4445"/>
        <item m="1" x="749"/>
        <item m="1" x="2007"/>
        <item m="1" x="3267"/>
        <item m="1" x="4519"/>
        <item m="1" x="826"/>
        <item m="1" x="2082"/>
        <item m="1" x="3343"/>
        <item m="1" x="4595"/>
        <item m="1" x="901"/>
        <item m="1" x="2159"/>
        <item m="1" x="3419"/>
        <item m="1" x="4672"/>
        <item m="1" x="978"/>
        <item m="1" x="2237"/>
        <item m="1" x="3496"/>
        <item m="1" x="4749"/>
        <item m="1" x="1053"/>
        <item m="1" x="2313"/>
        <item m="1" x="3571"/>
        <item m="1" x="4824"/>
        <item m="1" x="1129"/>
        <item m="1" x="2390"/>
        <item m="1" x="3647"/>
        <item m="1" x="4901"/>
        <item m="1" x="1204"/>
        <item m="1" x="2467"/>
        <item m="1" x="3723"/>
        <item m="1" x="4978"/>
        <item m="1" x="1281"/>
        <item m="1" x="2545"/>
        <item m="1" x="3799"/>
        <item m="1" x="105"/>
        <item m="1" x="1356"/>
        <item m="1" x="2621"/>
        <item m="1" x="3875"/>
        <item m="1" x="180"/>
        <item m="1" x="1432"/>
        <item m="1" x="2697"/>
        <item m="1" x="3950"/>
        <item m="1" x="256"/>
        <item m="1" x="1506"/>
        <item m="1" x="2773"/>
        <item m="1" x="4025"/>
        <item m="1" x="332"/>
        <item m="1" x="1583"/>
        <item m="1" x="2850"/>
        <item m="1" x="4101"/>
        <item m="1" x="409"/>
        <item m="1" x="1659"/>
        <item m="1" x="2926"/>
        <item m="1" x="4176"/>
        <item m="1" x="484"/>
        <item m="1" x="1736"/>
        <item m="1" x="3002"/>
        <item m="1" x="4252"/>
        <item m="1" x="561"/>
        <item m="1" x="1812"/>
        <item m="1" x="3079"/>
        <item m="1" x="4328"/>
        <item m="1" x="638"/>
        <item m="1" x="1890"/>
        <item m="1" x="3157"/>
        <item m="1" x="4404"/>
        <item m="1" x="715"/>
        <item m="1" x="1965"/>
        <item m="1" x="3232"/>
        <item m="1" x="4479"/>
        <item m="1" x="790"/>
        <item m="1" x="2041"/>
        <item m="1" x="3307"/>
        <item m="1" x="4553"/>
        <item m="1" x="865"/>
        <item m="1" x="2115"/>
        <item m="1" x="3383"/>
        <item m="1" x="4629"/>
        <item m="1" x="941"/>
        <item m="1" x="2193"/>
        <item m="1" x="3460"/>
        <item m="1" x="4707"/>
        <item m="1" x="1017"/>
        <item m="1" x="2270"/>
        <item m="1" x="3535"/>
        <item m="1" x="4782"/>
        <item m="1" x="1092"/>
        <item m="1" x="2347"/>
        <item m="1" x="3611"/>
        <item m="1" x="4859"/>
        <item m="1" x="1168"/>
        <item m="1" x="2423"/>
        <item m="1" x="3687"/>
        <item m="1" x="4935"/>
        <item m="1" x="1244"/>
        <item m="1" x="2501"/>
        <item m="1" x="3764"/>
        <item m="1" x="62"/>
        <item m="1" x="1321"/>
        <item m="1" x="2577"/>
        <item m="1" x="3839"/>
        <item m="1" x="138"/>
        <item m="1" x="1395"/>
        <item m="1" x="2654"/>
        <item m="1" x="3914"/>
        <item m="1" x="214"/>
        <item m="1" x="1470"/>
        <item m="1" x="2729"/>
        <item m="1" x="3989"/>
        <item m="1" x="289"/>
        <item m="1" x="1546"/>
        <item m="1" x="2806"/>
        <item m="1" x="4065"/>
        <item m="1" x="366"/>
        <item m="1" x="1623"/>
        <item m="1" x="2882"/>
        <item m="1" x="4140"/>
        <item m="1" x="441"/>
        <item m="1" x="1698"/>
        <item m="1" x="2959"/>
        <item m="1" x="4215"/>
        <item m="1" x="519"/>
        <item m="1" x="1775"/>
        <item m="1" x="3035"/>
        <item m="1" x="4291"/>
        <item m="1" x="595"/>
        <item m="1" x="1852"/>
        <item m="1" x="3113"/>
        <item m="1" x="4368"/>
        <item m="1" x="672"/>
        <item m="1" x="1930"/>
        <item m="1" x="3188"/>
        <item m="1" x="4443"/>
        <item m="1" x="747"/>
        <item m="1" x="2005"/>
        <item m="1" x="3265"/>
        <item m="1" x="4518"/>
        <item m="1" x="824"/>
        <item m="1" x="2080"/>
        <item m="1" x="3340"/>
        <item m="1" x="4594"/>
        <item m="1" x="899"/>
        <item m="1" x="2157"/>
        <item m="1" x="3417"/>
        <item m="1" x="4671"/>
        <item m="1" x="976"/>
        <item m="1" x="2235"/>
        <item m="1" x="3493"/>
        <item m="1" x="4747"/>
        <item m="1" x="1050"/>
        <item m="1" x="2311"/>
        <item m="1" x="3569"/>
        <item m="1" x="4823"/>
        <item m="1" x="1127"/>
        <item m="1" x="2388"/>
        <item m="1" x="3644"/>
        <item m="1" x="4900"/>
        <item m="1" x="1202"/>
        <item m="1" x="2465"/>
        <item m="1" x="3721"/>
        <item m="1" x="4977"/>
        <item m="1" x="1279"/>
        <item m="1" x="2543"/>
        <item m="1" x="3796"/>
        <item m="1" x="103"/>
        <item m="1" x="1354"/>
        <item m="1" x="2619"/>
        <item m="1" x="3873"/>
        <item m="1" x="179"/>
        <item m="1" x="1430"/>
        <item m="1" x="2695"/>
        <item m="1" x="3947"/>
        <item m="1" x="255"/>
        <item m="1" x="1504"/>
        <item m="1" x="2771"/>
        <item m="1" x="4023"/>
        <item m="1" x="331"/>
        <item m="1" x="1581"/>
        <item m="1" x="2848"/>
        <item m="1" x="4098"/>
        <item m="1" x="407"/>
        <item m="1" x="1656"/>
        <item m="1" x="2923"/>
        <item m="1" x="4174"/>
        <item m="1" x="483"/>
        <item m="1" x="1734"/>
        <item m="1" x="3000"/>
        <item m="1" x="4249"/>
        <item m="1" x="560"/>
        <item m="1" x="1810"/>
        <item m="1" x="3077"/>
        <item m="1" x="4326"/>
        <item m="1" x="637"/>
        <item m="1" x="1888"/>
        <item m="1" x="3155"/>
        <item m="1" x="4401"/>
        <item m="1" x="713"/>
        <item m="1" x="1963"/>
        <item m="1" x="3230"/>
        <item m="1" x="4477"/>
        <item m="1" x="789"/>
        <item m="1" x="2039"/>
        <item m="1" x="3305"/>
        <item m="1" x="4550"/>
        <item m="1" x="864"/>
        <item m="1" x="2113"/>
        <item m="1" x="3381"/>
        <item m="1" x="4627"/>
        <item m="1" x="940"/>
        <item m="1" x="2191"/>
        <item m="1" x="3458"/>
        <item m="1" x="4704"/>
        <item m="1" x="1015"/>
        <item m="1" x="2267"/>
        <item m="1" x="3533"/>
        <item m="1" x="4780"/>
        <item m="1" x="1091"/>
        <item m="1" x="2345"/>
        <item m="1" x="3609"/>
        <item m="1" x="4856"/>
        <item m="1" x="1167"/>
        <item m="1" x="2421"/>
        <item m="1" x="3685"/>
        <item m="1" x="4933"/>
        <item m="1" x="1243"/>
        <item m="1" x="2499"/>
        <item m="1" x="3762"/>
        <item m="1" x="59"/>
        <item m="1" x="1319"/>
        <item m="1" x="2575"/>
        <item m="1" x="3837"/>
        <item m="1" x="136"/>
        <item m="1" x="1394"/>
        <item m="1" x="2652"/>
        <item m="1" x="3912"/>
        <item m="1" x="211"/>
        <item m="1" x="1469"/>
        <item m="1" x="2727"/>
        <item m="1" x="3987"/>
        <item m="1" x="287"/>
        <item m="1" x="1545"/>
        <item m="1" x="2804"/>
        <item m="1" x="4063"/>
        <item m="1" x="363"/>
        <item m="1" x="1621"/>
        <item m="1" x="2879"/>
        <item m="1" x="4137"/>
        <item m="1" x="439"/>
        <item m="1" x="1697"/>
        <item m="1" x="2957"/>
        <item m="1" x="4213"/>
        <item m="1" x="516"/>
        <item m="1" x="1774"/>
        <item m="1" x="3033"/>
        <item m="1" x="4289"/>
        <item m="1" x="593"/>
        <item m="1" x="1851"/>
        <item m="1" x="3111"/>
        <item m="1" x="4366"/>
        <item m="1" x="669"/>
        <item m="1" x="1928"/>
        <item m="1" x="3186"/>
        <item m="1" x="4441"/>
        <item m="1" x="745"/>
        <item m="1" x="2004"/>
        <item m="1" x="3263"/>
        <item m="1" x="4516"/>
        <item m="1" x="821"/>
        <item m="1" x="2079"/>
        <item m="1" x="3338"/>
        <item m="1" x="4592"/>
        <item m="1" x="897"/>
        <item m="1" x="2156"/>
        <item m="1" x="3415"/>
        <item m="1" x="4669"/>
        <item m="1" x="973"/>
        <item m="1" x="2233"/>
        <item m="1" x="3490"/>
        <item m="1" x="4745"/>
        <item m="1" x="1048"/>
        <item m="1" x="2310"/>
        <item m="1" x="3567"/>
        <item m="1" x="4821"/>
        <item m="1" x="1124"/>
        <item m="1" x="2387"/>
        <item m="1" x="3642"/>
        <item m="1" x="4898"/>
        <item m="1" x="1200"/>
        <item m="1" x="2464"/>
        <item m="1" x="3719"/>
        <item m="1" x="4975"/>
        <item m="1" x="1276"/>
        <item m="1" x="2541"/>
        <item m="1" x="3794"/>
        <item m="1" x="101"/>
        <item m="1" x="1352"/>
        <item m="1" x="2618"/>
        <item m="1" x="3871"/>
        <item m="1" x="177"/>
        <item m="1" x="1427"/>
        <item m="1" x="2694"/>
        <item m="1" x="3945"/>
        <item m="1" x="253"/>
        <item m="1" x="1502"/>
        <item m="1" x="2770"/>
        <item m="1" x="4021"/>
        <item m="1" x="329"/>
        <item m="1" x="1578"/>
        <item m="1" x="2846"/>
        <item m="1" x="4095"/>
        <item m="1" x="404"/>
        <item m="1" x="1654"/>
        <item m="1" x="2922"/>
        <item m="1" x="4172"/>
        <item m="1" x="481"/>
        <item m="1" x="1731"/>
        <item m="1" x="2999"/>
        <item m="1" x="4247"/>
        <item m="1" x="558"/>
        <item m="1" x="1808"/>
        <item m="1" x="3076"/>
        <item m="1" x="4324"/>
        <item m="1" x="635"/>
        <item m="1" x="1885"/>
        <item m="1" x="3153"/>
        <item m="1" x="4399"/>
        <item m="1" x="711"/>
        <item m="1" x="1961"/>
        <item m="1" x="3229"/>
        <item m="1" x="4475"/>
        <item m="1" x="787"/>
        <item m="1" x="2036"/>
        <item m="1" x="3304"/>
        <item m="1" x="4548"/>
        <item m="1" x="862"/>
        <item m="1" x="2111"/>
        <item m="1" x="3380"/>
        <item m="1" x="4625"/>
        <item m="1" x="938"/>
        <item m="1" x="2188"/>
        <item m="1" x="3456"/>
        <item m="1" x="4701"/>
        <item m="1" x="1013"/>
        <item m="1" x="2265"/>
        <item m="1" x="3532"/>
        <item m="1" x="4778"/>
        <item m="1" x="1089"/>
        <item m="1" x="2342"/>
        <item m="1" x="3608"/>
        <item m="1" x="4854"/>
        <item m="1" x="1165"/>
        <item m="1" x="2419"/>
        <item m="1" x="3684"/>
        <item m="1" x="4931"/>
        <item m="1" x="1241"/>
        <item m="1" x="2496"/>
        <item m="1" x="3760"/>
        <item m="1" x="57"/>
        <item m="1" x="1317"/>
        <item m="1" x="2573"/>
        <item m="1" x="3836"/>
        <item m="1" x="134"/>
        <item m="1" x="1392"/>
        <item m="1" x="2649"/>
        <item m="1" x="3911"/>
        <item m="1" x="209"/>
        <item m="1" x="1467"/>
        <item m="1" x="2725"/>
        <item m="1" x="3986"/>
        <item m="1" x="285"/>
        <item m="1" x="1543"/>
        <item m="1" x="2801"/>
        <item m="1" x="4061"/>
        <item m="1" x="360"/>
        <item m="1" x="1618"/>
        <item m="1" x="2877"/>
        <item m="1" x="4136"/>
        <item m="1" x="437"/>
        <item m="1" x="1695"/>
        <item m="1" x="2954"/>
        <item m="1" x="4212"/>
        <item m="1" x="514"/>
        <item m="1" x="1772"/>
        <item m="1" x="3031"/>
        <item m="1" x="4288"/>
        <item m="1" x="591"/>
        <item m="1" x="1849"/>
        <item m="1" x="3108"/>
        <item m="1" x="4364"/>
        <item m="1" x="667"/>
        <item m="1" x="1926"/>
        <item m="1" x="3184"/>
        <item m="1" x="4440"/>
        <item m="1" x="743"/>
        <item m="1" x="2002"/>
        <item m="1" x="3260"/>
        <item m="1" x="4515"/>
        <item m="1" x="819"/>
        <item m="1" x="2077"/>
        <item m="1" x="3336"/>
        <item m="1" x="4591"/>
        <item m="1" x="895"/>
        <item m="1" x="2154"/>
        <item m="1" x="3412"/>
        <item m="1" x="4667"/>
        <item m="1" x="970"/>
        <item m="1" x="2230"/>
        <item m="1" x="3488"/>
        <item m="1" x="4744"/>
        <item m="1" x="1046"/>
        <item m="1" x="2308"/>
        <item m="1" x="3564"/>
        <item m="1" x="4820"/>
        <item m="1" x="1122"/>
        <item m="1" x="2385"/>
        <item m="1" x="3640"/>
        <item m="1" x="4897"/>
        <item m="1" x="1198"/>
        <item m="1" x="2462"/>
        <item m="1" x="3716"/>
        <item m="1" x="4973"/>
        <item m="1" x="1273"/>
        <item m="1" x="2539"/>
        <item m="1" x="3792"/>
        <item m="1" x="100"/>
        <item m="1" x="1350"/>
        <item m="1" x="2616"/>
        <item m="1" x="3868"/>
        <item m="1" x="176"/>
        <item m="1" x="1425"/>
        <item m="1" x="2692"/>
        <item m="1" x="3319"/>
        <item m="1" x="3943"/>
        <item m="1" x="4568"/>
        <item m="1" x="252"/>
        <item m="1" x="878"/>
        <item m="1" x="1500"/>
        <item m="1" x="2131"/>
        <item m="1" x="2768"/>
        <item m="1" x="3395"/>
        <item m="1" x="4018"/>
        <item m="1" x="4644"/>
        <item m="1" x="327"/>
        <item m="1" x="953"/>
        <item m="1" x="1575"/>
        <item m="1" x="2208"/>
        <item m="1" x="2843"/>
        <item m="1" x="3471"/>
        <item m="1" x="4093"/>
        <item m="1" x="4722"/>
        <item m="1" x="403"/>
        <item m="1" x="1029"/>
        <item m="1" x="1652"/>
        <item m="1" x="2286"/>
        <item m="1" x="2920"/>
        <item m="1" x="3547"/>
        <item m="1" x="4169"/>
        <item m="1" x="4798"/>
        <item m="1" x="479"/>
        <item m="1" x="1105"/>
        <item m="1" x="1729"/>
        <item m="1" x="2363"/>
        <item m="1" x="2997"/>
        <item m="1" x="3623"/>
        <item m="1" x="4245"/>
        <item m="1" x="4875"/>
        <item m="1" x="557"/>
        <item m="1" x="1181"/>
        <item m="1" x="1806"/>
        <item m="1" x="2440"/>
        <item m="1" x="3074"/>
        <item m="1" x="3699"/>
        <item m="1" x="4321"/>
        <item m="1" x="4951"/>
        <item m="1" x="633"/>
        <item m="1" x="1256"/>
        <item m="1" x="1882"/>
        <item m="1" x="2516"/>
        <item m="1" x="3151"/>
        <item m="1" x="3775"/>
        <item m="1" x="4397"/>
        <item m="1" x="77"/>
        <item m="1" x="710"/>
        <item m="1" x="1333"/>
        <item m="1" x="1959"/>
        <item m="1" x="2593"/>
        <item m="1" x="3227"/>
        <item m="1" x="3851"/>
        <item m="1" x="4472"/>
        <item m="1" x="153"/>
        <item m="1" x="785"/>
        <item m="1" x="1408"/>
        <item m="1" x="2034"/>
        <item m="1" x="2669"/>
        <item m="1" x="3302"/>
        <item m="1" x="3926"/>
        <item m="1" x="4546"/>
        <item m="1" x="229"/>
        <item m="1" x="861"/>
        <item m="1" x="1483"/>
        <item m="1" x="2109"/>
        <item m="1" x="2745"/>
        <item m="1" x="3378"/>
        <item m="1" x="4001"/>
        <item m="1" x="4622"/>
        <item m="1" x="304"/>
        <item m="1" x="936"/>
        <item m="1" x="1558"/>
        <item m="1" x="2185"/>
        <item m="1" x="2821"/>
        <item m="1" x="3453"/>
        <item m="1" x="4076"/>
        <item m="1" x="4698"/>
        <item m="1" x="381"/>
        <item m="1" x="1012"/>
        <item m="1" x="1635"/>
        <item m="1" x="2263"/>
        <item m="1" x="2898"/>
        <item m="1" x="3530"/>
        <item m="1" x="4152"/>
        <item m="1" x="4775"/>
        <item m="1" x="457"/>
        <item m="1" x="1087"/>
        <item m="1" x="1712"/>
        <item m="1" x="2340"/>
        <item m="1" x="2975"/>
        <item m="1" x="3606"/>
        <item m="1" x="4228"/>
        <item m="1" x="4851"/>
        <item m="1" x="535"/>
        <item m="1" x="1164"/>
        <item m="1" x="1789"/>
        <item m="1" x="2417"/>
        <item m="1" x="3052"/>
        <item m="1" x="3682"/>
        <item m="1" x="4304"/>
        <item m="1" x="4928"/>
        <item m="1" x="611"/>
        <item m="1" x="1239"/>
        <item m="1" x="1865"/>
        <item m="1" x="2493"/>
        <item m="1" x="3128"/>
        <item m="1" x="3758"/>
        <item m="1" x="4379"/>
        <item m="1" x="54"/>
        <item m="1" x="687"/>
        <item m="1" x="1316"/>
        <item m="1" x="1942"/>
        <item m="1" x="2571"/>
        <item m="1" x="3204"/>
        <item m="1" x="3834"/>
        <item m="1" x="4455"/>
        <item m="1" x="131"/>
        <item m="1" x="762"/>
        <item m="1" x="1390"/>
        <item m="1" x="2017"/>
        <item m="1" x="2647"/>
        <item m="1" x="3279"/>
        <item m="1" x="3909"/>
        <item m="1" x="4529"/>
        <item m="1" x="206"/>
        <item m="1" x="838"/>
        <item m="1" x="1466"/>
        <item m="1" x="2092"/>
        <item m="1" x="2723"/>
        <item m="1" x="3355"/>
        <item m="1" x="3984"/>
        <item m="1" x="4605"/>
        <item m="1" x="282"/>
        <item m="1" x="913"/>
        <item m="1" x="1540"/>
        <item m="1" x="2168"/>
        <item m="1" x="2798"/>
        <item m="1" x="3431"/>
        <item m="1" x="4058"/>
        <item m="1" x="4681"/>
        <item m="1" x="357"/>
        <item m="1" x="990"/>
        <item m="1" x="1616"/>
        <item m="1" x="2246"/>
        <item m="1" x="2875"/>
        <item m="1" x="3508"/>
        <item m="1" x="4134"/>
        <item m="1" x="4758"/>
        <item m="1" x="434"/>
        <item m="1" x="1065"/>
        <item m="1" x="1692"/>
        <item m="1" x="2323"/>
        <item m="1" x="2952"/>
        <item m="1" x="3584"/>
        <item m="1" x="4210"/>
        <item m="1" x="4834"/>
        <item m="1" x="511"/>
        <item m="1" x="1142"/>
        <item m="1" x="1770"/>
        <item m="1" x="2400"/>
        <item m="1" x="3029"/>
        <item m="1" x="3660"/>
        <item m="1" x="4286"/>
        <item m="1" x="4911"/>
        <item m="1" x="588"/>
        <item m="1" x="1217"/>
        <item m="1" x="1846"/>
        <item m="1" x="2476"/>
        <item m="1" x="3105"/>
        <item m="1" x="3735"/>
        <item m="1" x="4362"/>
        <item m="1" x="4987"/>
        <item m="1" x="664"/>
        <item m="1" x="1293"/>
        <item m="1" x="1924"/>
        <item m="1" x="2554"/>
        <item m="1" x="3182"/>
        <item m="1" x="3811"/>
        <item m="1" x="4438"/>
        <item m="1" x="114"/>
        <item m="1" x="740"/>
        <item m="1" x="1368"/>
        <item m="1" x="1999"/>
        <item m="1" x="2631"/>
        <item m="1" x="3258"/>
        <item m="1" x="3887"/>
        <item m="1" x="4513"/>
        <item m="1" x="190"/>
        <item m="1" x="816"/>
        <item m="1" x="1444"/>
        <item m="1" x="2075"/>
        <item m="1" x="2707"/>
        <item m="1" x="3334"/>
        <item m="1" x="3962"/>
        <item m="1" x="4588"/>
        <item m="1" x="266"/>
        <item m="1" x="892"/>
        <item m="1" x="1518"/>
        <item m="1" x="2150"/>
        <item m="1" x="2782"/>
        <item m="1" x="3409"/>
        <item m="1" x="4037"/>
        <item m="1" x="4663"/>
        <item m="1" x="341"/>
        <item m="1" x="967"/>
        <item m="1" x="1595"/>
        <item m="1" x="2227"/>
        <item m="1" x="2859"/>
        <item m="1" x="3486"/>
        <item m="1" x="4113"/>
        <item m="1" x="4741"/>
        <item m="1" x="418"/>
        <item m="1" x="1043"/>
        <item m="1" x="1671"/>
        <item m="1" x="2304"/>
        <item m="1" x="2936"/>
        <item m="1" x="3562"/>
        <item m="1" x="4189"/>
        <item m="1" x="4817"/>
        <item m="1" x="495"/>
        <item m="1" x="1119"/>
        <item m="1" x="1749"/>
        <item m="1" x="2382"/>
        <item m="1" x="3013"/>
        <item m="1" x="3638"/>
        <item m="1" x="4265"/>
        <item m="1" x="4894"/>
        <item m="1" x="572"/>
        <item m="1" x="1195"/>
        <item m="1" x="1825"/>
        <item m="1" x="2458"/>
        <item m="1" x="3089"/>
        <item m="1" x="3713"/>
        <item m="1" x="4340"/>
        <item m="1" x="4970"/>
        <item m="1" x="647"/>
        <item m="1" x="1270"/>
        <item m="1" x="1902"/>
        <item m="1" x="2536"/>
        <item m="1" x="3166"/>
        <item m="1" x="3790"/>
        <item m="1" x="4416"/>
        <item m="1" x="97"/>
        <item m="1" x="724"/>
        <item m="1" x="1347"/>
        <item m="1" x="1977"/>
        <item m="1" x="2612"/>
        <item m="1" x="3242"/>
        <item m="1" x="3866"/>
        <item m="1" x="4491"/>
        <item m="1" x="173"/>
        <item m="1" x="800"/>
        <item m="1" x="1422"/>
        <item m="1" x="2053"/>
        <item m="1" x="2689"/>
        <item m="1" x="3317"/>
        <item m="1" x="3941"/>
        <item m="1" x="4565"/>
        <item m="1" x="249"/>
        <item m="1" x="875"/>
        <item m="1" x="1497"/>
        <item m="1" x="2127"/>
        <item m="1" x="2764"/>
        <item m="1" x="3392"/>
        <item m="1" x="4015"/>
        <item m="1" x="4641"/>
        <item m="1" x="323"/>
        <item m="1" x="950"/>
        <item m="1" x="1572"/>
        <item m="1" x="2205"/>
        <item m="1" x="2840"/>
        <item m="1" x="3469"/>
        <item m="1" x="4091"/>
        <item m="1" x="4719"/>
        <item m="1" x="400"/>
        <item m="1" x="1026"/>
        <item m="1" x="1649"/>
        <item m="1" x="2282"/>
        <item m="1" x="2916"/>
        <item m="1" x="3545"/>
        <item m="1" x="4167"/>
        <item m="1" x="4795"/>
        <item m="1" x="476"/>
        <item m="1" x="1102"/>
        <item m="1" x="1726"/>
        <item m="1" x="2360"/>
        <item m="1" x="2994"/>
        <item m="1" x="3621"/>
        <item m="1" x="4243"/>
        <item m="1" x="4872"/>
        <item m="1" x="554"/>
        <item m="1" x="1178"/>
        <item m="1" x="1803"/>
        <item m="1" x="2436"/>
        <item m="1" x="3070"/>
        <item m="1" x="3696"/>
        <item m="1" x="4318"/>
        <item m="1" x="4947"/>
        <item m="1" x="630"/>
        <item m="1" x="1253"/>
        <item m="1" x="1879"/>
        <item m="1" x="2513"/>
        <item m="1" x="3148"/>
        <item m="1" x="3773"/>
        <item m="1" x="4395"/>
        <item m="1" x="74"/>
        <item m="1" x="707"/>
        <item m="1" x="1330"/>
        <item m="1" x="1956"/>
        <item m="1" x="2589"/>
        <item m="1" x="3223"/>
        <item m="1" x="3849"/>
        <item m="1" x="4470"/>
        <item m="1" x="150"/>
        <item m="1" x="782"/>
        <item m="1" x="1405"/>
        <item m="1" x="2031"/>
        <item m="1" x="2666"/>
        <item m="1" x="3299"/>
        <item m="1" x="3924"/>
        <item m="1" x="4544"/>
        <item m="1" x="226"/>
        <item m="1" x="858"/>
        <item m="1" x="1480"/>
        <item m="1" x="2106"/>
        <item m="1" x="2741"/>
        <item m="1" x="3374"/>
        <item m="1" x="3998"/>
        <item m="1" x="4619"/>
        <item m="1" x="301"/>
        <item m="1" x="932"/>
        <item m="1" x="1555"/>
        <item m="1" x="2182"/>
        <item m="1" x="2818"/>
        <item m="1" x="3450"/>
        <item m="1" x="4074"/>
        <item m="1" x="4696"/>
        <item m="1" x="378"/>
        <item m="1" x="1009"/>
        <item m="1" x="1632"/>
        <item m="1" x="2260"/>
        <item m="1" x="2894"/>
        <item m="1" x="3526"/>
        <item m="1" x="4150"/>
        <item m="1" x="4773"/>
        <item m="1" x="454"/>
        <item m="1" x="1084"/>
        <item m="1" x="1709"/>
        <item m="1" x="2337"/>
        <item m="1" x="2972"/>
        <item m="1" x="3603"/>
        <item m="1" x="4226"/>
        <item m="1" x="4849"/>
        <item m="1" x="532"/>
        <item m="1" x="1161"/>
        <item m="1" x="1786"/>
        <item m="1" x="2414"/>
        <item m="1" x="3048"/>
        <item m="1" x="3678"/>
        <item m="1" x="4301"/>
        <item m="1" x="4925"/>
        <item m="1" x="607"/>
        <item m="1" x="1236"/>
        <item m="1" x="1861"/>
        <item m="1" x="2490"/>
        <item m="1" x="3125"/>
        <item m="1" x="3755"/>
        <item m="1" x="4377"/>
        <item m="1" x="52"/>
        <item m="1" x="684"/>
        <item m="1" x="1313"/>
        <item m="1" x="1939"/>
        <item m="1" x="2568"/>
        <item m="1" x="3200"/>
        <item m="1" x="3830"/>
        <item m="1" x="4453"/>
        <item m="1" x="129"/>
        <item m="1" x="759"/>
        <item m="1" x="1387"/>
        <item m="1" x="2014"/>
        <item m="1" x="2644"/>
        <item m="1" x="3276"/>
        <item m="1" x="3906"/>
        <item m="1" x="4527"/>
        <item m="1" x="204"/>
        <item m="1" x="835"/>
        <item m="1" x="1463"/>
        <item m="1" x="2089"/>
        <item m="1" x="2720"/>
        <item m="1" x="3351"/>
        <item m="1" x="3980"/>
        <item m="1" x="4602"/>
        <item m="1" x="279"/>
        <item m="1" x="910"/>
        <item m="1" x="1536"/>
        <item m="1" x="2165"/>
        <item m="1" x="2795"/>
        <item m="1" x="3428"/>
        <item m="1" x="4055"/>
        <item m="1" x="4679"/>
        <item m="1" x="355"/>
        <item m="1" x="987"/>
        <item m="1" x="1613"/>
        <item m="1" x="2243"/>
        <item m="1" x="2872"/>
        <item m="1" x="3504"/>
        <item m="1" x="4130"/>
        <item m="1" x="4756"/>
        <item m="1" x="432"/>
        <item m="1" x="1062"/>
        <item m="1" x="1689"/>
        <item m="1" x="2320"/>
        <item m="1" x="2949"/>
        <item m="1" x="3581"/>
        <item m="1" x="4207"/>
        <item m="1" x="4832"/>
        <item m="1" x="509"/>
        <item m="1" x="1139"/>
        <item m="1" x="1767"/>
        <item m="1" x="2397"/>
        <item m="1" x="3026"/>
        <item m="1" x="3656"/>
        <item m="1" x="4282"/>
        <item m="1" x="4908"/>
        <item m="1" x="585"/>
        <item m="1" x="1213"/>
        <item m="1" x="1843"/>
        <item m="1" x="2473"/>
        <item m="1" x="3102"/>
        <item m="1" x="3732"/>
        <item m="1" x="4359"/>
        <item m="1" x="4985"/>
        <item m="1" x="662"/>
        <item m="1" x="1290"/>
        <item m="1" x="1921"/>
        <item m="1" x="2551"/>
        <item m="1" x="3179"/>
        <item m="1" x="3807"/>
        <item m="1" x="4434"/>
        <item m="1" x="112"/>
        <item m="1" x="738"/>
        <item m="1" x="1365"/>
        <item m="1" x="1996"/>
        <item m="1" x="2628"/>
        <item m="1" x="3255"/>
        <item m="1" x="3884"/>
        <item m="1" x="4510"/>
        <item m="1" x="188"/>
        <item m="1" x="814"/>
        <item m="1" x="1441"/>
        <item m="1" x="2072"/>
        <item m="1" x="2704"/>
        <item m="1" x="3331"/>
        <item m="1" x="3958"/>
        <item m="1" x="4584"/>
        <item m="1" x="263"/>
        <item m="1" x="889"/>
        <item m="1" x="1515"/>
        <item m="1" x="2146"/>
        <item m="1" x="2779"/>
        <item m="1" x="3406"/>
        <item m="1" x="4034"/>
        <item m="1" x="4660"/>
        <item m="1" x="339"/>
        <item m="1" x="965"/>
        <item m="1" x="1592"/>
        <item m="1" x="2224"/>
        <item m="1" x="2856"/>
        <item m="1" x="3483"/>
        <item m="1" x="4109"/>
        <item m="1" x="4737"/>
        <item m="1" x="416"/>
        <item m="1" x="1041"/>
        <item m="1" x="1668"/>
        <item m="1" x="2301"/>
        <item m="1" x="2933"/>
        <item m="1" x="3559"/>
        <item m="1" x="4186"/>
        <item m="1" x="4814"/>
        <item m="1" x="493"/>
        <item m="1" x="1117"/>
        <item m="1" x="1746"/>
        <item m="1" x="2379"/>
        <item m="1" x="3010"/>
        <item m="1" x="3635"/>
        <item m="1" x="4261"/>
        <item m="1" x="4890"/>
        <item m="1" x="569"/>
        <item m="1" x="1192"/>
        <item m="1" x="1821"/>
        <item m="1" x="2455"/>
        <item m="1" x="3085"/>
        <item m="1" x="3710"/>
        <item m="1" x="4337"/>
        <item m="1" x="4967"/>
        <item m="1" x="645"/>
        <item m="1" x="1268"/>
        <item m="1" x="1899"/>
        <item m="1" x="2533"/>
        <item m="1" x="3163"/>
        <item m="1" x="3787"/>
        <item m="1" x="4412"/>
        <item m="1" x="93"/>
        <item m="1" x="722"/>
        <item m="1" x="1345"/>
        <item m="1" x="1974"/>
        <item m="1" x="2609"/>
        <item m="1" x="3239"/>
        <item m="1" x="3863"/>
        <item m="1" x="4488"/>
        <item m="1" x="170"/>
        <item m="1" x="798"/>
        <item m="1" x="1420"/>
        <item m="1" x="2050"/>
        <item m="1" x="2686"/>
        <item m="1" x="3314"/>
        <item m="1" x="3938"/>
        <item m="1" x="4561"/>
        <item m="1" x="245"/>
        <item m="1" x="872"/>
        <item m="1" x="1494"/>
        <item m="1" x="2124"/>
        <item m="1" x="2760"/>
        <item m="1" x="3389"/>
        <item m="1" x="4012"/>
        <item m="1" x="4638"/>
        <item m="1" x="320"/>
        <item m="1" x="948"/>
        <item m="1" x="1570"/>
        <item m="1" x="2202"/>
        <item m="1" x="2837"/>
        <item m="1" x="3466"/>
        <item m="1" x="4088"/>
        <item m="1" x="4715"/>
        <item m="1" x="396"/>
        <item m="1" x="1024"/>
        <item m="1" x="1647"/>
        <item m="1" x="2279"/>
        <item m="1" x="2913"/>
        <item m="1" x="3542"/>
        <item m="1" x="4164"/>
        <item m="1" x="4792"/>
        <item m="1" x="473"/>
        <item m="1" x="1100"/>
        <item m="1" x="1724"/>
        <item m="1" x="2357"/>
        <item m="1" x="2991"/>
        <item m="1" x="3618"/>
        <item m="1" x="4240"/>
        <item m="1" x="4868"/>
        <item m="1" x="550"/>
        <item m="1" x="1175"/>
        <item m="1" x="1800"/>
        <item m="1" x="2432"/>
        <item m="1" x="3067"/>
        <item m="1" x="3693"/>
        <item m="1" x="4315"/>
        <item m="1" x="4944"/>
        <item m="1" x="627"/>
        <item m="1" x="1251"/>
        <item m="1" x="1877"/>
        <item m="1" x="2510"/>
        <item m="1" x="3145"/>
        <item m="1" x="3770"/>
        <item m="1" x="4392"/>
        <item m="1" x="70"/>
        <item m="1" x="703"/>
        <item m="1" x="1328"/>
        <item m="1" x="1954"/>
        <item m="1" x="2586"/>
        <item m="1" x="3220"/>
        <item m="1" x="3846"/>
        <item m="1" x="4467"/>
        <item m="1" x="147"/>
        <item m="1" x="779"/>
        <item m="1" x="1403"/>
        <item m="1" x="2029"/>
        <item m="1" x="2663"/>
        <item m="1" x="3296"/>
        <item m="1" x="3921"/>
        <item m="1" x="4541"/>
        <item m="1" x="222"/>
        <item m="1" x="854"/>
        <item m="1" x="1477"/>
        <item m="1" x="2103"/>
        <item m="1" x="2738"/>
        <item m="1" x="3370"/>
        <item m="1" x="3995"/>
        <item m="1" x="4616"/>
        <item m="1" x="298"/>
        <item m="1" x="929"/>
        <item m="1" x="1553"/>
        <item m="1" x="2180"/>
        <item m="1" x="2815"/>
        <item m="1" x="3447"/>
        <item m="1" x="4071"/>
        <item m="1" x="4693"/>
        <item m="1" x="374"/>
        <item m="1" x="1005"/>
        <item m="1" x="1630"/>
        <item m="1" x="2258"/>
        <item m="1" x="2891"/>
        <item m="1" x="3523"/>
        <item m="1" x="4147"/>
        <item m="1" x="4770"/>
        <item m="1" x="451"/>
        <item m="1" x="1081"/>
        <item m="1" x="1707"/>
        <item m="1" x="2335"/>
        <item m="1" x="2969"/>
        <item m="1" x="3600"/>
        <item m="1" x="4223"/>
        <item m="1" x="4846"/>
        <item m="1" x="528"/>
        <item m="1" x="1157"/>
        <item m="1" x="1783"/>
        <item m="1" x="2411"/>
        <item m="1" x="3044"/>
        <item m="1" x="3675"/>
        <item m="1" x="4297"/>
        <item m="1" x="4922"/>
        <item m="1" x="604"/>
        <item m="1" x="1233"/>
        <item m="1" x="1859"/>
        <item m="1" x="2488"/>
        <item m="1" x="3122"/>
        <item m="1" x="3752"/>
        <item m="1" x="4374"/>
        <item m="1" x="4999"/>
        <item m="1" x="680"/>
        <item m="1" x="1309"/>
        <item m="1" x="1937"/>
        <item m="1" x="2566"/>
        <item m="1" x="3197"/>
        <item m="1" x="3827"/>
        <item m="1" x="4450"/>
        <item m="1" x="126"/>
        <item m="1" x="756"/>
        <item m="1" x="1384"/>
        <item m="1" x="2012"/>
        <item m="1" x="2642"/>
        <item m="1" x="3273"/>
        <item m="1" x="3903"/>
        <item m="1" x="4524"/>
        <item m="1" x="201"/>
        <item m="1" x="831"/>
        <item m="1" x="1459"/>
        <item m="1" x="2086"/>
        <item m="1" x="2717"/>
        <item m="1" x="3348"/>
        <item m="1" x="3976"/>
        <item m="1" x="4599"/>
        <item m="1" x="276"/>
        <item m="1" x="907"/>
        <item m="1" x="1533"/>
        <item m="1" x="2163"/>
        <item m="1" x="2793"/>
        <item m="1" x="3425"/>
        <item m="1" x="4052"/>
        <item m="1" x="4676"/>
        <item m="1" x="352"/>
        <item m="1" x="983"/>
        <item m="1" x="1609"/>
        <item m="1" x="2241"/>
        <item m="1" x="2870"/>
        <item m="1" x="3501"/>
        <item m="1" x="4127"/>
        <item m="1" x="4753"/>
        <item m="1" x="429"/>
        <item m="1" x="1059"/>
        <item m="1" x="1686"/>
        <item m="1" x="2318"/>
        <item m="1" x="2947"/>
        <item m="1" x="3578"/>
        <item m="1" x="4204"/>
        <item m="1" x="4829"/>
        <item m="1" x="506"/>
        <item m="1" x="1135"/>
        <item m="1" x="1763"/>
        <item m="1" x="2394"/>
        <item m="1" x="3023"/>
        <item m="1" x="3652"/>
        <item m="1" x="4279"/>
        <item m="1" x="4905"/>
        <item m="1" x="582"/>
        <item m="1" x="1210"/>
        <item m="1" x="1840"/>
        <item m="1" x="2471"/>
        <item m="1" x="3100"/>
        <item m="1" x="3729"/>
        <item m="1" x="4356"/>
        <item m="1" x="4982"/>
        <item m="1" x="659"/>
        <item m="1" x="1286"/>
        <item m="1" x="1917"/>
        <item m="1" x="2549"/>
        <item m="1" x="3177"/>
        <item m="1" x="3804"/>
        <item m="1" x="4431"/>
        <item m="1" x="109"/>
        <item m="1" x="735"/>
        <item m="1" x="1362"/>
        <item m="1" x="1993"/>
        <item m="1" x="2626"/>
        <item m="1" x="3253"/>
        <item m="1" x="3881"/>
        <item m="1" x="4507"/>
        <item m="1" x="185"/>
        <item m="1" x="811"/>
        <item m="1" x="1437"/>
        <item m="1" x="2068"/>
        <item m="1" x="2701"/>
        <item m="1" x="3328"/>
        <item m="1" x="3955"/>
        <item m="1" x="4580"/>
        <item m="1" x="260"/>
        <item m="1" x="886"/>
        <item m="1" x="1512"/>
        <item m="1" x="2143"/>
        <item m="1" x="2777"/>
        <item m="1" x="3404"/>
        <item m="1" x="4031"/>
        <item m="1" x="4657"/>
        <item m="1" x="336"/>
        <item m="1" x="962"/>
        <item m="1" x="1588"/>
        <item m="1" x="2220"/>
        <item m="1" x="2854"/>
        <item m="1" x="3481"/>
        <item m="1" x="4106"/>
        <item m="1" x="4734"/>
        <item m="1" x="413"/>
        <item m="1" x="1038"/>
        <item m="1" x="1665"/>
        <item m="1" x="2298"/>
        <item m="1" x="2931"/>
        <item m="1" x="3557"/>
        <item m="1" x="4183"/>
        <item m="1" x="4811"/>
        <item m="1" x="490"/>
        <item m="1" x="1114"/>
        <item m="1" x="1742"/>
        <item m="1" x="2375"/>
        <item m="1" x="3007"/>
        <item m="1" x="3632"/>
        <item m="1" x="4257"/>
        <item m="1" x="4887"/>
        <item m="1" x="565"/>
        <item m="1" x="1189"/>
        <item m="1" x="1818"/>
        <item m="1" x="2452"/>
        <item m="1" x="3083"/>
        <item m="1" x="3708"/>
        <item m="1" x="4334"/>
        <item m="1" x="4964"/>
        <item m="1" x="642"/>
        <item m="1" x="1265"/>
        <item m="1" x="1895"/>
        <item m="1" x="2529"/>
        <item m="1" x="3161"/>
        <item m="1" x="3785"/>
        <item m="1" x="4409"/>
        <item m="1" x="90"/>
        <item m="1" x="719"/>
        <item m="1" x="1342"/>
        <item m="1" x="1971"/>
        <item m="1" x="2606"/>
        <item m="1" x="3237"/>
        <item m="1" x="3861"/>
        <item m="1" x="4485"/>
        <item m="1" x="167"/>
        <item m="1" x="795"/>
        <item m="1" x="1417"/>
        <item m="1" x="2046"/>
        <item m="1" x="2682"/>
        <item m="1" x="3311"/>
        <item m="1" x="3935"/>
        <item m="1" x="4558"/>
        <item m="1" x="241"/>
        <item m="1" x="869"/>
        <item m="1" x="1491"/>
        <item m="1" x="2121"/>
        <item m="1" x="2757"/>
        <item m="1" x="3387"/>
        <item m="1" x="4010"/>
        <item m="1" x="4635"/>
        <item m="1" x="317"/>
        <item m="1" x="945"/>
        <item m="1" x="1567"/>
        <item m="1" x="2198"/>
        <item m="1" x="2833"/>
        <item m="1" x="3464"/>
        <item m="1" x="4086"/>
        <item m="1" x="4712"/>
        <item m="1" x="393"/>
        <item m="1" x="1021"/>
        <item m="1" x="1644"/>
        <item m="1" x="2276"/>
        <item m="1" x="2910"/>
        <item m="1" x="3540"/>
        <item m="1" x="4162"/>
        <item m="1" x="4789"/>
        <item m="1" x="470"/>
        <item m="1" x="1097"/>
        <item m="1" x="1721"/>
        <item m="1" x="2353"/>
        <item m="1" x="2987"/>
        <item m="1" x="3615"/>
        <item m="1" x="4237"/>
        <item m="1" x="4864"/>
        <item m="1" x="547"/>
        <item m="1" x="1172"/>
        <item m="1" x="1797"/>
        <item m="1" x="2429"/>
        <item m="1" x="3064"/>
        <item m="1" x="3691"/>
        <item m="1" x="4313"/>
        <item m="1" x="4941"/>
        <item m="1" x="624"/>
        <item m="1" x="1248"/>
        <item m="1" x="1874"/>
        <item m="1" x="2506"/>
        <item m="1" x="3141"/>
        <item m="1" x="3768"/>
        <item m="1" x="4390"/>
        <item m="1" x="67"/>
        <item m="1" x="700"/>
        <item m="1" x="1325"/>
        <item m="1" x="1951"/>
        <item m="1" x="2583"/>
        <item m="1" x="3217"/>
        <item m="1" x="3844"/>
        <item m="1" x="4465"/>
        <item m="1" x="144"/>
        <item m="1" x="776"/>
        <item m="1" x="1400"/>
        <item m="1" x="2026"/>
        <item m="1" x="2659"/>
        <item m="1" x="3292"/>
        <item m="1" x="3918"/>
        <item m="1" x="4538"/>
        <item m="1" x="219"/>
        <item m="1" x="850"/>
        <item m="1" x="1474"/>
        <item m="1" x="2100"/>
        <item m="1" x="2735"/>
        <item m="1" x="3367"/>
        <item m="1" x="3993"/>
        <item m="1" x="4614"/>
        <item m="1" x="295"/>
        <item m="1" x="926"/>
        <item m="1" x="1550"/>
        <item m="1" x="2177"/>
        <item m="1" x="2811"/>
        <item m="1" x="3443"/>
        <item m="1" x="4069"/>
        <item m="1" x="4691"/>
        <item m="1" x="371"/>
        <item m="1" x="1002"/>
        <item m="1" x="1627"/>
        <item m="1" x="2255"/>
        <item m="1" x="2888"/>
        <item m="1" x="3520"/>
        <item m="1" x="4145"/>
        <item m="1" x="4768"/>
        <item m="1" x="448"/>
        <item m="1" x="1078"/>
        <item m="1" x="1704"/>
        <item m="1" x="2332"/>
        <item m="1" x="2965"/>
        <item m="1" x="3596"/>
        <item m="1" x="4220"/>
        <item m="1" x="4843"/>
        <item m="1" x="524"/>
        <item m="1" x="1154"/>
        <item m="1" x="1779"/>
        <item m="1" x="2408"/>
        <item m="1" x="3041"/>
        <item m="1" x="3672"/>
        <item m="1" x="4295"/>
        <item m="1" x="4920"/>
        <item m="1" x="601"/>
        <item m="1" x="1230"/>
        <item m="1" x="1856"/>
        <item m="1" x="2485"/>
        <item m="1" x="3118"/>
        <item m="1" x="3748"/>
        <item m="1" x="4372"/>
        <item m="1" x="4997"/>
        <item m="1" x="677"/>
        <item m="1" x="1306"/>
        <item m="1" x="1934"/>
        <item m="1" x="2563"/>
        <item m="1" x="3194"/>
        <item m="1" x="3824"/>
        <item m="1" x="4448"/>
        <item m="1" x="124"/>
        <item m="1" x="753"/>
        <item t="default"/>
      </items>
    </pivotField>
    <pivotField dataField="1" showAll="0" defaultSubtotal="0"/>
    <pivotField dataField="1" showAll="0"/>
    <pivotField showAll="0"/>
  </pivotFields>
  <rowFields count="1">
    <field x="3"/>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5" fieldListSortAscending="1">
  <location ref="A1:B1" firstHeaderRow="0" firstDataRow="1" firstDataCol="1"/>
  <pivotFields count="21">
    <pivotField showAll="0">
      <items count="403">
        <item m="1" x="167"/>
        <item m="1" x="227"/>
        <item m="1" x="124"/>
        <item m="1" x="248"/>
        <item m="1" x="308"/>
        <item m="1" x="176"/>
        <item m="1" x="64"/>
        <item m="1" x="187"/>
        <item m="1" x="287"/>
        <item m="1" x="279"/>
        <item m="1" x="49"/>
        <item m="1" x="129"/>
        <item m="1" x="182"/>
        <item m="1" x="208"/>
        <item m="1" x="256"/>
        <item m="1" x="304"/>
        <item m="1" x="350"/>
        <item m="1" x="236"/>
        <item m="1" x="97"/>
        <item m="1" x="138"/>
        <item m="1" x="90"/>
        <item m="1" x="104"/>
        <item m="1" x="252"/>
        <item m="1" x="24"/>
        <item m="1" x="151"/>
        <item m="1" x="56"/>
        <item m="1" x="117"/>
        <item m="1" x="309"/>
        <item m="1" x="368"/>
        <item m="1" x="65"/>
        <item m="1" x="300"/>
        <item m="1" x="121"/>
        <item m="1" x="263"/>
        <item m="1" x="313"/>
        <item m="1" x="155"/>
        <item m="1" x="388"/>
        <item m="1" x="351"/>
        <item m="1" x="260"/>
        <item m="1" x="112"/>
        <item m="1" x="125"/>
        <item m="1" x="45"/>
        <item m="1" x="135"/>
        <item m="1" x="212"/>
        <item m="1" x="357"/>
        <item m="1" x="99"/>
        <item m="1" x="324"/>
        <item m="1" x="230"/>
        <item m="1" x="40"/>
        <item m="1" x="52"/>
        <item m="1" x="107"/>
        <item m="1" x="119"/>
        <item m="1" x="174"/>
        <item m="1" x="393"/>
        <item m="1" x="28"/>
        <item m="1" x="75"/>
        <item m="1" x="336"/>
        <item m="1" x="27"/>
        <item m="1" x="74"/>
        <item m="1" x="83"/>
        <item m="1" x="140"/>
        <item m="1" x="18"/>
        <item m="1" x="365"/>
        <item m="1" x="379"/>
        <item m="1" x="50"/>
        <item m="1" x="80"/>
        <item m="1" x="321"/>
        <item m="1" x="343"/>
        <item m="1" x="17"/>
        <item m="1" x="25"/>
        <item m="1" x="226"/>
        <item m="1" x="93"/>
        <item m="1" x="385"/>
        <item m="1" x="400"/>
        <item m="1" x="37"/>
        <item m="1" x="133"/>
        <item m="1" x="173"/>
        <item m="1" x="109"/>
        <item m="1" x="114"/>
        <item m="1" x="147"/>
        <item m="1" x="172"/>
        <item m="1" x="181"/>
        <item m="1" x="192"/>
        <item m="1" x="199"/>
        <item m="1" x="242"/>
        <item m="1" x="78"/>
        <item m="1" x="378"/>
        <item m="1" x="156"/>
        <item m="1" x="198"/>
        <item m="1" x="224"/>
        <item m="1" x="42"/>
        <item m="1" x="318"/>
        <item m="1" x="377"/>
        <item m="1" x="191"/>
        <item m="1" x="118"/>
        <item m="1" x="36"/>
        <item m="1" x="246"/>
        <item m="1" x="102"/>
        <item m="1" x="48"/>
        <item m="1" x="66"/>
        <item m="1" x="273"/>
        <item m="1" x="295"/>
        <item m="1" x="301"/>
        <item m="1" x="362"/>
        <item m="1" x="375"/>
        <item m="1" x="190"/>
        <item m="1" x="12"/>
        <item m="1" x="35"/>
        <item m="1" x="47"/>
        <item m="1" x="251"/>
        <item m="1" x="361"/>
        <item m="1" x="312"/>
        <item m="1" x="374"/>
        <item m="1" x="4"/>
        <item m="1" x="23"/>
        <item m="1" x="215"/>
        <item m="1" x="373"/>
        <item m="1" x="1"/>
        <item m="1" x="204"/>
        <item m="1" x="22"/>
        <item m="1" x="196"/>
        <item m="1" x="95"/>
        <item m="1" x="315"/>
        <item m="1" x="383"/>
        <item m="1" x="11"/>
        <item m="1" x="220"/>
        <item m="1" x="55"/>
        <item m="1" x="255"/>
        <item m="1" x="326"/>
        <item m="1" x="353"/>
        <item m="1" x="21"/>
        <item m="1" x="77"/>
        <item m="1" x="94"/>
        <item m="1" x="272"/>
        <item m="1" x="277"/>
        <item m="1" x="307"/>
        <item m="1" x="314"/>
        <item m="1" x="340"/>
        <item m="1" x="254"/>
        <item m="1" x="82"/>
        <item m="1" x="166"/>
        <item m="1" x="271"/>
        <item m="1" x="177"/>
        <item m="1" x="286"/>
        <item m="1" x="9"/>
        <item m="1" x="214"/>
        <item m="1" x="322"/>
        <item m="1" x="395"/>
        <item m="1" x="139"/>
        <item m="1" x="149"/>
        <item m="1" x="352"/>
        <item m="1" x="262"/>
        <item m="1" x="168"/>
        <item m="1" x="108"/>
        <item m="1" x="282"/>
        <item m="1" x="291"/>
        <item m="1" x="14"/>
        <item m="1" x="160"/>
        <item m="1" x="81"/>
        <item m="1" x="170"/>
        <item m="1" x="285"/>
        <item m="1" x="41"/>
        <item m="1" x="54"/>
        <item m="1" x="392"/>
        <item m="1" x="116"/>
        <item m="1" x="243"/>
        <item m="1" x="253"/>
        <item m="1" x="382"/>
        <item m="1" x="397"/>
        <item m="1" x="148"/>
        <item m="1" x="387"/>
        <item m="1" x="7"/>
        <item m="1" x="200"/>
        <item m="1" x="209"/>
        <item m="1" x="26"/>
        <item m="1" x="347"/>
        <item m="1" x="159"/>
        <item m="1" x="106"/>
        <item m="1" x="396"/>
        <item m="1" x="284"/>
        <item m="1" x="203"/>
        <item m="1" x="228"/>
        <item m="1" x="334"/>
        <item m="1" x="261"/>
        <item m="1" x="386"/>
        <item m="1" x="281"/>
        <item m="1" x="120"/>
        <item m="1" x="346"/>
        <item m="1" x="360"/>
        <item m="1" x="339"/>
        <item m="1" x="79"/>
        <item m="1" x="163"/>
        <item m="1" x="265"/>
        <item m="1" x="276"/>
        <item m="1" x="278"/>
        <item m="1" x="183"/>
        <item m="1" x="16"/>
        <item m="1" x="288"/>
        <item m="1" x="320"/>
        <item m="1" x="329"/>
        <item m="1" x="233"/>
        <item m="1" x="46"/>
        <item m="1" x="76"/>
        <item m="1" x="88"/>
        <item m="1" x="384"/>
        <item m="1" x="126"/>
        <item m="1" x="332"/>
        <item m="1" x="345"/>
        <item m="1" x="381"/>
        <item m="1" x="202"/>
        <item m="1" x="328"/>
        <item m="1" x="132"/>
        <item m="1" x="239"/>
        <item m="1" x="349"/>
        <item m="1" x="6"/>
        <item m="1" x="299"/>
        <item m="1" x="207"/>
        <item m="1" x="43"/>
        <item m="1" x="142"/>
        <item m="1" x="98"/>
        <item m="1" x="154"/>
        <item m="1" x="275"/>
        <item m="1" x="269"/>
        <item m="1" x="290"/>
        <item m="1" x="297"/>
        <item m="1" x="15"/>
        <item m="1" x="303"/>
        <item m="1" x="20"/>
        <item m="1" x="123"/>
        <item m="1" x="72"/>
        <item m="1" x="165"/>
        <item m="1" x="391"/>
        <item m="1" x="13"/>
        <item m="1" x="115"/>
        <item m="1" x="180"/>
        <item m="1" x="225"/>
        <item m="1" x="231"/>
        <item m="1" x="235"/>
        <item m="1" x="241"/>
        <item m="1" x="311"/>
        <item m="1" x="344"/>
        <item m="1" x="359"/>
        <item m="1" x="92"/>
        <item m="1" x="274"/>
        <item m="1" x="105"/>
        <item m="1" x="175"/>
        <item m="1" x="113"/>
        <item m="1" x="319"/>
        <item m="1" x="34"/>
        <item m="1" x="232"/>
        <item m="1" x="44"/>
        <item m="1" x="342"/>
        <item m="1" x="53"/>
        <item m="1" x="244"/>
        <item m="1" x="71"/>
        <item m="1" x="131"/>
        <item m="1" x="157"/>
        <item m="1" x="87"/>
        <item m="1" x="216"/>
        <item m="1" x="223"/>
        <item m="1" x="58"/>
        <item m="1" x="358"/>
        <item m="1" x="91"/>
        <item m="1" x="270"/>
        <item m="1" x="268"/>
        <item m="1" x="289"/>
        <item m="1" x="8"/>
        <item m="1" x="296"/>
        <item m="1" x="302"/>
        <item m="1" x="317"/>
        <item m="1" x="238"/>
        <item m="1" x="146"/>
        <item m="1" x="70"/>
        <item m="1" x="162"/>
        <item m="1" x="371"/>
        <item m="1" x="143"/>
        <item m="1" x="399"/>
        <item m="1" x="5"/>
        <item m="1" x="2"/>
        <item m="1" x="32"/>
        <item m="1" x="222"/>
        <item m="1" x="325"/>
        <item m="1" x="331"/>
        <item m="1" x="234"/>
        <item m="1" x="338"/>
        <item m="1" x="247"/>
        <item m="1" x="356"/>
        <item m="1" x="103"/>
        <item m="1" x="195"/>
        <item m="1" x="327"/>
        <item m="1" x="341"/>
        <item m="1" x="145"/>
        <item m="1" x="152"/>
        <item m="1" x="250"/>
        <item m="1" x="354"/>
        <item m="1" x="69"/>
        <item m="1" x="364"/>
        <item m="1" x="164"/>
        <item m="1" x="266"/>
        <item m="1" x="376"/>
        <item m="1" x="390"/>
        <item m="1" x="111"/>
        <item m="1" x="206"/>
        <item m="1" x="0"/>
        <item m="1" x="31"/>
        <item m="1" x="330"/>
        <item m="1" x="141"/>
        <item m="1" x="213"/>
        <item m="1" x="96"/>
        <item m="1" x="19"/>
        <item m="1" x="122"/>
        <item m="1" x="29"/>
        <item m="1" x="219"/>
        <item m="1" x="193"/>
        <item m="1" x="210"/>
        <item m="1" x="237"/>
        <item m="1" x="63"/>
        <item m="1" x="249"/>
        <item m="1" x="363"/>
        <item m="1" x="259"/>
        <item m="1" x="370"/>
        <item m="1" x="86"/>
        <item m="1" x="280"/>
        <item m="1" x="84"/>
        <item m="1" x="221"/>
        <item m="1" x="229"/>
        <item m="1" x="337"/>
        <item m="1" x="57"/>
        <item m="1" x="153"/>
        <item m="1" x="73"/>
        <item m="1" x="158"/>
        <item m="1" x="89"/>
        <item m="1" x="380"/>
        <item m="1" x="169"/>
        <item m="1" x="101"/>
        <item m="1" x="194"/>
        <item m="1" x="294"/>
        <item m="1" x="211"/>
        <item m="1" x="316"/>
        <item m="1" x="33"/>
        <item m="1" x="292"/>
        <item m="1" x="137"/>
        <item m="1" x="51"/>
        <item m="1" x="144"/>
        <item m="1" x="348"/>
        <item m="1" x="62"/>
        <item m="1" x="258"/>
        <item m="1" x="85"/>
        <item m="1" x="67"/>
        <item m="1" x="389"/>
        <item m="1" x="179"/>
        <item m="1" x="110"/>
        <item m="1" x="185"/>
        <item m="1" x="189"/>
        <item m="1" x="197"/>
        <item m="1" x="298"/>
        <item m="1" x="306"/>
        <item m="1" x="310"/>
        <item m="1" x="323"/>
        <item m="1" x="130"/>
        <item m="1" x="366"/>
        <item m="1" x="245"/>
        <item m="1" x="394"/>
        <item m="1" x="401"/>
        <item m="1" x="293"/>
        <item m="1" x="128"/>
        <item m="1" x="39"/>
        <item m="1" x="150"/>
        <item m="1" x="3"/>
        <item m="1" x="188"/>
        <item m="1" x="205"/>
        <item m="1" x="305"/>
        <item m="1" x="398"/>
        <item m="1" x="30"/>
        <item m="1" x="240"/>
        <item m="1" x="267"/>
        <item m="1" x="283"/>
        <item m="1" x="186"/>
        <item m="1" x="127"/>
        <item m="1" x="136"/>
        <item m="1" x="61"/>
        <item m="1" x="369"/>
        <item m="1" x="171"/>
        <item m="1" x="178"/>
        <item m="1" x="355"/>
        <item m="1" x="100"/>
        <item m="1" x="218"/>
        <item m="1" x="60"/>
        <item m="1" x="68"/>
        <item m="1" x="161"/>
        <item m="1" x="367"/>
        <item m="1" x="184"/>
        <item m="1" x="134"/>
        <item m="1" x="335"/>
        <item m="1" x="264"/>
        <item m="1" x="372"/>
        <item m="1" x="201"/>
        <item m="1" x="217"/>
        <item m="1" x="38"/>
        <item m="1" x="333"/>
        <item m="1" x="59"/>
        <item m="1" x="257"/>
        <item m="1" x="10"/>
        <item t="default"/>
      </items>
    </pivotField>
    <pivotField showAll="0">
      <items count="989">
        <item m="1" x="245"/>
        <item m="1" x="724"/>
        <item m="1" x="91"/>
        <item m="1" x="314"/>
        <item m="1" x="68"/>
        <item m="1" x="298"/>
        <item m="1" x="539"/>
        <item m="1" x="791"/>
        <item m="1" x="175"/>
        <item m="1" x="744"/>
        <item m="1" x="461"/>
        <item m="1" x="97"/>
        <item m="1" x="563"/>
        <item m="1" x="815"/>
        <item m="1" x="930"/>
        <item m="1" x="393"/>
        <item m="1" x="150"/>
        <item m="1" x="621"/>
        <item m="1" x="489"/>
        <item m="1" x="864"/>
        <item m="1" x="776"/>
        <item m="1" x="912"/>
        <item m="1" x="697"/>
        <item m="1" x="369"/>
        <item m="1" x="541"/>
        <item m="1" x="347"/>
        <item m="1" x="465"/>
        <item m="1" x="591"/>
        <item m="1" x="840"/>
        <item m="1" x="936"/>
        <item m="1" x="10"/>
        <item m="1" x="626"/>
        <item m="1" x="825"/>
        <item m="1" x="856"/>
        <item m="1" x="113"/>
        <item m="1" x="400"/>
        <item m="1" x="432"/>
        <item m="1" x="498"/>
        <item m="1" x="522"/>
        <item m="1" x="805"/>
        <item m="1" x="903"/>
        <item m="1" x="99"/>
        <item m="1" x="325"/>
        <item m="1" x="358"/>
        <item m="1" x="416"/>
        <item m="1" x="689"/>
        <item m="1" x="950"/>
        <item m="1" x="980"/>
        <item m="1" x="111"/>
        <item m="1" x="169"/>
        <item m="1" x="364"/>
        <item m="1" x="703"/>
        <item m="1" x="900"/>
        <item m="1" x="4"/>
        <item m="1" x="98"/>
        <item m="1" x="210"/>
        <item m="1" x="507"/>
        <item m="1" x="721"/>
        <item m="1" x="818"/>
        <item m="1" x="922"/>
        <item m="1" x="43"/>
        <item m="1" x="278"/>
        <item m="1" x="339"/>
        <item m="1" x="395"/>
        <item m="1" x="739"/>
        <item m="1" x="963"/>
        <item m="1" x="208"/>
        <item m="1" x="238"/>
        <item m="1" x="414"/>
        <item m="1" x="560"/>
        <item m="1" x="683"/>
        <item m="1" x="784"/>
        <item m="1" x="850"/>
        <item m="1" x="915"/>
        <item m="1" x="946"/>
        <item m="1" x="975"/>
        <item m="1" x="108"/>
        <item m="1" x="275"/>
        <item m="1" x="303"/>
        <item m="1" x="763"/>
        <item m="1" x="797"/>
        <item m="1" x="106"/>
        <item m="1" x="151"/>
        <item m="1" x="272"/>
        <item m="1" x="290"/>
        <item m="1" x="360"/>
        <item m="1" x="411"/>
        <item m="1" x="427"/>
        <item m="1" x="660"/>
        <item m="1" x="737"/>
        <item m="1" x="846"/>
        <item m="1" x="960"/>
        <item m="1" x="972"/>
        <item m="1" x="13"/>
        <item m="1" x="78"/>
        <item m="1" x="220"/>
        <item m="1" x="315"/>
        <item m="1" x="350"/>
        <item m="1" x="424"/>
        <item m="1" x="503"/>
        <item m="1" x="528"/>
        <item m="1" x="659"/>
        <item m="1" x="778"/>
        <item m="1" x="121"/>
        <item m="1" x="235"/>
        <item m="1" x="250"/>
        <item m="1" x="333"/>
        <item m="1" x="408"/>
        <item m="1" x="542"/>
        <item m="1" x="681"/>
        <item m="1" x="713"/>
        <item m="1" x="830"/>
        <item m="1" x="940"/>
        <item m="1" x="39"/>
        <item m="1" x="75"/>
        <item m="1" x="268"/>
        <item m="1" x="287"/>
        <item m="1" x="331"/>
        <item m="1" x="617"/>
        <item m="1" x="760"/>
        <item m="1" x="775"/>
        <item m="1" x="829"/>
        <item m="1" x="842"/>
        <item m="1" x="93"/>
        <item m="1" x="132"/>
        <item m="1" x="162"/>
        <item m="1" x="179"/>
        <item m="1" x="203"/>
        <item m="1" x="285"/>
        <item m="1" x="329"/>
        <item m="1" x="615"/>
        <item m="1" x="696"/>
        <item m="1" x="793"/>
        <item m="1" x="909"/>
        <item m="1" x="957"/>
        <item m="1" x="71"/>
        <item m="1" x="201"/>
        <item m="1" x="218"/>
        <item m="1" x="232"/>
        <item m="1" x="248"/>
        <item m="1" x="267"/>
        <item m="1" x="328"/>
        <item m="1" x="368"/>
        <item m="1" x="571"/>
        <item m="1" x="628"/>
        <item m="1" x="709"/>
        <item m="1" x="730"/>
        <item m="1" x="772"/>
        <item m="1" x="807"/>
        <item m="1" x="907"/>
        <item m="1" x="926"/>
        <item m="1" x="89"/>
        <item m="1" x="104"/>
        <item m="1" x="119"/>
        <item m="1" x="144"/>
        <item m="1" x="187"/>
        <item m="1" x="217"/>
        <item m="1" x="327"/>
        <item m="1" x="403"/>
        <item m="1" x="466"/>
        <item m="1" x="540"/>
        <item m="1" x="604"/>
        <item m="1" x="612"/>
        <item m="1" x="675"/>
        <item m="1" x="749"/>
        <item m="1" x="806"/>
        <item m="1" x="841"/>
        <item m="1" x="876"/>
        <item m="1" x="937"/>
        <item m="1" x="969"/>
        <item m="1" x="116"/>
        <item m="1" x="199"/>
        <item m="1" x="215"/>
        <item m="1" x="483"/>
        <item m="1" x="500"/>
        <item m="1" x="102"/>
        <item m="1" x="590"/>
        <item m="1" x="115"/>
        <item m="1" x="603"/>
        <item m="1" x="143"/>
        <item m="1" x="638"/>
        <item m="1" x="654"/>
        <item m="1" x="186"/>
        <item m="1" x="673"/>
        <item m="1" x="694"/>
        <item m="1" x="401"/>
        <item m="1" x="482"/>
        <item m="1" x="499"/>
        <item m="1" x="524"/>
        <item m="1" x="536"/>
        <item m="1" x="67"/>
        <item m="1" x="555"/>
        <item m="1" x="569"/>
        <item m="1" x="588"/>
        <item m="1" x="173"/>
        <item m="1" x="653"/>
        <item m="1" x="747"/>
        <item m="1" x="346"/>
        <item m="1" x="887"/>
        <item m="1" x="953"/>
        <item m="1" x="448"/>
        <item m="1" x="968"/>
        <item m="1" x="36"/>
        <item m="1" x="553"/>
        <item m="1" x="114"/>
        <item m="1" x="601"/>
        <item m="1" x="198"/>
        <item m="1" x="214"/>
        <item m="1" x="728"/>
        <item m="1" x="282"/>
        <item m="1" x="789"/>
        <item m="1" x="905"/>
        <item m="1" x="418"/>
        <item m="1" x="447"/>
        <item m="1" x="983"/>
        <item m="1" x="481"/>
        <item m="1" x="86"/>
        <item m="1" x="600"/>
        <item m="1" x="652"/>
        <item m="1" x="727"/>
        <item m="1" x="788"/>
        <item m="1" x="296"/>
        <item m="1" x="311"/>
        <item m="1" x="823"/>
        <item m="1" x="904"/>
        <item m="1" x="8"/>
        <item m="1" x="51"/>
        <item m="1" x="552"/>
        <item m="1" x="84"/>
        <item m="1" x="599"/>
        <item m="1" x="141"/>
        <item m="1" x="171"/>
        <item m="1" x="257"/>
        <item m="1" x="769"/>
        <item m="1" x="281"/>
        <item m="1" x="981"/>
        <item m="1" x="7"/>
        <item m="1" x="509"/>
        <item m="1" x="32"/>
        <item m="1" x="64"/>
        <item m="1" x="651"/>
        <item m="1" x="212"/>
        <item m="1" x="743"/>
        <item m="1" x="756"/>
        <item m="1" x="822"/>
        <item m="1" x="838"/>
        <item m="1" x="342"/>
        <item m="1" x="854"/>
        <item m="1" x="357"/>
        <item m="1" x="462"/>
        <item m="1" x="6"/>
        <item m="1" x="49"/>
        <item m="1" x="128"/>
        <item m="1" x="140"/>
        <item m="1" x="688"/>
        <item m="1" x="820"/>
        <item m="1" x="365"/>
        <item m="1" x="397"/>
        <item m="1" x="935"/>
        <item m="1" x="444"/>
        <item m="1" x="508"/>
        <item m="1" x="30"/>
        <item m="1" x="47"/>
        <item m="1" x="598"/>
        <item m="1" x="154"/>
        <item m="1" x="649"/>
        <item m="1" x="230"/>
        <item m="1" x="244"/>
        <item m="1" x="742"/>
        <item m="1" x="255"/>
        <item m="1" x="801"/>
        <item m="1" x="308"/>
        <item m="1" x="323"/>
        <item m="1" x="837"/>
        <item m="1" x="872"/>
        <item m="1" x="381"/>
        <item m="1" x="948"/>
        <item m="1" x="533"/>
        <item m="1" x="63"/>
        <item m="1" x="127"/>
        <item m="1" x="609"/>
        <item m="1" x="624"/>
        <item m="1" x="648"/>
        <item m="1" x="668"/>
        <item m="1" x="195"/>
        <item m="1" x="754"/>
        <item m="1" x="800"/>
        <item m="1" x="924"/>
        <item m="1" x="415"/>
        <item m="1" x="934"/>
        <item m="1" x="520"/>
        <item m="1" x="82"/>
        <item m="1" x="126"/>
        <item m="1" x="634"/>
        <item m="1" x="167"/>
        <item m="1" x="686"/>
        <item m="1" x="722"/>
        <item m="1" x="293"/>
        <item m="1" x="306"/>
        <item m="1" x="354"/>
        <item m="1" x="379"/>
        <item m="1" x="923"/>
        <item m="1" x="965"/>
        <item m="1" x="476"/>
        <item m="1" x="2"/>
        <item m="1" x="18"/>
        <item m="1" x="518"/>
        <item m="1" x="564"/>
        <item m="1" x="597"/>
        <item m="1" x="607"/>
        <item m="1" x="666"/>
        <item m="1" x="685"/>
        <item m="1" x="701"/>
        <item m="1" x="766"/>
        <item m="1" x="279"/>
        <item m="1" x="799"/>
        <item m="1" x="816"/>
        <item m="1" x="377"/>
        <item m="1" x="494"/>
        <item m="1" x="60"/>
        <item m="1" x="580"/>
        <item m="1" x="632"/>
        <item m="1" x="240"/>
        <item m="1" x="253"/>
        <item m="1" x="292"/>
        <item m="1" x="321"/>
        <item m="1" x="361"/>
        <item m="1" x="376"/>
        <item m="1" x="459"/>
        <item m="1" x="977"/>
        <item m="1" x="125"/>
        <item m="1" x="136"/>
        <item m="1" x="622"/>
        <item m="1" x="239"/>
        <item m="1" x="765"/>
        <item m="1" x="277"/>
        <item m="1" x="813"/>
        <item m="1" x="319"/>
        <item m="1" x="337"/>
        <item m="1" x="918"/>
        <item m="1" x="931"/>
        <item m="1" x="962"/>
        <item m="1" x="28"/>
        <item m="1" x="579"/>
        <item m="1" x="165"/>
        <item m="1" x="262"/>
        <item m="1" x="304"/>
        <item m="1" x="317"/>
        <item m="1" x="851"/>
        <item m="1" x="916"/>
        <item m="1" x="413"/>
        <item m="1" x="440"/>
        <item m="1" x="457"/>
        <item m="1" x="474"/>
        <item m="1" x="504"/>
        <item m="1" x="41"/>
        <item m="1" x="578"/>
        <item m="1" x="124"/>
        <item m="1" x="605"/>
        <item m="1" x="182"/>
        <item m="1" x="665"/>
        <item m="1" x="192"/>
        <item m="1" x="206"/>
        <item m="1" x="782"/>
        <item m="1" x="849"/>
        <item m="1" x="867"/>
        <item m="1" x="412"/>
        <item m="1" x="14"/>
        <item m="1" x="27"/>
        <item m="1" x="40"/>
        <item m="1" x="530"/>
        <item m="1" x="546"/>
        <item m="1" x="577"/>
        <item m="1" x="107"/>
        <item m="1" x="123"/>
        <item m="1" x="644"/>
        <item m="1" x="663"/>
        <item m="1" x="717"/>
        <item m="1" x="273"/>
        <item m="1" x="291"/>
        <item m="1" x="302"/>
        <item m="1" x="848"/>
        <item m="1" x="160"/>
        <item m="1" x="439"/>
        <item m="1" x="456"/>
        <item m="1" x="529"/>
        <item m="1" x="826"/>
        <item m="1" x="576"/>
        <item m="1" x="596"/>
        <item m="1" x="857"/>
        <item m="1" x="889"/>
        <item m="1" x="383"/>
        <item m="1" x="402"/>
        <item m="1" x="662"/>
        <item m="1" x="190"/>
        <item m="1" x="955"/>
        <item m="1" x="449"/>
        <item m="1" x="223"/>
        <item m="1" x="464"/>
        <item m="1" x="236"/>
        <item m="1" x="738"/>
        <item m="1" x="9"/>
        <item m="1" x="23"/>
        <item m="1" x="510"/>
        <item m="1" x="537"/>
        <item m="1" x="796"/>
        <item m="1" x="811"/>
        <item m="1" x="833"/>
        <item m="1" x="101"/>
        <item m="1" x="589"/>
        <item m="1" x="159"/>
        <item m="1" x="392"/>
        <item m="1" x="943"/>
        <item m="1" x="438"/>
        <item m="1" x="693"/>
        <item m="1" x="973"/>
        <item m="1" x="473"/>
        <item m="1" x="283"/>
        <item m="1" x="58"/>
        <item m="1" x="79"/>
        <item m="1" x="575"/>
        <item m="1" x="839"/>
        <item m="1" x="595"/>
        <item m="1" x="888"/>
        <item m="1" x="420"/>
        <item m="1" x="661"/>
        <item m="1" x="189"/>
        <item m="1" x="954"/>
        <item m="1" x="222"/>
        <item m="1" x="716"/>
        <item m="1" x="22"/>
        <item m="1" x="523"/>
        <item m="1" x="780"/>
        <item m="1" x="289"/>
        <item m="1" x="535"/>
        <item m="1" x="66"/>
        <item m="1" x="554"/>
        <item m="1" x="316"/>
        <item m="1" x="587"/>
        <item m="1" x="847"/>
        <item m="1" x="351"/>
        <item m="1" x="602"/>
        <item m="1" x="374"/>
        <item m="1" x="625"/>
        <item m="1" x="895"/>
        <item m="1" x="172"/>
        <item m="1" x="426"/>
        <item m="1" x="672"/>
        <item m="1" x="942"/>
        <item m="1" x="692"/>
        <item m="1" x="961"/>
        <item m="1" x="491"/>
        <item m="1" x="746"/>
        <item m="1" x="545"/>
        <item m="1" x="312"/>
        <item m="1" x="559"/>
        <item m="1" x="824"/>
        <item m="1" x="326"/>
        <item m="1" x="345"/>
        <item m="1" x="874"/>
        <item m="1" x="135"/>
        <item m="1" x="886"/>
        <item m="1" x="631"/>
        <item m="1" x="906"/>
        <item m="1" x="164"/>
        <item m="1" x="643"/>
        <item m="1" x="419"/>
        <item m="1" x="952"/>
        <item m="1" x="204"/>
        <item m="1" x="221"/>
        <item m="1" x="715"/>
        <item m="1" x="21"/>
        <item m="1" x="35"/>
        <item m="1" x="795"/>
        <item m="1" x="301"/>
        <item m="1" x="87"/>
        <item m="1" x="568"/>
        <item m="1" x="832"/>
        <item m="1" x="100"/>
        <item m="1" x="335"/>
        <item m="1" x="610"/>
        <item m="1" x="373"/>
        <item m="1" x="391"/>
        <item m="1" x="929"/>
        <item m="1" x="185"/>
        <item m="1" x="425"/>
        <item m="1" x="941"/>
        <item m="1" x="437"/>
        <item m="1" x="959"/>
        <item m="1" x="472"/>
        <item m="1" x="490"/>
        <item m="1" x="745"/>
        <item m="1" x="26"/>
        <item m="1" x="544"/>
        <item m="1" x="344"/>
        <item m="1" x="855"/>
        <item m="1" x="122"/>
        <item m="1" x="873"/>
        <item m="1" x="620"/>
        <item m="1" x="885"/>
        <item m="1" x="149"/>
        <item m="1" x="417"/>
        <item m="1" x="188"/>
        <item m="1" x="480"/>
        <item m="1" x="736"/>
        <item m="1" x="762"/>
        <item m="1" x="34"/>
        <item m="1" x="271"/>
        <item m="1" x="779"/>
        <item m="1" x="52"/>
        <item m="1" x="65"/>
        <item m="1" x="85"/>
        <item m="1" x="567"/>
        <item m="1" x="831"/>
        <item m="1" x="586"/>
        <item m="1" x="866"/>
        <item m="1" x="142"/>
        <item m="1" x="372"/>
        <item m="1" x="158"/>
        <item m="1" x="390"/>
        <item m="1" x="410"/>
        <item m="1" x="928"/>
        <item m="1" x="671"/>
        <item m="1" x="691"/>
        <item m="1" x="706"/>
        <item m="1" x="231"/>
        <item m="1" x="516"/>
        <item m="1" x="770"/>
        <item m="1" x="57"/>
        <item m="1" x="295"/>
        <item m="1" x="543"/>
        <item m="1" x="804"/>
        <item m="1" x="77"/>
        <item m="1" x="558"/>
        <item m="1" x="96"/>
        <item m="1" x="343"/>
        <item m="1" x="594"/>
        <item m="1" x="884"/>
        <item m="1" x="148"/>
        <item m="1" x="382"/>
        <item m="1" x="630"/>
        <item m="1" x="902"/>
        <item m="1" x="642"/>
        <item m="1" x="925"/>
        <item m="1" x="181"/>
        <item m="1" x="699"/>
        <item m="1" x="463"/>
        <item m="1" x="982"/>
        <item m="1" x="479"/>
        <item m="1" x="251"/>
        <item m="1" x="20"/>
        <item m="1" x="261"/>
        <item m="1" x="33"/>
        <item m="1" x="270"/>
        <item m="1" x="288"/>
        <item m="1" x="83"/>
        <item m="1" x="334"/>
        <item m="1" x="585"/>
        <item m="1" x="845"/>
        <item m="1" x="865"/>
        <item m="1" x="359"/>
        <item m="1" x="157"/>
        <item m="1" x="914"/>
        <item m="1" x="170"/>
        <item m="1" x="409"/>
        <item m="1" x="423"/>
        <item m="1" x="197"/>
        <item m="1" x="436"/>
        <item m="1" x="690"/>
        <item m="1" x="958"/>
        <item m="1" x="213"/>
        <item m="1" x="455"/>
        <item m="1" x="705"/>
        <item m="1" x="971"/>
        <item m="1" x="726"/>
        <item m="1" x="987"/>
        <item m="1" x="488"/>
        <item m="1" x="515"/>
        <item m="1" x="56"/>
        <item m="1" x="310"/>
        <item m="1" x="95"/>
        <item m="1" x="134"/>
        <item m="1" x="883"/>
        <item m="1" x="163"/>
        <item m="1" x="399"/>
        <item m="1" x="431"/>
        <item m="1" x="951"/>
        <item m="1" x="446"/>
        <item m="1" x="698"/>
        <item m="1" x="967"/>
        <item m="1" x="714"/>
        <item m="1" x="234"/>
        <item m="1" x="735"/>
        <item m="1" x="497"/>
        <item m="1" x="269"/>
        <item m="1" x="50"/>
        <item m="1" x="584"/>
        <item m="1" x="112"/>
        <item m="1" x="863"/>
        <item m="1" x="894"/>
        <item m="1" x="156"/>
        <item m="1" x="389"/>
        <item m="1" x="637"/>
        <item m="1" x="422"/>
        <item m="1" x="435"/>
        <item m="1" x="211"/>
        <item m="1" x="454"/>
        <item m="1" x="704"/>
        <item m="1" x="725"/>
        <item m="1" x="246"/>
        <item m="1" x="487"/>
        <item m="1" x="755"/>
        <item m="1" x="25"/>
        <item m="1" x="266"/>
        <item m="1" x="768"/>
        <item m="1" x="803"/>
        <item m="1" x="76"/>
        <item m="1" x="309"/>
        <item m="1" x="821"/>
        <item m="1" x="94"/>
        <item m="1" x="574"/>
        <item m="1" x="341"/>
        <item m="1" x="356"/>
        <item m="1" x="366"/>
        <item m="1" x="619"/>
        <item m="1" x="882"/>
        <item m="1" x="901"/>
        <item m="1" x="398"/>
        <item m="1" x="430"/>
        <item m="1" x="445"/>
        <item m="1" x="233"/>
        <item m="1" x="478"/>
        <item m="1" x="734"/>
        <item m="1" x="496"/>
        <item m="1" x="761"/>
        <item m="1" x="31"/>
        <item m="1" x="777"/>
        <item m="1" x="48"/>
        <item m="1" x="534"/>
        <item m="1" x="810"/>
        <item m="1" x="332"/>
        <item m="1" x="583"/>
        <item m="1" x="844"/>
        <item m="1" x="862"/>
        <item m="1" x="893"/>
        <item m="1" x="155"/>
        <item m="1" x="388"/>
        <item m="1" x="636"/>
        <item m="1" x="913"/>
        <item m="1" x="168"/>
        <item m="1" x="650"/>
        <item m="1" x="184"/>
        <item m="1" x="670"/>
        <item m="1" x="196"/>
        <item m="1" x="453"/>
        <item m="1" x="471"/>
        <item m="1" x="986"/>
        <item m="1" x="256"/>
        <item m="1" x="265"/>
        <item m="1" x="294"/>
        <item m="1" x="802"/>
        <item m="1" x="74"/>
        <item m="1" x="324"/>
        <item m="1" x="593"/>
        <item m="1" x="355"/>
        <item m="1" x="133"/>
        <item m="1" x="363"/>
        <item m="1" x="618"/>
        <item m="1" x="881"/>
        <item m="1" x="658"/>
        <item m="1" x="680"/>
        <item m="1" x="949"/>
        <item m="1" x="712"/>
        <item m="1" x="5"/>
        <item m="1" x="249"/>
        <item m="1" x="521"/>
        <item m="1" x="46"/>
        <item m="1" x="300"/>
        <item m="1" x="551"/>
        <item m="1" x="566"/>
        <item m="1" x="843"/>
        <item m="1" x="349"/>
        <item m="1" x="861"/>
        <item m="1" x="371"/>
        <item m="1" x="635"/>
        <item m="1" x="407"/>
        <item m="1" x="669"/>
        <item m="1" x="434"/>
        <item m="1" x="687"/>
        <item m="1" x="229"/>
        <item m="1" x="243"/>
        <item m="1" x="502"/>
        <item m="1" x="264"/>
        <item m="1" x="514"/>
        <item m="1" x="767"/>
        <item m="1" x="527"/>
        <item m="1" x="55"/>
        <item m="1" x="73"/>
        <item m="1" x="819"/>
        <item m="1" x="573"/>
        <item m="1" x="836"/>
        <item m="1" x="105"/>
        <item m="1" x="340"/>
        <item m="1" x="147"/>
        <item m="1" x="396"/>
        <item m="1" x="180"/>
        <item m="1" x="657"/>
        <item m="1" x="679"/>
        <item m="1" x="443"/>
        <item m="1" x="966"/>
        <item m="1" x="219"/>
        <item m="1" x="460"/>
        <item m="1" x="711"/>
        <item m="1" x="19"/>
        <item m="1" x="260"/>
        <item m="1" x="45"/>
        <item m="1" x="286"/>
        <item m="1" x="794"/>
        <item m="1" x="62"/>
        <item m="1" x="550"/>
        <item m="1" x="828"/>
        <item m="1" x="330"/>
        <item m="1" x="582"/>
        <item m="1" x="110"/>
        <item m="1" x="348"/>
        <item m="1" x="879"/>
        <item m="1" x="153"/>
        <item m="1" x="387"/>
        <item m="1" x="911"/>
        <item m="1" x="647"/>
        <item m="1" x="939"/>
        <item m="1" x="194"/>
        <item m="1" x="433"/>
        <item m="1" x="209"/>
        <item m="1" x="702"/>
        <item m="1" x="723"/>
        <item m="1" x="985"/>
        <item m="1" x="741"/>
        <item m="1" x="12"/>
        <item m="1" x="263"/>
        <item m="1" x="513"/>
        <item m="1" x="526"/>
        <item m="1" x="307"/>
        <item m="1" x="92"/>
        <item m="1" x="853"/>
        <item m="1" x="131"/>
        <item m="1" x="362"/>
        <item m="1" x="616"/>
        <item m="1" x="380"/>
        <item m="1" x="629"/>
        <item m="1" x="899"/>
        <item m="1" x="178"/>
        <item m="1" x="656"/>
        <item m="1" x="678"/>
        <item m="1" x="947"/>
        <item m="1" x="710"/>
        <item m="1" x="979"/>
        <item m="1" x="477"/>
        <item m="1" x="733"/>
        <item m="1" x="3"/>
        <item m="1" x="495"/>
        <item m="1" x="752"/>
        <item m="1" x="519"/>
        <item m="1" x="774"/>
        <item m="1" x="44"/>
        <item m="1" x="284"/>
        <item m="1" x="809"/>
        <item m="1" x="565"/>
        <item m="1" x="827"/>
        <item m="1" x="860"/>
        <item m="1" x="608"/>
        <item m="1" x="878"/>
        <item m="1" x="139"/>
        <item m="1" x="370"/>
        <item m="1" x="892"/>
        <item m="1" x="633"/>
        <item m="1" x="910"/>
        <item m="1" x="166"/>
        <item m="1" x="406"/>
        <item m="1" x="183"/>
        <item m="1" x="667"/>
        <item m="1" x="228"/>
        <item m="1" x="470"/>
        <item m="1" x="720"/>
        <item m="1" x="242"/>
        <item m="1" x="740"/>
        <item m="1" x="11"/>
        <item m="1" x="280"/>
        <item m="1" x="787"/>
        <item m="1" x="54"/>
        <item m="1" x="72"/>
        <item m="1" x="305"/>
        <item m="1" x="557"/>
        <item m="1" x="817"/>
        <item m="1" x="322"/>
        <item m="1" x="835"/>
        <item m="1" x="120"/>
        <item m="1" x="871"/>
        <item m="1" x="880"/>
        <item m="1" x="378"/>
        <item m="1" x="898"/>
        <item m="1" x="921"/>
        <item m="1" x="933"/>
        <item m="1" x="429"/>
        <item m="1" x="677"/>
        <item m="1" x="202"/>
        <item m="1" x="964"/>
        <item m="1" x="732"/>
        <item m="1" x="751"/>
        <item m="1" x="17"/>
        <item m="1" x="259"/>
        <item m="1" x="773"/>
        <item m="1" x="42"/>
        <item m="1" x="532"/>
        <item m="1" x="61"/>
        <item m="1" x="549"/>
        <item m="1" x="808"/>
        <item m="1" x="81"/>
        <item m="1" x="581"/>
        <item m="1" x="138"/>
        <item m="1" x="891"/>
        <item m="1" x="386"/>
        <item m="1" x="405"/>
        <item m="1" x="646"/>
        <item m="1" x="938"/>
        <item m="1" x="684"/>
        <item m="1" x="452"/>
        <item m="1" x="227"/>
        <item m="1" x="469"/>
        <item m="1" x="984"/>
        <item m="1" x="241"/>
        <item m="1" x="254"/>
        <item m="1" x="753"/>
        <item m="1" x="786"/>
        <item m="1" x="53"/>
        <item m="1" x="798"/>
        <item m="1" x="70"/>
        <item m="1" x="556"/>
        <item m="1" x="814"/>
        <item m="1" x="90"/>
        <item m="1" x="572"/>
        <item m="1" x="834"/>
        <item m="1" x="852"/>
        <item m="1" x="353"/>
        <item m="1" x="870"/>
        <item m="1" x="130"/>
        <item m="1" x="146"/>
        <item m="1" x="897"/>
        <item m="1" x="161"/>
        <item m="1" x="394"/>
        <item m="1" x="641"/>
        <item m="1" x="920"/>
        <item m="1" x="177"/>
        <item m="1" x="655"/>
        <item m="1" x="932"/>
        <item m="1" x="428"/>
        <item m="1" x="200"/>
        <item m="1" x="442"/>
        <item m="1" x="978"/>
        <item m="1" x="475"/>
        <item m="1" x="731"/>
        <item m="1" x="1"/>
        <item m="1" x="16"/>
        <item m="1" x="258"/>
        <item m="1" x="759"/>
        <item m="1" x="29"/>
        <item m="1" x="299"/>
        <item m="1" x="313"/>
        <item m="1" x="562"/>
        <item m="1" x="109"/>
        <item m="1" x="859"/>
        <item m="1" x="606"/>
        <item m="1" x="137"/>
        <item m="1" x="623"/>
        <item m="1" x="908"/>
        <item m="1" x="927"/>
        <item m="1" x="193"/>
        <item m="1" x="700"/>
        <item m="1" x="468"/>
        <item m="1" x="486"/>
        <item m="1" x="501"/>
        <item m="1" x="512"/>
        <item m="1" x="38"/>
        <item m="1" x="525"/>
        <item m="1" x="785"/>
        <item m="1" x="69"/>
        <item m="1" x="320"/>
        <item m="1" x="338"/>
        <item m="1" x="869"/>
        <item m="1" x="129"/>
        <item m="1" x="614"/>
        <item m="1" x="145"/>
        <item m="1" x="375"/>
        <item m="1" x="896"/>
        <item m="1" x="919"/>
        <item m="1" x="176"/>
        <item m="1" x="676"/>
        <item m="1" x="750"/>
        <item m="1" x="506"/>
        <item m="1" x="792"/>
        <item m="1" x="59"/>
        <item m="1" x="80"/>
        <item m="1" x="561"/>
        <item m="1" x="367"/>
        <item m="1" x="890"/>
        <item m="1" x="152"/>
        <item m="1" x="385"/>
        <item m="1" x="404"/>
        <item m="1" x="421"/>
        <item m="1" x="207"/>
        <item m="1" x="970"/>
        <item m="1" x="226"/>
        <item m="1" x="467"/>
        <item m="1" x="719"/>
        <item m="1" x="485"/>
        <item m="1" x="252"/>
        <item m="1" x="24"/>
        <item m="1" x="764"/>
        <item m="1" x="812"/>
        <item m="1" x="318"/>
        <item m="1" x="103"/>
        <item m="1" x="592"/>
        <item m="1" x="118"/>
        <item m="1" x="868"/>
        <item m="1" x="613"/>
        <item m="1" x="640"/>
        <item m="1" x="917"/>
        <item m="1" x="441"/>
        <item m="1" x="216"/>
        <item m="1" x="458"/>
        <item m="1" x="708"/>
        <item m="1" x="976"/>
        <item m="1" x="247"/>
        <item m="1" x="493"/>
        <item m="1" x="505"/>
        <item m="1" x="758"/>
        <item m="1" x="517"/>
        <item m="1" x="548"/>
        <item m="1" x="877"/>
        <item m="1" x="384"/>
        <item m="1" x="451"/>
        <item m="1" x="225"/>
        <item m="1" x="718"/>
        <item m="1" x="484"/>
        <item m="1" x="511"/>
        <item m="1" x="37"/>
        <item m="1" x="276"/>
        <item m="1" x="783"/>
        <item m="1" x="88"/>
        <item m="1" x="570"/>
        <item m="1" x="117"/>
        <item m="1" x="352"/>
        <item m="1" x="611"/>
        <item m="1" x="945"/>
        <item m="1" x="695"/>
        <item m="1" x="974"/>
        <item m="1" x="0"/>
        <item m="1" x="492"/>
        <item m="1" x="748"/>
        <item m="1" x="15"/>
        <item m="1" x="757"/>
        <item m="1" x="771"/>
        <item m="1" x="531"/>
        <item m="1" x="790"/>
        <item m="1" x="297"/>
        <item m="1" x="547"/>
        <item m="1" x="858"/>
        <item m="1" x="875"/>
        <item m="1" x="645"/>
        <item m="1" x="664"/>
        <item m="1" x="191"/>
        <item m="1" x="682"/>
        <item m="1" x="956"/>
        <item m="1" x="205"/>
        <item m="1" x="450"/>
        <item m="1" x="224"/>
        <item m="1" x="274"/>
        <item m="1" x="781"/>
        <item m="1" x="538"/>
        <item m="1" x="336"/>
        <item m="1" x="627"/>
        <item m="1" x="639"/>
        <item m="1" x="174"/>
        <item m="1" x="674"/>
        <item m="1" x="944"/>
        <item m="1" x="707"/>
        <item m="1" x="729"/>
        <item m="1" x="237"/>
        <item t="default"/>
      </items>
    </pivotField>
    <pivotField showAll="0" defaultSubtotal="0">
      <items count="49">
        <item m="1" x="0"/>
        <item m="1" x="26"/>
        <item m="1" x="11"/>
        <item m="1" x="28"/>
        <item m="1" x="46"/>
        <item m="1" x="5"/>
        <item m="1" x="13"/>
        <item m="1" x="19"/>
        <item m="1" x="29"/>
        <item m="1" x="34"/>
        <item m="1" x="39"/>
        <item m="1" x="43"/>
        <item m="1" x="47"/>
        <item m="1" x="2"/>
        <item m="1" x="6"/>
        <item m="1" x="9"/>
        <item m="1" x="14"/>
        <item m="1" x="16"/>
        <item m="1" x="17"/>
        <item m="1" x="18"/>
        <item m="1" x="20"/>
        <item m="1" x="22"/>
        <item m="1" x="24"/>
        <item m="1" x="27"/>
        <item m="1" x="31"/>
        <item m="1" x="33"/>
        <item m="1" x="36"/>
        <item m="1" x="38"/>
        <item m="1" x="41"/>
        <item m="1" x="42"/>
        <item m="1" x="44"/>
        <item m="1" x="45"/>
        <item m="1" x="48"/>
        <item m="1" x="21"/>
        <item m="1" x="1"/>
        <item m="1" x="23"/>
        <item m="1" x="3"/>
        <item m="1" x="25"/>
        <item m="1" x="4"/>
        <item m="1" x="30"/>
        <item m="1" x="7"/>
        <item m="1" x="32"/>
        <item m="1" x="8"/>
        <item m="1" x="35"/>
        <item m="1" x="10"/>
        <item m="1" x="37"/>
        <item m="1" x="12"/>
        <item m="1" x="40"/>
        <item m="1" x="15"/>
      </items>
    </pivotField>
    <pivotField showAll="0"/>
    <pivotField showAll="0"/>
    <pivotField showAll="0" defaultSubtotal="0">
      <items count="6">
        <item m="1" x="0"/>
        <item m="1" x="4"/>
        <item m="1" x="3"/>
        <item m="1" x="1"/>
        <item m="1" x="2"/>
        <item m="1" x="5"/>
      </items>
    </pivotField>
    <pivotField showAll="0" defaultSubtotal="0">
      <items count="2">
        <item m="1" x="0"/>
        <item m="1" x="1"/>
      </items>
    </pivotField>
    <pivotField showAll="0">
      <items count="741">
        <item m="1" x="71"/>
        <item m="1" x="299"/>
        <item m="1" x="411"/>
        <item m="1" x="280"/>
        <item m="1" x="674"/>
        <item m="1" x="248"/>
        <item m="1" x="700"/>
        <item m="1" x="738"/>
        <item m="1" x="652"/>
        <item m="1" x="661"/>
        <item m="1" x="540"/>
        <item m="1" x="271"/>
        <item m="1" x="731"/>
        <item m="1" x="14"/>
        <item m="1" x="416"/>
        <item m="1" x="712"/>
        <item m="1" x="585"/>
        <item m="1" x="596"/>
        <item m="1" x="0"/>
        <item m="1" x="485"/>
        <item m="1" x="255"/>
        <item m="1" x="600"/>
        <item m="1" x="127"/>
        <item m="1" x="649"/>
        <item m="1" x="112"/>
        <item m="1" x="171"/>
        <item m="1" x="429"/>
        <item m="1" x="541"/>
        <item m="1" x="168"/>
        <item m="1" x="142"/>
        <item m="1" x="289"/>
        <item m="1" x="602"/>
        <item m="1" x="627"/>
        <item m="1" x="38"/>
        <item m="1" x="604"/>
        <item m="1" x="190"/>
        <item m="1" x="215"/>
        <item m="1" x="395"/>
        <item m="1" x="121"/>
        <item m="1" x="339"/>
        <item m="1" x="166"/>
        <item m="1" x="81"/>
        <item m="1" x="506"/>
        <item m="1" x="470"/>
        <item m="1" x="632"/>
        <item m="1" x="150"/>
        <item m="1" x="209"/>
        <item m="1" x="394"/>
        <item m="1" x="308"/>
        <item m="1" x="290"/>
        <item m="1" x="159"/>
        <item m="1" x="75"/>
        <item m="1" x="633"/>
        <item m="1" x="530"/>
        <item m="1" x="362"/>
        <item m="1" x="98"/>
        <item m="1" x="179"/>
        <item m="1" x="438"/>
        <item m="1" x="579"/>
        <item m="1" x="167"/>
        <item m="1" x="247"/>
        <item m="1" x="208"/>
        <item m="1" x="6"/>
        <item m="1" x="263"/>
        <item m="1" x="286"/>
        <item m="1" x="684"/>
        <item m="1" x="523"/>
        <item m="1" x="644"/>
        <item m="1" x="276"/>
        <item m="1" x="63"/>
        <item m="1" x="551"/>
        <item m="1" x="570"/>
        <item m="1" x="693"/>
        <item m="1" x="86"/>
        <item m="1" x="373"/>
        <item m="1" x="30"/>
        <item m="1" x="371"/>
        <item m="1" x="664"/>
        <item m="1" x="708"/>
        <item m="1" x="706"/>
        <item m="1" x="695"/>
        <item m="1" x="110"/>
        <item m="1" x="104"/>
        <item m="1" x="327"/>
        <item m="1" x="702"/>
        <item m="1" x="139"/>
        <item m="1" x="686"/>
        <item m="1" x="481"/>
        <item m="1" x="654"/>
        <item m="1" x="194"/>
        <item m="1" x="733"/>
        <item m="1" x="431"/>
        <item m="1" x="132"/>
        <item m="1" x="72"/>
        <item m="1" x="611"/>
        <item m="1" x="191"/>
        <item m="1" x="593"/>
        <item m="1" x="349"/>
        <item m="1" x="673"/>
        <item m="1" x="12"/>
        <item m="1" x="101"/>
        <item m="1" x="603"/>
        <item m="1" x="504"/>
        <item m="1" x="355"/>
        <item m="1" x="608"/>
        <item m="1" x="561"/>
        <item m="1" x="707"/>
        <item m="1" x="181"/>
        <item m="1" x="254"/>
        <item m="1" x="342"/>
        <item m="1" x="723"/>
        <item m="1" x="317"/>
        <item m="1" x="3"/>
        <item m="1" x="480"/>
        <item m="1" x="245"/>
        <item m="1" x="227"/>
        <item m="1" x="165"/>
        <item m="1" x="736"/>
        <item m="1" x="109"/>
        <item m="1" x="116"/>
        <item m="1" x="287"/>
        <item m="1" x="281"/>
        <item m="1" x="467"/>
        <item m="1" x="464"/>
        <item m="1" x="231"/>
        <item m="1" x="623"/>
        <item m="1" x="594"/>
        <item m="1" x="329"/>
        <item m="1" x="719"/>
        <item m="1" x="99"/>
        <item m="1" x="207"/>
        <item m="1" x="326"/>
        <item m="1" x="124"/>
        <item m="1" x="582"/>
        <item m="1" x="419"/>
        <item m="1" x="427"/>
        <item m="1" x="490"/>
        <item m="1" x="7"/>
        <item m="1" x="393"/>
        <item m="1" x="225"/>
        <item m="1" x="304"/>
        <item m="1" x="542"/>
        <item m="1" x="526"/>
        <item m="1" x="361"/>
        <item m="1" x="113"/>
        <item m="1" x="689"/>
        <item m="1" x="345"/>
        <item m="1" x="637"/>
        <item m="1" x="703"/>
        <item m="1" x="252"/>
        <item m="1" x="536"/>
        <item m="1" x="288"/>
        <item m="1" x="359"/>
        <item m="1" x="149"/>
        <item m="1" x="357"/>
        <item m="1" x="128"/>
        <item m="1" x="352"/>
        <item m="1" x="473"/>
        <item m="1" x="610"/>
        <item m="1" x="187"/>
        <item m="1" x="472"/>
        <item m="1" x="193"/>
        <item m="1" x="665"/>
        <item m="1" x="564"/>
        <item m="1" x="154"/>
        <item m="1" x="663"/>
        <item m="1" x="222"/>
        <item m="1" x="392"/>
        <item m="1" x="727"/>
        <item m="1" x="131"/>
        <item m="1" x="301"/>
        <item m="1" x="91"/>
        <item m="1" x="309"/>
        <item m="1" x="380"/>
        <item m="1" x="404"/>
        <item m="1" x="656"/>
        <item m="1" x="446"/>
        <item m="1" x="634"/>
        <item m="1" x="52"/>
        <item m="1" x="324"/>
        <item m="1" x="607"/>
        <item m="1" x="189"/>
        <item m="1" x="158"/>
        <item m="1" x="284"/>
        <item m="1" x="335"/>
        <item m="1" x="435"/>
        <item m="1" x="285"/>
        <item m="1" x="60"/>
        <item m="1" x="737"/>
        <item m="1" x="107"/>
        <item m="1" x="549"/>
        <item m="1" x="198"/>
        <item m="1" x="196"/>
        <item m="1" x="699"/>
        <item m="1" x="676"/>
        <item m="1" x="353"/>
        <item m="1" x="333"/>
        <item m="1" x="22"/>
        <item m="1" x="73"/>
        <item m="1" x="123"/>
        <item m="1" x="638"/>
        <item m="1" x="307"/>
        <item m="1" x="595"/>
        <item m="1" x="256"/>
        <item m="1" x="195"/>
        <item m="1" x="396"/>
        <item m="1" x="125"/>
        <item m="1" x="720"/>
        <item m="1" x="354"/>
        <item m="1" x="170"/>
        <item m="1" x="140"/>
        <item m="1" x="628"/>
        <item m="1" x="616"/>
        <item m="1" x="291"/>
        <item m="1" x="322"/>
        <item m="1" x="696"/>
        <item m="1" x="129"/>
        <item m="1" x="148"/>
        <item m="1" x="68"/>
        <item m="1" x="584"/>
        <item m="1" x="667"/>
        <item m="1" x="230"/>
        <item m="1" x="213"/>
        <item m="1" x="347"/>
        <item m="1" x="739"/>
        <item m="1" x="622"/>
        <item m="1" x="705"/>
        <item m="1" x="351"/>
        <item m="1" x="45"/>
        <item m="1" x="152"/>
        <item m="1" x="246"/>
        <item m="1" x="311"/>
        <item m="1" x="642"/>
        <item m="1" x="518"/>
        <item m="1" x="588"/>
        <item m="1" x="575"/>
        <item m="1" x="407"/>
        <item m="1" x="672"/>
        <item m="1" x="47"/>
        <item m="1" x="681"/>
        <item m="1" x="314"/>
        <item m="1" x="331"/>
        <item m="1" x="341"/>
        <item m="1" x="257"/>
        <item m="1" x="491"/>
        <item m="1" x="477"/>
        <item m="1" x="447"/>
        <item m="1" x="37"/>
        <item m="1" x="647"/>
        <item m="1" x="670"/>
        <item m="1" x="232"/>
        <item m="1" x="482"/>
        <item m="1" x="550"/>
        <item m="1" x="96"/>
        <item m="1" x="17"/>
        <item m="1" x="78"/>
        <item m="1" x="23"/>
        <item m="1" x="726"/>
        <item m="1" x="54"/>
        <item m="1" x="569"/>
        <item m="1" x="714"/>
        <item m="1" x="84"/>
        <item m="1" x="520"/>
        <item m="1" x="29"/>
        <item m="1" x="214"/>
        <item m="1" x="4"/>
        <item m="1" x="58"/>
        <item m="1" x="228"/>
        <item m="1" x="323"/>
        <item m="1" x="417"/>
        <item m="1" x="524"/>
        <item m="1" x="49"/>
        <item m="1" x="258"/>
        <item m="1" x="572"/>
        <item m="1" x="48"/>
        <item m="1" x="513"/>
        <item m="1" x="67"/>
        <item m="1" x="259"/>
        <item m="1" x="348"/>
        <item m="1" x="479"/>
        <item m="1" x="641"/>
        <item m="1" x="655"/>
        <item m="1" x="389"/>
        <item m="1" x="203"/>
        <item m="1" x="552"/>
        <item m="1" x="25"/>
        <item m="1" x="223"/>
        <item m="1" x="612"/>
        <item m="1" x="66"/>
        <item m="1" x="466"/>
        <item m="1" x="583"/>
        <item m="1" x="586"/>
        <item m="1" x="677"/>
        <item m="1" x="315"/>
        <item m="1" x="79"/>
        <item m="1" x="591"/>
        <item m="1" x="1"/>
        <item m="1" x="537"/>
        <item m="1" x="532"/>
        <item m="1" x="545"/>
        <item m="1" x="108"/>
        <item m="1" x="278"/>
        <item m="1" x="459"/>
        <item m="1" x="62"/>
        <item m="1" x="94"/>
        <item m="1" x="546"/>
        <item m="1" x="666"/>
        <item m="1" x="344"/>
        <item m="1" x="321"/>
        <item m="1" x="577"/>
        <item m="1" x="340"/>
        <item m="1" x="57"/>
        <item m="1" x="130"/>
        <item m="1" x="553"/>
        <item m="1" x="143"/>
        <item m="1" x="138"/>
        <item m="1" x="613"/>
        <item m="1" x="580"/>
        <item m="1" x="653"/>
        <item m="1" x="77"/>
        <item m="1" x="454"/>
        <item m="1" x="188"/>
        <item m="1" x="251"/>
        <item m="1" x="43"/>
        <item m="1" x="398"/>
        <item m="1" x="363"/>
        <item m="1" x="568"/>
        <item m="1" x="122"/>
        <item m="1" x="27"/>
        <item m="1" x="535"/>
        <item m="1" x="184"/>
        <item m="1" x="15"/>
        <item m="1" x="157"/>
        <item m="1" x="210"/>
        <item m="1" x="619"/>
        <item m="1" x="199"/>
        <item m="1" x="253"/>
        <item m="1" x="625"/>
        <item m="1" x="458"/>
        <item m="1" x="717"/>
        <item m="1" x="87"/>
        <item m="1" x="69"/>
        <item m="1" x="378"/>
        <item m="1" x="635"/>
        <item m="1" x="85"/>
        <item m="1" x="224"/>
        <item m="1" x="10"/>
        <item m="1" x="687"/>
        <item m="1" x="698"/>
        <item m="1" x="59"/>
        <item m="1" x="539"/>
        <item m="1" x="204"/>
        <item m="1" x="13"/>
        <item m="1" x="527"/>
        <item m="1" x="76"/>
        <item m="1" x="422"/>
        <item m="1" x="444"/>
        <item m="1" x="93"/>
        <item m="1" x="478"/>
        <item m="1" x="273"/>
        <item m="1" x="709"/>
        <item m="1" x="65"/>
        <item m="1" x="102"/>
        <item m="1" x="292"/>
        <item m="1" x="710"/>
        <item m="1" x="19"/>
        <item m="1" x="651"/>
        <item m="1" x="474"/>
        <item m="1" x="493"/>
        <item m="1" x="376"/>
        <item m="1" x="53"/>
        <item m="1" x="82"/>
        <item m="1" x="313"/>
        <item m="1" x="100"/>
        <item m="1" x="685"/>
        <item m="1" x="675"/>
        <item m="1" x="135"/>
        <item m="1" x="624"/>
        <item m="1" x="114"/>
        <item m="1" x="581"/>
        <item m="1" x="34"/>
        <item m="1" x="592"/>
        <item m="1" x="133"/>
        <item m="1" x="330"/>
        <item m="1" x="264"/>
        <item m="1" x="16"/>
        <item m="1" x="89"/>
        <item m="1" x="680"/>
        <item m="1" x="601"/>
        <item m="1" x="413"/>
        <item m="1" x="118"/>
        <item m="1" x="668"/>
        <item m="1" x="334"/>
        <item m="1" x="721"/>
        <item m="1" x="318"/>
        <item m="1" x="531"/>
        <item m="1" x="559"/>
        <item m="1" x="408"/>
        <item m="1" x="153"/>
        <item m="1" x="682"/>
        <item m="1" x="679"/>
        <item m="1" x="554"/>
        <item m="1" x="31"/>
        <item m="1" x="382"/>
        <item m="1" x="137"/>
        <item m="1" x="691"/>
        <item m="1" x="169"/>
        <item m="1" x="20"/>
        <item m="1" x="578"/>
        <item m="1" x="688"/>
        <item m="1" x="119"/>
        <item m="1" x="701"/>
        <item m="1" x="390"/>
        <item m="1" x="178"/>
        <item m="1" x="105"/>
        <item m="1" x="704"/>
        <item m="1" x="319"/>
        <item m="1" x="534"/>
        <item m="1" x="70"/>
        <item m="1" x="312"/>
        <item m="1" x="229"/>
        <item m="1" x="295"/>
        <item m="1" x="606"/>
        <item m="1" x="83"/>
        <item m="1" x="360"/>
        <item m="1" x="92"/>
        <item m="1" x="562"/>
        <item m="1" x="144"/>
        <item m="1" x="28"/>
        <item m="1" x="597"/>
        <item m="1" x="621"/>
        <item m="1" x="615"/>
        <item m="1" x="476"/>
        <item m="1" x="598"/>
        <item m="1" x="544"/>
        <item m="1" x="521"/>
        <item m="1" x="55"/>
        <item m="1" x="41"/>
        <item m="1" x="599"/>
        <item m="1" x="356"/>
        <item m="1" x="418"/>
        <item m="1" x="103"/>
        <item m="1" x="42"/>
        <item m="1" x="332"/>
        <item m="1" x="713"/>
        <item m="1" x="239"/>
        <item m="1" x="658"/>
        <item m="1" x="529"/>
        <item m="1" x="233"/>
        <item m="1" x="711"/>
        <item m="1" x="678"/>
        <item m="1" x="648"/>
        <item m="1" x="558"/>
        <item m="1" x="36"/>
        <item m="1" x="697"/>
        <item m="1" x="211"/>
        <item m="1" x="346"/>
        <item m="1" x="626"/>
        <item m="1" x="141"/>
        <item m="1" x="274"/>
        <item m="1" x="328"/>
        <item m="1" x="379"/>
        <item m="1" x="503"/>
        <item m="1" x="528"/>
        <item m="1" x="609"/>
        <item m="1" x="21"/>
        <item m="1" x="502"/>
        <item m="1" x="533"/>
        <item m="1" x="439"/>
        <item m="1" x="515"/>
        <item m="1" x="630"/>
        <item m="1" x="74"/>
        <item m="1" x="555"/>
        <item m="1" x="618"/>
        <item m="1" x="325"/>
        <item m="1" x="151"/>
        <item m="1" x="465"/>
        <item m="1" x="566"/>
        <item m="1" x="176"/>
        <item m="1" x="275"/>
        <item m="1" x="305"/>
        <item m="1" x="50"/>
        <item m="1" x="269"/>
        <item m="1" x="64"/>
        <item m="1" x="543"/>
        <item m="1" x="510"/>
        <item m="1" x="560"/>
        <item m="1" x="182"/>
        <item m="1" x="671"/>
        <item m="1" x="567"/>
        <item m="1" x="495"/>
        <item m="1" x="500"/>
        <item m="1" x="636"/>
        <item m="1" x="174"/>
        <item m="1" x="277"/>
        <item m="1" x="437"/>
        <item m="1" x="155"/>
        <item m="1" x="338"/>
        <item m="1" x="40"/>
        <item m="1" x="548"/>
        <item m="1" x="573"/>
        <item m="1" x="316"/>
        <item m="1" x="629"/>
        <item m="1" x="202"/>
        <item m="1" x="724"/>
        <item m="1" x="483"/>
        <item m="1" x="120"/>
        <item m="1" x="97"/>
        <item m="1" x="718"/>
        <item m="1" x="302"/>
        <item m="1" x="320"/>
        <item m="1" x="306"/>
        <item m="1" x="282"/>
        <item m="1" x="690"/>
        <item m="1" x="728"/>
        <item m="1" x="243"/>
        <item m="1" x="730"/>
        <item m="1" x="374"/>
        <item m="1" x="386"/>
        <item m="1" x="522"/>
        <item m="1" x="32"/>
        <item m="1" x="61"/>
        <item m="1" x="441"/>
        <item m="1" x="8"/>
        <item m="1" x="44"/>
        <item m="1" x="620"/>
        <item m="1" x="267"/>
        <item m="1" x="734"/>
        <item m="1" x="56"/>
        <item m="1" x="614"/>
        <item m="1" x="556"/>
        <item m="1" x="51"/>
        <item m="1" x="436"/>
        <item m="1" x="399"/>
        <item m="1" x="186"/>
        <item m="1" x="226"/>
        <item m="1" x="725"/>
        <item m="1" x="643"/>
        <item m="1" x="134"/>
        <item m="1" x="145"/>
        <item m="1" x="576"/>
        <item m="1" x="106"/>
        <item m="1" x="565"/>
        <item m="1" x="571"/>
        <item m="1" x="33"/>
        <item m="1" x="310"/>
        <item m="1" x="462"/>
        <item m="1" x="9"/>
        <item m="1" x="221"/>
        <item m="1" x="631"/>
        <item m="1" x="95"/>
        <item m="1" x="146"/>
        <item m="1" x="715"/>
        <item m="1" x="722"/>
        <item m="1" x="279"/>
        <item m="1" x="525"/>
        <item m="1" x="192"/>
        <item m="1" x="574"/>
        <item m="1" x="111"/>
        <item m="1" x="645"/>
        <item m="1" x="587"/>
        <item m="1" x="268"/>
        <item m="1" x="147"/>
        <item m="1" x="732"/>
        <item m="1" x="350"/>
        <item m="1" x="39"/>
        <item m="1" x="5"/>
        <item m="1" x="26"/>
        <item m="1" x="156"/>
        <item m="1" x="659"/>
        <item m="1" x="735"/>
        <item m="1" x="589"/>
        <item m="1" x="617"/>
        <item m="1" x="88"/>
        <item m="1" x="729"/>
        <item m="1" x="261"/>
        <item m="1" x="18"/>
        <item m="1" x="640"/>
        <item m="1" x="547"/>
        <item m="1" x="692"/>
        <item m="1" x="272"/>
        <item m="1" x="336"/>
        <item m="1" x="161"/>
        <item m="1" x="343"/>
        <item m="1" x="660"/>
        <item m="1" x="657"/>
        <item m="1" x="605"/>
        <item m="1" x="414"/>
        <item m="1" x="197"/>
        <item m="1" x="639"/>
        <item m="1" x="35"/>
        <item m="1" x="508"/>
        <item m="1" x="463"/>
        <item m="1" x="80"/>
        <item m="1" x="300"/>
        <item m="1" x="90"/>
        <item m="1" x="46"/>
        <item m="1" x="694"/>
        <item m="1" x="358"/>
        <item m="1" x="337"/>
        <item m="1" x="683"/>
        <item m="1" x="212"/>
        <item m="1" x="2"/>
        <item m="1" x="126"/>
        <item m="1" x="669"/>
        <item m="1" x="201"/>
        <item m="1" x="650"/>
        <item m="1" x="24"/>
        <item m="1" x="716"/>
        <item m="1" x="220"/>
        <item m="1" x="372"/>
        <item m="1" x="538"/>
        <item m="1" x="590"/>
        <item m="1" x="136"/>
        <item m="1" x="117"/>
        <item m="1" x="563"/>
        <item m="1" x="662"/>
        <item m="1" x="557"/>
        <item m="1" x="115"/>
        <item m="1" x="646"/>
        <item m="1" x="293"/>
        <item m="1" x="249"/>
        <item m="1" x="294"/>
        <item m="1" x="260"/>
        <item m="1" x="250"/>
        <item m="1" x="262"/>
        <item m="1" x="238"/>
        <item m="1" x="296"/>
        <item m="1" x="283"/>
        <item m="1" x="303"/>
        <item m="1" x="240"/>
        <item m="1" x="297"/>
        <item m="1" x="241"/>
        <item m="1" x="298"/>
        <item m="1" x="265"/>
        <item m="1" x="242"/>
        <item m="1" x="266"/>
        <item m="1" x="244"/>
        <item m="1" x="270"/>
        <item m="1" x="11"/>
        <item m="1" x="415"/>
        <item m="1" x="375"/>
        <item m="1" x="440"/>
        <item m="1" x="442"/>
        <item m="1" x="486"/>
        <item m="1" x="445"/>
        <item m="1" x="397"/>
        <item m="1" x="487"/>
        <item m="1" x="420"/>
        <item m="1" x="488"/>
        <item m="1" x="468"/>
        <item m="1" x="421"/>
        <item m="1" x="377"/>
        <item m="1" x="489"/>
        <item m="1" x="471"/>
        <item m="1" x="449"/>
        <item m="1" x="400"/>
        <item m="1" x="423"/>
        <item m="1" x="381"/>
        <item m="1" x="505"/>
        <item m="1" x="450"/>
        <item m="1" x="424"/>
        <item m="1" x="383"/>
        <item m="1" x="507"/>
        <item m="1" x="451"/>
        <item m="1" x="425"/>
        <item m="1" x="401"/>
        <item m="1" x="364"/>
        <item m="1" x="509"/>
        <item m="1" x="492"/>
        <item m="1" x="452"/>
        <item m="1" x="426"/>
        <item m="1" x="402"/>
        <item m="1" x="365"/>
        <item m="1" x="453"/>
        <item m="1" x="428"/>
        <item m="1" x="403"/>
        <item m="1" x="384"/>
        <item m="1" x="475"/>
        <item m="1" x="430"/>
        <item m="1" x="385"/>
        <item m="1" x="494"/>
        <item m="1" x="455"/>
        <item m="1" x="405"/>
        <item m="1" x="366"/>
        <item m="1" x="511"/>
        <item m="1" x="496"/>
        <item m="1" x="456"/>
        <item m="1" x="367"/>
        <item m="1" x="512"/>
        <item m="1" x="497"/>
        <item m="1" x="457"/>
        <item m="1" x="432"/>
        <item m="1" x="406"/>
        <item m="1" x="514"/>
        <item m="1" x="498"/>
        <item m="1" x="433"/>
        <item m="1" x="387"/>
        <item m="1" x="368"/>
        <item m="1" x="499"/>
        <item m="1" x="434"/>
        <item m="1" x="409"/>
        <item m="1" x="388"/>
        <item m="1" x="369"/>
        <item m="1" x="410"/>
        <item m="1" x="370"/>
        <item m="1" x="460"/>
        <item m="1" x="516"/>
        <item m="1" x="461"/>
        <item m="1" x="412"/>
        <item m="1" x="391"/>
        <item m="1" x="501"/>
        <item m="1" x="517"/>
        <item m="1" x="519"/>
        <item m="1" x="443"/>
        <item m="1" x="448"/>
        <item m="1" x="484"/>
        <item m="1" x="469"/>
        <item m="1" x="216"/>
        <item m="1" x="217"/>
        <item m="1" x="180"/>
        <item m="1" x="172"/>
        <item m="1" x="234"/>
        <item m="1" x="218"/>
        <item m="1" x="235"/>
        <item m="1" x="205"/>
        <item m="1" x="160"/>
        <item m="1" x="236"/>
        <item m="1" x="219"/>
        <item m="1" x="183"/>
        <item m="1" x="173"/>
        <item m="1" x="162"/>
        <item m="1" x="237"/>
        <item m="1" x="206"/>
        <item m="1" x="185"/>
        <item m="1" x="163"/>
        <item m="1" x="175"/>
        <item m="1" x="164"/>
        <item m="1" x="177"/>
        <item m="1" x="200"/>
        <item t="default"/>
      </items>
    </pivotField>
    <pivotField axis="axisRow" showAll="0" sortType="ascending">
      <items count="8001">
        <item m="1" x="0"/>
        <item m="1" x="7835"/>
        <item m="1" x="2245"/>
        <item m="1" x="7426"/>
        <item m="1" x="4623"/>
        <item m="1" x="3224"/>
        <item m="1" x="1825"/>
        <item m="1" x="419"/>
        <item m="1" x="7010"/>
        <item m="1" x="6320"/>
        <item m="1" x="5617"/>
        <item m="1" x="4917"/>
        <item m="1" x="4208"/>
        <item m="1" x="3511"/>
        <item m="1" x="2817"/>
        <item m="1" x="2130"/>
        <item m="1" x="1421"/>
        <item m="1" x="1066"/>
        <item m="1" x="713"/>
        <item m="1" x="356"/>
        <item m="1" x="10"/>
        <item m="1" x="7659"/>
        <item m="1" x="7303"/>
        <item m="1" x="6951"/>
        <item m="1" x="6605"/>
        <item m="1" x="6255"/>
        <item m="1" x="5903"/>
        <item m="1" x="5555"/>
        <item m="1" x="5212"/>
        <item m="1" x="4853"/>
        <item m="1" x="4502"/>
        <item m="1" x="4151"/>
        <item m="1" x="3805"/>
        <item m="1" x="3624"/>
        <item m="1" x="3449"/>
        <item m="1" x="3277"/>
        <item m="1" x="3101"/>
        <item m="1" x="2928"/>
        <item m="1" x="2758"/>
        <item m="1" x="2584"/>
        <item m="1" x="2413"/>
        <item m="1" x="2240"/>
        <item m="1" x="2065"/>
        <item m="1" x="1886"/>
        <item m="1" x="1710"/>
        <item m="1" x="1540"/>
        <item m="1" x="1365"/>
        <item m="1" x="1186"/>
        <item m="1" x="1011"/>
        <item m="1" x="833"/>
        <item m="1" x="650"/>
        <item m="1" x="475"/>
        <item m="1" x="295"/>
        <item m="1" x="120"/>
        <item m="1" x="7944"/>
        <item m="1" x="7767"/>
        <item m="1" x="7594"/>
        <item m="1" x="7421"/>
        <item m="1" x="7240"/>
        <item m="1" x="7069"/>
        <item m="1" x="6892"/>
        <item m="1" x="6718"/>
        <item m="1" x="6547"/>
        <item m="1" x="6374"/>
        <item m="1" x="6196"/>
        <item m="1" x="2126"/>
        <item m="1" x="6022"/>
        <item m="1" x="1945"/>
        <item m="1" x="5848"/>
        <item m="1" x="1765"/>
        <item m="1" x="5672"/>
        <item m="1" x="1595"/>
        <item m="1" x="5496"/>
        <item m="1" x="1418"/>
        <item m="1" x="5319"/>
        <item m="1" x="1242"/>
        <item m="1" x="5150"/>
        <item m="1" x="1063"/>
        <item m="1" x="4969"/>
        <item m="1" x="888"/>
        <item m="1" x="4785"/>
        <item m="1" x="709"/>
        <item m="1" x="4614"/>
        <item m="1" x="531"/>
        <item m="1" x="4439"/>
        <item m="1" x="353"/>
        <item m="1" x="4265"/>
        <item m="1" x="181"/>
        <item m="1" x="4091"/>
        <item m="1" x="6"/>
        <item m="1" x="3916"/>
        <item m="1" x="7827"/>
        <item m="1" x="3744"/>
        <item m="1" x="7655"/>
        <item m="1" x="3566"/>
        <item m="1" x="7478"/>
        <item m="1" x="3390"/>
        <item m="1" x="7299"/>
        <item m="1" x="3218"/>
        <item m="1" x="7126"/>
        <item m="1" x="3045"/>
        <item m="1" x="6948"/>
        <item m="1" x="2871"/>
        <item m="1" x="6777"/>
        <item m="1" x="2699"/>
        <item m="1" x="6602"/>
        <item m="1" x="2523"/>
        <item m="1" x="6428"/>
        <item m="1" x="2350"/>
        <item m="1" x="6251"/>
        <item m="1" x="2180"/>
        <item m="1" x="6077"/>
        <item m="1" x="1999"/>
        <item m="1" x="5899"/>
        <item m="1" x="1820"/>
        <item m="1" x="5728"/>
        <item m="1" x="1650"/>
        <item m="1" x="5549"/>
        <item m="1" x="1476"/>
        <item m="1" x="5379"/>
        <item m="1" x="1303"/>
        <item m="1" x="5208"/>
        <item m="1" x="1123"/>
        <item m="1" x="5029"/>
        <item m="1" x="948"/>
        <item m="1" x="4849"/>
        <item m="1" x="771"/>
        <item m="1" x="4675"/>
        <item m="1" x="589"/>
        <item m="1" x="6544"/>
        <item m="1" x="4498"/>
        <item m="1" x="2469"/>
        <item m="1" x="413"/>
        <item m="1" x="6371"/>
        <item m="1" x="4324"/>
        <item m="1" x="2293"/>
        <item m="1" x="239"/>
        <item m="1" x="6193"/>
        <item m="1" x="4146"/>
        <item m="1" x="2124"/>
        <item m="1" x="63"/>
        <item m="1" x="6019"/>
        <item m="1" x="3975"/>
        <item m="1" x="1942"/>
        <item m="1" x="7887"/>
        <item m="1" x="5844"/>
        <item m="1" x="3801"/>
        <item m="1" x="1763"/>
        <item m="1" x="7712"/>
        <item m="1" x="5670"/>
        <item m="1" x="3620"/>
        <item m="1" x="1592"/>
        <item m="1" x="7534"/>
        <item m="1" x="5493"/>
        <item m="1" x="3446"/>
        <item m="1" x="1416"/>
        <item m="1" x="7357"/>
        <item m="1" x="5317"/>
        <item m="1" x="3272"/>
        <item m="1" x="1239"/>
        <item m="1" x="7177"/>
        <item m="1" x="5148"/>
        <item m="1" x="3098"/>
        <item m="1" x="1061"/>
        <item m="1" x="7004"/>
        <item m="1" x="4966"/>
        <item m="1" x="2923"/>
        <item m="1" x="884"/>
        <item m="1" x="6829"/>
        <item m="1" x="4783"/>
        <item m="1" x="2755"/>
        <item m="1" x="707"/>
        <item m="1" x="6655"/>
        <item m="1" x="4611"/>
        <item m="1" x="2578"/>
        <item m="1" x="528"/>
        <item m="1" x="6486"/>
        <item m="1" x="4437"/>
        <item m="1" x="2411"/>
        <item m="1" x="351"/>
        <item m="1" x="6312"/>
        <item m="1" x="4262"/>
        <item m="1" x="2234"/>
        <item m="1" x="179"/>
        <item m="1" x="6134"/>
        <item m="1" x="4089"/>
        <item m="1" x="2062"/>
        <item m="1" x="3"/>
        <item m="1" x="5960"/>
        <item m="1" x="3912"/>
        <item m="1" x="1881"/>
        <item m="1" x="7825"/>
        <item m="1" x="5789"/>
        <item m="1" x="3742"/>
        <item m="1" x="1705"/>
        <item m="1" x="7652"/>
        <item m="1" x="5439"/>
        <item m="1" x="3388"/>
        <item m="1" x="1360"/>
        <item m="1" x="7124"/>
        <item m="1" x="5090"/>
        <item m="1" x="3042"/>
        <item m="1" x="1007"/>
        <item m="1" x="830"/>
        <item m="1" x="6776"/>
        <item m="1" x="4728"/>
        <item m="1" x="2697"/>
        <item m="1" x="473"/>
        <item m="1" x="6427"/>
        <item m="1" x="4378"/>
        <item m="1" x="2178"/>
        <item m="1" x="118"/>
        <item m="1" x="6075"/>
        <item m="1" x="4030"/>
        <item m="1" x="3854"/>
        <item m="1" x="1819"/>
        <item m="1" x="7763"/>
        <item m="1" x="5726"/>
        <item m="1" x="3504"/>
        <item m="1" x="1475"/>
        <item m="1" x="7417"/>
        <item m="1" x="5206"/>
        <item m="1" x="3157"/>
        <item m="1" x="1121"/>
        <item m="1" x="7066"/>
        <item m="1" x="6888"/>
        <item m="1" x="1880"/>
        <item m="1" x="4847"/>
        <item m="1" x="7824"/>
        <item m="1" x="2811"/>
        <item m="1" x="5787"/>
        <item m="1" x="769"/>
        <item m="1" x="3740"/>
        <item m="1" x="3563"/>
        <item m="1" x="6543"/>
        <item m="1" x="1537"/>
        <item m="1" x="4497"/>
        <item m="1" x="7475"/>
        <item m="1" x="2467"/>
        <item m="1" x="5437"/>
        <item m="1" x="411"/>
        <item m="1" x="237"/>
        <item m="1" x="3216"/>
        <item m="1" x="6192"/>
        <item m="1" x="1181"/>
        <item m="1" x="4144"/>
        <item m="1" x="7122"/>
        <item m="1" x="2122"/>
        <item m="1" x="1940"/>
        <item m="1" x="4909"/>
        <item m="1" x="7886"/>
        <item m="1" x="2869"/>
        <item m="1" x="5842"/>
        <item m="1" x="828"/>
        <item m="1" x="3799"/>
        <item m="1" x="6774"/>
        <item m="1" x="6599"/>
        <item m="1" x="1591"/>
        <item m="1" x="4557"/>
        <item m="1" x="7533"/>
        <item m="1" x="2520"/>
        <item m="1" x="5491"/>
        <item m="1" x="471"/>
        <item m="1" x="3444"/>
        <item m="1" x="3270"/>
        <item m="1" x="6249"/>
        <item m="1" x="1238"/>
        <item m="1" x="4200"/>
        <item m="1" x="7175"/>
        <item m="1" x="2176"/>
        <item m="1" x="5146"/>
        <item m="1" x="4964"/>
        <item m="1" x="7939"/>
        <item m="1" x="2922"/>
        <item m="1" x="5897"/>
        <item m="1" x="882"/>
        <item m="1" x="3852"/>
        <item m="1" x="6827"/>
        <item m="1" x="1817"/>
        <item m="1" x="1647"/>
        <item m="1" x="4610"/>
        <item m="1" x="7590"/>
        <item m="1" x="2577"/>
        <item m="1" x="5546"/>
        <item m="1" x="526"/>
        <item m="1" x="3502"/>
        <item m="1" x="6484"/>
        <item m="1" x="6310"/>
        <item m="1" x="1301"/>
        <item m="1" x="4261"/>
        <item m="1" x="7235"/>
        <item m="1" x="2233"/>
        <item m="1" x="5205"/>
        <item m="1" x="178"/>
        <item m="1" x="1"/>
        <item m="1" x="2983"/>
        <item m="1" x="5959"/>
        <item m="1" x="946"/>
        <item m="1" x="3911"/>
        <item m="1" x="6887"/>
        <item m="1" x="1879"/>
        <item m="1" x="4846"/>
        <item m="1" x="4672"/>
        <item m="1" x="7650"/>
        <item m="1" x="2641"/>
        <item m="1" x="5609"/>
        <item m="1" x="587"/>
        <item m="1" x="3562"/>
        <item m="1" x="6542"/>
        <item m="1" x="1536"/>
        <item m="1" x="1358"/>
        <item m="1" x="4322"/>
        <item m="1" x="7296"/>
        <item m="1" x="2291"/>
        <item m="1" x="5262"/>
        <item m="1" x="236"/>
        <item m="1" x="3215"/>
        <item m="1" x="3040"/>
        <item m="1" x="6016"/>
        <item m="1" x="1006"/>
        <item m="1" x="3973"/>
        <item m="1" x="6944"/>
        <item m="1" x="1939"/>
        <item m="1" x="4908"/>
        <item m="1" x="7885"/>
        <item m="1" x="7709"/>
        <item m="1" x="2695"/>
        <item m="1" x="5668"/>
        <item m="1" x="646"/>
        <item m="1" x="3618"/>
        <item m="1" x="6598"/>
        <item m="1" x="1590"/>
        <item m="1" x="4556"/>
        <item m="1" x="4376"/>
        <item m="1" x="7355"/>
        <item m="1" x="2348"/>
        <item m="1" x="5315"/>
        <item m="1" x="290"/>
        <item m="1" x="3269"/>
        <item m="1" x="6248"/>
        <item m="1" x="6073"/>
        <item m="1" x="1058"/>
        <item m="1" x="4029"/>
        <item m="1" x="7002"/>
        <item m="1" x="1996"/>
        <item m="1" x="4963"/>
        <item m="1" x="7938"/>
        <item m="1" x="2921"/>
        <item m="1" x="2752"/>
        <item m="1" x="5724"/>
        <item m="1" x="705"/>
        <item m="1" x="3677"/>
        <item m="1" x="6653"/>
        <item m="1" x="1646"/>
        <item m="1" x="4609"/>
        <item m="1" x="7589"/>
        <item m="1" x="7414"/>
        <item m="1" x="2408"/>
        <item m="1" x="5376"/>
        <item m="1" x="6858"/>
        <item m="1" x="349"/>
        <item m="1" x="1848"/>
        <item m="1" x="3330"/>
        <item m="1" x="4815"/>
        <item m="1" x="6309"/>
        <item m="1" x="7794"/>
        <item m="1" x="1300"/>
        <item m="1" x="2786"/>
        <item m="1" x="1119"/>
        <item m="1" x="2610"/>
        <item m="1" x="4086"/>
        <item m="1" x="5583"/>
        <item m="1" x="7064"/>
        <item m="1" x="560"/>
        <item m="1" x="2059"/>
        <item m="1" x="3531"/>
        <item m="1" x="5026"/>
        <item m="1" x="6512"/>
        <item m="1" x="7999"/>
        <item m="1" x="1505"/>
        <item m="1" x="2982"/>
        <item m="1" x="4467"/>
        <item m="1" x="5958"/>
        <item m="1" x="4290"/>
        <item m="1" x="5785"/>
        <item m="1" x="7266"/>
        <item m="1" x="767"/>
        <item m="1" x="2267"/>
        <item m="1" x="3738"/>
        <item m="1" x="5235"/>
        <item m="1" x="6714"/>
        <item m="1" x="205"/>
        <item m="1" x="1703"/>
        <item m="1" x="3183"/>
        <item m="1" x="4671"/>
        <item m="1" x="6161"/>
        <item m="1" x="7649"/>
        <item m="1" x="1153"/>
        <item m="1" x="2640"/>
        <item m="1" x="975"/>
        <item m="1" x="2465"/>
        <item m="1" x="3944"/>
        <item m="1" x="5435"/>
        <item m="1" x="6919"/>
        <item m="1" x="409"/>
        <item m="1" x="1909"/>
        <item m="1" x="3386"/>
        <item m="1" x="4876"/>
        <item m="1" x="6368"/>
        <item m="1" x="7854"/>
        <item m="1" x="1357"/>
        <item m="1" x="2840"/>
        <item m="1" x="4321"/>
        <item m="1" x="5817"/>
        <item m="1" x="4142"/>
        <item m="1" x="5639"/>
        <item m="1" x="7120"/>
        <item m="1" x="621"/>
        <item m="1" x="2120"/>
        <item m="1" x="3593"/>
        <item m="1" x="5087"/>
        <item m="1" x="6570"/>
        <item m="1" x="60"/>
        <item m="1" x="1563"/>
        <item m="1" x="3039"/>
        <item m="1" x="4528"/>
        <item m="1" x="6015"/>
        <item m="1" x="7506"/>
        <item m="1" x="1005"/>
        <item m="1" x="7326"/>
        <item m="1" x="826"/>
        <item m="1" x="2321"/>
        <item m="1" x="3797"/>
        <item m="1" x="5293"/>
        <item m="1" x="6772"/>
        <item m="1" x="265"/>
        <item m="1" x="1761"/>
        <item m="1" x="3243"/>
        <item m="1" x="4726"/>
        <item m="1" x="6220"/>
        <item m="1" x="7708"/>
        <item m="1" x="1209"/>
        <item m="1" x="2694"/>
        <item m="1" x="4176"/>
        <item m="1" x="5667"/>
        <item m="1" x="3999"/>
        <item m="1" x="5489"/>
        <item m="1" x="6974"/>
        <item m="1" x="468"/>
        <item m="1" x="1970"/>
        <item m="1" x="3441"/>
        <item m="1" x="4934"/>
        <item m="1" x="6424"/>
        <item m="1" x="7910"/>
        <item m="1" x="1412"/>
        <item m="1" x="2892"/>
        <item m="1" x="4374"/>
        <item m="1" x="5869"/>
        <item m="1" x="7353"/>
        <item m="1" x="857"/>
        <item m="1" x="7173"/>
        <item m="1" x="673"/>
        <item m="1" x="2174"/>
        <item m="1" x="3650"/>
        <item m="1" x="5143"/>
        <item m="1" x="6627"/>
        <item m="1" x="115"/>
        <item m="1" x="1618"/>
        <item m="1" x="3094"/>
        <item m="1" x="4581"/>
        <item m="1" x="6071"/>
        <item m="1" x="7560"/>
        <item m="1" x="1056"/>
        <item m="1" x="2550"/>
        <item m="1" x="4027"/>
        <item m="1" x="3850"/>
        <item m="1" x="5344"/>
        <item m="1" x="6825"/>
        <item m="1" x="319"/>
        <item m="1" x="1814"/>
        <item m="1" x="3298"/>
        <item m="1" x="4780"/>
        <item m="1" x="6277"/>
        <item m="1" x="7760"/>
        <item m="1" x="1266"/>
        <item m="1" x="2750"/>
        <item m="1" x="4228"/>
        <item m="1" x="5722"/>
        <item m="1" x="7206"/>
        <item m="1" x="703"/>
        <item m="1" x="7029"/>
        <item m="1" x="523"/>
        <item m="1" x="2027"/>
        <item m="1" x="3499"/>
        <item m="1" x="4996"/>
        <item m="1" x="6480"/>
        <item m="1" x="7968"/>
        <item m="1" x="1471"/>
        <item m="1" x="2951"/>
        <item m="1" x="4432"/>
        <item m="1" x="5926"/>
        <item m="1" x="7412"/>
        <item m="1" x="915"/>
        <item m="1" x="2406"/>
        <item m="1" x="3885"/>
        <item m="1" x="2231"/>
        <item m="1" x="3706"/>
        <item m="1" x="5202"/>
        <item m="1" x="6686"/>
        <item m="1" x="174"/>
        <item m="1" x="1676"/>
        <item m="1" x="3154"/>
        <item m="1" x="4642"/>
        <item m="1" x="6130"/>
        <item m="1" x="7619"/>
        <item m="1" x="1117"/>
        <item m="1" x="2608"/>
        <item m="1" x="4084"/>
        <item m="1" x="5581"/>
        <item m="1" x="7062"/>
        <item m="1" x="6884"/>
        <item m="1" x="379"/>
        <item m="1" x="1876"/>
        <item m="1" x="3358"/>
        <item m="1" x="4842"/>
        <item m="1" x="6338"/>
        <item m="1" x="7821"/>
        <item m="1" x="1327"/>
        <item m="1" x="2808"/>
        <item m="1" x="4288"/>
        <item m="1" x="5783"/>
        <item m="1" x="7264"/>
        <item m="1" x="765"/>
        <item m="1" x="2265"/>
        <item m="1" x="3736"/>
        <item m="1" x="2088"/>
        <item m="1" x="3559"/>
        <item m="1" x="5057"/>
        <item m="1" x="6539"/>
        <item m="1" x="32"/>
        <item m="1" x="1532"/>
        <item m="1" x="3010"/>
        <item m="1" x="4494"/>
        <item m="1" x="5985"/>
        <item m="1" x="7472"/>
        <item m="1" x="973"/>
        <item m="1" x="2463"/>
        <item m="1" x="3942"/>
        <item m="1" x="5433"/>
        <item m="1" x="6917"/>
        <item m="1" x="5260"/>
        <item m="1" x="6741"/>
        <item m="1" x="233"/>
        <item m="1" x="1733"/>
        <item m="1" x="3211"/>
        <item m="1" x="4699"/>
        <item m="1" x="6189"/>
        <item m="1" x="7680"/>
        <item m="1" x="1178"/>
        <item m="1" x="2665"/>
        <item m="1" x="4140"/>
        <item m="1" x="5637"/>
        <item m="1" x="7118"/>
        <item m="1" x="619"/>
        <item m="1" x="2118"/>
        <item m="1" x="1936"/>
        <item m="1" x="3415"/>
        <item m="1" x="4905"/>
        <item m="1" x="6398"/>
        <item m="1" x="7881"/>
        <item m="1" x="1386"/>
        <item m="1" x="2866"/>
        <item m="1" x="4348"/>
        <item m="1" x="5839"/>
        <item m="1" x="7324"/>
        <item m="1" x="824"/>
        <item m="1" x="2319"/>
        <item m="1" x="3795"/>
        <item m="1" x="5291"/>
        <item m="1" x="6770"/>
        <item m="1" x="5114"/>
        <item m="1" x="6596"/>
        <item m="1" x="88"/>
        <item m="1" x="1588"/>
        <item m="1" x="3068"/>
        <item m="1" x="4553"/>
        <item m="1" x="6043"/>
        <item m="1" x="7530"/>
        <item m="1" x="1029"/>
        <item m="1" x="2517"/>
        <item m="1" x="3997"/>
        <item m="1" x="5487"/>
        <item m="1" x="6972"/>
        <item m="1" x="466"/>
        <item m="1" x="1968"/>
        <item m="1" x="289"/>
        <item m="1" x="1786"/>
        <item m="1" x="3267"/>
        <item m="1" x="4752"/>
        <item m="1" x="6245"/>
        <item m="1" x="7734"/>
        <item m="1" x="1235"/>
        <item m="1" x="2721"/>
        <item m="1" x="4197"/>
        <item m="1" x="5692"/>
        <item m="1" x="7171"/>
        <item m="1" x="671"/>
        <item m="1" x="2172"/>
        <item m="1" x="3648"/>
        <item m="1" x="5141"/>
        <item m="1" x="4961"/>
        <item m="1" x="6452"/>
        <item m="1" x="7936"/>
        <item m="1" x="1442"/>
        <item m="1" x="2918"/>
        <item m="1" x="4402"/>
        <item m="1" x="5894"/>
        <item m="1" x="7379"/>
        <item m="1" x="879"/>
        <item m="1" x="2372"/>
        <item m="1" x="3848"/>
        <item m="1" x="5342"/>
        <item m="1" x="6823"/>
        <item m="1" x="317"/>
        <item m="1" x="1812"/>
        <item m="1" x="7395"/>
        <item m="1" x="143"/>
        <item m="1" x="898"/>
        <item m="1" x="1644"/>
        <item m="1" x="2388"/>
        <item m="1" x="3123"/>
        <item m="1" x="3866"/>
        <item m="1" x="4607"/>
        <item m="1" x="5358"/>
        <item m="1" x="6101"/>
        <item m="1" x="6840"/>
        <item m="1" x="7586"/>
        <item m="1" x="331"/>
        <item m="1" x="1086"/>
        <item m="1" x="1830"/>
        <item m="1" x="2574"/>
        <item m="1" x="3310"/>
        <item m="1" x="4051"/>
        <item m="1" x="4793"/>
        <item m="1" x="5543"/>
        <item m="1" x="6289"/>
        <item m="1" x="7027"/>
        <item m="1" x="7774"/>
        <item m="1" x="521"/>
        <item m="1" x="1279"/>
        <item m="1" x="2025"/>
        <item m="1" x="2766"/>
        <item m="1" x="3497"/>
        <item m="1" x="4242"/>
        <item m="1" x="4994"/>
        <item m="1" x="5738"/>
        <item m="1" x="3329"/>
        <item m="1" x="4070"/>
        <item m="1" x="4813"/>
        <item m="1" x="5565"/>
        <item m="1" x="6307"/>
        <item m="1" x="7046"/>
        <item m="1" x="7792"/>
        <item m="1" x="543"/>
        <item m="1" x="1297"/>
        <item m="1" x="2044"/>
        <item m="1" x="2783"/>
        <item m="1" x="3516"/>
        <item m="1" x="4258"/>
        <item m="1" x="5011"/>
        <item m="1" x="5754"/>
        <item m="1" x="6496"/>
        <item m="1" x="7232"/>
        <item m="1" x="7981"/>
        <item m="1" x="733"/>
        <item m="1" x="1487"/>
        <item m="1" x="2229"/>
        <item m="1" x="2965"/>
        <item m="1" x="3704"/>
        <item m="1" x="4449"/>
        <item m="1" x="5200"/>
        <item m="1" x="5940"/>
        <item m="1" x="6684"/>
        <item m="1" x="7430"/>
        <item m="1" x="172"/>
        <item m="1" x="929"/>
        <item m="1" x="7250"/>
        <item m="1" x="7997"/>
        <item m="1" x="750"/>
        <item m="1" x="1503"/>
        <item m="1" x="2249"/>
        <item m="1" x="2980"/>
        <item m="1" x="3721"/>
        <item m="1" x="4464"/>
        <item m="1" x="5220"/>
        <item m="1" x="5955"/>
        <item m="1" x="6699"/>
        <item m="1" x="7444"/>
        <item m="1" x="190"/>
        <item m="1" x="943"/>
        <item m="1" x="1688"/>
        <item m="1" x="2432"/>
        <item m="1" x="3166"/>
        <item m="1" x="3908"/>
        <item m="1" x="4653"/>
        <item m="1" x="5402"/>
        <item m="1" x="6144"/>
        <item m="1" x="6882"/>
        <item m="1" x="7632"/>
        <item m="1" x="377"/>
        <item m="1" x="1134"/>
        <item m="1" x="1874"/>
        <item m="1" x="2623"/>
        <item m="1" x="3356"/>
        <item m="1" x="4099"/>
        <item m="1" x="4840"/>
        <item m="1" x="2449"/>
        <item m="1" x="3182"/>
        <item m="1" x="3927"/>
        <item m="1" x="4669"/>
        <item m="1" x="5417"/>
        <item m="1" x="6159"/>
        <item m="1" x="6901"/>
        <item m="1" x="7647"/>
        <item m="1" x="393"/>
        <item m="1" x="1150"/>
        <item m="1" x="1894"/>
        <item m="1" x="2637"/>
        <item m="1" x="3371"/>
        <item m="1" x="4113"/>
        <item m="1" x="4860"/>
        <item m="1" x="5606"/>
        <item m="1" x="6350"/>
        <item m="1" x="7088"/>
        <item m="1" x="7836"/>
        <item m="1" x="584"/>
        <item m="1" x="1340"/>
        <item m="1" x="2086"/>
        <item m="1" x="2823"/>
        <item m="1" x="3557"/>
        <item m="1" x="4303"/>
        <item m="1" x="5055"/>
        <item m="1" x="5799"/>
        <item m="1" x="6537"/>
        <item m="1" x="7279"/>
        <item m="1" x="30"/>
        <item m="1" x="780"/>
        <item m="1" x="6367"/>
        <item m="1" x="7104"/>
        <item m="1" x="7852"/>
        <item m="1" x="603"/>
        <item m="1" x="1355"/>
        <item m="1" x="2102"/>
        <item m="1" x="2838"/>
        <item m="1" x="3576"/>
        <item m="1" x="4318"/>
        <item m="1" x="5072"/>
        <item m="1" x="5814"/>
        <item m="1" x="6555"/>
        <item m="1" x="7293"/>
        <item m="1" x="45"/>
        <item m="1" x="795"/>
        <item m="1" x="1547"/>
        <item m="1" x="2288"/>
        <item m="1" x="3021"/>
        <item m="1" x="3764"/>
        <item m="1" x="4509"/>
        <item m="1" x="5258"/>
        <item m="1" x="5998"/>
        <item m="1" x="6739"/>
        <item m="1" x="7488"/>
        <item m="1" x="231"/>
        <item m="1" x="987"/>
        <item m="1" x="1731"/>
        <item m="1" x="2479"/>
        <item m="1" x="3209"/>
        <item m="1" x="3956"/>
        <item m="1" x="2305"/>
        <item m="1" x="3037"/>
        <item m="1" x="3780"/>
        <item m="1" x="4526"/>
        <item m="1" x="5275"/>
        <item m="1" x="6013"/>
        <item m="1" x="6755"/>
        <item m="1" x="7503"/>
        <item m="1" x="250"/>
        <item m="1" x="1002"/>
        <item m="1" x="1746"/>
        <item m="1" x="2493"/>
        <item m="1" x="3228"/>
        <item m="1" x="3970"/>
        <item m="1" x="4711"/>
        <item m="1" x="5459"/>
        <item m="1" x="6203"/>
        <item m="1" x="6941"/>
        <item m="1" x="7691"/>
        <item m="1" x="437"/>
        <item m="1" x="1193"/>
        <item m="1" x="1934"/>
        <item m="1" x="2678"/>
        <item m="1" x="3413"/>
        <item m="1" x="4158"/>
        <item m="1" x="4903"/>
        <item m="1" x="5651"/>
        <item m="1" x="6396"/>
        <item m="1" x="7134"/>
        <item m="1" x="7879"/>
        <item m="1" x="5475"/>
        <item m="1" x="6219"/>
        <item m="1" x="6960"/>
        <item m="1" x="7707"/>
        <item m="1" x="453"/>
        <item m="1" x="1208"/>
        <item m="1" x="1954"/>
        <item m="1" x="2693"/>
        <item m="1" x="3429"/>
        <item m="1" x="4174"/>
        <item m="1" x="4922"/>
        <item m="1" x="5665"/>
        <item m="1" x="6411"/>
        <item m="1" x="7147"/>
        <item m="1" x="7896"/>
        <item m="1" x="644"/>
        <item m="1" x="1397"/>
        <item m="1" x="2145"/>
        <item m="1" x="2877"/>
        <item m="1" x="3616"/>
        <item m="1" x="4360"/>
        <item m="1" x="5112"/>
        <item m="1" x="5854"/>
        <item m="1" x="6594"/>
        <item m="1" x="7337"/>
        <item m="1" x="86"/>
        <item m="1" x="840"/>
        <item m="1" x="1586"/>
        <item m="1" x="2331"/>
        <item m="1" x="3066"/>
        <item m="1" x="3809"/>
        <item m="1" x="1411"/>
        <item m="1" x="2159"/>
        <item m="1" x="2891"/>
        <item m="1" x="3634"/>
        <item m="1" x="4373"/>
        <item m="1" x="5126"/>
        <item m="1" x="5868"/>
        <item m="1" x="6613"/>
        <item m="1" x="7351"/>
        <item m="1" x="102"/>
        <item m="1" x="855"/>
        <item m="1" x="1604"/>
        <item m="1" x="2345"/>
        <item m="1" x="3080"/>
        <item m="1" x="3822"/>
        <item m="1" x="4566"/>
        <item m="1" x="5312"/>
        <item m="1" x="6054"/>
        <item m="1" x="6795"/>
        <item m="1" x="7544"/>
        <item m="1" x="287"/>
        <item m="1" x="1042"/>
        <item m="1" x="1784"/>
        <item m="1" x="2533"/>
        <item m="1" x="3265"/>
        <item m="1" x="4010"/>
        <item m="1" x="4750"/>
        <item m="1" x="5503"/>
        <item m="1" x="6243"/>
        <item m="1" x="6985"/>
        <item m="1" x="7732"/>
        <item m="1" x="5329"/>
        <item m="1" x="6069"/>
        <item m="1" x="6810"/>
        <item m="1" x="7559"/>
        <item m="1" x="303"/>
        <item m="1" x="1055"/>
        <item m="1" x="1799"/>
        <item m="1" x="2548"/>
        <item m="1" x="3285"/>
        <item m="1" x="4025"/>
        <item m="1" x="4766"/>
        <item m="1" x="5518"/>
        <item m="1" x="6263"/>
        <item m="1" x="6999"/>
        <item m="1" x="7746"/>
        <item m="1" x="493"/>
        <item m="1" x="1250"/>
        <item m="1" x="1993"/>
        <item m="1" x="2733"/>
        <item m="1" x="3468"/>
        <item m="1" x="4213"/>
        <item m="1" x="4959"/>
        <item m="1" x="5706"/>
        <item m="1" x="6450"/>
        <item m="1" x="7188"/>
        <item m="1" x="7934"/>
        <item m="1" x="686"/>
        <item m="1" x="1440"/>
        <item m="1" x="2188"/>
        <item m="1" x="2916"/>
        <item m="1" x="1265"/>
        <item m="1" x="2011"/>
        <item m="1" x="2749"/>
        <item m="1" x="3483"/>
        <item m="1" x="4227"/>
        <item m="1" x="4979"/>
        <item m="1" x="5721"/>
        <item m="1" x="6466"/>
        <item m="1" x="7204"/>
        <item m="1" x="7954"/>
        <item m="1" x="701"/>
        <item m="1" x="1456"/>
        <item m="1" x="2202"/>
        <item m="1" x="2935"/>
        <item m="1" x="3674"/>
        <item m="1" x="4414"/>
        <item m="1" x="5169"/>
        <item m="1" x="5908"/>
        <item m="1" x="6651"/>
        <item m="1" x="7393"/>
        <item m="1" x="141"/>
        <item m="1" x="896"/>
        <item m="1" x="1642"/>
        <item m="1" x="2386"/>
        <item m="1" x="3121"/>
        <item m="1" x="3864"/>
        <item m="1" x="4605"/>
        <item m="1" x="5356"/>
        <item m="1" x="6099"/>
        <item m="1" x="6838"/>
        <item m="1" x="4431"/>
        <item m="1" x="5185"/>
        <item m="1" x="5925"/>
        <item m="1" x="6669"/>
        <item m="1" x="7411"/>
        <item m="1" x="158"/>
        <item m="1" x="914"/>
        <item m="1" x="1663"/>
        <item m="1" x="2404"/>
        <item m="1" x="3140"/>
        <item m="1" x="3883"/>
        <item m="1" x="4627"/>
        <item m="1" x="5373"/>
        <item m="1" x="6116"/>
        <item m="1" x="6855"/>
        <item m="1" x="7605"/>
        <item m="1" x="346"/>
        <item m="1" x="1101"/>
        <item m="1" x="1845"/>
        <item m="1" x="2593"/>
        <item m="1" x="3327"/>
        <item m="1" x="4068"/>
        <item m="1" x="4811"/>
        <item m="1" x="5563"/>
        <item m="1" x="6305"/>
        <item m="1" x="7044"/>
        <item m="1" x="7790"/>
        <item m="1" x="541"/>
        <item m="1" x="1295"/>
        <item m="1" x="2042"/>
        <item m="1" x="2781"/>
        <item m="1" x="363"/>
        <item m="1" x="1115"/>
        <item m="1" x="1861"/>
        <item m="1" x="2607"/>
        <item m="1" x="3343"/>
        <item m="1" x="4083"/>
        <item m="1" x="4828"/>
        <item m="1" x="5579"/>
        <item m="1" x="6325"/>
        <item m="1" x="7060"/>
        <item m="1" x="7806"/>
        <item m="1" x="557"/>
        <item m="1" x="1312"/>
        <item m="1" x="2056"/>
        <item m="1" x="2795"/>
        <item m="1" x="3528"/>
        <item m="1" x="4273"/>
        <item m="1" x="5023"/>
        <item m="1" x="5767"/>
        <item m="1" x="6510"/>
        <item m="1" x="7248"/>
        <item m="1" x="7995"/>
        <item m="1" x="748"/>
        <item m="1" x="1501"/>
        <item m="1" x="2247"/>
        <item m="1" x="2978"/>
        <item m="1" x="3719"/>
        <item m="1" x="4462"/>
        <item m="1" x="5218"/>
        <item m="1" x="5953"/>
        <item m="1" x="4287"/>
        <item m="1" x="5040"/>
        <item m="1" x="5782"/>
        <item m="1" x="6524"/>
        <item m="1" x="7263"/>
        <item m="1" x="17"/>
        <item m="1" x="764"/>
        <item m="1" x="1518"/>
        <item m="1" x="2263"/>
        <item m="1" x="2996"/>
        <item m="1" x="3734"/>
        <item m="1" x="4479"/>
        <item m="1" x="5232"/>
        <item m="1" x="5970"/>
        <item m="1" x="6711"/>
        <item m="1" x="7456"/>
        <item m="1" x="202"/>
        <item m="1" x="957"/>
        <item m="1" x="1701"/>
        <item m="1" x="2447"/>
        <item m="1" x="3180"/>
        <item m="1" x="3925"/>
        <item m="1" x="4667"/>
        <item m="1" x="5415"/>
        <item m="1" x="6157"/>
        <item m="1" x="6899"/>
        <item m="1" x="7645"/>
        <item m="1" x="391"/>
        <item m="1" x="1148"/>
        <item m="1" x="1892"/>
        <item m="1" x="7471"/>
        <item m="1" x="217"/>
        <item m="1" x="972"/>
        <item m="1" x="1718"/>
        <item m="1" x="2462"/>
        <item m="1" x="3196"/>
        <item m="1" x="3941"/>
        <item m="1" x="4686"/>
        <item m="1" x="5431"/>
        <item m="1" x="6175"/>
        <item m="1" x="6915"/>
        <item m="1" x="7665"/>
        <item m="1" x="406"/>
        <item m="1" x="1163"/>
        <item m="1" x="1906"/>
        <item m="1" x="2651"/>
        <item m="1" x="3383"/>
        <item m="1" x="4125"/>
        <item m="1" x="4873"/>
        <item m="1" x="5622"/>
        <item m="1" x="6365"/>
        <item m="1" x="7102"/>
        <item m="1" x="7850"/>
        <item m="1" x="601"/>
        <item m="1" x="1353"/>
        <item m="1" x="2100"/>
        <item m="1" x="2836"/>
        <item m="1" x="3574"/>
        <item m="1" x="4316"/>
        <item m="1" x="5070"/>
        <item m="1" x="5812"/>
        <item m="1" x="3399"/>
        <item m="1" x="4139"/>
        <item m="1" x="4889"/>
        <item m="1" x="5636"/>
        <item m="1" x="6383"/>
        <item m="1" x="7117"/>
        <item m="1" x="7867"/>
        <item m="1" x="617"/>
        <item m="1" x="1373"/>
        <item m="1" x="2116"/>
        <item m="1" x="2852"/>
        <item m="1" x="3590"/>
        <item m="1" x="4333"/>
        <item m="1" x="5084"/>
        <item m="1" x="5826"/>
        <item m="1" x="6567"/>
        <item m="1" x="7308"/>
        <item m="1" x="57"/>
        <item m="1" x="808"/>
        <item m="1" x="1561"/>
        <item m="1" x="2303"/>
        <item m="1" x="3035"/>
        <item m="1" x="3778"/>
        <item m="1" x="4524"/>
        <item m="1" x="5273"/>
        <item m="1" x="6011"/>
        <item m="1" x="6753"/>
        <item m="1" x="7501"/>
        <item m="1" x="248"/>
        <item m="1" x="1000"/>
        <item m="1" x="7323"/>
        <item m="1" x="74"/>
        <item m="1" x="823"/>
        <item m="1" x="1575"/>
        <item m="1" x="2318"/>
        <item m="1" x="3055"/>
        <item m="1" x="3794"/>
        <item m="1" x="4541"/>
        <item m="1" x="5289"/>
        <item m="1" x="6031"/>
        <item m="1" x="6768"/>
        <item m="1" x="7518"/>
        <item m="1" x="262"/>
        <item m="1" x="1018"/>
        <item m="1" x="1758"/>
        <item m="1" x="2505"/>
        <item m="1" x="3240"/>
        <item m="1" x="3984"/>
        <item m="1" x="4724"/>
        <item m="1" x="5473"/>
        <item m="1" x="6217"/>
        <item m="1" x="6958"/>
        <item m="1" x="7705"/>
        <item m="1" x="450"/>
        <item m="1" x="1206"/>
        <item m="1" x="1952"/>
        <item m="1" x="2691"/>
        <item m="1" x="3427"/>
        <item m="1" x="4172"/>
        <item m="1" x="4920"/>
        <item m="1" x="2516"/>
        <item m="1" x="3252"/>
        <item m="1" x="3996"/>
        <item m="1" x="4737"/>
        <item m="1" x="5486"/>
        <item m="1" x="6231"/>
        <item m="1" x="6971"/>
        <item m="1" x="7721"/>
        <item m="1" x="464"/>
        <item m="1" x="1221"/>
        <item m="1" x="1966"/>
        <item m="1" x="2707"/>
        <item m="1" x="3438"/>
        <item m="1" x="4184"/>
        <item m="1" x="4931"/>
        <item m="1" x="5679"/>
        <item m="1" x="6421"/>
        <item m="1" x="7157"/>
        <item m="1" x="7907"/>
        <item m="1" x="658"/>
        <item m="1" x="1409"/>
        <item m="1" x="2157"/>
        <item m="1" x="2889"/>
        <item m="1" x="3632"/>
        <item m="1" x="4371"/>
        <item m="1" x="5124"/>
        <item m="1" x="5866"/>
        <item m="1" x="6611"/>
        <item m="1" x="7349"/>
        <item m="1" x="100"/>
        <item m="1" x="853"/>
        <item m="1" x="6436"/>
        <item m="1" x="7169"/>
        <item m="1" x="7921"/>
        <item m="1" x="670"/>
        <item m="1" x="1427"/>
        <item m="1" x="2171"/>
        <item m="1" x="2540"/>
        <item m="1" x="2904"/>
        <item m="1" x="3276"/>
        <item m="1" x="3646"/>
        <item m="1" x="4017"/>
        <item m="1" x="4388"/>
        <item m="1" x="4758"/>
        <item m="1" x="5139"/>
        <item m="1" x="5510"/>
        <item m="1" x="5880"/>
        <item m="1" x="6253"/>
        <item m="1" x="6624"/>
        <item m="1" x="6991"/>
        <item m="1" x="7365"/>
        <item m="1" x="7739"/>
        <item m="1" x="112"/>
        <item m="1" x="486"/>
        <item m="1" x="866"/>
        <item m="1" x="1243"/>
        <item m="1" x="1615"/>
        <item m="1" x="1986"/>
        <item m="1" x="2358"/>
        <item m="1" x="2726"/>
        <item m="1" x="3091"/>
        <item m="1" x="3460"/>
        <item m="1" x="3834"/>
        <item m="1" x="4205"/>
        <item m="1" x="4579"/>
        <item m="1" x="4952"/>
        <item m="1" x="5327"/>
        <item m="1" x="5699"/>
        <item m="1" x="6067"/>
        <item m="1" x="6443"/>
        <item m="1" x="6808"/>
        <item m="1" x="7181"/>
        <item m="1" x="7557"/>
        <item m="1" x="7927"/>
        <item m="1" x="301"/>
        <item m="1" x="678"/>
        <item m="1" x="1053"/>
        <item m="1" x="1433"/>
        <item m="1" x="1797"/>
        <item m="1" x="2182"/>
        <item m="1" x="2546"/>
        <item m="1" x="2910"/>
        <item m="1" x="3283"/>
        <item m="1" x="3655"/>
        <item m="1" x="4023"/>
        <item m="1" x="4395"/>
        <item m="1" x="2002"/>
        <item m="1" x="2371"/>
        <item m="1" x="2740"/>
        <item m="1" x="3107"/>
        <item m="1" x="3474"/>
        <item m="1" x="3847"/>
        <item m="1" x="4219"/>
        <item m="1" x="4592"/>
        <item m="1" x="4971"/>
        <item m="1" x="5341"/>
        <item m="1" x="5713"/>
        <item m="1" x="6086"/>
        <item m="1" x="6458"/>
        <item m="1" x="6822"/>
        <item m="1" x="7195"/>
        <item m="1" x="7572"/>
        <item m="1" x="7945"/>
        <item m="1" x="315"/>
        <item m="1" x="693"/>
        <item m="1" x="1072"/>
        <item m="1" x="1448"/>
        <item m="1" x="1810"/>
        <item m="1" x="2194"/>
        <item m="1" x="2560"/>
        <item m="1" x="2926"/>
        <item m="1" x="3295"/>
        <item m="1" x="3666"/>
        <item m="1" x="4038"/>
        <item m="1" x="4407"/>
        <item m="1" x="4777"/>
        <item m="1" x="5162"/>
        <item m="1" x="5529"/>
        <item m="1" x="5901"/>
        <item m="1" x="6274"/>
        <item m="1" x="6643"/>
        <item m="1" x="7013"/>
        <item m="1" x="7385"/>
        <item m="1" x="7758"/>
        <item m="1" x="134"/>
        <item m="1" x="507"/>
        <item m="1" x="889"/>
        <item m="1" x="1263"/>
        <item m="1" x="1635"/>
        <item m="1" x="2009"/>
        <item m="1" x="2379"/>
        <item m="1" x="2747"/>
        <item m="1" x="3114"/>
        <item m="1" x="3480"/>
        <item m="1" x="3857"/>
        <item m="1" x="4225"/>
        <item m="1" x="4598"/>
        <item m="1" x="4977"/>
        <item m="1" x="5349"/>
        <item m="1" x="5719"/>
        <item m="1" x="6092"/>
        <item m="1" x="6464"/>
        <item m="1" x="6832"/>
        <item m="1" x="7202"/>
        <item m="1" x="7579"/>
        <item m="1" x="7952"/>
        <item m="1" x="324"/>
        <item m="1" x="5542"/>
        <item m="1" x="5915"/>
        <item m="1" x="6288"/>
        <item m="1" x="6659"/>
        <item m="1" x="7026"/>
        <item m="1" x="7400"/>
        <item m="1" x="7773"/>
        <item m="1" x="148"/>
        <item m="1" x="520"/>
        <item m="1" x="904"/>
        <item m="1" x="1278"/>
        <item m="1" x="1653"/>
        <item m="1" x="2024"/>
        <item m="1" x="2394"/>
        <item m="1" x="2765"/>
        <item m="1" x="3129"/>
        <item m="1" x="3495"/>
        <item m="1" x="3872"/>
        <item m="1" x="4240"/>
        <item m="1" x="4616"/>
        <item m="1" x="4992"/>
        <item m="1" x="5363"/>
        <item m="1" x="5736"/>
        <item m="1" x="6106"/>
        <item m="1" x="6477"/>
        <item m="1" x="6845"/>
        <item m="1" x="7216"/>
        <item m="1" x="7595"/>
        <item m="1" x="7965"/>
        <item m="1" x="337"/>
        <item m="1" x="718"/>
        <item m="1" x="1092"/>
        <item m="1" x="1468"/>
        <item m="1" x="1836"/>
        <item m="1" x="2214"/>
        <item m="1" x="2582"/>
        <item m="1" x="2948"/>
        <item m="1" x="3317"/>
        <item m="1" x="3689"/>
        <item m="1" x="4059"/>
        <item m="1" x="4429"/>
        <item m="1" x="4802"/>
        <item m="1" x="5183"/>
        <item m="1" x="5553"/>
        <item m="1" x="5923"/>
        <item m="1" x="6297"/>
        <item m="1" x="6667"/>
        <item m="1" x="7036"/>
        <item m="1" x="7408"/>
        <item m="1" x="7782"/>
        <item m="1" x="156"/>
        <item m="1" x="533"/>
        <item m="1" x="912"/>
        <item m="1" x="1287"/>
        <item m="1" x="1661"/>
        <item m="1" x="2034"/>
        <item m="1" x="2402"/>
        <item m="1" x="2774"/>
        <item m="1" x="3138"/>
        <item m="1" x="3507"/>
        <item m="1" x="3881"/>
        <item m="1" x="1486"/>
        <item m="1" x="1853"/>
        <item m="1" x="2228"/>
        <item m="1" x="2599"/>
        <item m="1" x="2964"/>
        <item m="1" x="3335"/>
        <item m="1" x="3703"/>
        <item m="1" x="4075"/>
        <item m="1" x="4448"/>
        <item m="1" x="4820"/>
        <item m="1" x="5199"/>
        <item m="1" x="5571"/>
        <item m="1" x="5939"/>
        <item m="1" x="6316"/>
        <item m="1" x="6682"/>
        <item m="1" x="7052"/>
        <item m="1" x="7429"/>
        <item m="1" x="7799"/>
        <item m="1" x="171"/>
        <item m="1" x="550"/>
        <item m="1" x="928"/>
        <item m="1" x="1305"/>
        <item m="1" x="1674"/>
        <item m="1" x="2049"/>
        <item m="1" x="2419"/>
        <item m="1" x="2789"/>
        <item m="1" x="3152"/>
        <item m="1" x="3522"/>
        <item m="1" x="3896"/>
        <item m="1" x="4267"/>
        <item m="1" x="4640"/>
        <item m="1" x="5017"/>
        <item m="1" x="5388"/>
        <item m="1" x="5760"/>
        <item m="1" x="6128"/>
        <item m="1" x="6502"/>
        <item m="1" x="6868"/>
        <item m="1" x="7241"/>
        <item m="1" x="7618"/>
        <item m="1" x="7988"/>
        <item m="1" x="362"/>
        <item m="1" x="741"/>
        <item m="1" x="1114"/>
        <item m="1" x="1494"/>
        <item m="1" x="1860"/>
        <item m="1" x="2239"/>
        <item m="1" x="2606"/>
        <item m="1" x="2972"/>
        <item m="1" x="3342"/>
        <item m="1" x="3712"/>
        <item m="1" x="4082"/>
        <item m="1" x="4456"/>
        <item m="1" x="4827"/>
        <item m="1" x="5211"/>
        <item m="1" x="5578"/>
        <item m="1" x="5947"/>
        <item m="1" x="6324"/>
        <item m="1" x="6692"/>
        <item m="1" x="7059"/>
        <item m="1" x="7437"/>
        <item m="1" x="5032"/>
        <item m="1" x="5401"/>
        <item m="1" x="5774"/>
        <item m="1" x="6143"/>
        <item m="1" x="6517"/>
        <item m="1" x="6881"/>
        <item m="1" x="7255"/>
        <item m="1" x="7631"/>
        <item m="1" x="8"/>
        <item m="1" x="376"/>
        <item m="1" x="756"/>
        <item m="1" x="1133"/>
        <item m="1" x="1510"/>
        <item m="1" x="1873"/>
        <item m="1" x="2255"/>
        <item m="1" x="2621"/>
        <item m="1" x="2988"/>
        <item m="1" x="3355"/>
        <item m="1" x="3727"/>
        <item m="1" x="4098"/>
        <item m="1" x="4472"/>
        <item m="1" x="4839"/>
        <item m="1" x="5225"/>
        <item m="1" x="5593"/>
        <item m="1" x="5963"/>
        <item m="1" x="6336"/>
        <item m="1" x="6705"/>
        <item m="1" x="7076"/>
        <item m="1" x="7450"/>
        <item m="1" x="7819"/>
        <item m="1" x="196"/>
        <item m="1" x="571"/>
        <item m="1" x="951"/>
        <item m="1" x="1325"/>
        <item m="1" x="1694"/>
        <item m="1" x="2072"/>
        <item m="1" x="2439"/>
        <item m="1" x="2807"/>
        <item m="1" x="3173"/>
        <item m="1" x="3543"/>
        <item m="1" x="3918"/>
        <item m="1" x="4286"/>
        <item m="1" x="4660"/>
        <item m="1" x="5039"/>
        <item m="1" x="5409"/>
        <item m="1" x="5781"/>
        <item m="1" x="6151"/>
        <item m="1" x="6523"/>
        <item m="1" x="6893"/>
        <item m="1" x="7262"/>
        <item m="1" x="7639"/>
        <item m="1" x="16"/>
        <item m="1" x="385"/>
        <item m="1" x="763"/>
        <item m="1" x="1141"/>
        <item m="1" x="1517"/>
        <item m="1" x="1885"/>
        <item m="1" x="2262"/>
        <item m="1" x="2630"/>
        <item m="1" x="2995"/>
        <item m="1" x="3364"/>
        <item m="1" x="583"/>
        <item m="1" x="964"/>
        <item m="1" x="1339"/>
        <item m="1" x="1709"/>
        <item m="1" x="2085"/>
        <item m="1" x="2454"/>
        <item m="1" x="2822"/>
        <item m="1" x="3188"/>
        <item m="1" x="3556"/>
        <item m="1" x="3933"/>
        <item m="1" x="4302"/>
        <item m="1" x="4678"/>
        <item m="1" x="5054"/>
        <item m="1" x="5423"/>
        <item m="1" x="5798"/>
        <item m="1" x="6166"/>
        <item m="1" x="6536"/>
        <item m="1" x="6907"/>
        <item m="1" x="7278"/>
        <item m="1" x="7657"/>
        <item m="1" x="29"/>
        <item m="1" x="398"/>
        <item m="1" x="779"/>
        <item m="1" x="1156"/>
        <item m="1" x="1530"/>
        <item m="1" x="1899"/>
        <item m="1" x="2276"/>
        <item m="1" x="2645"/>
        <item m="1" x="3008"/>
        <item m="1" x="3377"/>
        <item m="1" x="3752"/>
        <item m="1" x="4119"/>
        <item m="1" x="4492"/>
        <item m="1" x="4866"/>
        <item m="1" x="5245"/>
        <item m="1" x="5613"/>
        <item m="1" x="5983"/>
        <item m="1" x="6357"/>
        <item m="1" x="6726"/>
        <item m="1" x="7095"/>
        <item m="1" x="7470"/>
        <item m="1" x="7843"/>
        <item m="1" x="216"/>
        <item m="1" x="593"/>
        <item m="1" x="971"/>
        <item m="1" x="1347"/>
        <item m="1" x="1717"/>
        <item m="1" x="2094"/>
        <item m="1" x="2461"/>
        <item m="1" x="2830"/>
        <item m="1" x="3195"/>
        <item m="1" x="3568"/>
        <item m="1" x="3940"/>
        <item m="1" x="4310"/>
        <item m="1" x="4685"/>
        <item m="1" x="5063"/>
        <item m="1" x="5430"/>
        <item m="1" x="5806"/>
        <item m="1" x="6174"/>
        <item m="1" x="6548"/>
        <item m="1" x="6914"/>
        <item m="1" x="4508"/>
        <item m="1" x="4881"/>
        <item m="1" x="5257"/>
        <item m="1" x="5628"/>
        <item m="1" x="5997"/>
        <item m="1" x="6375"/>
        <item m="1" x="6738"/>
        <item m="1" x="7109"/>
        <item m="1" x="7487"/>
        <item m="1" x="7859"/>
        <item m="1" x="230"/>
        <item m="1" x="609"/>
        <item m="1" x="986"/>
        <item m="1" x="1364"/>
        <item m="1" x="1730"/>
        <item m="1" x="2108"/>
        <item m="1" x="2478"/>
        <item m="1" x="2845"/>
        <item m="1" x="3208"/>
        <item m="1" x="3583"/>
        <item m="1" x="3955"/>
        <item m="1" x="4326"/>
        <item m="1" x="4697"/>
        <item m="1" x="5077"/>
        <item m="1" x="5446"/>
        <item m="1" x="5820"/>
        <item m="1" x="6187"/>
        <item m="1" x="6561"/>
        <item m="1" x="6929"/>
        <item m="1" x="7301"/>
        <item m="1" x="7678"/>
        <item m="1" x="51"/>
        <item m="1" x="423"/>
        <item m="1" x="801"/>
        <item m="1" x="1176"/>
        <item m="1" x="1553"/>
        <item m="1" x="1920"/>
        <item m="1" x="2296"/>
        <item m="1" x="2664"/>
        <item m="1" x="3028"/>
        <item m="1" x="3398"/>
        <item m="1" x="3771"/>
        <item m="1" x="4138"/>
        <item m="1" x="4516"/>
        <item m="1" x="4888"/>
        <item m="1" x="5267"/>
        <item m="1" x="5635"/>
        <item m="1" x="6005"/>
        <item m="1" x="6382"/>
        <item m="1" x="6747"/>
        <item m="1" x="7116"/>
        <item m="1" x="7495"/>
        <item m="1" x="7866"/>
        <item m="1" x="242"/>
        <item m="1" x="616"/>
        <item m="1" x="994"/>
        <item m="1" x="1372"/>
        <item m="1" x="1739"/>
        <item m="1" x="2115"/>
        <item m="1" x="2486"/>
        <item m="1" x="66"/>
        <item m="1" x="436"/>
        <item m="1" x="815"/>
        <item m="1" x="1192"/>
        <item m="1" x="1568"/>
        <item m="1" x="1933"/>
        <item m="1" x="2310"/>
        <item m="1" x="2677"/>
        <item m="1" x="3047"/>
        <item m="1" x="3412"/>
        <item m="1" x="3786"/>
        <item m="1" x="4157"/>
        <item m="1" x="4533"/>
        <item m="1" x="4902"/>
        <item m="1" x="5281"/>
        <item m="1" x="5650"/>
        <item m="1" x="6023"/>
        <item m="1" x="6395"/>
        <item m="1" x="6761"/>
        <item m="1" x="7133"/>
        <item m="1" x="7511"/>
        <item m="1" x="7878"/>
        <item m="1" x="255"/>
        <item m="1" x="631"/>
        <item m="1" x="1010"/>
        <item m="1" x="1384"/>
        <item m="1" x="1752"/>
        <item m="1" x="2134"/>
        <item m="1" x="2499"/>
        <item m="1" x="2864"/>
        <item m="1" x="3234"/>
        <item m="1" x="3604"/>
        <item m="1" x="3978"/>
        <item m="1" x="4346"/>
        <item m="1" x="4717"/>
        <item m="1" x="5099"/>
        <item m="1" x="5465"/>
        <item m="1" x="5838"/>
        <item m="1" x="6210"/>
        <item m="1" x="6581"/>
        <item m="1" x="6950"/>
        <item m="1" x="7322"/>
        <item m="1" x="7698"/>
        <item m="1" x="73"/>
        <item m="1" x="444"/>
        <item m="1" x="822"/>
        <item m="1" x="1200"/>
        <item m="1" x="1574"/>
        <item m="1" x="1946"/>
        <item m="1" x="2317"/>
        <item m="1" x="2685"/>
        <item m="1" x="3054"/>
        <item m="1" x="3421"/>
        <item m="1" x="3793"/>
        <item m="1" x="4165"/>
        <item m="1" x="4540"/>
        <item m="1" x="4913"/>
        <item m="1" x="5288"/>
        <item m="1" x="5658"/>
        <item m="1" x="6030"/>
        <item m="1" x="6404"/>
        <item m="1" x="3615"/>
        <item m="1" x="3990"/>
        <item m="1" x="4359"/>
        <item m="1" x="4731"/>
        <item m="1" x="5111"/>
        <item m="1" x="5479"/>
        <item m="1" x="5853"/>
        <item m="1" x="6224"/>
        <item m="1" x="6593"/>
        <item m="1" x="6964"/>
        <item m="1" x="7336"/>
        <item m="1" x="7714"/>
        <item m="1" x="85"/>
        <item m="1" x="457"/>
        <item m="1" x="839"/>
        <item m="1" x="1213"/>
        <item m="1" x="1585"/>
        <item m="1" x="1958"/>
        <item m="1" x="2330"/>
        <item m="1" x="2701"/>
        <item m="1" x="3065"/>
        <item m="1" x="3432"/>
        <item m="1" x="3808"/>
        <item m="1" x="4178"/>
        <item m="1" x="4551"/>
        <item m="1" x="4925"/>
        <item m="1" x="5300"/>
        <item m="1" x="5673"/>
        <item m="1" x="6041"/>
        <item m="1" x="6415"/>
        <item m="1" x="6783"/>
        <item m="1" x="7151"/>
        <item m="1" x="7528"/>
        <item m="1" x="7900"/>
        <item m="1" x="273"/>
        <item m="1" x="649"/>
        <item m="1" x="1027"/>
        <item m="1" x="1401"/>
        <item m="1" x="1771"/>
        <item m="1" x="2150"/>
        <item m="1" x="2515"/>
        <item m="1" x="2882"/>
        <item m="1" x="3251"/>
        <item m="1" x="3623"/>
        <item m="1" x="3995"/>
        <item m="1" x="4365"/>
        <item m="1" x="4736"/>
        <item m="1" x="5118"/>
        <item m="1" x="5485"/>
        <item m="1" x="5860"/>
        <item m="1" x="6230"/>
        <item m="1" x="6604"/>
        <item m="1" x="6970"/>
        <item m="1" x="7343"/>
        <item m="1" x="7720"/>
        <item m="1" x="93"/>
        <item m="1" x="463"/>
        <item m="1" x="846"/>
        <item m="1" x="1220"/>
        <item m="1" x="1596"/>
        <item m="1" x="1965"/>
        <item m="1" x="7543"/>
        <item m="1" x="7915"/>
        <item m="1" x="286"/>
        <item m="1" x="664"/>
        <item m="1" x="1041"/>
        <item m="1" x="1419"/>
        <item m="1" x="1783"/>
        <item m="1" x="2164"/>
        <item m="1" x="2532"/>
        <item m="1" x="2897"/>
        <item m="1" x="3264"/>
        <item m="1" x="3639"/>
        <item m="1" x="4009"/>
        <item m="1" x="4381"/>
        <item m="1" x="4748"/>
        <item m="1" x="5131"/>
        <item m="1" x="5502"/>
        <item m="1" x="5874"/>
        <item m="1" x="6242"/>
        <item m="1" x="6618"/>
        <item m="1" x="6984"/>
        <item m="1" x="7358"/>
        <item m="1" x="7731"/>
        <item m="1" x="106"/>
        <item m="1" x="480"/>
        <item m="1" x="860"/>
        <item m="1" x="1233"/>
        <item m="1" x="1609"/>
        <item m="1" x="1980"/>
        <item m="1" x="2352"/>
        <item m="1" x="2719"/>
        <item m="1" x="3085"/>
        <item m="1" x="3454"/>
        <item m="1" x="3827"/>
        <item m="1" x="4195"/>
        <item m="1" x="4571"/>
        <item m="1" x="4944"/>
        <item m="1" x="5320"/>
        <item m="1" x="5691"/>
        <item m="1" x="6060"/>
        <item m="1" x="6435"/>
        <item m="1" x="6801"/>
        <item m="1" x="7168"/>
        <item m="1" x="7549"/>
        <item m="1" x="7920"/>
        <item m="1" x="294"/>
        <item m="1" x="669"/>
        <item m="1" x="1047"/>
        <item m="1" x="1426"/>
        <item m="1" x="1791"/>
        <item m="1" x="2170"/>
        <item m="1" x="2539"/>
        <item m="1" x="2903"/>
        <item m="1" x="3275"/>
        <item m="1" x="3645"/>
        <item m="1" x="4016"/>
        <item m="1" x="4387"/>
        <item m="1" x="4757"/>
        <item m="1" x="5138"/>
        <item m="1" x="5509"/>
        <item m="1" x="3100"/>
        <item m="1" x="3467"/>
        <item m="1" x="3841"/>
        <item m="1" x="4212"/>
        <item m="1" x="4586"/>
        <item m="1" x="4958"/>
        <item m="1" x="5334"/>
        <item m="1" x="5705"/>
        <item m="1" x="6079"/>
        <item m="1" x="6449"/>
        <item m="1" x="6815"/>
        <item m="1" x="7187"/>
        <item m="1" x="7565"/>
        <item m="1" x="7933"/>
        <item m="1" x="308"/>
        <item m="1" x="684"/>
        <item m="1" x="1064"/>
        <item m="1" x="1439"/>
        <item m="1" x="1804"/>
        <item m="1" x="2187"/>
        <item m="1" x="2554"/>
        <item m="1" x="2915"/>
        <item m="1" x="3289"/>
        <item m="1" x="3660"/>
        <item m="1" x="4032"/>
        <item m="1" x="4400"/>
        <item m="1" x="4771"/>
        <item m="1" x="5156"/>
        <item m="1" x="5523"/>
        <item m="1" x="5892"/>
        <item m="1" x="6268"/>
        <item m="1" x="6637"/>
        <item m="1" x="7006"/>
        <item m="1" x="7377"/>
        <item m="1" x="7751"/>
        <item m="1" x="126"/>
        <item m="1" x="499"/>
        <item m="1" x="877"/>
        <item m="1" x="1256"/>
        <item m="1" x="1628"/>
        <item m="1" x="2001"/>
        <item m="1" x="2370"/>
        <item m="1" x="2739"/>
        <item m="1" x="3106"/>
        <item m="1" x="3473"/>
        <item m="1" x="3846"/>
        <item m="1" x="4218"/>
        <item m="1" x="4591"/>
        <item m="1" x="4970"/>
        <item m="1" x="5340"/>
        <item m="1" x="5712"/>
        <item m="1" x="6085"/>
        <item m="1" x="6457"/>
        <item m="1" x="6821"/>
        <item m="1" x="7194"/>
        <item m="1" x="7571"/>
        <item m="1" x="7943"/>
        <item m="1" x="314"/>
        <item m="1" x="692"/>
        <item m="1" x="1071"/>
        <item m="1" x="1447"/>
        <item m="1" x="6650"/>
        <item m="1" x="7020"/>
        <item m="1" x="7392"/>
        <item m="1" x="7766"/>
        <item m="1" x="140"/>
        <item m="1" x="513"/>
        <item m="1" x="895"/>
        <item m="1" x="1271"/>
        <item m="1" x="1641"/>
        <item m="1" x="2017"/>
        <item m="1" x="2385"/>
        <item m="1" x="2757"/>
        <item m="1" x="3120"/>
        <item m="1" x="3488"/>
        <item m="1" x="3863"/>
        <item m="1" x="4233"/>
        <item m="1" x="4604"/>
        <item m="1" x="4984"/>
        <item m="1" x="5355"/>
        <item m="1" x="5730"/>
        <item m="1" x="6098"/>
        <item m="1" x="6471"/>
        <item m="1" x="6837"/>
        <item m="1" x="7209"/>
        <item m="1" x="7584"/>
        <item m="1" x="7958"/>
        <item m="1" x="329"/>
        <item m="1" x="710"/>
        <item m="1" x="1084"/>
        <item m="1" x="1461"/>
        <item m="1" x="1828"/>
        <item m="1" x="2207"/>
        <item m="1" x="2572"/>
        <item m="1" x="2940"/>
        <item m="1" x="3308"/>
        <item m="1" x="3680"/>
        <item m="1" x="4049"/>
        <item m="1" x="4420"/>
        <item m="1" x="4792"/>
        <item m="1" x="5175"/>
        <item m="1" x="5541"/>
        <item m="1" x="5914"/>
        <item m="1" x="6287"/>
        <item m="1" x="6658"/>
        <item m="1" x="7025"/>
        <item m="1" x="7399"/>
        <item m="1" x="7772"/>
        <item m="1" x="147"/>
        <item m="1" x="519"/>
        <item m="1" x="903"/>
        <item m="1" x="1277"/>
        <item m="1" x="1652"/>
        <item m="1" x="2023"/>
        <item m="1" x="2393"/>
        <item m="1" x="2764"/>
        <item m="1" x="3128"/>
        <item m="1" x="3494"/>
        <item m="1" x="3871"/>
        <item m="1" x="4239"/>
        <item m="1" x="4615"/>
        <item m="1" x="4991"/>
        <item m="1" x="2591"/>
        <item m="1" x="2957"/>
        <item m="1" x="3325"/>
        <item m="1" x="3696"/>
        <item m="1" x="4066"/>
        <item m="1" x="4440"/>
        <item m="1" x="4809"/>
        <item m="1" x="5191"/>
        <item m="1" x="5561"/>
        <item m="1" x="5932"/>
        <item m="1" x="6304"/>
        <item m="1" x="6675"/>
        <item m="1" x="7043"/>
        <item m="1" x="7420"/>
        <item m="1" x="7789"/>
        <item m="1" x="164"/>
        <item m="1" x="540"/>
        <item m="1" x="921"/>
        <item m="1" x="1294"/>
        <item m="1" x="1668"/>
        <item m="1" x="2041"/>
        <item m="1" x="2412"/>
        <item m="1" x="2780"/>
        <item m="1" x="3145"/>
        <item m="1" x="3514"/>
        <item m="1" x="3889"/>
        <item m="1" x="4256"/>
        <item m="1" x="4633"/>
        <item m="1" x="5009"/>
        <item m="1" x="5381"/>
        <item m="1" x="5752"/>
        <item m="1" x="6121"/>
        <item m="1" x="6494"/>
        <item m="1" x="6861"/>
        <item m="1" x="7230"/>
        <item m="1" x="7610"/>
        <item m="1" x="7979"/>
        <item m="1" x="354"/>
        <item m="1" x="732"/>
        <item m="1" x="1107"/>
        <item m="1" x="1485"/>
        <item m="1" x="1852"/>
        <item m="1" x="2227"/>
        <item m="1" x="2598"/>
        <item m="1" x="2963"/>
        <item m="1" x="3334"/>
        <item m="1" x="3702"/>
        <item m="1" x="4074"/>
        <item m="1" x="4447"/>
        <item m="1" x="4819"/>
        <item m="1" x="5198"/>
        <item m="1" x="5570"/>
        <item m="1" x="5938"/>
        <item m="1" x="6315"/>
        <item m="1" x="6681"/>
        <item m="1" x="7051"/>
        <item m="1" x="7428"/>
        <item m="1" x="7798"/>
        <item m="1" x="170"/>
        <item m="1" x="549"/>
        <item m="1" x="927"/>
        <item m="1" x="6136"/>
        <item m="1" x="6508"/>
        <item m="1" x="6874"/>
        <item m="1" x="7246"/>
        <item m="1" x="7624"/>
        <item m="1" x="7993"/>
        <item m="1" x="368"/>
        <item m="1" x="746"/>
        <item m="1" x="1125"/>
        <item m="1" x="1499"/>
        <item m="1" x="1866"/>
        <item m="1" x="2246"/>
        <item m="1" x="2614"/>
        <item m="1" x="2977"/>
        <item m="1" x="3348"/>
        <item m="1" x="3717"/>
        <item m="1" x="4092"/>
        <item m="1" x="4461"/>
        <item m="1" x="4833"/>
        <item m="1" x="5217"/>
        <item m="1" x="5587"/>
        <item m="1" x="5952"/>
        <item m="1" x="6330"/>
        <item m="1" x="6697"/>
        <item m="1" x="7068"/>
        <item m="1" x="7442"/>
        <item m="1" x="7812"/>
        <item m="1" x="188"/>
        <item m="1" x="564"/>
        <item m="1" x="941"/>
        <item m="1" x="1318"/>
        <item m="1" x="1686"/>
        <item m="1" x="2064"/>
        <item m="1" x="2430"/>
        <item m="1" x="2800"/>
        <item m="1" x="3164"/>
        <item m="1" x="3535"/>
        <item m="1" x="3906"/>
        <item m="1" x="4279"/>
        <item m="1" x="4652"/>
        <item m="1" x="5031"/>
        <item m="1" x="5400"/>
        <item m="1" x="5773"/>
        <item m="1" x="6142"/>
        <item m="1" x="6516"/>
        <item m="1" x="6880"/>
        <item m="1" x="7254"/>
        <item m="1" x="7630"/>
        <item m="1" x="7"/>
        <item m="1" x="375"/>
        <item m="1" x="755"/>
        <item m="1" x="1132"/>
        <item m="1" x="1509"/>
        <item m="1" x="1872"/>
        <item m="1" x="2254"/>
        <item m="1" x="2620"/>
        <item m="1" x="2987"/>
        <item m="1" x="3354"/>
        <item m="1" x="3726"/>
        <item m="1" x="4097"/>
        <item m="1" x="4471"/>
        <item m="1" x="2078"/>
        <item m="1" x="2445"/>
        <item m="1" x="2814"/>
        <item m="1" x="3178"/>
        <item m="1" x="3548"/>
        <item m="1" x="3923"/>
        <item m="1" x="4294"/>
        <item m="1" x="4665"/>
        <item m="1" x="5046"/>
        <item m="1" x="5414"/>
        <item m="1" x="5791"/>
        <item m="1" x="6156"/>
        <item m="1" x="6529"/>
        <item m="1" x="6898"/>
        <item m="1" x="7270"/>
        <item m="1" x="7644"/>
        <item m="1" x="22"/>
        <item m="1" x="390"/>
        <item m="1" x="773"/>
        <item m="1" x="1147"/>
        <item m="1" x="1524"/>
        <item m="1" x="1891"/>
        <item m="1" x="2270"/>
        <item m="1" x="2635"/>
        <item m="1" x="3001"/>
        <item m="1" x="3369"/>
        <item m="1" x="3745"/>
        <item m="1" x="4111"/>
        <item m="1" x="4485"/>
        <item m="1" x="4858"/>
        <item m="1" x="5238"/>
        <item m="1" x="5604"/>
        <item m="1" x="5975"/>
        <item m="1" x="6348"/>
        <item m="1" x="6717"/>
        <item m="1" x="7086"/>
        <item m="1" x="7462"/>
        <item m="1" x="7834"/>
        <item m="1" x="209"/>
        <item m="1" x="582"/>
        <item m="1" x="963"/>
        <item m="1" x="1338"/>
        <item m="1" x="1708"/>
        <item m="1" x="2084"/>
        <item m="1" x="2453"/>
        <item m="1" x="2821"/>
        <item m="1" x="3187"/>
        <item m="1" x="3555"/>
        <item m="1" x="3932"/>
        <item m="1" x="4301"/>
        <item m="1" x="4677"/>
        <item m="1" x="5053"/>
        <item m="1" x="5422"/>
        <item m="1" x="5797"/>
        <item m="1" x="6165"/>
        <item m="1" x="6535"/>
        <item m="1" x="6906"/>
        <item m="1" x="7277"/>
        <item m="1" x="7656"/>
        <item m="1" x="28"/>
        <item m="1" x="5620"/>
        <item m="1" x="5990"/>
        <item m="1" x="6363"/>
        <item m="1" x="6731"/>
        <item m="1" x="7100"/>
        <item m="1" x="7479"/>
        <item m="1" x="7848"/>
        <item m="1" x="222"/>
        <item m="1" x="599"/>
        <item m="1" x="979"/>
        <item m="1" x="1352"/>
        <item m="1" x="1723"/>
        <item m="1" x="2099"/>
        <item m="1" x="2471"/>
        <item m="1" x="2835"/>
        <item m="1" x="3201"/>
        <item m="1" x="3573"/>
        <item m="1" x="3948"/>
        <item m="1" x="4315"/>
        <item m="1" x="4691"/>
        <item m="1" x="5069"/>
        <item m="1" x="5440"/>
        <item m="1" x="5811"/>
        <item m="1" x="6180"/>
        <item m="1" x="6553"/>
        <item m="1" x="6922"/>
        <item m="1" x="7291"/>
        <item m="1" x="7671"/>
        <item m="1" x="43"/>
        <item m="1" x="415"/>
        <item m="1" x="793"/>
        <item m="1" x="1169"/>
        <item m="1" x="1545"/>
        <item m="1" x="1912"/>
        <item m="1" x="2286"/>
        <item m="1" x="2656"/>
        <item m="1" x="3019"/>
        <item m="1" x="3391"/>
        <item m="1" x="3763"/>
        <item m="1" x="4131"/>
        <item m="1" x="4507"/>
        <item m="1" x="4880"/>
        <item m="1" x="5256"/>
        <item m="1" x="5627"/>
        <item m="1" x="5996"/>
        <item m="1" x="6373"/>
        <item m="1" x="6737"/>
        <item m="1" x="7108"/>
        <item m="1" x="7486"/>
        <item m="1" x="7858"/>
        <item m="1" x="229"/>
        <item m="1" x="608"/>
        <item m="1" x="985"/>
        <item m="1" x="1363"/>
        <item m="1" x="1729"/>
        <item m="1" x="2107"/>
        <item m="1" x="2477"/>
        <item m="1" x="2844"/>
        <item m="1" x="3207"/>
        <item m="1" x="3582"/>
        <item m="1" x="3954"/>
        <item m="1" x="1184"/>
        <item m="1" x="1559"/>
        <item m="1" x="1926"/>
        <item m="1" x="2301"/>
        <item m="1" x="2670"/>
        <item m="1" x="3033"/>
        <item m="1" x="3404"/>
        <item m="1" x="3776"/>
        <item m="1" x="4148"/>
        <item m="1" x="4522"/>
        <item m="1" x="4894"/>
        <item m="1" x="5272"/>
        <item m="1" x="5643"/>
        <item m="1" x="6010"/>
        <item m="1" x="6388"/>
        <item m="1" x="6752"/>
        <item m="1" x="7127"/>
        <item m="1" x="7500"/>
        <item m="1" x="7872"/>
        <item m="1" x="247"/>
        <item m="1" x="625"/>
        <item m="1" x="999"/>
        <item m="1" x="1378"/>
        <item m="1" x="1744"/>
        <item m="1" x="2125"/>
        <item m="1" x="2491"/>
        <item m="1" x="2857"/>
        <item m="1" x="3226"/>
        <item m="1" x="3597"/>
        <item m="1" x="3968"/>
        <item m="1" x="4339"/>
        <item m="1" x="4709"/>
        <item m="1" x="5092"/>
        <item m="1" x="5457"/>
        <item m="1" x="5831"/>
        <item m="1" x="6201"/>
        <item m="1" x="6573"/>
        <item m="1" x="6939"/>
        <item m="1" x="7314"/>
        <item m="1" x="7690"/>
        <item m="1" x="65"/>
        <item m="1" x="435"/>
        <item m="1" x="814"/>
        <item m="1" x="1191"/>
        <item m="1" x="1567"/>
        <item m="1" x="1932"/>
        <item m="1" x="2309"/>
        <item m="1" x="2676"/>
        <item m="1" x="3046"/>
        <item m="1" x="3411"/>
        <item m="1" x="3785"/>
        <item m="1" x="4156"/>
        <item m="1" x="4532"/>
        <item m="1" x="4901"/>
        <item m="1" x="5280"/>
        <item m="1" x="5649"/>
        <item m="1" x="6021"/>
        <item m="1" x="6394"/>
        <item m="1" x="6760"/>
        <item m="1" x="7132"/>
        <item m="1" x="7510"/>
        <item m="1" x="5105"/>
        <item m="1" x="5471"/>
        <item m="1" x="5846"/>
        <item m="1" x="6215"/>
        <item m="1" x="6586"/>
        <item m="1" x="6956"/>
        <item m="1" x="7330"/>
        <item m="1" x="7703"/>
        <item m="1" x="79"/>
        <item m="1" x="449"/>
        <item m="1" x="832"/>
        <item m="1" x="1205"/>
        <item m="1" x="1580"/>
        <item m="1" x="1951"/>
        <item m="1" x="2325"/>
        <item m="1" x="2690"/>
        <item m="1" x="3060"/>
        <item m="1" x="3426"/>
        <item m="1" x="3803"/>
        <item m="1" x="4171"/>
        <item m="1" x="4547"/>
        <item m="1" x="4919"/>
        <item m="1" x="5296"/>
        <item m="1" x="5663"/>
        <item m="1" x="6036"/>
        <item m="1" x="6409"/>
        <item m="1" x="6778"/>
        <item m="1" x="7145"/>
        <item m="1" x="7523"/>
        <item m="1" x="7894"/>
        <item m="1" x="268"/>
        <item m="1" x="642"/>
        <item m="1" x="1022"/>
        <item m="1" x="1395"/>
        <item m="1" x="1764"/>
        <item m="1" x="2143"/>
        <item m="1" x="2509"/>
        <item m="1" x="2876"/>
        <item m="1" x="3246"/>
        <item m="1" x="3614"/>
        <item m="1" x="3989"/>
        <item m="1" x="4358"/>
        <item m="1" x="4730"/>
        <item m="1" x="5110"/>
        <item m="1" x="5478"/>
        <item m="1" x="5852"/>
        <item m="1" x="6223"/>
        <item m="1" x="6592"/>
        <item m="1" x="6963"/>
        <item m="1" x="7335"/>
        <item m="1" x="7713"/>
        <item m="1" x="84"/>
        <item m="1" x="456"/>
        <item m="1" x="838"/>
        <item m="1" x="1212"/>
        <item m="1" x="1584"/>
        <item m="1" x="1957"/>
        <item m="1" x="2329"/>
        <item m="1" x="2700"/>
        <item m="1" x="3064"/>
        <item m="1" x="469"/>
        <item m="1" x="656"/>
        <item m="1" x="849"/>
        <item m="1" x="1034"/>
        <item m="1" x="1224"/>
        <item m="1" x="1407"/>
        <item m="1" x="1599"/>
        <item m="1" x="1776"/>
        <item m="1" x="1971"/>
        <item m="1" x="2155"/>
        <item m="1" x="2339"/>
        <item m="1" x="2524"/>
        <item m="1" x="2710"/>
        <item m="1" x="2887"/>
        <item m="1" x="3075"/>
        <item m="1" x="3257"/>
        <item m="1" x="3442"/>
        <item m="1" x="3630"/>
        <item m="1" x="3817"/>
        <item m="1" x="4003"/>
        <item m="1" x="4187"/>
        <item m="1" x="4370"/>
        <item m="1" x="4562"/>
        <item m="1" x="4742"/>
        <item m="1" x="4935"/>
        <item m="1" x="5123"/>
        <item m="1" x="5308"/>
        <item m="1" x="5495"/>
        <item m="1" x="5682"/>
        <item m="1" x="5865"/>
        <item m="1" x="6050"/>
        <item m="1" x="6236"/>
        <item m="1" x="6425"/>
        <item m="1" x="6610"/>
        <item m="1" x="6791"/>
        <item m="1" x="6978"/>
        <item m="1" x="7160"/>
        <item m="1" x="7348"/>
        <item m="1" x="7539"/>
        <item m="1" x="7726"/>
        <item m="1" x="7911"/>
        <item m="1" x="99"/>
        <item m="1" x="282"/>
        <item m="1" x="474"/>
        <item m="1" x="660"/>
        <item m="1" x="852"/>
        <item m="1" x="1037"/>
        <item m="1" x="1227"/>
        <item m="1" x="1413"/>
        <item m="1" x="1602"/>
        <item m="1" x="1779"/>
        <item m="1" x="1974"/>
        <item m="1" x="2160"/>
        <item m="1" x="2343"/>
        <item m="1" x="2528"/>
        <item m="1" x="2713"/>
        <item m="1" x="2893"/>
        <item m="1" x="3078"/>
        <item m="1" x="3260"/>
        <item m="1" x="3447"/>
        <item m="1" x="3635"/>
        <item m="1" x="3820"/>
        <item m="1" x="4005"/>
        <item m="1" x="4189"/>
        <item m="1" x="4375"/>
        <item m="1" x="4564"/>
        <item m="1" x="4744"/>
        <item m="1" x="4937"/>
        <item m="1" x="5127"/>
        <item m="1" x="5310"/>
        <item m="1" x="5498"/>
        <item m="1" x="5684"/>
        <item m="1" x="5870"/>
        <item m="1" x="6052"/>
        <item m="1" x="6238"/>
        <item m="1" x="6429"/>
        <item m="1" x="6615"/>
        <item m="1" x="6794"/>
        <item m="1" x="6981"/>
        <item m="1" x="7163"/>
        <item m="1" x="7354"/>
        <item m="1" x="7542"/>
        <item m="1" x="7729"/>
        <item m="1" x="7914"/>
        <item m="1" x="104"/>
        <item m="1" x="285"/>
        <item m="1" x="478"/>
        <item m="1" x="663"/>
        <item m="1" x="858"/>
        <item m="1" x="1040"/>
        <item m="1" x="1230"/>
        <item m="1" x="1417"/>
        <item m="1" x="1606"/>
        <item m="1" x="1782"/>
        <item m="1" x="1977"/>
        <item m="1" x="2163"/>
        <item m="1" x="2347"/>
        <item m="1" x="2531"/>
        <item m="1" x="2716"/>
        <item m="1" x="2896"/>
        <item m="1" x="3082"/>
        <item m="1" x="3263"/>
        <item m="1" x="3451"/>
        <item m="1" x="3638"/>
        <item m="1" x="3824"/>
        <item m="1" x="4008"/>
        <item m="1" x="4192"/>
        <item m="1" x="4380"/>
        <item m="1" x="4568"/>
        <item m="1" x="4747"/>
        <item m="1" x="4940"/>
        <item m="1" x="5130"/>
        <item m="1" x="5314"/>
        <item m="1" x="5501"/>
        <item m="1" x="5687"/>
        <item m="1" x="5873"/>
        <item m="1" x="6056"/>
        <item m="1" x="6241"/>
        <item m="1" x="6431"/>
        <item m="1" x="6617"/>
        <item m="1" x="6797"/>
        <item m="1" x="6983"/>
        <item m="1" x="4203"/>
        <item m="1" x="4391"/>
        <item m="1" x="4577"/>
        <item m="1" x="4761"/>
        <item m="1" x="4950"/>
        <item m="1" x="5144"/>
        <item m="1" x="5325"/>
        <item m="1" x="5513"/>
        <item m="1" x="5697"/>
        <item m="1" x="5883"/>
        <item m="1" x="6065"/>
        <item m="1" x="6257"/>
        <item m="1" x="6441"/>
        <item m="1" x="6628"/>
        <item m="1" x="6806"/>
        <item m="1" x="6994"/>
        <item m="1" x="7179"/>
        <item m="1" x="7368"/>
        <item m="1" x="7555"/>
        <item m="1" x="7742"/>
        <item m="1" x="7926"/>
        <item m="1" x="116"/>
        <item m="1" x="300"/>
        <item m="1" x="489"/>
        <item m="1" x="677"/>
        <item m="1" x="869"/>
        <item m="1" x="1052"/>
        <item m="1" x="1246"/>
        <item m="1" x="1432"/>
        <item m="1" x="1619"/>
        <item m="1" x="1796"/>
        <item m="1" x="1989"/>
        <item m="1" x="2181"/>
        <item m="1" x="2361"/>
        <item m="1" x="2545"/>
        <item m="1" x="2729"/>
        <item m="1" x="2909"/>
        <item m="1" x="3095"/>
        <item m="1" x="3282"/>
        <item m="1" x="3463"/>
        <item m="1" x="3654"/>
        <item m="1" x="3837"/>
        <item m="1" x="4022"/>
        <item m="1" x="4207"/>
        <item m="1" x="4394"/>
        <item m="1" x="4582"/>
        <item m="1" x="4764"/>
        <item m="1" x="4954"/>
        <item m="1" x="5149"/>
        <item m="1" x="5330"/>
        <item m="1" x="5516"/>
        <item m="1" x="5701"/>
        <item m="1" x="5886"/>
        <item m="1" x="6072"/>
        <item m="1" x="6261"/>
        <item m="1" x="6445"/>
        <item m="1" x="6631"/>
        <item m="1" x="6811"/>
        <item m="1" x="6997"/>
        <item m="1" x="7183"/>
        <item m="1" x="7371"/>
        <item m="1" x="7561"/>
        <item m="1" x="7744"/>
        <item m="1" x="7929"/>
        <item m="1" x="119"/>
        <item m="1" x="304"/>
        <item m="1" x="491"/>
        <item m="1" x="680"/>
        <item m="1" x="871"/>
        <item m="1" x="1057"/>
        <item m="1" x="1248"/>
        <item m="1" x="1435"/>
        <item m="1" x="1621"/>
        <item m="1" x="1800"/>
        <item m="1" x="1991"/>
        <item m="1" x="2184"/>
        <item m="1" x="2364"/>
        <item m="1" x="2551"/>
        <item m="1" x="2732"/>
        <item m="1" x="2913"/>
        <item m="1" x="3099"/>
        <item m="1" x="3287"/>
        <item m="1" x="3466"/>
        <item m="1" x="3658"/>
        <item m="1" x="3840"/>
        <item m="1" x="4028"/>
        <item m="1" x="4211"/>
        <item m="1" x="4398"/>
        <item m="1" x="4585"/>
        <item m="1" x="4768"/>
        <item m="1" x="4957"/>
        <item m="1" x="5153"/>
        <item m="1" x="5333"/>
        <item m="1" x="5520"/>
        <item m="1" x="5704"/>
        <item m="1" x="5889"/>
        <item m="1" x="6078"/>
        <item m="1" x="6265"/>
        <item m="1" x="6448"/>
        <item m="1" x="6634"/>
        <item m="1" x="6814"/>
        <item m="1" x="7001"/>
        <item m="1" x="7186"/>
        <item m="1" x="7374"/>
        <item m="1" x="7564"/>
        <item m="1" x="7748"/>
        <item m="1" x="7932"/>
        <item m="1" x="123"/>
        <item m="1" x="307"/>
        <item m="1" x="495"/>
        <item m="1" x="683"/>
        <item m="1" x="874"/>
        <item m="1" x="1062"/>
        <item m="1" x="1252"/>
        <item m="1" x="1438"/>
        <item m="1" x="1624"/>
        <item m="1" x="1803"/>
        <item m="1" x="1995"/>
        <item m="1" x="2186"/>
        <item m="1" x="2366"/>
        <item m="1" x="2553"/>
        <item m="1" x="2735"/>
        <item m="1" x="7948"/>
        <item m="1" x="132"/>
        <item m="1" x="320"/>
        <item m="1" x="505"/>
        <item m="1" x="696"/>
        <item m="1" x="886"/>
        <item m="1" x="1075"/>
        <item m="1" x="1261"/>
        <item m="1" x="1451"/>
        <item m="1" x="1633"/>
        <item m="1" x="1815"/>
        <item m="1" x="2007"/>
        <item m="1" x="2197"/>
        <item m="1" x="2377"/>
        <item m="1" x="2563"/>
        <item m="1" x="2745"/>
        <item m="1" x="2930"/>
        <item m="1" x="3112"/>
        <item m="1" x="3299"/>
        <item m="1" x="3479"/>
        <item m="1" x="3669"/>
        <item m="1" x="3856"/>
        <item m="1" x="4041"/>
        <item m="1" x="4224"/>
        <item m="1" x="4410"/>
        <item m="1" x="4597"/>
        <item m="1" x="4781"/>
        <item m="1" x="4976"/>
        <item m="1" x="5165"/>
        <item m="1" x="5348"/>
        <item m="1" x="5532"/>
        <item m="1" x="5718"/>
        <item m="1" x="5905"/>
        <item m="1" x="6091"/>
        <item m="1" x="6278"/>
        <item m="1" x="6463"/>
        <item m="1" x="6646"/>
        <item m="1" x="6831"/>
        <item m="1" x="7016"/>
        <item m="1" x="7201"/>
        <item m="1" x="7388"/>
        <item m="1" x="7578"/>
        <item m="1" x="7761"/>
        <item m="1" x="7951"/>
        <item m="1" x="136"/>
        <item m="1" x="323"/>
        <item m="1" x="509"/>
        <item m="1" x="699"/>
        <item m="1" x="891"/>
        <item m="1" x="1078"/>
        <item m="1" x="1267"/>
        <item m="1" x="1454"/>
        <item m="1" x="1637"/>
        <item m="1" x="1821"/>
        <item m="1" x="2013"/>
        <item m="1" x="2200"/>
        <item m="1" x="2381"/>
        <item m="1" x="2566"/>
        <item m="1" x="2751"/>
        <item m="1" x="2933"/>
        <item m="1" x="3116"/>
        <item m="1" x="3302"/>
        <item m="1" x="3484"/>
        <item m="1" x="3672"/>
        <item m="1" x="3859"/>
        <item m="1" x="4043"/>
        <item m="1" x="4229"/>
        <item m="1" x="4412"/>
        <item m="1" x="4600"/>
        <item m="1" x="4784"/>
        <item m="1" x="4980"/>
        <item m="1" x="5167"/>
        <item m="1" x="5351"/>
        <item m="1" x="5534"/>
        <item m="1" x="5723"/>
        <item m="1" x="5907"/>
        <item m="1" x="6095"/>
        <item m="1" x="6281"/>
        <item m="1" x="6468"/>
        <item m="1" x="6649"/>
        <item m="1" x="6835"/>
        <item m="1" x="7019"/>
        <item m="1" x="7207"/>
        <item m="1" x="7391"/>
        <item m="1" x="7582"/>
        <item m="1" x="7765"/>
        <item m="1" x="7956"/>
        <item m="1" x="139"/>
        <item m="1" x="327"/>
        <item m="1" x="512"/>
        <item m="1" x="704"/>
        <item m="1" x="894"/>
        <item m="1" x="1081"/>
        <item m="1" x="1270"/>
        <item m="1" x="1458"/>
        <item m="1" x="1640"/>
        <item m="1" x="1824"/>
        <item m="1" x="2016"/>
        <item m="1" x="2204"/>
        <item m="1" x="2384"/>
        <item m="1" x="2569"/>
        <item m="1" x="2756"/>
        <item m="1" x="2937"/>
        <item m="1" x="3119"/>
        <item m="1" x="3305"/>
        <item m="1" x="3487"/>
        <item m="1" x="3676"/>
        <item m="1" x="3862"/>
        <item m="1" x="4046"/>
        <item m="1" x="4232"/>
        <item m="1" x="4416"/>
        <item m="1" x="4603"/>
        <item m="1" x="4788"/>
        <item m="1" x="4983"/>
        <item m="1" x="5171"/>
        <item m="1" x="5354"/>
        <item m="1" x="5537"/>
        <item m="1" x="5729"/>
        <item m="1" x="5910"/>
        <item m="1" x="6097"/>
        <item m="1" x="6283"/>
        <item m="1" x="6470"/>
        <item m="1" x="3686"/>
        <item m="1" x="3875"/>
        <item m="1" x="4056"/>
        <item m="1" x="4244"/>
        <item m="1" x="4426"/>
        <item m="1" x="4619"/>
        <item m="1" x="4799"/>
        <item m="1" x="4997"/>
        <item m="1" x="5180"/>
        <item m="1" x="5366"/>
        <item m="1" x="5550"/>
        <item m="1" x="5740"/>
        <item m="1" x="5920"/>
        <item m="1" x="6109"/>
        <item m="1" x="6294"/>
        <item m="1" x="6481"/>
        <item m="1" x="6664"/>
        <item m="1" x="6848"/>
        <item m="1" x="7033"/>
        <item m="1" x="7219"/>
        <item m="1" x="7406"/>
        <item m="1" x="7598"/>
        <item m="1" x="7780"/>
        <item m="1" x="7969"/>
        <item m="1" x="154"/>
        <item m="1" x="340"/>
        <item m="1" x="530"/>
        <item m="1" x="721"/>
        <item m="1" x="910"/>
        <item m="1" x="1095"/>
        <item m="1" x="1285"/>
        <item m="1" x="1472"/>
        <item m="1" x="1659"/>
        <item m="1" x="1839"/>
        <item m="1" x="2032"/>
        <item m="1" x="2217"/>
        <item m="1" x="2400"/>
        <item m="1" x="2586"/>
        <item m="1" x="2772"/>
        <item m="1" x="2952"/>
        <item m="1" x="3136"/>
        <item m="1" x="3320"/>
        <item m="1" x="3505"/>
        <item m="1" x="3691"/>
        <item m="1" x="3879"/>
        <item m="1" x="4061"/>
        <item m="1" x="4248"/>
        <item m="1" x="4433"/>
        <item m="1" x="4624"/>
        <item m="1" x="4804"/>
        <item m="1" x="5001"/>
        <item m="1" x="5186"/>
        <item m="1" x="5370"/>
        <item m="1" x="5556"/>
        <item m="1" x="5744"/>
        <item m="1" x="5927"/>
        <item m="1" x="6113"/>
        <item m="1" x="6299"/>
        <item m="1" x="6487"/>
        <item m="1" x="6670"/>
        <item m="1" x="6852"/>
        <item m="1" x="7038"/>
        <item m="1" x="7223"/>
        <item m="1" x="7413"/>
        <item m="1" x="7602"/>
        <item m="1" x="7784"/>
        <item m="1" x="7972"/>
        <item m="1" x="159"/>
        <item m="1" x="343"/>
        <item m="1" x="535"/>
        <item m="1" x="724"/>
        <item m="1" x="916"/>
        <item m="1" x="1098"/>
        <item m="1" x="1289"/>
        <item m="1" x="1477"/>
        <item m="1" x="1664"/>
        <item m="1" x="1843"/>
        <item m="1" x="2037"/>
        <item m="1" x="2221"/>
        <item m="1" x="2407"/>
        <item m="1" x="2590"/>
        <item m="1" x="2777"/>
        <item m="1" x="2956"/>
        <item m="1" x="3142"/>
        <item m="1" x="3324"/>
        <item m="1" x="3510"/>
        <item m="1" x="3695"/>
        <item m="1" x="3886"/>
        <item m="1" x="4065"/>
        <item m="1" x="4252"/>
        <item m="1" x="4438"/>
        <item m="1" x="4629"/>
        <item m="1" x="4808"/>
        <item m="1" x="5005"/>
        <item m="1" x="5190"/>
        <item m="1" x="5375"/>
        <item m="1" x="5560"/>
        <item m="1" x="5748"/>
        <item m="1" x="5931"/>
        <item m="1" x="6118"/>
        <item m="1" x="6303"/>
        <item m="1" x="6491"/>
        <item m="1" x="6674"/>
        <item m="1" x="6857"/>
        <item m="1" x="7042"/>
        <item m="1" x="7227"/>
        <item m="1" x="7419"/>
        <item m="1" x="7607"/>
        <item m="1" x="7788"/>
        <item m="1" x="7976"/>
        <item m="1" x="163"/>
        <item m="1" x="348"/>
        <item m="1" x="539"/>
        <item m="1" x="728"/>
        <item m="1" x="920"/>
        <item m="1" x="1103"/>
        <item m="1" x="1293"/>
        <item m="1" x="1481"/>
        <item m="1" x="1667"/>
        <item m="1" x="1847"/>
        <item m="1" x="2040"/>
        <item m="1" x="7237"/>
        <item m="1" x="7432"/>
        <item m="1" x="7615"/>
        <item m="1" x="7801"/>
        <item m="1" x="7985"/>
        <item m="1" x="175"/>
        <item m="1" x="359"/>
        <item m="1" x="552"/>
        <item m="1" x="738"/>
        <item m="1" x="931"/>
        <item m="1" x="1111"/>
        <item m="1" x="1307"/>
        <item m="1" x="1491"/>
        <item m="1" x="1677"/>
        <item m="1" x="1857"/>
        <item m="1" x="2051"/>
        <item m="1" x="2236"/>
        <item m="1" x="2421"/>
        <item m="1" x="2603"/>
        <item m="1" x="2791"/>
        <item m="1" x="2970"/>
        <item m="1" x="3155"/>
        <item m="1" x="3340"/>
        <item m="1" x="3524"/>
        <item m="1" x="3710"/>
        <item m="1" x="3898"/>
        <item m="1" x="4080"/>
        <item m="1" x="4269"/>
        <item m="1" x="4454"/>
        <item m="1" x="4643"/>
        <item m="1" x="4825"/>
        <item m="1" x="5019"/>
        <item m="1" x="5209"/>
        <item m="1" x="5390"/>
        <item m="1" x="5576"/>
        <item m="1" x="5762"/>
        <item m="1" x="5945"/>
        <item m="1" x="6131"/>
        <item m="1" x="6322"/>
        <item m="1" x="6504"/>
        <item m="1" x="6690"/>
        <item m="1" x="6870"/>
        <item m="1" x="7057"/>
        <item m="1" x="7242"/>
        <item m="1" x="7435"/>
        <item m="1" x="7620"/>
        <item m="1" x="7804"/>
        <item m="1" x="7989"/>
        <item m="1" x="180"/>
        <item m="1" x="364"/>
        <item m="1" x="555"/>
        <item m="1" x="742"/>
        <item m="1" x="934"/>
        <item m="1" x="1118"/>
        <item m="1" x="1310"/>
        <item m="1" x="1495"/>
        <item m="1" x="1680"/>
        <item m="1" x="1862"/>
        <item m="1" x="2054"/>
        <item m="1" x="2241"/>
        <item m="1" x="2424"/>
        <item m="1" x="2609"/>
        <item m="1" x="2793"/>
        <item m="1" x="2973"/>
        <item m="1" x="3158"/>
        <item m="1" x="3344"/>
        <item m="1" x="3526"/>
        <item m="1" x="3713"/>
        <item m="1" x="3900"/>
        <item m="1" x="4085"/>
        <item m="1" x="4271"/>
        <item m="1" x="4457"/>
        <item m="1" x="4645"/>
        <item m="1" x="4829"/>
        <item m="1" x="5021"/>
        <item m="1" x="5213"/>
        <item m="1" x="5393"/>
        <item m="1" x="5582"/>
        <item m="1" x="5765"/>
        <item m="1" x="5949"/>
        <item m="1" x="6135"/>
        <item m="1" x="6327"/>
        <item m="1" x="6507"/>
        <item m="1" x="6694"/>
        <item m="1" x="6873"/>
        <item m="1" x="7063"/>
        <item m="1" x="7245"/>
        <item m="1" x="7439"/>
        <item m="1" x="7623"/>
        <item m="1" x="7808"/>
        <item m="1" x="7992"/>
        <item m="1" x="184"/>
        <item m="1" x="367"/>
        <item m="1" x="559"/>
        <item m="1" x="745"/>
        <item m="1" x="937"/>
        <item m="1" x="1124"/>
        <item m="1" x="1314"/>
        <item m="1" x="1498"/>
        <item m="1" x="1683"/>
        <item m="1" x="1865"/>
        <item m="1" x="2058"/>
        <item m="1" x="2244"/>
        <item m="1" x="2427"/>
        <item m="1" x="2613"/>
        <item m="1" x="2797"/>
        <item m="1" x="2976"/>
        <item m="1" x="3161"/>
        <item m="1" x="3347"/>
        <item m="1" x="3530"/>
        <item m="1" x="3716"/>
        <item m="1" x="3903"/>
        <item m="1" x="4090"/>
        <item m="1" x="4275"/>
        <item m="1" x="4460"/>
        <item m="1" x="4648"/>
        <item m="1" x="4832"/>
        <item m="1" x="5025"/>
        <item m="1" x="5216"/>
        <item m="1" x="5396"/>
        <item m="1" x="5586"/>
        <item m="1" x="5769"/>
        <item m="1" x="2990"/>
        <item m="1" x="3170"/>
        <item m="1" x="3359"/>
        <item m="1" x="3540"/>
        <item m="1" x="3729"/>
        <item m="1" x="3914"/>
        <item m="1" x="4101"/>
        <item m="1" x="4283"/>
        <item m="1" x="4474"/>
        <item m="1" x="4657"/>
        <item m="1" x="4843"/>
        <item m="1" x="5036"/>
        <item m="1" x="5227"/>
        <item m="1" x="5406"/>
        <item m="1" x="5595"/>
        <item m="1" x="5778"/>
        <item m="1" x="5965"/>
        <item m="1" x="6148"/>
        <item m="1" x="6339"/>
        <item m="1" x="6521"/>
        <item m="1" x="6707"/>
        <item m="1" x="6890"/>
        <item m="1" x="7078"/>
        <item m="1" x="7260"/>
        <item m="1" x="7452"/>
        <item m="1" x="7637"/>
        <item m="1" x="7822"/>
        <item m="1" x="14"/>
        <item m="1" x="198"/>
        <item m="1" x="383"/>
        <item m="1" x="573"/>
        <item m="1" x="761"/>
        <item m="1" x="953"/>
        <item m="1" x="1139"/>
        <item m="1" x="1328"/>
        <item m="1" x="1515"/>
        <item m="1" x="1696"/>
        <item m="1" x="1883"/>
        <item m="1" x="2074"/>
        <item m="1" x="2260"/>
        <item m="1" x="2441"/>
        <item m="1" x="2628"/>
        <item m="1" x="2809"/>
        <item m="1" x="2993"/>
        <item m="1" x="3174"/>
        <item m="1" x="3362"/>
        <item m="1" x="3544"/>
        <item m="1" x="3732"/>
        <item m="1" x="3919"/>
        <item m="1" x="4104"/>
        <item m="1" x="4289"/>
        <item m="1" x="4477"/>
        <item m="1" x="4661"/>
        <item m="1" x="4850"/>
        <item m="1" x="5042"/>
        <item m="1" x="5230"/>
        <item m="1" x="5410"/>
        <item m="1" x="5598"/>
        <item m="1" x="5784"/>
        <item m="1" x="5968"/>
        <item m="1" x="6152"/>
        <item m="1" x="6342"/>
        <item m="1" x="6525"/>
        <item m="1" x="6709"/>
        <item m="1" x="6894"/>
        <item m="1" x="7080"/>
        <item m="1" x="7265"/>
        <item m="1" x="7454"/>
        <item m="1" x="7640"/>
        <item m="1" x="7826"/>
        <item m="1" x="18"/>
        <item m="1" x="200"/>
        <item m="1" x="386"/>
        <item m="1" x="575"/>
        <item m="1" x="766"/>
        <item m="1" x="955"/>
        <item m="1" x="1143"/>
        <item m="1" x="1331"/>
        <item m="1" x="1520"/>
        <item m="1" x="1699"/>
        <item m="1" x="1888"/>
        <item m="1" x="2077"/>
        <item m="1" x="2266"/>
        <item m="1" x="2444"/>
        <item m="1" x="2632"/>
        <item m="1" x="2813"/>
        <item m="1" x="2998"/>
        <item m="1" x="3177"/>
        <item m="1" x="3366"/>
        <item m="1" x="3547"/>
        <item m="1" x="3737"/>
        <item m="1" x="3922"/>
        <item m="1" x="4107"/>
        <item m="1" x="4293"/>
        <item m="1" x="4481"/>
        <item m="1" x="4664"/>
        <item m="1" x="4854"/>
        <item m="1" x="5045"/>
        <item m="1" x="5234"/>
        <item m="1" x="5413"/>
        <item m="1" x="5601"/>
        <item m="1" x="5790"/>
        <item m="1" x="5972"/>
        <item m="1" x="6155"/>
        <item m="1" x="6345"/>
        <item m="1" x="6528"/>
        <item m="1" x="6713"/>
        <item m="1" x="6897"/>
        <item m="1" x="7083"/>
        <item m="1" x="7269"/>
        <item m="1" x="7458"/>
        <item m="1" x="7643"/>
        <item m="1" x="7830"/>
        <item m="1" x="21"/>
        <item m="1" x="204"/>
        <item m="1" x="389"/>
        <item m="1" x="578"/>
        <item m="1" x="772"/>
        <item m="1" x="959"/>
        <item m="1" x="1146"/>
        <item m="1" x="1334"/>
        <item m="1" x="1523"/>
        <item m="1" x="6723"/>
        <item m="1" x="6909"/>
        <item m="1" x="7092"/>
        <item m="1" x="7281"/>
        <item m="1" x="7467"/>
        <item m="1" x="7660"/>
        <item m="1" x="7840"/>
        <item m="1" x="33"/>
        <item m="1" x="213"/>
        <item m="1" x="400"/>
        <item m="1" x="590"/>
        <item m="1" x="782"/>
        <item m="1" x="968"/>
        <item m="1" x="1158"/>
        <item m="1" x="1344"/>
        <item m="1" x="1533"/>
        <item m="1" x="1714"/>
        <item m="1" x="1901"/>
        <item m="1" x="2091"/>
        <item m="1" x="2278"/>
        <item m="1" x="2459"/>
        <item m="1" x="2647"/>
        <item m="1" x="2828"/>
        <item m="1" x="3011"/>
        <item m="1" x="3193"/>
        <item m="1" x="3379"/>
        <item m="1" x="3565"/>
        <item m="1" x="3754"/>
        <item m="1" x="3938"/>
        <item m="1" x="4121"/>
        <item m="1" x="4308"/>
        <item m="1" x="4495"/>
        <item m="1" x="4683"/>
        <item m="1" x="4868"/>
        <item m="1" x="5061"/>
        <item m="1" x="5247"/>
        <item m="1" x="5428"/>
        <item m="1" x="5615"/>
        <item m="1" x="5804"/>
        <item m="1" x="5986"/>
        <item m="1" x="6172"/>
        <item m="1" x="6359"/>
        <item m="1" x="6545"/>
        <item m="1" x="6727"/>
        <item m="1" x="6912"/>
        <item m="1" x="7096"/>
        <item m="1" x="7284"/>
        <item m="1" x="7473"/>
        <item m="1" x="7663"/>
        <item m="1" x="7844"/>
        <item m="1" x="36"/>
        <item m="1" x="218"/>
        <item m="1" x="404"/>
        <item m="1" x="595"/>
        <item m="1" x="786"/>
        <item m="1" x="974"/>
        <item m="1" x="1161"/>
        <item m="1" x="1348"/>
        <item m="1" x="1538"/>
        <item m="1" x="1719"/>
        <item m="1" x="1904"/>
        <item m="1" x="2095"/>
        <item m="1" x="2280"/>
        <item m="1" x="2464"/>
        <item m="1" x="2649"/>
        <item m="1" x="2831"/>
        <item m="1" x="3013"/>
        <item m="1" x="3197"/>
        <item m="1" x="3381"/>
        <item m="1" x="3569"/>
        <item m="1" x="3756"/>
        <item m="1" x="3943"/>
        <item m="1" x="4123"/>
        <item m="1" x="4311"/>
        <item m="1" x="4499"/>
        <item m="1" x="4687"/>
        <item m="1" x="4871"/>
        <item m="1" x="5065"/>
        <item m="1" x="5250"/>
        <item m="1" x="5434"/>
        <item m="1" x="5619"/>
        <item m="1" x="5808"/>
        <item m="1" x="5989"/>
        <item m="1" x="6177"/>
        <item m="1" x="6362"/>
        <item m="1" x="6550"/>
        <item m="1" x="6730"/>
        <item m="1" x="6918"/>
        <item m="1" x="7099"/>
        <item m="1" x="7287"/>
        <item m="1" x="7477"/>
        <item m="1" x="7667"/>
        <item m="1" x="7847"/>
        <item m="1" x="39"/>
        <item m="1" x="221"/>
        <item m="1" x="408"/>
        <item m="1" x="598"/>
        <item m="1" x="789"/>
        <item m="1" x="978"/>
        <item m="1" x="1165"/>
        <item m="1" x="1351"/>
        <item m="1" x="1542"/>
        <item m="1" x="1722"/>
        <item m="1" x="1908"/>
        <item m="1" x="2098"/>
        <item m="1" x="2283"/>
        <item m="1" x="2470"/>
        <item m="1" x="2653"/>
        <item m="1" x="2834"/>
        <item m="1" x="3016"/>
        <item m="1" x="3200"/>
        <item m="1" x="3385"/>
        <item m="1" x="3572"/>
        <item m="1" x="3759"/>
        <item m="1" x="3947"/>
        <item m="1" x="4127"/>
        <item m="1" x="4314"/>
        <item m="1" x="4503"/>
        <item m="1" x="4690"/>
        <item m="1" x="4875"/>
        <item m="1" x="5068"/>
        <item m="1" x="2481"/>
        <item m="1" x="2661"/>
        <item m="1" x="2847"/>
        <item m="1" x="3025"/>
        <item m="1" x="3212"/>
        <item m="1" x="3395"/>
        <item m="1" x="3585"/>
        <item m="1" x="3768"/>
        <item m="1" x="3958"/>
        <item m="1" x="4135"/>
        <item m="1" x="4328"/>
        <item m="1" x="4513"/>
        <item m="1" x="4700"/>
        <item m="1" x="4885"/>
        <item m="1" x="5079"/>
        <item m="1" x="5264"/>
        <item m="1" x="5448"/>
        <item m="1" x="5632"/>
        <item m="1" x="5822"/>
        <item m="1" x="6003"/>
        <item m="1" x="6190"/>
        <item m="1" x="6380"/>
        <item m="1" x="6563"/>
        <item m="1" x="6745"/>
        <item m="1" x="6931"/>
        <item m="1" x="7114"/>
        <item m="1" x="7304"/>
        <item m="1" x="7493"/>
        <item m="1" x="7681"/>
        <item m="1" x="7864"/>
        <item m="1" x="53"/>
        <item m="1" x="240"/>
        <item m="1" x="425"/>
        <item m="1" x="614"/>
        <item m="1" x="803"/>
        <item m="1" x="992"/>
        <item m="1" x="1179"/>
        <item m="1" x="1370"/>
        <item m="1" x="1555"/>
        <item m="1" x="1737"/>
        <item m="1" x="1922"/>
        <item m="1" x="2113"/>
        <item m="1" x="2297"/>
        <item m="1" x="2484"/>
        <item m="1" x="2666"/>
        <item m="1" x="2850"/>
        <item m="1" x="3029"/>
        <item m="1" x="3217"/>
        <item m="1" x="3400"/>
        <item m="1" x="3588"/>
        <item m="1" x="3772"/>
        <item m="1" x="3961"/>
        <item m="1" x="4141"/>
        <item m="1" x="4331"/>
        <item m="1" x="4518"/>
        <item m="1" x="4703"/>
        <item m="1" x="4890"/>
        <item m="1" x="5082"/>
        <item m="1" x="5268"/>
        <item m="1" x="5451"/>
        <item m="1" x="5638"/>
        <item m="1" x="5824"/>
        <item m="1" x="6006"/>
        <item m="1" x="6194"/>
        <item m="1" x="6384"/>
        <item m="1" x="6565"/>
        <item m="1" x="6748"/>
        <item m="1" x="6933"/>
        <item m="1" x="7119"/>
        <item m="1" x="7306"/>
        <item m="1" x="7496"/>
        <item m="1" x="7683"/>
        <item m="1" x="7868"/>
        <item m="1" x="55"/>
        <item m="1" x="243"/>
        <item m="1" x="428"/>
        <item m="1" x="620"/>
        <item m="1" x="806"/>
        <item m="1" x="996"/>
        <item m="1" x="1183"/>
        <item m="1" x="1375"/>
        <item m="1" x="1558"/>
        <item m="1" x="1741"/>
        <item m="1" x="1925"/>
        <item m="1" x="2119"/>
        <item m="1" x="2300"/>
        <item m="1" x="2488"/>
        <item m="1" x="2669"/>
        <item m="1" x="2854"/>
        <item m="1" x="3032"/>
        <item m="1" x="3221"/>
        <item m="1" x="3403"/>
        <item m="1" x="3592"/>
        <item m="1" x="3775"/>
        <item m="1" x="3964"/>
        <item m="1" x="4147"/>
        <item m="1" x="4335"/>
        <item m="1" x="4521"/>
        <item m="1" x="4706"/>
        <item m="1" x="4893"/>
        <item m="1" x="5086"/>
        <item m="1" x="5271"/>
        <item m="1" x="5454"/>
        <item m="1" x="5642"/>
        <item m="1" x="5828"/>
        <item m="1" x="6009"/>
        <item m="1" x="6198"/>
        <item m="1" x="6387"/>
        <item m="1" x="6569"/>
        <item m="1" x="6751"/>
        <item m="1" x="6936"/>
        <item m="1" x="7125"/>
        <item m="1" x="7310"/>
        <item m="1" x="7499"/>
        <item m="1" x="7686"/>
        <item m="1" x="7871"/>
        <item m="1" x="59"/>
        <item m="1" x="246"/>
        <item m="1" x="431"/>
        <item m="1" x="624"/>
        <item m="1" x="810"/>
        <item m="1" x="6025"/>
        <item m="1" x="6207"/>
        <item m="1" x="6399"/>
        <item m="1" x="6578"/>
        <item m="1" x="6763"/>
        <item m="1" x="6946"/>
        <item m="1" x="7136"/>
        <item m="1" x="7319"/>
        <item m="1" x="7513"/>
        <item m="1" x="7695"/>
        <item m="1" x="7882"/>
        <item m="1" x="70"/>
        <item m="1" x="257"/>
        <item m="1" x="441"/>
        <item m="1" x="633"/>
        <item m="1" x="819"/>
        <item m="1" x="1013"/>
        <item m="1" x="1197"/>
        <item m="1" x="1387"/>
        <item m="1" x="1572"/>
        <item m="1" x="1754"/>
        <item m="1" x="1943"/>
        <item m="1" x="2136"/>
        <item m="1" x="2315"/>
        <item m="1" x="2501"/>
        <item m="1" x="2683"/>
        <item m="1" x="2867"/>
        <item m="1" x="3052"/>
        <item m="1" x="3236"/>
        <item m="1" x="3419"/>
        <item m="1" x="3606"/>
        <item m="1" x="3791"/>
        <item m="1" x="3980"/>
        <item m="1" x="4163"/>
        <item m="1" x="4349"/>
        <item m="1" x="4538"/>
        <item m="1" x="4719"/>
        <item m="1" x="4911"/>
        <item m="1" x="5101"/>
        <item m="1" x="5286"/>
        <item m="1" x="5467"/>
        <item m="1" x="5656"/>
        <item m="1" x="5840"/>
        <item m="1" x="6028"/>
        <item m="1" x="6211"/>
        <item m="1" x="6402"/>
        <item m="1" x="6582"/>
        <item m="1" x="6766"/>
        <item m="1" x="6952"/>
        <item m="1" x="7139"/>
        <item m="1" x="7325"/>
        <item m="1" x="7516"/>
        <item m="1" x="7699"/>
        <item m="1" x="7888"/>
        <item m="1" x="75"/>
        <item m="1" x="260"/>
        <item m="1" x="445"/>
        <item m="1" x="636"/>
        <item m="1" x="825"/>
        <item m="1" x="1016"/>
        <item m="1" x="1201"/>
        <item m="1" x="1390"/>
        <item m="1" x="1576"/>
        <item m="1" x="1756"/>
        <item m="1" x="1947"/>
        <item m="1" x="2138"/>
        <item m="1" x="2320"/>
        <item m="1" x="2503"/>
        <item m="1" x="2686"/>
        <item m="1" x="2870"/>
        <item m="1" x="3056"/>
        <item m="1" x="3238"/>
        <item m="1" x="3422"/>
        <item m="1" x="3608"/>
        <item m="1" x="3796"/>
        <item m="1" x="3982"/>
        <item m="1" x="4167"/>
        <item m="1" x="4352"/>
        <item m="1" x="4543"/>
        <item m="1" x="4722"/>
        <item m="1" x="4915"/>
        <item m="1" x="5104"/>
        <item m="1" x="5292"/>
        <item m="1" x="5470"/>
        <item m="1" x="5660"/>
        <item m="1" x="5845"/>
        <item m="1" x="6033"/>
        <item m="1" x="6214"/>
        <item m="1" x="6406"/>
        <item m="1" x="6585"/>
        <item m="1" x="6771"/>
        <item m="1" x="6955"/>
        <item m="1" x="7142"/>
        <item m="1" x="7329"/>
        <item m="1" x="7520"/>
        <item m="1" x="7702"/>
        <item m="1" x="7891"/>
        <item m="1" x="78"/>
        <item m="1" x="264"/>
        <item m="1" x="448"/>
        <item m="1" x="639"/>
        <item m="1" x="831"/>
        <item m="1" x="1020"/>
        <item m="1" x="1204"/>
        <item m="1" x="1393"/>
        <item m="1" x="1579"/>
        <item m="1" x="1760"/>
        <item m="1" x="1950"/>
        <item m="1" x="2141"/>
        <item m="1" x="2324"/>
        <item m="1" x="2507"/>
        <item m="1" x="2689"/>
        <item m="1" x="2874"/>
        <item m="1" x="3059"/>
        <item m="1" x="3242"/>
        <item m="1" x="3425"/>
        <item m="1" x="3611"/>
        <item m="1" x="3802"/>
        <item m="1" x="3986"/>
        <item m="1" x="4170"/>
        <item m="1" x="4355"/>
        <item m="1" x="4546"/>
        <item m="1" x="1769"/>
        <item m="1" x="1960"/>
        <item m="1" x="2148"/>
        <item m="1" x="2333"/>
        <item m="1" x="2513"/>
        <item m="1" x="2703"/>
        <item m="1" x="2880"/>
        <item m="1" x="3069"/>
        <item m="1" x="3249"/>
        <item m="1" x="3434"/>
        <item m="1" x="3621"/>
        <item m="1" x="3811"/>
        <item m="1" x="3993"/>
        <item m="1" x="4180"/>
        <item m="1" x="4363"/>
        <item m="1" x="4554"/>
        <item m="1" x="4734"/>
        <item m="1" x="4927"/>
        <item m="1" x="5116"/>
        <item m="1" x="5302"/>
        <item m="1" x="5483"/>
        <item m="1" x="5675"/>
        <item m="1" x="5858"/>
        <item m="1" x="6044"/>
        <item m="1" x="6228"/>
        <item m="1" x="6417"/>
        <item m="1" x="6601"/>
        <item m="1" x="6785"/>
        <item m="1" x="6968"/>
        <item m="1" x="7153"/>
        <item m="1" x="7341"/>
        <item m="1" x="7531"/>
        <item m="1" x="7718"/>
        <item m="1" x="7902"/>
        <item m="1" x="91"/>
        <item m="1" x="275"/>
        <item m="1" x="461"/>
        <item m="1" x="652"/>
        <item m="1" x="844"/>
        <item m="1" x="1030"/>
        <item m="1" x="1218"/>
        <item m="1" x="1403"/>
        <item m="1" x="1593"/>
        <item m="1" x="1772"/>
        <item m="1" x="1962"/>
        <item m="1" x="2151"/>
        <item m="1" x="2335"/>
        <item m="1" x="2518"/>
        <item m="1" x="2705"/>
        <item m="1" x="2883"/>
        <item m="1" x="3071"/>
        <item m="1" x="3253"/>
        <item m="1" x="3436"/>
        <item m="1" x="3626"/>
        <item m="1" x="3813"/>
        <item m="1" x="3998"/>
        <item m="1" x="4182"/>
        <item m="1" x="4366"/>
        <item m="1" x="4558"/>
        <item m="1" x="4738"/>
        <item m="1" x="4929"/>
        <item m="1" x="5119"/>
        <item m="1" x="5304"/>
        <item m="1" x="5488"/>
        <item m="1" x="5677"/>
        <item m="1" x="5861"/>
        <item m="1" x="6046"/>
        <item m="1" x="6232"/>
        <item m="1" x="6419"/>
        <item m="1" x="6606"/>
        <item m="1" x="6787"/>
        <item m="1" x="6973"/>
        <item m="1" x="7155"/>
        <item m="1" x="7344"/>
        <item m="1" x="7535"/>
        <item m="1" x="7722"/>
        <item m="1" x="7905"/>
        <item m="1" x="95"/>
        <item m="1" x="278"/>
        <item m="1" x="467"/>
        <item m="1" x="655"/>
        <item m="1" x="848"/>
        <item m="1" x="1033"/>
        <item m="1" x="1223"/>
        <item m="1" x="1406"/>
        <item m="1" x="1598"/>
        <item m="1" x="1775"/>
        <item m="1" x="1969"/>
        <item m="1" x="2154"/>
        <item m="1" x="2338"/>
        <item m="1" x="2522"/>
        <item m="1" x="2709"/>
        <item m="1" x="2886"/>
        <item m="1" x="3074"/>
        <item m="1" x="3256"/>
        <item m="1" x="3440"/>
        <item m="1" x="3629"/>
        <item m="1" x="3816"/>
        <item m="1" x="4002"/>
        <item m="1" x="4186"/>
        <item m="1" x="4369"/>
        <item m="1" x="4561"/>
        <item m="1" x="4741"/>
        <item m="1" x="4933"/>
        <item m="1" x="5122"/>
        <item m="1" x="5307"/>
        <item m="1" x="5494"/>
        <item m="1" x="5681"/>
        <item m="1" x="5864"/>
        <item m="1" x="6049"/>
        <item m="1" x="6235"/>
        <item m="1" x="6423"/>
        <item m="1" x="6609"/>
        <item m="1" x="6790"/>
        <item m="1" x="6977"/>
        <item m="1" x="7159"/>
        <item m="1" x="7347"/>
        <item m="1" x="7538"/>
        <item m="1" x="7725"/>
        <item m="1" x="7909"/>
        <item m="1" x="98"/>
        <item m="1" x="281"/>
        <item m="1" x="5505"/>
        <item m="1" x="5689"/>
        <item m="1" x="5876"/>
        <item m="1" x="6058"/>
        <item m="1" x="6246"/>
        <item m="1" x="6433"/>
        <item m="1" x="6620"/>
        <item m="1" x="6799"/>
        <item m="1" x="6987"/>
        <item m="1" x="7166"/>
        <item m="1" x="7360"/>
        <item m="1" x="7547"/>
        <item m="1" x="7735"/>
        <item m="1" x="7918"/>
        <item m="1" x="108"/>
        <item m="1" x="292"/>
        <item m="1" x="482"/>
        <item m="1" x="667"/>
        <item m="1" x="862"/>
        <item m="1" x="1045"/>
        <item m="1" x="1236"/>
        <item m="1" x="1424"/>
        <item m="1" x="1611"/>
        <item m="1" x="1789"/>
        <item m="1" x="1982"/>
        <item m="1" x="2168"/>
        <item m="1" x="2354"/>
        <item m="1" x="2537"/>
        <item m="1" x="2722"/>
        <item m="1" x="2901"/>
        <item m="1" x="3087"/>
        <item m="1" x="3273"/>
        <item m="1" x="3456"/>
        <item m="1" x="3643"/>
        <item m="1" x="3829"/>
        <item m="1" x="4014"/>
        <item m="1" x="4198"/>
        <item m="1" x="4385"/>
        <item m="1" x="4573"/>
        <item m="1" x="4755"/>
        <item m="1" x="4946"/>
        <item m="1" x="5136"/>
        <item m="1" x="5321"/>
        <item m="1" x="5507"/>
        <item m="1" x="5693"/>
        <item m="1" x="5878"/>
        <item m="1" x="6061"/>
        <item m="1" x="6250"/>
        <item m="1" x="6437"/>
        <item m="1" x="6622"/>
        <item m="1" x="6802"/>
        <item m="1" x="6989"/>
        <item m="1" x="7172"/>
        <item m="1" x="7363"/>
        <item m="1" x="7551"/>
        <item m="1" x="7737"/>
        <item m="1" x="7922"/>
        <item m="1" x="110"/>
        <item m="1" x="296"/>
        <item m="1" x="484"/>
        <item m="1" x="672"/>
        <item m="1" x="864"/>
        <item m="1" x="1048"/>
        <item m="1" x="1240"/>
        <item m="1" x="1428"/>
        <item m="1" x="1613"/>
        <item m="1" x="1792"/>
        <item m="1" x="1984"/>
        <item m="1" x="2173"/>
        <item m="1" x="2356"/>
        <item m="1" x="2541"/>
        <item m="1" x="2724"/>
        <item m="1" x="2905"/>
        <item m="1" x="3089"/>
        <item m="1" x="3278"/>
        <item m="1" x="3458"/>
        <item m="1" x="3649"/>
        <item m="1" x="3832"/>
        <item m="1" x="4019"/>
        <item m="1" x="4202"/>
        <item m="1" x="4390"/>
        <item m="1" x="4576"/>
        <item m="1" x="4760"/>
        <item m="1" x="4949"/>
        <item m="1" x="5142"/>
        <item m="1" x="5324"/>
        <item m="1" x="5512"/>
        <item m="1" x="5696"/>
        <item m="1" x="5882"/>
        <item m="1" x="6064"/>
        <item m="1" x="6256"/>
        <item m="1" x="6440"/>
        <item m="1" x="6626"/>
        <item m="1" x="6805"/>
        <item m="1" x="6993"/>
        <item m="1" x="7178"/>
        <item m="1" x="7367"/>
        <item m="1" x="7554"/>
        <item m="1" x="7741"/>
        <item m="1" x="7925"/>
        <item m="1" x="114"/>
        <item m="1" x="299"/>
        <item m="1" x="488"/>
        <item m="1" x="676"/>
        <item m="1" x="868"/>
        <item m="1" x="1051"/>
        <item m="1" x="1245"/>
        <item m="1" x="1431"/>
        <item m="1" x="1617"/>
        <item m="1" x="1795"/>
        <item m="1" x="1988"/>
        <item m="1" x="2179"/>
        <item m="1" x="2360"/>
        <item m="1" x="2544"/>
        <item m="1" x="2728"/>
        <item m="1" x="2908"/>
        <item m="1" x="3093"/>
        <item m="1" x="3281"/>
        <item m="1" x="3462"/>
        <item m="1" x="3653"/>
        <item m="1" x="3836"/>
        <item m="1" x="1254"/>
        <item m="1" x="1443"/>
        <item m="1" x="1626"/>
        <item m="1" x="1806"/>
        <item m="1" x="1998"/>
        <item m="1" x="2190"/>
        <item m="1" x="2368"/>
        <item m="1" x="2556"/>
        <item m="1" x="2737"/>
        <item m="1" x="2919"/>
        <item m="1" x="3104"/>
        <item m="1" x="3291"/>
        <item m="1" x="3471"/>
        <item m="1" x="3662"/>
        <item m="1" x="3844"/>
        <item m="1" x="4034"/>
        <item m="1" x="4216"/>
        <item m="1" x="4403"/>
        <item m="1" x="4589"/>
        <item m="1" x="4773"/>
        <item m="1" x="4967"/>
        <item m="1" x="5158"/>
        <item m="1" x="5338"/>
        <item m="1" x="5525"/>
        <item m="1" x="5710"/>
        <item m="1" x="5895"/>
        <item m="1" x="6083"/>
        <item m="1" x="6270"/>
        <item m="1" x="6455"/>
        <item m="1" x="6639"/>
        <item m="1" x="6819"/>
        <item m="1" x="7008"/>
        <item m="1" x="7192"/>
        <item m="1" x="7380"/>
        <item m="1" x="7569"/>
        <item m="1" x="7753"/>
        <item m="1" x="7941"/>
        <item m="1" x="128"/>
        <item m="1" x="312"/>
        <item m="1" x="501"/>
        <item m="1" x="690"/>
        <item m="1" x="880"/>
        <item m="1" x="1068"/>
        <item m="1" x="1257"/>
        <item m="1" x="1445"/>
        <item m="1" x="1629"/>
        <item m="1" x="1808"/>
        <item m="1" x="2003"/>
        <item m="1" x="2192"/>
        <item m="1" x="2373"/>
        <item m="1" x="2558"/>
        <item m="1" x="2741"/>
        <item m="1" x="2924"/>
        <item m="1" x="3108"/>
        <item m="1" x="3293"/>
        <item m="1" x="3475"/>
        <item m="1" x="3664"/>
        <item m="1" x="3849"/>
        <item m="1" x="4036"/>
        <item m="1" x="4220"/>
        <item m="1" x="4405"/>
        <item m="1" x="4593"/>
        <item m="1" x="4775"/>
        <item m="1" x="4972"/>
        <item m="1" x="5160"/>
        <item m="1" x="5343"/>
        <item m="1" x="5527"/>
        <item m="1" x="5714"/>
        <item m="1" x="5898"/>
        <item m="1" x="6087"/>
        <item m="1" x="6272"/>
        <item m="1" x="6459"/>
        <item m="1" x="6641"/>
        <item m="1" x="6824"/>
        <item m="1" x="7011"/>
        <item m="1" x="7197"/>
        <item m="1" x="7383"/>
        <item m="1" x="7574"/>
        <item m="1" x="7756"/>
        <item m="1" x="7947"/>
        <item m="1" x="131"/>
        <item m="1" x="318"/>
        <item m="1" x="504"/>
        <item m="1" x="695"/>
        <item m="1" x="885"/>
        <item m="1" x="1074"/>
        <item m="1" x="1260"/>
        <item m="1" x="1450"/>
        <item m="1" x="1632"/>
        <item m="1" x="1813"/>
        <item m="1" x="2006"/>
        <item m="1" x="2196"/>
        <item m="1" x="2376"/>
        <item m="1" x="2562"/>
        <item m="1" x="2744"/>
        <item m="1" x="2929"/>
        <item m="1" x="3111"/>
        <item m="1" x="3297"/>
        <item m="1" x="3478"/>
        <item m="1" x="3668"/>
        <item m="1" x="3855"/>
        <item m="1" x="4040"/>
        <item m="1" x="4223"/>
        <item m="1" x="4409"/>
        <item m="1" x="4596"/>
        <item m="1" x="4779"/>
        <item m="1" x="4975"/>
        <item m="1" x="5164"/>
        <item m="1" x="5347"/>
        <item m="1" x="5531"/>
        <item m="1" x="5717"/>
        <item m="1" x="5904"/>
        <item m="1" x="6090"/>
        <item m="1" x="6276"/>
        <item m="1" x="6462"/>
        <item m="1" x="6645"/>
        <item m="1" x="6830"/>
        <item m="1" x="7015"/>
        <item m="1" x="7200"/>
        <item m="1" x="7387"/>
        <item m="1" x="7577"/>
        <item m="1" x="4790"/>
        <item m="1" x="4986"/>
        <item m="1" x="5173"/>
        <item m="1" x="5359"/>
        <item m="1" x="5539"/>
        <item m="1" x="5732"/>
        <item m="1" x="5912"/>
        <item m="1" x="6102"/>
        <item m="1" x="6285"/>
        <item m="1" x="6473"/>
        <item m="1" x="6656"/>
        <item m="1" x="6841"/>
        <item m="1" x="7023"/>
        <item m="1" x="7211"/>
        <item m="1" x="7397"/>
        <item m="1" x="7587"/>
        <item m="1" x="7770"/>
        <item m="1" x="7960"/>
        <item m="1" x="145"/>
        <item m="1" x="332"/>
        <item m="1" x="517"/>
        <item m="1" x="712"/>
        <item m="1" x="901"/>
        <item m="1" x="1087"/>
        <item m="1" x="1275"/>
        <item m="1" x="1463"/>
        <item m="1" x="1649"/>
        <item m="1" x="1831"/>
        <item m="1" x="2021"/>
        <item m="1" x="2209"/>
        <item m="1" x="2391"/>
        <item m="1" x="2575"/>
        <item m="1" x="2762"/>
        <item m="1" x="2942"/>
        <item m="1" x="3126"/>
        <item m="1" x="3311"/>
        <item m="1" x="3492"/>
        <item m="1" x="3682"/>
        <item m="1" x="3869"/>
        <item m="1" x="4052"/>
        <item m="1" x="4237"/>
        <item m="1" x="4422"/>
        <item m="1" x="4612"/>
        <item m="1" x="4794"/>
        <item m="1" x="4988"/>
        <item m="1" x="5176"/>
        <item m="1" x="5361"/>
        <item m="1" x="5544"/>
        <item m="1" x="5734"/>
        <item m="1" x="5916"/>
        <item m="1" x="6104"/>
        <item m="1" x="6290"/>
        <item m="1" x="6475"/>
        <item m="1" x="6660"/>
        <item m="1" x="6843"/>
        <item m="1" x="7028"/>
        <item m="1" x="7213"/>
        <item m="1" x="7401"/>
        <item m="1" x="7591"/>
        <item m="1" x="7775"/>
        <item m="1" x="7962"/>
        <item m="1" x="149"/>
        <item m="1" x="334"/>
        <item m="1" x="522"/>
        <item m="1" x="715"/>
        <item m="1" x="905"/>
        <item m="1" x="1089"/>
        <item m="1" x="1280"/>
        <item m="1" x="1465"/>
        <item m="1" x="1654"/>
        <item m="1" x="1833"/>
        <item m="1" x="2026"/>
        <item m="1" x="2211"/>
        <item m="1" x="2395"/>
        <item m="1" x="2579"/>
        <item m="1" x="2767"/>
        <item m="1" x="2945"/>
        <item m="1" x="3131"/>
        <item m="1" x="3314"/>
        <item m="1" x="3498"/>
        <item m="1" x="3685"/>
        <item m="1" x="3874"/>
        <item m="1" x="4055"/>
        <item m="1" x="4243"/>
        <item m="1" x="4425"/>
        <item m="1" x="4618"/>
        <item m="1" x="4798"/>
        <item m="1" x="4995"/>
        <item m="1" x="5179"/>
        <item m="1" x="5365"/>
        <item m="1" x="5548"/>
        <item m="1" x="5739"/>
        <item m="1" x="5919"/>
        <item m="1" x="6108"/>
        <item m="1" x="6293"/>
        <item m="1" x="6479"/>
        <item m="1" x="6663"/>
        <item m="1" x="6847"/>
        <item m="1" x="7032"/>
        <item m="1" x="7218"/>
        <item m="1" x="7405"/>
        <item m="1" x="7597"/>
        <item m="1" x="7779"/>
        <item m="1" x="7967"/>
        <item m="1" x="153"/>
        <item m="1" x="339"/>
        <item m="1" x="529"/>
        <item m="1" x="720"/>
        <item m="1" x="909"/>
        <item m="1" x="1094"/>
        <item m="1" x="1284"/>
        <item m="1" x="1470"/>
        <item m="1" x="1658"/>
        <item m="1" x="1838"/>
        <item m="1" x="2031"/>
        <item m="1" x="2216"/>
        <item m="1" x="2399"/>
        <item m="1" x="2585"/>
        <item m="1" x="2771"/>
        <item m="1" x="2950"/>
        <item m="1" x="3135"/>
        <item m="1" x="3319"/>
        <item m="1" x="544"/>
        <item m="1" x="730"/>
        <item m="1" x="923"/>
        <item m="1" x="1105"/>
        <item m="1" x="1298"/>
        <item m="1" x="1483"/>
        <item m="1" x="1670"/>
        <item m="1" x="1850"/>
        <item m="1" x="2045"/>
        <item m="1" x="2225"/>
        <item m="1" x="2415"/>
        <item m="1" x="2596"/>
        <item m="1" x="2784"/>
        <item m="1" x="2961"/>
        <item m="1" x="3147"/>
        <item m="1" x="3332"/>
        <item m="1" x="3517"/>
        <item m="1" x="3700"/>
        <item m="1" x="3891"/>
        <item m="1" x="4072"/>
        <item m="1" x="4259"/>
        <item m="1" x="4445"/>
        <item m="1" x="4635"/>
        <item m="1" x="4817"/>
        <item m="1" x="5012"/>
        <item m="1" x="5196"/>
        <item m="1" x="5383"/>
        <item m="1" x="5568"/>
        <item m="1" x="5755"/>
        <item m="1" x="5936"/>
        <item m="1" x="6123"/>
        <item m="1" x="6313"/>
        <item m="1" x="6497"/>
        <item m="1" x="6679"/>
        <item m="1" x="6863"/>
        <item m="1" x="7049"/>
        <item m="1" x="7233"/>
        <item m="1" x="7425"/>
        <item m="1" x="7612"/>
        <item m="1" x="7796"/>
        <item m="1" x="7982"/>
        <item m="1" x="168"/>
        <item m="1" x="355"/>
        <item m="1" x="546"/>
        <item m="1" x="734"/>
        <item m="1" x="925"/>
        <item m="1" x="1108"/>
        <item m="1" x="1302"/>
        <item m="1" x="1488"/>
        <item m="1" x="1672"/>
        <item m="1" x="1854"/>
        <item m="1" x="2047"/>
        <item m="1" x="2230"/>
        <item m="1" x="2417"/>
        <item m="1" x="2600"/>
        <item m="1" x="2787"/>
        <item m="1" x="2966"/>
        <item m="1" x="3149"/>
        <item m="1" x="3336"/>
        <item m="1" x="3519"/>
        <item m="1" x="3705"/>
        <item m="1" x="3893"/>
        <item m="1" x="4076"/>
        <item m="1" x="4263"/>
        <item m="1" x="4450"/>
        <item m="1" x="4637"/>
        <item m="1" x="4821"/>
        <item m="1" x="5014"/>
        <item m="1" x="5201"/>
        <item m="1" x="5385"/>
        <item m="1" x="5572"/>
        <item m="1" x="5757"/>
        <item m="1" x="5941"/>
        <item m="1" x="6125"/>
        <item m="1" x="6317"/>
        <item m="1" x="6499"/>
        <item m="1" x="6685"/>
        <item m="1" x="6865"/>
        <item m="1" x="7053"/>
        <item m="1" x="7236"/>
        <item m="1" x="7431"/>
        <item m="1" x="7614"/>
        <item m="1" x="7800"/>
        <item m="1" x="7984"/>
        <item m="1" x="173"/>
        <item m="1" x="358"/>
        <item m="1" x="551"/>
        <item m="1" x="737"/>
        <item m="1" x="930"/>
        <item m="1" x="1110"/>
        <item m="1" x="1306"/>
        <item m="1" x="1490"/>
        <item m="1" x="1675"/>
        <item m="1" x="1856"/>
        <item m="1" x="2050"/>
        <item m="1" x="2235"/>
        <item m="1" x="2420"/>
        <item m="1" x="2602"/>
        <item m="1" x="2790"/>
        <item m="1" x="2969"/>
        <item m="1" x="3153"/>
        <item m="1" x="3339"/>
        <item m="1" x="3523"/>
        <item m="1" x="3709"/>
        <item m="1" x="3897"/>
        <item m="1" x="4079"/>
        <item m="1" x="4268"/>
        <item m="1" x="4453"/>
        <item m="1" x="4641"/>
        <item m="1" x="4824"/>
        <item m="1" x="5018"/>
        <item m="1" x="5207"/>
        <item m="1" x="5389"/>
        <item m="1" x="5575"/>
        <item m="1" x="5761"/>
        <item m="1" x="5944"/>
        <item m="1" x="6129"/>
        <item m="1" x="6321"/>
        <item m="1" x="6503"/>
        <item m="1" x="6689"/>
        <item m="1" x="6869"/>
        <item m="1" x="7056"/>
        <item m="1" x="4277"/>
        <item m="1" x="4465"/>
        <item m="1" x="4650"/>
        <item m="1" x="4835"/>
        <item m="1" x="5028"/>
        <item m="1" x="5221"/>
        <item m="1" x="5398"/>
        <item m="1" x="5589"/>
        <item m="1" x="5771"/>
        <item m="1" x="5956"/>
        <item m="1" x="6140"/>
        <item m="1" x="6332"/>
        <item m="1" x="6514"/>
        <item m="1" x="6700"/>
        <item m="1" x="6878"/>
        <item m="1" x="7071"/>
        <item m="1" x="7252"/>
        <item m="1" x="7445"/>
        <item m="1" x="7628"/>
        <item m="1" x="7814"/>
        <item m="1" x="4"/>
        <item m="1" x="191"/>
        <item m="1" x="373"/>
        <item m="1" x="566"/>
        <item m="1" x="753"/>
        <item m="1" x="944"/>
        <item m="1" x="1130"/>
        <item m="1" x="1320"/>
        <item m="1" x="1507"/>
        <item m="1" x="1689"/>
        <item m="1" x="1870"/>
        <item m="1" x="2067"/>
        <item m="1" x="2252"/>
        <item m="1" x="2433"/>
        <item m="1" x="2618"/>
        <item m="1" x="2802"/>
        <item m="1" x="2985"/>
        <item m="1" x="3167"/>
        <item m="1" x="3352"/>
        <item m="1" x="3537"/>
        <item m="1" x="3724"/>
        <item m="1" x="3909"/>
        <item m="1" x="4095"/>
        <item m="1" x="4280"/>
        <item m="1" x="4468"/>
        <item m="1" x="4654"/>
        <item m="1" x="4837"/>
        <item m="1" x="5033"/>
        <item m="1" x="5223"/>
        <item m="1" x="5403"/>
        <item m="1" x="5591"/>
        <item m="1" x="5775"/>
        <item m="1" x="5961"/>
        <item m="1" x="6145"/>
        <item m="1" x="6334"/>
        <item m="1" x="6518"/>
        <item m="1" x="6702"/>
        <item m="1" x="6883"/>
        <item m="1" x="7073"/>
        <item m="1" x="7256"/>
        <item m="1" x="7447"/>
        <item m="1" x="7633"/>
        <item m="1" x="7816"/>
        <item m="1" x="9"/>
        <item m="1" x="193"/>
        <item m="1" x="378"/>
        <item m="1" x="568"/>
        <item m="1" x="757"/>
        <item m="1" x="947"/>
        <item m="1" x="1135"/>
        <item m="1" x="1322"/>
        <item m="1" x="1511"/>
        <item m="1" x="1691"/>
        <item m="1" x="1875"/>
        <item m="1" x="2069"/>
        <item m="1" x="2256"/>
        <item m="1" x="2436"/>
        <item m="1" x="2624"/>
        <item m="1" x="2804"/>
        <item m="1" x="2989"/>
        <item m="1" x="3169"/>
        <item m="1" x="3357"/>
        <item m="1" x="3539"/>
        <item m="1" x="3728"/>
        <item m="1" x="3913"/>
        <item m="1" x="4100"/>
        <item m="1" x="4282"/>
        <item m="1" x="4473"/>
        <item m="1" x="4656"/>
        <item m="1" x="4841"/>
        <item m="1" x="5035"/>
        <item m="1" x="5226"/>
        <item m="1" x="5405"/>
        <item m="1" x="5594"/>
        <item m="1" x="5777"/>
        <item m="1" x="5964"/>
        <item m="1" x="6147"/>
        <item m="1" x="6337"/>
        <item m="1" x="6520"/>
        <item m="1" x="6706"/>
        <item m="1" x="6889"/>
        <item m="1" x="7077"/>
        <item m="1" x="7259"/>
        <item m="1" x="7451"/>
        <item m="1" x="7636"/>
        <item m="1" x="7820"/>
        <item m="1" x="13"/>
        <item m="1" x="197"/>
        <item m="1" x="382"/>
        <item m="1" x="572"/>
        <item m="1" x="760"/>
        <item m="1" x="952"/>
        <item m="1" x="1138"/>
        <item m="1" x="1326"/>
        <item m="1" x="1514"/>
        <item m="1" x="1695"/>
        <item m="1" x="1882"/>
        <item m="1" x="2073"/>
        <item m="1" x="2259"/>
        <item m="1" x="2440"/>
        <item m="1" x="2627"/>
        <item m="1" x="7832"/>
        <item m="1" x="24"/>
        <item m="1" x="207"/>
        <item m="1" x="394"/>
        <item m="1" x="580"/>
        <item m="1" x="775"/>
        <item m="1" x="961"/>
        <item m="1" x="1151"/>
        <item m="1" x="1336"/>
        <item m="1" x="1526"/>
        <item m="1" x="1706"/>
        <item m="1" x="1895"/>
        <item m="1" x="2082"/>
        <item m="1" x="2272"/>
        <item m="1" x="2451"/>
        <item m="1" x="2638"/>
        <item m="1" x="2819"/>
        <item m="1" x="3003"/>
        <item m="1" x="3185"/>
        <item m="1" x="3372"/>
        <item m="1" x="3553"/>
        <item m="1" x="3747"/>
        <item m="1" x="3930"/>
        <item m="1" x="4114"/>
        <item m="1" x="4299"/>
        <item m="1" x="4487"/>
        <item m="1" x="4674"/>
        <item m="1" x="4861"/>
        <item m="1" x="5051"/>
        <item m="1" x="5240"/>
        <item m="1" x="5420"/>
        <item m="1" x="5607"/>
        <item m="1" x="5795"/>
        <item m="1" x="5977"/>
        <item m="1" x="6163"/>
        <item m="1" x="6351"/>
        <item m="1" x="6533"/>
        <item m="1" x="6720"/>
        <item m="1" x="6904"/>
        <item m="1" x="7089"/>
        <item m="1" x="7275"/>
        <item m="1" x="7464"/>
        <item m="1" x="7653"/>
        <item m="1" x="7837"/>
        <item m="1" x="26"/>
        <item m="1" x="210"/>
        <item m="1" x="396"/>
        <item m="1" x="585"/>
        <item m="1" x="777"/>
        <item m="1" x="965"/>
        <item m="1" x="1154"/>
        <item m="1" x="1341"/>
        <item m="1" x="1528"/>
        <item m="1" x="1711"/>
        <item m="1" x="1897"/>
        <item m="1" x="2087"/>
        <item m="1" x="2274"/>
        <item m="1" x="2455"/>
        <item m="1" x="2642"/>
        <item m="1" x="2824"/>
        <item m="1" x="3005"/>
        <item m="1" x="3189"/>
        <item m="1" x="3374"/>
        <item m="1" x="3558"/>
        <item m="1" x="3749"/>
        <item m="1" x="3934"/>
        <item m="1" x="4116"/>
        <item m="1" x="4304"/>
        <item m="1" x="4489"/>
        <item m="1" x="4679"/>
        <item m="1" x="4863"/>
        <item m="1" x="5056"/>
        <item m="1" x="5242"/>
        <item m="1" x="5424"/>
        <item m="1" x="5610"/>
        <item m="1" x="5800"/>
        <item m="1" x="5980"/>
        <item m="1" x="6168"/>
        <item m="1" x="6354"/>
        <item m="1" x="6538"/>
        <item m="1" x="6722"/>
        <item m="1" x="6908"/>
        <item m="1" x="7091"/>
        <item m="1" x="7280"/>
        <item m="1" x="7466"/>
        <item m="1" x="7658"/>
        <item m="1" x="7839"/>
        <item m="1" x="31"/>
        <item m="1" x="212"/>
        <item m="1" x="399"/>
        <item m="1" x="588"/>
        <item m="1" x="781"/>
        <item m="1" x="967"/>
        <item m="1" x="1157"/>
        <item m="1" x="1343"/>
        <item m="1" x="1531"/>
        <item m="1" x="1713"/>
        <item m="1" x="1900"/>
        <item m="1" x="2090"/>
        <item m="1" x="2277"/>
        <item m="1" x="2458"/>
        <item m="1" x="2646"/>
        <item m="1" x="2827"/>
        <item m="1" x="3009"/>
        <item m="1" x="3192"/>
        <item m="1" x="3378"/>
        <item m="1" x="3564"/>
        <item m="1" x="3753"/>
        <item m="1" x="3937"/>
        <item m="1" x="4120"/>
        <item m="1" x="4307"/>
        <item m="1" x="4493"/>
        <item m="1" x="4682"/>
        <item m="1" x="4867"/>
        <item m="1" x="5060"/>
        <item m="1" x="5246"/>
        <item m="1" x="5427"/>
        <item m="1" x="5614"/>
        <item m="1" x="5803"/>
        <item m="1" x="5984"/>
        <item m="1" x="6171"/>
        <item m="1" x="6358"/>
        <item m="1" x="3577"/>
        <item m="1" x="3761"/>
        <item m="1" x="3950"/>
        <item m="1" x="4129"/>
        <item m="1" x="4319"/>
        <item m="1" x="4505"/>
        <item m="1" x="4693"/>
        <item m="1" x="4878"/>
        <item m="1" x="5073"/>
        <item m="1" x="5254"/>
        <item m="1" x="5442"/>
        <item m="1" x="5625"/>
        <item m="1" x="5815"/>
        <item m="1" x="5994"/>
        <item m="1" x="6182"/>
        <item m="1" x="6370"/>
        <item m="1" x="6556"/>
        <item m="1" x="6735"/>
        <item m="1" x="6924"/>
        <item m="1" x="7106"/>
        <item m="1" x="7294"/>
        <item m="1" x="7484"/>
        <item m="1" x="7673"/>
        <item m="1" x="7856"/>
        <item m="1" x="46"/>
        <item m="1" x="227"/>
        <item m="1" x="417"/>
        <item m="1" x="606"/>
        <item m="1" x="796"/>
        <item m="1" x="983"/>
        <item m="1" x="1171"/>
        <item m="1" x="1361"/>
        <item m="1" x="1548"/>
        <item m="1" x="1727"/>
        <item m="1" x="1914"/>
        <item m="1" x="2105"/>
        <item m="1" x="2289"/>
        <item m="1" x="2475"/>
        <item m="1" x="2658"/>
        <item m="1" x="2842"/>
        <item m="1" x="3022"/>
        <item m="1" x="3205"/>
        <item m="1" x="3392"/>
        <item m="1" x="3579"/>
        <item m="1" x="3765"/>
        <item m="1" x="3952"/>
        <item m="1" x="4132"/>
        <item m="1" x="4323"/>
        <item m="1" x="4510"/>
        <item m="1" x="4695"/>
        <item m="1" x="4882"/>
        <item m="1" x="5075"/>
        <item m="1" x="5259"/>
        <item m="1" x="5444"/>
        <item m="1" x="5629"/>
        <item m="1" x="5818"/>
        <item m="1" x="5999"/>
        <item m="1" x="6184"/>
        <item m="1" x="6376"/>
        <item m="1" x="6558"/>
        <item m="1" x="6740"/>
        <item m="1" x="6926"/>
        <item m="1" x="7110"/>
        <item m="1" x="7297"/>
        <item m="1" x="7489"/>
        <item m="1" x="7675"/>
        <item m="1" x="7860"/>
        <item m="1" x="48"/>
        <item m="1" x="232"/>
        <item m="1" x="420"/>
        <item m="1" x="610"/>
        <item m="1" x="798"/>
        <item m="1" x="988"/>
        <item m="1" x="1173"/>
        <item m="1" x="1366"/>
        <item m="1" x="1550"/>
        <item m="1" x="1732"/>
        <item m="1" x="1917"/>
        <item m="1" x="2109"/>
        <item m="1" x="2292"/>
        <item m="1" x="2480"/>
        <item m="1" x="2660"/>
        <item m="1" x="2846"/>
        <item m="1" x="3024"/>
        <item m="1" x="3210"/>
        <item m="1" x="3394"/>
        <item m="1" x="3584"/>
        <item m="1" x="3767"/>
        <item m="1" x="3957"/>
        <item m="1" x="4134"/>
        <item m="1" x="4327"/>
        <item m="1" x="4512"/>
        <item m="1" x="4698"/>
        <item m="1" x="4884"/>
        <item m="1" x="5078"/>
        <item m="1" x="5263"/>
        <item m="1" x="5447"/>
        <item m="1" x="5631"/>
        <item m="1" x="5821"/>
        <item m="1" x="6002"/>
        <item m="1" x="6188"/>
        <item m="1" x="6379"/>
        <item m="1" x="6562"/>
        <item m="1" x="6744"/>
        <item m="1" x="6930"/>
        <item m="1" x="7113"/>
        <item m="1" x="7302"/>
        <item m="1" x="7492"/>
        <item m="1" x="7679"/>
        <item m="1" x="7863"/>
        <item m="1" x="52"/>
        <item m="1" x="238"/>
        <item m="1" x="424"/>
        <item m="1" x="613"/>
        <item m="1" x="802"/>
        <item m="1" x="991"/>
        <item m="1" x="1177"/>
        <item m="1" x="1369"/>
        <item m="1" x="1554"/>
        <item m="1" x="1736"/>
        <item m="1" x="1921"/>
        <item m="1" x="2112"/>
        <item m="1" x="7215"/>
        <item m="1" x="7312"/>
        <item m="1" x="7403"/>
        <item m="1" x="7504"/>
        <item m="1" x="7593"/>
        <item m="1" x="7688"/>
        <item m="1" x="7777"/>
        <item m="1" x="7874"/>
        <item m="1" x="7964"/>
        <item m="1" x="62"/>
        <item m="1" x="151"/>
        <item m="1" x="251"/>
        <item m="1" x="336"/>
        <item m="1" x="433"/>
        <item m="1" x="525"/>
        <item m="1" x="627"/>
        <item m="1" x="717"/>
        <item m="1" x="812"/>
        <item m="1" x="907"/>
        <item m="1" x="1003"/>
        <item m="1" x="1091"/>
        <item m="1" x="1189"/>
        <item m="1" x="1282"/>
        <item m="1" x="1380"/>
        <item m="1" x="1467"/>
        <item m="1" x="1565"/>
        <item m="1" x="1656"/>
        <item m="1" x="1747"/>
        <item m="1" x="1835"/>
        <item m="1" x="1930"/>
        <item m="1" x="2029"/>
        <item m="1" x="2128"/>
        <item m="1" x="2213"/>
        <item m="1" x="2307"/>
        <item m="1" x="2397"/>
        <item m="1" x="2494"/>
        <item m="1" x="2581"/>
        <item m="1" x="2674"/>
        <item m="1" x="2769"/>
        <item m="1" x="2859"/>
        <item m="1" x="2947"/>
        <item m="1" x="3043"/>
        <item m="1" x="3133"/>
        <item m="1" x="3229"/>
        <item m="1" x="3316"/>
        <item m="1" x="3409"/>
        <item m="1" x="3501"/>
        <item m="1" x="3599"/>
        <item m="1" x="3688"/>
        <item m="1" x="3783"/>
        <item m="1" x="3877"/>
        <item m="1" x="3971"/>
        <item m="1" x="4058"/>
        <item m="1" x="4154"/>
        <item m="1" x="4246"/>
        <item m="1" x="4341"/>
        <item m="1" x="4428"/>
        <item m="1" x="4530"/>
        <item m="1" x="4621"/>
        <item m="1" x="4712"/>
        <item m="1" x="4801"/>
        <item m="1" x="4899"/>
        <item m="1" x="4999"/>
        <item m="1" x="5094"/>
        <item m="1" x="5182"/>
        <item m="1" x="5278"/>
        <item m="1" x="5368"/>
        <item m="1" x="5460"/>
        <item m="1" x="5552"/>
        <item m="1" x="5647"/>
        <item m="1" x="5742"/>
        <item m="1" x="5833"/>
        <item m="1" x="5922"/>
        <item m="1" x="6018"/>
        <item m="1" x="6111"/>
        <item m="1" x="6204"/>
        <item m="1" x="6296"/>
        <item m="1" x="6392"/>
        <item m="1" x="6483"/>
        <item m="1" x="6575"/>
        <item m="1" x="6666"/>
        <item m="1" x="6758"/>
        <item m="1" x="6850"/>
        <item m="1" x="6942"/>
        <item m="1" x="7035"/>
        <item m="1" x="7130"/>
        <item m="1" x="7220"/>
        <item m="1" x="7315"/>
        <item m="1" x="7407"/>
        <item m="1" x="7507"/>
        <item m="1" x="7599"/>
        <item m="1" x="7692"/>
        <item m="1" x="7781"/>
        <item m="1" x="7876"/>
        <item m="1" x="7970"/>
        <item m="1" x="67"/>
        <item m="1" x="155"/>
        <item m="1" x="253"/>
        <item m="1" x="341"/>
        <item m="1" x="438"/>
        <item m="1" x="532"/>
        <item m="1" x="629"/>
        <item m="1" x="722"/>
        <item m="1" x="816"/>
        <item m="1" x="911"/>
        <item m="1" x="1008"/>
        <item m="1" x="1096"/>
        <item m="1" x="1194"/>
        <item m="1" x="1286"/>
        <item m="1" x="1382"/>
        <item m="1" x="1473"/>
        <item m="1" x="1569"/>
        <item m="1" x="1660"/>
        <item m="1" x="1749"/>
        <item m="1" x="1840"/>
        <item m="1" x="1935"/>
        <item m="1" x="2033"/>
        <item m="1" x="2131"/>
        <item m="1" x="2218"/>
        <item m="1" x="2311"/>
        <item m="1" x="2401"/>
        <item m="1" x="2496"/>
        <item m="1" x="2587"/>
        <item m="1" x="2679"/>
        <item m="1" x="2773"/>
        <item m="1" x="2861"/>
        <item m="1" x="2953"/>
        <item m="1" x="3048"/>
        <item m="1" x="3137"/>
        <item m="1" x="3231"/>
        <item m="1" x="3321"/>
        <item m="1" x="3414"/>
        <item m="1" x="3506"/>
        <item m="1" x="3601"/>
        <item m="1" x="3692"/>
        <item m="1" x="3787"/>
        <item m="1" x="3880"/>
        <item m="1" x="3974"/>
        <item m="1" x="4062"/>
        <item m="1" x="4159"/>
        <item m="1" x="4249"/>
        <item m="1" x="4343"/>
        <item m="1" x="4434"/>
        <item m="1" x="4534"/>
        <item m="1" x="4625"/>
        <item m="1" x="4714"/>
        <item m="1" x="4805"/>
        <item m="1" x="4904"/>
        <item m="1" x="5002"/>
        <item m="1" x="5096"/>
        <item m="1" x="5187"/>
        <item m="1" x="5282"/>
        <item m="1" x="5371"/>
        <item m="1" x="5462"/>
        <item m="1" x="5557"/>
        <item m="1" x="5652"/>
        <item m="1" x="5745"/>
        <item m="1" x="5835"/>
        <item m="1" x="5928"/>
        <item m="1" x="6024"/>
        <item m="1" x="6114"/>
        <item m="1" x="6206"/>
        <item m="1" x="6300"/>
        <item m="1" x="6397"/>
        <item m="1" x="6488"/>
        <item m="1" x="6577"/>
        <item m="1" x="6671"/>
        <item m="1" x="6762"/>
        <item m="1" x="6853"/>
        <item m="1" x="6945"/>
        <item m="1" x="7039"/>
        <item m="1" x="7135"/>
        <item m="1" x="7224"/>
        <item m="1" x="7318"/>
        <item m="1" x="7415"/>
        <item m="1" x="7512"/>
        <item m="1" x="7603"/>
        <item m="1" x="7694"/>
        <item m="1" x="7785"/>
        <item m="1" x="7880"/>
        <item m="1" x="7973"/>
        <item m="1" x="69"/>
        <item m="1" x="160"/>
        <item m="1" x="256"/>
        <item m="1" x="344"/>
        <item m="1" x="440"/>
        <item m="1" x="536"/>
        <item m="1" x="632"/>
        <item m="1" x="725"/>
        <item m="1" x="818"/>
        <item m="1" x="917"/>
        <item m="1" x="1012"/>
        <item m="1" x="1099"/>
        <item m="1" x="1196"/>
        <item m="1" x="1290"/>
        <item m="1" x="1385"/>
        <item m="1" x="1478"/>
        <item m="1" x="1571"/>
        <item m="1" x="1665"/>
        <item m="1" x="1753"/>
        <item m="1" x="1844"/>
        <item m="1" x="1941"/>
        <item m="1" x="2038"/>
        <item m="1" x="2135"/>
        <item m="1" x="2222"/>
        <item m="1" x="2314"/>
        <item m="1" x="2409"/>
        <item m="1" x="2500"/>
        <item m="1" x="2592"/>
        <item m="1" x="2682"/>
        <item m="1" x="2778"/>
        <item m="1" x="2865"/>
        <item m="1" x="2958"/>
        <item m="1" x="3051"/>
        <item m="1" x="3143"/>
        <item m="1" x="3235"/>
        <item m="1" x="3326"/>
        <item m="1" x="3418"/>
        <item m="1" x="3512"/>
        <item m="1" x="3605"/>
        <item m="1" x="3697"/>
        <item m="1" x="3790"/>
        <item m="1" x="3887"/>
        <item m="1" x="3979"/>
        <item m="1" x="4067"/>
        <item m="1" x="4162"/>
        <item m="1" x="4253"/>
        <item m="1" x="4347"/>
        <item m="1" x="4441"/>
        <item m="1" x="4537"/>
        <item m="1" x="4630"/>
        <item m="1" x="4718"/>
        <item m="1" x="4810"/>
        <item m="1" x="4910"/>
        <item m="1" x="5006"/>
        <item m="1" x="5100"/>
        <item m="1" x="5192"/>
        <item m="1" x="5285"/>
        <item m="1" x="5377"/>
        <item m="1" x="5466"/>
        <item m="1" x="5562"/>
        <item m="1" x="5655"/>
        <item m="1" x="5749"/>
        <item m="1" x="2968"/>
        <item m="1" x="3062"/>
        <item m="1" x="3151"/>
        <item m="1" x="3245"/>
        <item m="1" x="3338"/>
        <item m="1" x="3430"/>
        <item m="1" x="3521"/>
        <item m="1" x="3613"/>
        <item m="1" x="3708"/>
        <item m="1" x="3806"/>
        <item m="1" x="3895"/>
        <item m="1" x="3988"/>
        <item m="1" x="4078"/>
        <item m="1" x="4175"/>
        <item m="1" x="4266"/>
        <item m="1" x="4357"/>
        <item m="1" x="4452"/>
        <item m="1" x="4549"/>
        <item m="1" x="4639"/>
        <item m="1" x="4729"/>
        <item m="1" x="4823"/>
        <item m="1" x="4923"/>
        <item m="1" x="5016"/>
        <item m="1" x="5109"/>
        <item m="1" x="5204"/>
        <item m="1" x="5298"/>
        <item m="1" x="5387"/>
        <item m="1" x="5477"/>
        <item m="1" x="5574"/>
        <item m="1" x="5666"/>
        <item m="1" x="5759"/>
        <item m="1" x="5851"/>
        <item m="1" x="5943"/>
        <item m="1" x="6038"/>
        <item m="1" x="6127"/>
        <item m="1" x="6222"/>
        <item m="1" x="6319"/>
        <item m="1" x="6412"/>
        <item m="1" x="6501"/>
        <item m="1" x="6591"/>
        <item m="1" x="6688"/>
        <item m="1" x="6780"/>
        <item m="1" x="6867"/>
        <item m="1" x="6962"/>
        <item m="1" x="7055"/>
        <item m="1" x="7148"/>
        <item m="1" x="7239"/>
        <item m="1" x="7334"/>
        <item m="1" x="7434"/>
        <item m="1" x="7525"/>
        <item m="1" x="7617"/>
        <item m="1" x="7711"/>
        <item m="1" x="7803"/>
        <item m="1" x="7897"/>
        <item m="1" x="7987"/>
        <item m="1" x="83"/>
        <item m="1" x="177"/>
        <item m="1" x="270"/>
        <item m="1" x="361"/>
        <item m="1" x="455"/>
        <item m="1" x="554"/>
        <item m="1" x="645"/>
        <item m="1" x="740"/>
        <item m="1" x="837"/>
        <item m="1" x="933"/>
        <item m="1" x="1024"/>
        <item m="1" x="1113"/>
        <item m="1" x="1211"/>
        <item m="1" x="1309"/>
        <item m="1" x="1398"/>
        <item m="1" x="1493"/>
        <item m="1" x="1583"/>
        <item m="1" x="1679"/>
        <item m="1" x="1767"/>
        <item m="1" x="1859"/>
        <item m="1" x="1956"/>
        <item m="1" x="2053"/>
        <item m="1" x="2146"/>
        <item m="1" x="2238"/>
        <item m="1" x="2328"/>
        <item m="1" x="2423"/>
        <item m="1" x="2511"/>
        <item m="1" x="2605"/>
        <item m="1" x="2698"/>
        <item m="1" x="2792"/>
        <item m="1" x="2878"/>
        <item m="1" x="2971"/>
        <item m="1" x="3063"/>
        <item m="1" x="3156"/>
        <item m="1" x="3247"/>
        <item m="1" x="3341"/>
        <item m="1" x="3431"/>
        <item m="1" x="3525"/>
        <item m="1" x="3617"/>
        <item m="1" x="3711"/>
        <item m="1" x="3807"/>
        <item m="1" x="3899"/>
        <item m="1" x="3991"/>
        <item m="1" x="4081"/>
        <item m="1" x="4177"/>
        <item m="1" x="4270"/>
        <item m="1" x="4361"/>
        <item m="1" x="4455"/>
        <item m="1" x="4550"/>
        <item m="1" x="4644"/>
        <item m="1" x="4732"/>
        <item m="1" x="4826"/>
        <item m="1" x="4924"/>
        <item m="1" x="5020"/>
        <item m="1" x="5113"/>
        <item m="1" x="5210"/>
        <item m="1" x="5299"/>
        <item m="1" x="5391"/>
        <item m="1" x="5480"/>
        <item m="1" x="5577"/>
        <item m="1" x="5669"/>
        <item m="1" x="5763"/>
        <item m="1" x="5855"/>
        <item m="1" x="5946"/>
        <item m="1" x="6039"/>
        <item m="1" x="6132"/>
        <item m="1" x="6225"/>
        <item m="1" x="6323"/>
        <item m="1" x="6413"/>
        <item m="1" x="6505"/>
        <item m="1" x="6595"/>
        <item m="1" x="6691"/>
        <item m="1" x="6781"/>
        <item m="1" x="6871"/>
        <item m="1" x="6965"/>
        <item m="1" x="7058"/>
        <item m="1" x="7149"/>
        <item m="1" x="7243"/>
        <item m="1" x="7338"/>
        <item m="1" x="7436"/>
        <item m="1" x="7526"/>
        <item m="1" x="7621"/>
        <item m="1" x="7715"/>
        <item m="1" x="7805"/>
        <item m="1" x="7898"/>
        <item m="1" x="7990"/>
        <item m="1" x="87"/>
        <item m="1" x="182"/>
        <item m="1" x="271"/>
        <item m="1" x="365"/>
        <item m="1" x="458"/>
        <item m="1" x="556"/>
        <item m="1" x="647"/>
        <item m="1" x="743"/>
        <item m="1" x="841"/>
        <item m="1" x="935"/>
        <item m="1" x="1025"/>
        <item m="1" x="1120"/>
        <item m="1" x="1215"/>
        <item m="1" x="1311"/>
        <item m="1" x="1399"/>
        <item m="1" x="1496"/>
        <item m="1" x="1587"/>
        <item m="1" x="1681"/>
        <item m="1" x="1768"/>
        <item m="1" x="1863"/>
        <item m="1" x="1959"/>
        <item m="1" x="2055"/>
        <item m="1" x="2147"/>
        <item m="1" x="2242"/>
        <item m="1" x="2332"/>
        <item m="1" x="2425"/>
        <item m="1" x="2512"/>
        <item m="1" x="2611"/>
        <item m="1" x="2702"/>
        <item m="1" x="2794"/>
        <item m="1" x="2879"/>
        <item m="1" x="2974"/>
        <item m="1" x="3067"/>
        <item m="1" x="3159"/>
        <item m="1" x="3248"/>
        <item m="1" x="3345"/>
        <item m="1" x="3433"/>
        <item m="1" x="3527"/>
        <item m="1" x="3619"/>
        <item m="1" x="3714"/>
        <item m="1" x="3810"/>
        <item m="1" x="3901"/>
        <item m="1" x="3992"/>
        <item m="1" x="4087"/>
        <item m="1" x="4179"/>
        <item m="1" x="4272"/>
        <item m="1" x="4362"/>
        <item m="1" x="4458"/>
        <item m="1" x="4552"/>
        <item m="1" x="4646"/>
        <item m="1" x="4733"/>
        <item m="1" x="4830"/>
        <item m="1" x="4926"/>
        <item m="1" x="5022"/>
        <item m="1" x="5115"/>
        <item m="1" x="5214"/>
        <item m="1" x="5301"/>
        <item m="1" x="5394"/>
        <item m="1" x="5482"/>
        <item m="1" x="5584"/>
        <item m="1" x="5674"/>
        <item m="1" x="5766"/>
        <item m="1" x="5857"/>
        <item m="1" x="5950"/>
        <item m="1" x="6042"/>
        <item m="1" x="6137"/>
        <item m="1" x="6227"/>
        <item m="1" x="6328"/>
        <item m="1" x="6416"/>
        <item m="1" x="6509"/>
        <item m="1" x="6600"/>
        <item m="1" x="6695"/>
        <item m="1" x="6784"/>
        <item m="1" x="6875"/>
        <item m="1" x="6967"/>
        <item m="1" x="7065"/>
        <item m="1" x="7152"/>
        <item m="1" x="7247"/>
        <item m="1" x="7340"/>
        <item m="1" x="7440"/>
        <item m="1" x="7529"/>
        <item m="1" x="7625"/>
        <item m="1" x="7717"/>
        <item m="1" x="7809"/>
        <item m="1" x="7901"/>
        <item m="1" x="7994"/>
        <item m="1" x="90"/>
        <item m="1" x="185"/>
        <item m="1" x="274"/>
        <item m="1" x="369"/>
        <item m="1" x="460"/>
        <item m="1" x="561"/>
        <item m="1" x="651"/>
        <item m="1" x="747"/>
        <item m="1" x="843"/>
        <item m="1" x="938"/>
        <item m="1" x="1028"/>
        <item m="1" x="1126"/>
        <item m="1" x="1217"/>
        <item m="1" x="1315"/>
        <item m="1" x="1402"/>
        <item m="1" x="1500"/>
        <item m="1" x="6614"/>
        <item m="1" x="6704"/>
        <item m="1" x="6793"/>
        <item m="1" x="6886"/>
        <item m="1" x="6980"/>
        <item m="1" x="7075"/>
        <item m="1" x="7162"/>
        <item m="1" x="7258"/>
        <item m="1" x="7352"/>
        <item m="1" x="7449"/>
        <item m="1" x="7541"/>
        <item m="1" x="7635"/>
        <item m="1" x="7728"/>
        <item m="1" x="7818"/>
        <item m="1" x="7913"/>
        <item m="1" x="12"/>
        <item m="1" x="103"/>
        <item m="1" x="195"/>
        <item m="1" x="284"/>
        <item m="1" x="381"/>
        <item m="1" x="477"/>
        <item m="1" x="570"/>
        <item m="1" x="662"/>
        <item m="1" x="759"/>
        <item m="1" x="856"/>
        <item m="1" x="950"/>
        <item m="1" x="1039"/>
        <item m="1" x="1137"/>
        <item m="1" x="1229"/>
        <item m="1" x="1324"/>
        <item m="1" x="1415"/>
        <item m="1" x="1513"/>
        <item m="1" x="1605"/>
        <item m="1" x="1693"/>
        <item m="1" x="1781"/>
        <item m="1" x="1878"/>
        <item m="1" x="1976"/>
        <item m="1" x="2071"/>
        <item m="1" x="2162"/>
        <item m="1" x="2258"/>
        <item m="1" x="2346"/>
        <item m="1" x="2438"/>
        <item m="1" x="2530"/>
        <item m="1" x="2626"/>
        <item m="1" x="2715"/>
        <item m="1" x="2806"/>
        <item m="1" x="2895"/>
        <item m="1" x="2992"/>
        <item m="1" x="3081"/>
        <item m="1" x="3172"/>
        <item m="1" x="3262"/>
        <item m="1" x="3361"/>
        <item m="1" x="3450"/>
        <item m="1" x="3542"/>
        <item m="1" x="3637"/>
        <item m="1" x="3731"/>
        <item m="1" x="3823"/>
        <item m="1" x="3917"/>
        <item m="1" x="4007"/>
        <item m="1" x="4103"/>
        <item m="1" x="4191"/>
        <item m="1" x="4285"/>
        <item m="1" x="4379"/>
        <item m="1" x="4476"/>
        <item m="1" x="4567"/>
        <item m="1" x="4659"/>
        <item m="1" x="4746"/>
        <item m="1" x="4845"/>
        <item m="1" x="4939"/>
        <item m="1" x="5038"/>
        <item m="1" x="5129"/>
        <item m="1" x="5229"/>
        <item m="1" x="5313"/>
        <item m="1" x="5408"/>
        <item m="1" x="5500"/>
        <item m="1" x="5597"/>
        <item m="1" x="5686"/>
        <item m="1" x="5780"/>
        <item m="1" x="5872"/>
        <item m="1" x="5967"/>
        <item m="1" x="6055"/>
        <item m="1" x="6150"/>
        <item m="1" x="6240"/>
        <item m="1" x="6341"/>
        <item m="1" x="6430"/>
        <item m="1" x="6522"/>
        <item m="1" x="6616"/>
        <item m="1" x="6708"/>
        <item m="1" x="6796"/>
        <item m="1" x="6891"/>
        <item m="1" x="6982"/>
        <item m="1" x="7079"/>
        <item m="1" x="7164"/>
        <item m="1" x="7261"/>
        <item m="1" x="7356"/>
        <item m="1" x="7453"/>
        <item m="1" x="7545"/>
        <item m="1" x="7638"/>
        <item m="1" x="7730"/>
        <item m="1" x="7823"/>
        <item m="1" x="7916"/>
        <item m="1" x="15"/>
        <item m="1" x="105"/>
        <item m="1" x="199"/>
        <item m="1" x="288"/>
        <item m="1" x="384"/>
        <item m="1" x="479"/>
        <item m="1" x="574"/>
        <item m="1" x="665"/>
        <item m="1" x="762"/>
        <item m="1" x="859"/>
        <item m="1" x="954"/>
        <item m="1" x="1043"/>
        <item m="1" x="1140"/>
        <item m="1" x="1231"/>
        <item m="1" x="1329"/>
        <item m="1" x="1420"/>
        <item m="1" x="1516"/>
        <item m="1" x="1607"/>
        <item m="1" x="1697"/>
        <item m="1" x="1785"/>
        <item m="1" x="1884"/>
        <item m="1" x="1978"/>
        <item m="1" x="2075"/>
        <item m="1" x="2165"/>
        <item m="1" x="2261"/>
        <item m="1" x="2349"/>
        <item m="1" x="2442"/>
        <item m="1" x="2534"/>
        <item m="1" x="2629"/>
        <item m="1" x="2717"/>
        <item m="1" x="2810"/>
        <item m="1" x="2898"/>
        <item m="1" x="2994"/>
        <item m="1" x="3083"/>
        <item m="1" x="3175"/>
        <item m="1" x="3266"/>
        <item m="1" x="3363"/>
        <item m="1" x="3452"/>
        <item m="1" x="3545"/>
        <item m="1" x="3640"/>
        <item m="1" x="3733"/>
        <item m="1" x="3825"/>
        <item m="1" x="3920"/>
        <item m="1" x="4011"/>
        <item m="1" x="4105"/>
        <item m="1" x="4193"/>
        <item m="1" x="4291"/>
        <item m="1" x="4382"/>
        <item m="1" x="4478"/>
        <item m="1" x="4569"/>
        <item m="1" x="4662"/>
        <item m="1" x="4751"/>
        <item m="1" x="4851"/>
        <item m="1" x="4942"/>
        <item m="1" x="5043"/>
        <item m="1" x="5133"/>
        <item m="1" x="5231"/>
        <item m="1" x="5316"/>
        <item m="1" x="5411"/>
        <item m="1" x="5504"/>
        <item m="1" x="5599"/>
        <item m="1" x="5688"/>
        <item m="1" x="5786"/>
        <item m="1" x="5875"/>
        <item m="1" x="5969"/>
        <item m="1" x="6057"/>
        <item m="1" x="6153"/>
        <item m="1" x="6244"/>
        <item m="1" x="6343"/>
        <item m="1" x="6432"/>
        <item m="1" x="6526"/>
        <item m="1" x="6619"/>
        <item m="1" x="6710"/>
        <item m="1" x="6798"/>
        <item m="1" x="6895"/>
        <item m="1" x="6986"/>
        <item m="1" x="7081"/>
        <item m="1" x="7165"/>
        <item m="1" x="7267"/>
        <item m="1" x="7359"/>
        <item m="1" x="7455"/>
        <item m="1" x="7546"/>
        <item m="1" x="7641"/>
        <item m="1" x="7733"/>
        <item m="1" x="7828"/>
        <item m="1" x="7917"/>
        <item m="1" x="19"/>
        <item m="1" x="107"/>
        <item m="1" x="201"/>
        <item m="1" x="291"/>
        <item m="1" x="387"/>
        <item m="1" x="481"/>
        <item m="1" x="576"/>
        <item m="1" x="666"/>
        <item m="1" x="768"/>
        <item m="1" x="861"/>
        <item m="1" x="956"/>
        <item m="1" x="1044"/>
        <item m="1" x="1144"/>
        <item m="1" x="1234"/>
        <item m="1" x="1332"/>
        <item m="1" x="1423"/>
        <item m="1" x="1521"/>
        <item m="1" x="1610"/>
        <item m="1" x="1700"/>
        <item m="1" x="1788"/>
        <item m="1" x="1889"/>
        <item m="1" x="1981"/>
        <item m="1" x="2079"/>
        <item m="1" x="2167"/>
        <item m="1" x="2268"/>
        <item m="1" x="2353"/>
        <item m="1" x="2446"/>
        <item m="1" x="2536"/>
        <item m="1" x="2633"/>
        <item m="1" x="2720"/>
        <item m="1" x="2815"/>
        <item m="1" x="2900"/>
        <item m="1" x="2999"/>
        <item m="1" x="3086"/>
        <item m="1" x="3179"/>
        <item m="1" x="3271"/>
        <item m="1" x="3367"/>
        <item m="1" x="3455"/>
        <item m="1" x="3549"/>
        <item m="1" x="3642"/>
        <item m="1" x="3739"/>
        <item m="1" x="3828"/>
        <item m="1" x="3924"/>
        <item m="1" x="4013"/>
        <item m="1" x="4108"/>
        <item m="1" x="4196"/>
        <item m="1" x="4295"/>
        <item m="1" x="4384"/>
        <item m="1" x="4482"/>
        <item m="1" x="4572"/>
        <item m="1" x="4666"/>
        <item m="1" x="4754"/>
        <item m="1" x="4855"/>
        <item m="1" x="4945"/>
        <item m="1" x="5047"/>
        <item m="1" x="5135"/>
        <item m="1" x="2363"/>
        <item m="1" x="2457"/>
        <item m="1" x="2549"/>
        <item m="1" x="2644"/>
        <item m="1" x="2731"/>
        <item m="1" x="2826"/>
        <item m="1" x="2912"/>
        <item m="1" x="3007"/>
        <item m="1" x="3097"/>
        <item m="1" x="3191"/>
        <item m="1" x="3286"/>
        <item m="1" x="3376"/>
        <item m="1" x="3465"/>
        <item m="1" x="3561"/>
        <item m="1" x="3657"/>
        <item m="1" x="3751"/>
        <item m="1" x="3839"/>
        <item m="1" x="3936"/>
        <item m="1" x="4026"/>
        <item m="1" x="4118"/>
        <item m="1" x="4210"/>
        <item m="1" x="4306"/>
        <item m="1" x="4397"/>
        <item m="1" x="4491"/>
        <item m="1" x="4584"/>
        <item m="1" x="4681"/>
        <item m="1" x="4767"/>
        <item m="1" x="4865"/>
        <item m="1" x="4956"/>
        <item m="1" x="5059"/>
        <item m="1" x="5152"/>
        <item m="1" x="5244"/>
        <item m="1" x="5332"/>
        <item m="1" x="5426"/>
        <item m="1" x="5519"/>
        <item m="1" x="5612"/>
        <item m="1" x="5703"/>
        <item m="1" x="5802"/>
        <item m="1" x="5888"/>
        <item m="1" x="5982"/>
        <item m="1" x="6076"/>
        <item m="1" x="6170"/>
        <item m="1" x="6264"/>
        <item m="1" x="6356"/>
        <item m="1" x="6447"/>
        <item m="1" x="6541"/>
        <item m="1" x="6633"/>
        <item m="1" x="6725"/>
        <item m="1" x="6813"/>
        <item m="1" x="6911"/>
        <item m="1" x="7000"/>
        <item m="1" x="7094"/>
        <item m="1" x="7185"/>
        <item m="1" x="7283"/>
        <item m="1" x="7373"/>
        <item m="1" x="7469"/>
        <item m="1" x="7563"/>
        <item m="1" x="7662"/>
        <item m="1" x="7747"/>
        <item m="1" x="7842"/>
        <item m="1" x="7931"/>
        <item m="1" x="35"/>
        <item m="1" x="122"/>
        <item m="1" x="215"/>
        <item m="1" x="306"/>
        <item m="1" x="402"/>
        <item m="1" x="494"/>
        <item m="1" x="592"/>
        <item m="1" x="682"/>
        <item m="1" x="784"/>
        <item m="1" x="873"/>
        <item m="1" x="970"/>
        <item m="1" x="1060"/>
        <item m="1" x="1160"/>
        <item m="1" x="1251"/>
        <item m="1" x="1346"/>
        <item m="1" x="1437"/>
        <item m="1" x="1535"/>
        <item m="1" x="1623"/>
        <item m="1" x="1716"/>
        <item m="1" x="1802"/>
        <item m="1" x="1903"/>
        <item m="1" x="1994"/>
        <item m="1" x="2093"/>
        <item m="1" x="2185"/>
        <item m="1" x="2279"/>
        <item m="1" x="2365"/>
        <item m="1" x="2460"/>
        <item m="1" x="2552"/>
        <item m="1" x="2648"/>
        <item m="1" x="2734"/>
        <item m="1" x="2829"/>
        <item m="1" x="2914"/>
        <item m="1" x="3012"/>
        <item m="1" x="3102"/>
        <item m="1" x="3194"/>
        <item m="1" x="3288"/>
        <item m="1" x="3380"/>
        <item m="1" x="3469"/>
        <item m="1" x="3567"/>
        <item m="1" x="3659"/>
        <item m="1" x="3755"/>
        <item m="1" x="3842"/>
        <item m="1" x="3939"/>
        <item m="1" x="4031"/>
        <item m="1" x="4122"/>
        <item m="1" x="4214"/>
        <item m="1" x="4309"/>
        <item m="1" x="4399"/>
        <item m="1" x="4496"/>
        <item m="1" x="4587"/>
        <item m="1" x="4684"/>
        <item m="1" x="4769"/>
        <item m="1" x="4869"/>
        <item m="1" x="4960"/>
        <item m="1" x="5062"/>
        <item m="1" x="5154"/>
        <item m="1" x="5248"/>
        <item m="1" x="5335"/>
        <item m="1" x="5429"/>
        <item m="1" x="5521"/>
        <item m="1" x="5616"/>
        <item m="1" x="5707"/>
        <item m="1" x="5805"/>
        <item m="1" x="5890"/>
        <item m="1" x="5987"/>
        <item m="1" x="6080"/>
        <item m="1" x="6173"/>
        <item m="1" x="6266"/>
        <item m="1" x="6360"/>
        <item m="1" x="6451"/>
        <item m="1" x="6546"/>
        <item m="1" x="6635"/>
        <item m="1" x="6728"/>
        <item m="1" x="6816"/>
        <item m="1" x="6913"/>
        <item m="1" x="7003"/>
        <item m="1" x="7097"/>
        <item m="1" x="7189"/>
        <item m="1" x="7285"/>
        <item m="1" x="7375"/>
        <item m="1" x="7474"/>
        <item m="1" x="7566"/>
        <item m="1" x="7664"/>
        <item m="1" x="7749"/>
        <item m="1" x="7845"/>
        <item m="1" x="7935"/>
        <item m="1" x="37"/>
        <item m="1" x="124"/>
        <item m="1" x="219"/>
        <item m="1" x="309"/>
        <item m="1" x="405"/>
        <item m="1" x="497"/>
        <item m="1" x="596"/>
        <item m="1" x="687"/>
        <item m="1" x="787"/>
        <item m="1" x="875"/>
        <item m="1" x="976"/>
        <item m="1" x="1065"/>
        <item m="1" x="1162"/>
        <item m="1" x="1253"/>
        <item m="1" x="1349"/>
        <item m="1" x="1441"/>
        <item m="1" x="1539"/>
        <item m="1" x="1625"/>
        <item m="1" x="1720"/>
        <item m="1" x="1805"/>
        <item m="1" x="1905"/>
        <item m="1" x="1997"/>
        <item m="1" x="2096"/>
        <item m="1" x="2189"/>
        <item m="1" x="2281"/>
        <item m="1" x="2367"/>
        <item m="1" x="2466"/>
        <item m="1" x="2555"/>
        <item m="1" x="2650"/>
        <item m="1" x="2736"/>
        <item m="1" x="2832"/>
        <item m="1" x="2917"/>
        <item m="1" x="3014"/>
        <item m="1" x="3103"/>
        <item m="1" x="3198"/>
        <item m="1" x="3290"/>
        <item m="1" x="3382"/>
        <item m="1" x="3470"/>
        <item m="1" x="3570"/>
        <item m="1" x="3661"/>
        <item m="1" x="3757"/>
        <item m="1" x="3843"/>
        <item m="1" x="3945"/>
        <item m="1" x="4033"/>
        <item m="1" x="4124"/>
        <item m="1" x="4215"/>
        <item m="1" x="4312"/>
        <item m="1" x="4401"/>
        <item m="1" x="4500"/>
        <item m="1" x="4588"/>
        <item m="1" x="4688"/>
        <item m="1" x="4772"/>
        <item m="1" x="4872"/>
        <item m="1" x="4965"/>
        <item m="1" x="5066"/>
        <item m="1" x="5157"/>
        <item m="1" x="5251"/>
        <item m="1" x="5337"/>
        <item m="1" x="5436"/>
        <item m="1" x="5524"/>
        <item m="1" x="5621"/>
        <item m="1" x="5709"/>
        <item m="1" x="5809"/>
        <item m="1" x="5893"/>
        <item m="1" x="5991"/>
        <item m="1" x="6082"/>
        <item m="1" x="6178"/>
        <item m="1" x="6269"/>
        <item m="1" x="6364"/>
        <item m="1" x="6454"/>
        <item m="1" x="6551"/>
        <item m="1" x="6638"/>
        <item m="1" x="6732"/>
        <item m="1" x="6818"/>
        <item m="1" x="6920"/>
        <item m="1" x="7007"/>
        <item m="1" x="7101"/>
        <item m="1" x="7191"/>
        <item m="1" x="7288"/>
        <item m="1" x="7378"/>
        <item m="1" x="7480"/>
        <item m="1" x="7568"/>
        <item m="1" x="7668"/>
        <item m="1" x="7752"/>
        <item m="1" x="7849"/>
        <item m="1" x="7940"/>
        <item m="1" x="40"/>
        <item m="1" x="127"/>
        <item m="1" x="223"/>
        <item m="1" x="311"/>
        <item m="1" x="410"/>
        <item m="1" x="500"/>
        <item m="1" x="600"/>
        <item m="1" x="689"/>
        <item m="1" x="790"/>
        <item m="1" x="878"/>
        <item m="1" x="6001"/>
        <item m="1" x="6094"/>
        <item m="1" x="6186"/>
        <item m="1" x="6280"/>
        <item m="1" x="6378"/>
        <item m="1" x="6467"/>
        <item m="1" x="6560"/>
        <item m="1" x="6648"/>
        <item m="1" x="6743"/>
        <item m="1" x="6834"/>
        <item m="1" x="6928"/>
        <item m="1" x="7018"/>
        <item m="1" x="7112"/>
        <item m="1" x="7205"/>
        <item m="1" x="7300"/>
        <item m="1" x="7390"/>
        <item m="1" x="7491"/>
        <item m="1" x="7581"/>
        <item m="1" x="7677"/>
        <item m="1" x="7764"/>
        <item m="1" x="7862"/>
        <item m="1" x="7955"/>
        <item m="1" x="50"/>
        <item m="1" x="138"/>
        <item m="1" x="235"/>
        <item m="1" x="326"/>
        <item m="1" x="422"/>
        <item m="1" x="511"/>
        <item m="1" x="612"/>
        <item m="1" x="702"/>
        <item m="1" x="800"/>
        <item m="1" x="893"/>
        <item m="1" x="990"/>
        <item m="1" x="1080"/>
        <item m="1" x="1175"/>
        <item m="1" x="1269"/>
        <item m="1" x="1368"/>
        <item m="1" x="1457"/>
        <item m="1" x="1552"/>
        <item m="1" x="1639"/>
        <item m="1" x="1735"/>
        <item m="1" x="1823"/>
        <item m="1" x="1919"/>
        <item m="1" x="2015"/>
        <item m="1" x="2111"/>
        <item m="1" x="2203"/>
        <item m="1" x="2295"/>
        <item m="1" x="2383"/>
        <item m="1" x="2483"/>
        <item m="1" x="2568"/>
        <item m="1" x="2663"/>
        <item m="1" x="2754"/>
        <item m="1" x="2849"/>
        <item m="1" x="2936"/>
        <item m="1" x="3027"/>
        <item m="1" x="3118"/>
        <item m="1" x="3214"/>
        <item m="1" x="3304"/>
        <item m="1" x="3397"/>
        <item m="1" x="3486"/>
        <item m="1" x="3587"/>
        <item m="1" x="3675"/>
        <item m="1" x="3770"/>
        <item m="1" x="3861"/>
        <item m="1" x="3960"/>
        <item m="1" x="4045"/>
        <item m="1" x="4137"/>
        <item m="1" x="4231"/>
        <item m="1" x="4330"/>
        <item m="1" x="4415"/>
        <item m="1" x="4515"/>
        <item m="1" x="4602"/>
        <item m="1" x="4702"/>
        <item m="1" x="4787"/>
        <item m="1" x="4887"/>
        <item m="1" x="4982"/>
        <item m="1" x="5081"/>
        <item m="1" x="5170"/>
        <item m="1" x="5266"/>
        <item m="1" x="5353"/>
        <item m="1" x="5450"/>
        <item m="1" x="5536"/>
        <item m="1" x="5634"/>
        <item m="1" x="5727"/>
        <item m="1" x="5823"/>
        <item m="1" x="5909"/>
        <item m="1" x="6004"/>
        <item m="1" x="6096"/>
        <item m="1" x="6191"/>
        <item m="1" x="6282"/>
        <item m="1" x="6381"/>
        <item m="1" x="6469"/>
        <item m="1" x="6564"/>
        <item m="1" x="6652"/>
        <item m="1" x="6746"/>
        <item m="1" x="6836"/>
        <item m="1" x="6932"/>
        <item m="1" x="7021"/>
        <item m="1" x="7115"/>
        <item m="1" x="7208"/>
        <item m="1" x="7305"/>
        <item m="1" x="7394"/>
        <item m="1" x="7494"/>
        <item m="1" x="7583"/>
        <item m="1" x="7682"/>
        <item m="1" x="7768"/>
        <item m="1" x="7865"/>
        <item m="1" x="7957"/>
        <item m="1" x="54"/>
        <item m="1" x="142"/>
        <item m="1" x="241"/>
        <item m="1" x="328"/>
        <item m="1" x="426"/>
        <item m="1" x="514"/>
        <item m="1" x="615"/>
        <item m="1" x="706"/>
        <item m="1" x="804"/>
        <item m="1" x="897"/>
        <item m="1" x="993"/>
        <item m="1" x="1082"/>
        <item m="1" x="1180"/>
        <item m="1" x="1272"/>
        <item m="1" x="1371"/>
        <item m="1" x="1459"/>
        <item m="1" x="1556"/>
        <item m="1" x="1643"/>
        <item m="1" x="1738"/>
        <item m="1" x="1826"/>
        <item m="1" x="1923"/>
        <item m="1" x="2018"/>
        <item m="1" x="2114"/>
        <item m="1" x="2205"/>
        <item m="1" x="2298"/>
        <item m="1" x="2387"/>
        <item m="1" x="2485"/>
        <item m="1" x="2570"/>
        <item m="1" x="2667"/>
        <item m="1" x="2759"/>
        <item m="1" x="2851"/>
        <item m="1" x="2938"/>
        <item m="1" x="3030"/>
        <item m="1" x="3122"/>
        <item m="1" x="3219"/>
        <item m="1" x="3306"/>
        <item m="1" x="3401"/>
        <item m="1" x="3489"/>
        <item m="1" x="3589"/>
        <item m="1" x="3678"/>
        <item m="1" x="3773"/>
        <item m="1" x="3865"/>
        <item m="1" x="3962"/>
        <item m="1" x="4047"/>
        <item m="1" x="4143"/>
        <item m="1" x="4234"/>
        <item m="1" x="4332"/>
        <item m="1" x="4418"/>
        <item m="1" x="4519"/>
        <item m="1" x="4606"/>
        <item m="1" x="4704"/>
        <item m="1" x="4789"/>
        <item m="1" x="4891"/>
        <item m="1" x="4985"/>
        <item m="1" x="5083"/>
        <item m="1" x="5172"/>
        <item m="1" x="5269"/>
        <item m="1" x="5357"/>
        <item m="1" x="5452"/>
        <item m="1" x="5538"/>
        <item m="1" x="5640"/>
        <item m="1" x="5731"/>
        <item m="1" x="5825"/>
        <item m="1" x="5911"/>
        <item m="1" x="6007"/>
        <item m="1" x="6100"/>
        <item m="1" x="6195"/>
        <item m="1" x="6284"/>
        <item m="1" x="6385"/>
        <item m="1" x="6472"/>
        <item m="1" x="6566"/>
        <item m="1" x="6654"/>
        <item m="1" x="6749"/>
        <item m="1" x="6839"/>
        <item m="1" x="6934"/>
        <item m="1" x="7022"/>
        <item m="1" x="7121"/>
        <item m="1" x="7210"/>
        <item m="1" x="7307"/>
        <item m="1" x="7396"/>
        <item m="1" x="7497"/>
        <item m="1" x="7585"/>
        <item m="1" x="7684"/>
        <item m="1" x="7769"/>
        <item m="1" x="7869"/>
        <item m="1" x="7959"/>
        <item m="1" x="56"/>
        <item m="1" x="144"/>
        <item m="1" x="244"/>
        <item m="1" x="330"/>
        <item m="1" x="429"/>
        <item m="1" x="516"/>
        <item m="1" x="622"/>
        <item m="1" x="711"/>
        <item m="1" x="807"/>
        <item m="1" x="900"/>
        <item m="1" x="997"/>
        <item m="1" x="1085"/>
        <item m="1" x="1185"/>
        <item m="1" x="1274"/>
        <item m="1" x="1376"/>
        <item m="1" x="1462"/>
        <item m="1" x="1560"/>
        <item m="1" x="1648"/>
        <item m="1" x="1742"/>
        <item m="1" x="1829"/>
        <item m="1" x="1927"/>
        <item m="1" x="2020"/>
        <item m="1" x="2121"/>
        <item m="1" x="2208"/>
        <item m="1" x="2302"/>
        <item m="1" x="2390"/>
        <item m="1" x="2489"/>
        <item m="1" x="2573"/>
        <item m="1" x="2671"/>
        <item m="1" x="2761"/>
        <item m="1" x="2855"/>
        <item m="1" x="2941"/>
        <item m="1" x="3034"/>
        <item m="1" x="3125"/>
        <item m="1" x="3222"/>
        <item m="1" x="3309"/>
        <item m="1" x="3405"/>
        <item m="1" x="3491"/>
        <item m="1" x="3594"/>
        <item m="1" x="3681"/>
        <item m="1" x="3777"/>
        <item m="1" x="3868"/>
        <item m="1" x="3965"/>
        <item m="1" x="4050"/>
        <item m="1" x="4149"/>
        <item m="1" x="4236"/>
        <item m="1" x="4336"/>
        <item m="1" x="4421"/>
        <item m="1" x="4523"/>
        <item m="1" x="1751"/>
        <item m="1" x="1842"/>
        <item m="1" x="1938"/>
        <item m="1" x="2036"/>
        <item m="1" x="2133"/>
        <item m="1" x="2220"/>
        <item m="1" x="2313"/>
        <item m="1" x="2405"/>
        <item m="1" x="2498"/>
        <item m="1" x="2589"/>
        <item m="1" x="2681"/>
        <item m="1" x="2776"/>
        <item m="1" x="2863"/>
        <item m="1" x="2955"/>
        <item m="1" x="3050"/>
        <item m="1" x="3141"/>
        <item m="1" x="3233"/>
        <item m="1" x="3323"/>
        <item m="1" x="3417"/>
        <item m="1" x="3509"/>
        <item m="1" x="3603"/>
        <item m="1" x="3694"/>
        <item m="1" x="3789"/>
        <item m="1" x="3884"/>
        <item m="1" x="3977"/>
        <item m="1" x="4064"/>
        <item m="1" x="4161"/>
        <item m="1" x="4251"/>
        <item m="1" x="4345"/>
        <item m="1" x="4436"/>
        <item m="1" x="4536"/>
        <item m="1" x="4628"/>
        <item m="1" x="4716"/>
        <item m="1" x="4807"/>
        <item m="1" x="4907"/>
        <item m="1" x="5004"/>
        <item m="1" x="5098"/>
        <item m="1" x="5189"/>
        <item m="1" x="5284"/>
        <item m="1" x="5374"/>
        <item m="1" x="5464"/>
        <item m="1" x="5559"/>
        <item m="1" x="5654"/>
        <item m="1" x="5747"/>
        <item m="1" x="5837"/>
        <item m="1" x="5930"/>
        <item m="1" x="6027"/>
        <item m="1" x="6117"/>
        <item m="1" x="6209"/>
        <item m="1" x="6302"/>
        <item m="1" x="6401"/>
        <item m="1" x="6490"/>
        <item m="1" x="6580"/>
        <item m="1" x="6673"/>
        <item m="1" x="6765"/>
        <item m="1" x="6856"/>
        <item m="1" x="6949"/>
        <item m="1" x="7041"/>
        <item m="1" x="7138"/>
        <item m="1" x="7226"/>
        <item m="1" x="7321"/>
        <item m="1" x="7418"/>
        <item m="1" x="7515"/>
        <item m="1" x="7606"/>
        <item m="1" x="7697"/>
        <item m="1" x="7787"/>
        <item m="1" x="7884"/>
        <item m="1" x="7975"/>
        <item m="1" x="72"/>
        <item m="1" x="162"/>
        <item m="1" x="259"/>
        <item m="1" x="347"/>
        <item m="1" x="443"/>
        <item m="1" x="538"/>
        <item m="1" x="635"/>
        <item m="1" x="727"/>
        <item m="1" x="821"/>
        <item m="1" x="919"/>
        <item m="1" x="1015"/>
        <item m="1" x="1102"/>
        <item m="1" x="1199"/>
        <item m="1" x="1292"/>
        <item m="1" x="1389"/>
        <item m="1" x="1480"/>
        <item m="1" x="1573"/>
        <item m="1" x="1666"/>
        <item m="1" x="1755"/>
        <item m="1" x="1846"/>
        <item m="1" x="1944"/>
        <item m="1" x="2039"/>
        <item m="1" x="2137"/>
        <item m="1" x="2223"/>
        <item m="1" x="2316"/>
        <item m="1" x="2410"/>
        <item m="1" x="2502"/>
        <item m="1" x="2594"/>
        <item m="1" x="2684"/>
        <item m="1" x="2779"/>
        <item m="1" x="2868"/>
        <item m="1" x="2959"/>
        <item m="1" x="3053"/>
        <item m="1" x="3144"/>
        <item m="1" x="3237"/>
        <item m="1" x="3328"/>
        <item m="1" x="3420"/>
        <item m="1" x="3513"/>
        <item m="1" x="3607"/>
        <item m="1" x="3698"/>
        <item m="1" x="3792"/>
        <item m="1" x="3888"/>
        <item m="1" x="3981"/>
        <item m="1" x="4069"/>
        <item m="1" x="4164"/>
        <item m="1" x="4254"/>
        <item m="1" x="4350"/>
        <item m="1" x="4442"/>
        <item m="1" x="4539"/>
        <item m="1" x="4631"/>
        <item m="1" x="4720"/>
        <item m="1" x="4812"/>
        <item m="1" x="4912"/>
        <item m="1" x="5007"/>
        <item m="1" x="5102"/>
        <item m="1" x="5193"/>
        <item m="1" x="5287"/>
        <item m="1" x="5378"/>
        <item m="1" x="5468"/>
        <item m="1" x="5564"/>
        <item m="1" x="5657"/>
        <item m="1" x="5750"/>
        <item m="1" x="5841"/>
        <item m="1" x="5933"/>
        <item m="1" x="6029"/>
        <item m="1" x="6119"/>
        <item m="1" x="6212"/>
        <item m="1" x="6306"/>
        <item m="1" x="6403"/>
        <item m="1" x="6492"/>
        <item m="1" x="6583"/>
        <item m="1" x="6676"/>
        <item m="1" x="6767"/>
        <item m="1" x="6859"/>
        <item m="1" x="6953"/>
        <item m="1" x="7045"/>
        <item m="1" x="7140"/>
        <item m="1" x="7228"/>
        <item m="1" x="7327"/>
        <item m="1" x="7422"/>
        <item m="1" x="7517"/>
        <item m="1" x="7608"/>
        <item m="1" x="7700"/>
        <item m="1" x="7791"/>
        <item m="1" x="7889"/>
        <item m="1" x="7977"/>
        <item m="1" x="76"/>
        <item m="1" x="165"/>
        <item m="1" x="261"/>
        <item m="1" x="350"/>
        <item m="1" x="446"/>
        <item m="1" x="542"/>
        <item m="1" x="637"/>
        <item m="1" x="729"/>
        <item m="1" x="827"/>
        <item m="1" x="922"/>
        <item m="1" x="1017"/>
        <item m="1" x="1104"/>
        <item m="1" x="1202"/>
        <item m="1" x="1296"/>
        <item m="1" x="1391"/>
        <item m="1" x="1482"/>
        <item m="1" x="1577"/>
        <item m="1" x="1669"/>
        <item m="1" x="1757"/>
        <item m="1" x="1849"/>
        <item m="1" x="1948"/>
        <item m="1" x="2043"/>
        <item m="1" x="2139"/>
        <item m="1" x="2224"/>
        <item m="1" x="2322"/>
        <item m="1" x="2414"/>
        <item m="1" x="2504"/>
        <item m="1" x="2595"/>
        <item m="1" x="2687"/>
        <item m="1" x="2782"/>
        <item m="1" x="2872"/>
        <item m="1" x="2960"/>
        <item m="1" x="3057"/>
        <item m="1" x="3146"/>
        <item m="1" x="3239"/>
        <item m="1" x="3331"/>
        <item m="1" x="3423"/>
        <item m="1" x="3515"/>
        <item m="1" x="3609"/>
        <item m="1" x="3699"/>
        <item m="1" x="3798"/>
        <item m="1" x="3890"/>
        <item m="1" x="3983"/>
        <item m="1" x="4071"/>
        <item m="1" x="4168"/>
        <item m="1" x="4257"/>
        <item m="1" x="4353"/>
        <item m="1" x="4444"/>
        <item m="1" x="4544"/>
        <item m="1" x="4634"/>
        <item m="1" x="4723"/>
        <item m="1" x="4816"/>
        <item m="1" x="4916"/>
        <item m="1" x="5010"/>
        <item m="1" x="5106"/>
        <item m="1" x="5195"/>
        <item m="1" x="5294"/>
        <item m="1" x="5382"/>
        <item m="1" x="5472"/>
        <item m="1" x="5567"/>
        <item m="1" x="5661"/>
        <item m="1" x="5753"/>
        <item m="1" x="5847"/>
        <item m="1" x="5935"/>
        <item m="1" x="6034"/>
        <item m="1" x="6122"/>
        <item m="1" x="6216"/>
        <item m="1" x="6311"/>
        <item m="1" x="6407"/>
        <item m="1" x="6495"/>
        <item m="1" x="6587"/>
        <item m="1" x="6678"/>
        <item m="1" x="6773"/>
        <item m="1" x="6862"/>
        <item m="1" x="6957"/>
        <item m="1" x="7048"/>
        <item m="1" x="7143"/>
        <item m="1" x="7231"/>
        <item m="1" x="7331"/>
        <item m="1" x="7424"/>
        <item m="1" x="7521"/>
        <item m="1" x="7611"/>
        <item m="1" x="7704"/>
        <item m="1" x="7795"/>
        <item m="1" x="7892"/>
        <item m="1" x="7980"/>
        <item m="1" x="80"/>
        <item m="1" x="167"/>
        <item m="1" x="266"/>
        <item m="1" x="5392"/>
        <item m="1" x="5481"/>
        <item m="1" x="5580"/>
        <item m="1" x="5671"/>
        <item m="1" x="5764"/>
        <item m="1" x="5856"/>
        <item m="1" x="5948"/>
        <item m="1" x="6040"/>
        <item m="1" x="6133"/>
        <item m="1" x="6226"/>
        <item m="1" x="6326"/>
        <item m="1" x="6414"/>
        <item m="1" x="6506"/>
        <item m="1" x="6597"/>
        <item m="1" x="6693"/>
        <item m="1" x="6782"/>
        <item m="1" x="6872"/>
        <item m="1" x="6966"/>
        <item m="1" x="7061"/>
        <item m="1" x="7150"/>
        <item m="1" x="7244"/>
        <item m="1" x="7339"/>
        <item m="1" x="7438"/>
        <item m="1" x="7527"/>
        <item m="1" x="7622"/>
        <item m="1" x="7716"/>
        <item m="1" x="7807"/>
        <item m="1" x="7899"/>
        <item m="1" x="7991"/>
        <item m="1" x="89"/>
        <item m="1" x="183"/>
        <item m="1" x="272"/>
        <item m="1" x="366"/>
        <item m="1" x="459"/>
        <item m="1" x="558"/>
        <item m="1" x="648"/>
        <item m="1" x="744"/>
        <item m="1" x="842"/>
        <item m="1" x="936"/>
        <item m="1" x="1026"/>
        <item m="1" x="1122"/>
        <item m="1" x="1216"/>
        <item m="1" x="1313"/>
        <item m="1" x="1400"/>
        <item m="1" x="1497"/>
        <item m="1" x="1589"/>
        <item m="1" x="1682"/>
        <item m="1" x="1770"/>
        <item m="1" x="1864"/>
        <item m="1" x="1961"/>
        <item m="1" x="2057"/>
        <item m="1" x="2149"/>
        <item m="1" x="2243"/>
        <item m="1" x="2334"/>
        <item m="1" x="2426"/>
        <item m="1" x="2514"/>
        <item m="1" x="2612"/>
        <item m="1" x="2704"/>
        <item m="1" x="2796"/>
        <item m="1" x="2881"/>
        <item m="1" x="2975"/>
        <item m="1" x="3070"/>
        <item m="1" x="3160"/>
        <item m="1" x="3250"/>
        <item m="1" x="3346"/>
        <item m="1" x="3435"/>
        <item m="1" x="3529"/>
        <item m="1" x="3622"/>
        <item m="1" x="3715"/>
        <item m="1" x="3812"/>
        <item m="1" x="3902"/>
        <item m="1" x="3994"/>
        <item m="1" x="4088"/>
        <item m="1" x="4181"/>
        <item m="1" x="4274"/>
        <item m="1" x="4364"/>
        <item m="1" x="4459"/>
        <item m="1" x="4555"/>
        <item m="1" x="4647"/>
        <item m="1" x="4735"/>
        <item m="1" x="4831"/>
        <item m="1" x="4928"/>
        <item m="1" x="5024"/>
        <item m="1" x="5117"/>
        <item m="1" x="5215"/>
        <item m="1" x="5303"/>
        <item m="1" x="5395"/>
        <item m="1" x="5484"/>
        <item m="1" x="5585"/>
        <item m="1" x="5676"/>
        <item m="1" x="5768"/>
        <item m="1" x="5859"/>
        <item m="1" x="5951"/>
        <item m="1" x="6045"/>
        <item m="1" x="6138"/>
        <item m="1" x="6229"/>
        <item m="1" x="6329"/>
        <item m="1" x="6418"/>
        <item m="1" x="6511"/>
        <item m="1" x="6603"/>
        <item m="1" x="6696"/>
        <item m="1" x="6786"/>
        <item m="1" x="6876"/>
        <item m="1" x="6969"/>
        <item m="1" x="7067"/>
        <item m="1" x="7154"/>
        <item m="1" x="7249"/>
        <item m="1" x="7342"/>
        <item m="1" x="7441"/>
        <item m="1" x="7532"/>
        <item m="1" x="7626"/>
        <item m="1" x="7719"/>
        <item m="1" x="7810"/>
        <item m="1" x="7903"/>
        <item m="1" x="7996"/>
        <item m="1" x="92"/>
        <item m="1" x="186"/>
        <item m="1" x="276"/>
        <item m="1" x="370"/>
        <item m="1" x="462"/>
        <item m="1" x="562"/>
        <item m="1" x="653"/>
        <item m="1" x="749"/>
        <item m="1" x="845"/>
        <item m="1" x="939"/>
        <item m="1" x="1031"/>
        <item m="1" x="1127"/>
        <item m="1" x="1219"/>
        <item m="1" x="1316"/>
        <item m="1" x="1404"/>
        <item m="1" x="1502"/>
        <item m="1" x="1594"/>
        <item m="1" x="1684"/>
        <item m="1" x="1773"/>
        <item m="1" x="1867"/>
        <item m="1" x="1963"/>
        <item m="1" x="2060"/>
        <item m="1" x="2152"/>
        <item m="1" x="2248"/>
        <item m="1" x="2336"/>
        <item m="1" x="2428"/>
        <item m="1" x="2519"/>
        <item m="1" x="2615"/>
        <item m="1" x="2706"/>
        <item m="1" x="2798"/>
        <item m="1" x="2884"/>
        <item m="1" x="2979"/>
        <item m="1" x="3072"/>
        <item m="1" x="3162"/>
        <item m="1" x="3254"/>
        <item m="1" x="3349"/>
        <item m="1" x="3437"/>
        <item m="1" x="3533"/>
        <item m="1" x="3627"/>
        <item m="1" x="3720"/>
        <item m="1" x="3814"/>
        <item m="1" x="3904"/>
        <item m="1" x="4000"/>
        <item m="1" x="4093"/>
        <item m="1" x="4183"/>
        <item m="1" x="4276"/>
        <item m="1" x="4367"/>
        <item m="1" x="4463"/>
        <item m="1" x="4559"/>
        <item m="1" x="4649"/>
        <item m="1" x="4739"/>
        <item m="1" x="4834"/>
        <item m="1" x="4930"/>
        <item m="1" x="5027"/>
        <item m="1" x="5120"/>
        <item m="1" x="5219"/>
        <item m="1" x="5305"/>
        <item m="1" x="5397"/>
        <item m="1" x="5490"/>
        <item m="1" x="5588"/>
        <item m="1" x="5678"/>
        <item m="1" x="5770"/>
        <item m="1" x="5862"/>
        <item m="1" x="5954"/>
        <item m="1" x="6047"/>
        <item m="1" x="6139"/>
        <item m="1" x="6233"/>
        <item m="1" x="6331"/>
        <item m="1" x="6420"/>
        <item m="1" x="6513"/>
        <item m="1" x="6607"/>
        <item m="1" x="6698"/>
        <item m="1" x="6788"/>
        <item m="1" x="6877"/>
        <item m="1" x="6975"/>
        <item m="1" x="7070"/>
        <item m="1" x="7156"/>
        <item m="1" x="7251"/>
        <item m="1" x="7345"/>
        <item m="1" x="7443"/>
        <item m="1" x="7536"/>
        <item m="1" x="7627"/>
        <item m="1" x="7723"/>
        <item m="1" x="7813"/>
        <item m="1" x="7906"/>
        <item m="1" x="2"/>
        <item m="1" x="96"/>
        <item m="1" x="189"/>
        <item m="1" x="279"/>
        <item m="1" x="372"/>
        <item m="1" x="470"/>
        <item m="1" x="565"/>
        <item m="1" x="657"/>
        <item m="1" x="752"/>
        <item m="1" x="850"/>
        <item m="1" x="942"/>
        <item m="1" x="1035"/>
        <item m="1" x="1129"/>
        <item m="1" x="1225"/>
        <item m="1" x="1319"/>
        <item m="1" x="1408"/>
        <item m="1" x="1506"/>
        <item m="1" x="1600"/>
        <item m="1" x="1687"/>
        <item m="1" x="1777"/>
        <item m="1" x="1869"/>
        <item m="1" x="1972"/>
        <item m="1" x="2066"/>
        <item m="1" x="2156"/>
        <item m="1" x="2251"/>
        <item m="1" x="2340"/>
        <item m="1" x="2431"/>
        <item m="1" x="2525"/>
        <item m="1" x="2617"/>
        <item m="1" x="2711"/>
        <item m="1" x="2801"/>
        <item m="1" x="2888"/>
        <item m="1" x="2984"/>
        <item m="1" x="3076"/>
        <item m="1" x="3165"/>
        <item m="1" x="3258"/>
        <item m="1" x="3351"/>
        <item m="1" x="3443"/>
        <item m="1" x="3536"/>
        <item m="1" x="3631"/>
        <item m="1" x="3723"/>
        <item m="1" x="3818"/>
        <item m="1" x="3907"/>
        <item m="1" x="1142"/>
        <item m="1" x="1232"/>
        <item m="1" x="1330"/>
        <item m="1" x="1422"/>
        <item m="1" x="1519"/>
        <item m="1" x="1608"/>
        <item m="1" x="1698"/>
        <item m="1" x="1787"/>
        <item m="1" x="1887"/>
        <item m="1" x="1979"/>
        <item m="1" x="2076"/>
        <item m="1" x="2166"/>
        <item m="1" x="2264"/>
        <item m="1" x="2351"/>
        <item m="1" x="2443"/>
        <item m="1" x="2535"/>
        <item m="1" x="2631"/>
        <item m="1" x="2718"/>
        <item m="1" x="2812"/>
        <item m="1" x="2899"/>
        <item m="1" x="2997"/>
        <item m="1" x="3084"/>
        <item m="1" x="3176"/>
        <item m="1" x="3268"/>
        <item m="1" x="3365"/>
        <item m="1" x="3453"/>
        <item m="1" x="3546"/>
        <item m="1" x="3641"/>
        <item m="1" x="3735"/>
        <item m="1" x="3826"/>
        <item m="1" x="3921"/>
        <item m="1" x="4012"/>
        <item m="1" x="4106"/>
        <item m="1" x="4194"/>
        <item m="1" x="4292"/>
        <item m="1" x="4383"/>
        <item m="1" x="4480"/>
        <item m="1" x="4570"/>
        <item m="1" x="4663"/>
        <item m="1" x="4753"/>
        <item m="1" x="4852"/>
        <item m="1" x="4943"/>
        <item m="1" x="5044"/>
        <item m="1" x="5134"/>
        <item m="1" x="5233"/>
        <item m="1" x="5318"/>
        <item m="1" x="5412"/>
        <item m="1" x="5506"/>
        <item m="1" x="5600"/>
        <item m="1" x="5690"/>
        <item m="1" x="5788"/>
        <item m="1" x="5877"/>
        <item m="1" x="5971"/>
        <item m="1" x="6059"/>
        <item m="1" x="6154"/>
        <item m="1" x="6247"/>
        <item m="1" x="6344"/>
        <item m="1" x="6434"/>
        <item m="1" x="6527"/>
        <item m="1" x="6621"/>
        <item m="1" x="6712"/>
        <item m="1" x="6800"/>
        <item m="1" x="6896"/>
        <item m="1" x="6988"/>
        <item m="1" x="7082"/>
        <item m="1" x="7167"/>
        <item m="1" x="7268"/>
        <item m="1" x="7361"/>
        <item m="1" x="7457"/>
        <item m="1" x="7548"/>
        <item m="1" x="7642"/>
        <item m="1" x="7736"/>
        <item m="1" x="7829"/>
        <item m="1" x="7919"/>
        <item m="1" x="20"/>
        <item m="1" x="109"/>
        <item m="1" x="203"/>
        <item m="1" x="293"/>
        <item m="1" x="388"/>
        <item m="1" x="483"/>
        <item m="1" x="577"/>
        <item m="1" x="668"/>
        <item m="1" x="770"/>
        <item m="1" x="863"/>
        <item m="1" x="958"/>
        <item m="1" x="1046"/>
        <item m="1" x="1145"/>
        <item m="1" x="1237"/>
        <item m="1" x="1333"/>
        <item m="1" x="1425"/>
        <item m="1" x="1522"/>
        <item m="1" x="1612"/>
        <item m="1" x="1702"/>
        <item m="1" x="1790"/>
        <item m="1" x="1890"/>
        <item m="1" x="1983"/>
        <item m="1" x="2080"/>
        <item m="1" x="2169"/>
        <item m="1" x="2269"/>
        <item m="1" x="2355"/>
        <item m="1" x="2448"/>
        <item m="1" x="2538"/>
        <item m="1" x="2634"/>
        <item m="1" x="2723"/>
        <item m="1" x="2816"/>
        <item m="1" x="2902"/>
        <item m="1" x="3000"/>
        <item m="1" x="3088"/>
        <item m="1" x="3181"/>
        <item m="1" x="3274"/>
        <item m="1" x="3368"/>
        <item m="1" x="3457"/>
        <item m="1" x="3550"/>
        <item m="1" x="3644"/>
        <item m="1" x="3741"/>
        <item m="1" x="3830"/>
        <item m="1" x="3926"/>
        <item m="1" x="4015"/>
        <item m="1" x="4109"/>
        <item m="1" x="4199"/>
        <item m="1" x="4296"/>
        <item m="1" x="4386"/>
        <item m="1" x="4483"/>
        <item m="1" x="4574"/>
        <item m="1" x="4668"/>
        <item m="1" x="4756"/>
        <item m="1" x="4856"/>
        <item m="1" x="4947"/>
        <item m="1" x="5048"/>
        <item m="1" x="5137"/>
        <item m="1" x="5236"/>
        <item m="1" x="5322"/>
        <item m="1" x="5416"/>
        <item m="1" x="5508"/>
        <item m="1" x="5602"/>
        <item m="1" x="5694"/>
        <item m="1" x="5792"/>
        <item m="1" x="5879"/>
        <item m="1" x="5973"/>
        <item m="1" x="6062"/>
        <item m="1" x="6158"/>
        <item m="1" x="6252"/>
        <item m="1" x="6346"/>
        <item m="1" x="6438"/>
        <item m="1" x="6530"/>
        <item m="1" x="6623"/>
        <item m="1" x="6715"/>
        <item m="1" x="6803"/>
        <item m="1" x="6900"/>
        <item m="1" x="6990"/>
        <item m="1" x="7084"/>
        <item m="1" x="7174"/>
        <item m="1" x="7272"/>
        <item m="1" x="7364"/>
        <item m="1" x="7460"/>
        <item m="1" x="7552"/>
        <item m="1" x="7646"/>
        <item m="1" x="7738"/>
        <item m="1" x="7831"/>
        <item m="1" x="7923"/>
        <item m="1" x="23"/>
        <item m="1" x="111"/>
        <item m="1" x="206"/>
        <item m="1" x="297"/>
        <item m="1" x="392"/>
        <item m="1" x="485"/>
        <item m="1" x="579"/>
        <item m="1" x="674"/>
        <item m="1" x="774"/>
        <item m="1" x="865"/>
        <item m="1" x="960"/>
        <item m="1" x="1049"/>
        <item m="1" x="1149"/>
        <item m="1" x="1241"/>
        <item m="1" x="1335"/>
        <item m="1" x="1429"/>
        <item m="1" x="1525"/>
        <item m="1" x="1614"/>
        <item m="1" x="1704"/>
        <item m="1" x="1793"/>
        <item m="1" x="1893"/>
        <item m="1" x="1985"/>
        <item m="1" x="2081"/>
        <item m="1" x="2175"/>
        <item m="1" x="2271"/>
        <item m="1" x="2357"/>
        <item m="1" x="2450"/>
        <item m="1" x="2542"/>
        <item m="1" x="2636"/>
        <item m="1" x="2725"/>
        <item m="1" x="2818"/>
        <item m="1" x="2906"/>
        <item m="1" x="3002"/>
        <item m="1" x="3090"/>
        <item m="1" x="3184"/>
        <item m="1" x="3279"/>
        <item m="1" x="3370"/>
        <item m="1" x="3459"/>
        <item m="1" x="3552"/>
        <item m="1" x="3651"/>
        <item m="1" x="3746"/>
        <item m="1" x="3833"/>
        <item m="1" x="3929"/>
        <item m="1" x="4020"/>
        <item m="1" x="4112"/>
        <item m="1" x="4204"/>
        <item m="1" x="4298"/>
        <item m="1" x="4392"/>
        <item m="1" x="4486"/>
        <item m="1" x="4578"/>
        <item m="1" x="4673"/>
        <item m="1" x="4762"/>
        <item m="1" x="4859"/>
        <item m="1" x="4951"/>
        <item m="1" x="5050"/>
        <item m="1" x="5145"/>
        <item m="1" x="5239"/>
        <item m="1" x="5326"/>
        <item m="1" x="5419"/>
        <item m="1" x="5514"/>
        <item m="1" x="5605"/>
        <item m="1" x="5698"/>
        <item m="1" x="5794"/>
        <item m="1" x="5884"/>
        <item m="1" x="5976"/>
        <item m="1" x="6066"/>
        <item m="1" x="6162"/>
        <item m="1" x="6258"/>
        <item m="1" x="6349"/>
        <item m="1" x="6442"/>
        <item m="1" x="6532"/>
        <item m="1" x="6629"/>
        <item m="1" x="6719"/>
        <item m="1" x="6807"/>
        <item m="1" x="6903"/>
        <item m="1" x="6995"/>
        <item m="1" x="7087"/>
        <item m="1" x="7180"/>
        <item m="1" x="7274"/>
        <item m="1" x="7369"/>
        <item m="1" x="7463"/>
        <item m="1" x="7556"/>
        <item m="1" x="7651"/>
        <item m="1" x="4770"/>
        <item m="1" x="4870"/>
        <item m="1" x="4962"/>
        <item m="1" x="5064"/>
        <item m="1" x="5155"/>
        <item m="1" x="5249"/>
        <item m="1" x="5336"/>
        <item m="1" x="5432"/>
        <item m="1" x="5522"/>
        <item m="1" x="5618"/>
        <item m="1" x="5708"/>
        <item m="1" x="5807"/>
        <item m="1" x="5891"/>
        <item m="1" x="5988"/>
        <item m="1" x="6081"/>
        <item m="1" x="6176"/>
        <item m="1" x="6267"/>
        <item m="1" x="6361"/>
        <item m="1" x="6453"/>
        <item m="1" x="6549"/>
        <item m="1" x="6636"/>
        <item m="1" x="6729"/>
        <item m="1" x="6817"/>
        <item m="1" x="6916"/>
        <item m="1" x="7005"/>
        <item m="1" x="7098"/>
        <item m="1" x="7190"/>
        <item m="1" x="7286"/>
        <item m="1" x="7376"/>
        <item m="1" x="7476"/>
        <item m="1" x="7567"/>
        <item m="1" x="7666"/>
        <item m="1" x="7750"/>
        <item m="1" x="7846"/>
        <item m="1" x="7937"/>
        <item m="1" x="38"/>
        <item m="1" x="125"/>
        <item m="1" x="220"/>
        <item m="1" x="310"/>
        <item m="1" x="407"/>
        <item m="1" x="498"/>
        <item m="1" x="597"/>
        <item m="1" x="688"/>
        <item m="1" x="788"/>
        <item m="1" x="876"/>
        <item m="1" x="977"/>
        <item m="1" x="1067"/>
        <item m="1" x="1164"/>
        <item m="1" x="1255"/>
        <item m="1" x="1350"/>
        <item m="1" x="1444"/>
        <item m="1" x="1541"/>
        <item m="1" x="1627"/>
        <item m="1" x="1721"/>
        <item m="1" x="1807"/>
        <item m="1" x="1907"/>
        <item m="1" x="2000"/>
        <item m="1" x="2097"/>
        <item m="1" x="2191"/>
        <item m="1" x="2282"/>
        <item m="1" x="2369"/>
        <item m="1" x="2468"/>
        <item m="1" x="2557"/>
        <item m="1" x="2652"/>
        <item m="1" x="2738"/>
        <item m="1" x="2833"/>
        <item m="1" x="2920"/>
        <item m="1" x="3015"/>
        <item m="1" x="3105"/>
        <item m="1" x="3199"/>
        <item m="1" x="3292"/>
        <item m="1" x="3384"/>
        <item m="1" x="3472"/>
        <item m="1" x="3571"/>
        <item m="1" x="3663"/>
        <item m="1" x="3758"/>
        <item m="1" x="3845"/>
        <item m="1" x="3946"/>
        <item m="1" x="4035"/>
        <item m="1" x="4126"/>
        <item m="1" x="4217"/>
        <item m="1" x="4313"/>
        <item m="1" x="4404"/>
        <item m="1" x="4501"/>
        <item m="1" x="4590"/>
        <item m="1" x="4689"/>
        <item m="1" x="4774"/>
        <item m="1" x="4874"/>
        <item m="1" x="4968"/>
        <item m="1" x="5067"/>
        <item m="1" x="5159"/>
        <item m="1" x="5252"/>
        <item m="1" x="5339"/>
        <item m="1" x="5438"/>
        <item m="1" x="5526"/>
        <item m="1" x="5623"/>
        <item m="1" x="5711"/>
        <item m="1" x="5810"/>
        <item m="1" x="5896"/>
        <item m="1" x="5992"/>
        <item m="1" x="6084"/>
        <item m="1" x="6179"/>
        <item m="1" x="6271"/>
        <item m="1" x="6366"/>
        <item m="1" x="6456"/>
        <item m="1" x="6552"/>
        <item m="1" x="6640"/>
        <item m="1" x="6733"/>
        <item m="1" x="6820"/>
        <item m="1" x="6921"/>
        <item m="1" x="7009"/>
        <item m="1" x="7103"/>
        <item m="1" x="7193"/>
        <item m="1" x="7289"/>
        <item m="1" x="7381"/>
        <item m="1" x="7481"/>
        <item m="1" x="7570"/>
        <item m="1" x="7669"/>
        <item m="1" x="7754"/>
        <item m="1" x="7851"/>
        <item m="1" x="7942"/>
        <item m="1" x="41"/>
        <item m="1" x="129"/>
        <item m="1" x="224"/>
        <item m="1" x="313"/>
        <item m="1" x="412"/>
        <item m="1" x="502"/>
        <item m="1" x="602"/>
        <item m="1" x="691"/>
        <item m="1" x="791"/>
        <item m="1" x="881"/>
        <item m="1" x="980"/>
        <item m="1" x="1069"/>
        <item m="1" x="1166"/>
        <item m="1" x="1258"/>
        <item m="1" x="1354"/>
        <item m="1" x="1446"/>
        <item m="1" x="1543"/>
        <item m="1" x="1630"/>
        <item m="1" x="1724"/>
        <item m="1" x="1809"/>
        <item m="1" x="1910"/>
        <item m="1" x="2004"/>
        <item m="1" x="2101"/>
        <item m="1" x="2193"/>
        <item m="1" x="2284"/>
        <item m="1" x="2374"/>
        <item m="1" x="2472"/>
        <item m="1" x="2559"/>
        <item m="1" x="2654"/>
        <item m="1" x="2742"/>
        <item m="1" x="2837"/>
        <item m="1" x="2925"/>
        <item m="1" x="3017"/>
        <item m="1" x="3109"/>
        <item m="1" x="3202"/>
        <item m="1" x="3294"/>
        <item m="1" x="3387"/>
        <item m="1" x="3476"/>
        <item m="1" x="3575"/>
        <item m="1" x="3665"/>
        <item m="1" x="3760"/>
        <item m="1" x="3851"/>
        <item m="1" x="3949"/>
        <item m="1" x="4037"/>
        <item m="1" x="4128"/>
        <item m="1" x="4221"/>
        <item m="1" x="4317"/>
        <item m="1" x="4406"/>
        <item m="1" x="4504"/>
        <item m="1" x="4594"/>
        <item m="1" x="4692"/>
        <item m="1" x="4776"/>
        <item m="1" x="4877"/>
        <item m="1" x="4973"/>
        <item m="1" x="5071"/>
        <item m="1" x="5161"/>
        <item m="1" x="5253"/>
        <item m="1" x="5345"/>
        <item m="1" x="5441"/>
        <item m="1" x="5528"/>
        <item m="1" x="5624"/>
        <item m="1" x="5715"/>
        <item m="1" x="5813"/>
        <item m="1" x="5900"/>
        <item m="1" x="5993"/>
        <item m="1" x="6088"/>
        <item m="1" x="6181"/>
        <item m="1" x="6273"/>
        <item m="1" x="6369"/>
        <item m="1" x="6460"/>
        <item m="1" x="6554"/>
        <item m="1" x="6642"/>
        <item m="1" x="6734"/>
        <item m="1" x="6826"/>
        <item m="1" x="6923"/>
        <item m="1" x="7012"/>
        <item m="1" x="7105"/>
        <item m="1" x="7198"/>
        <item m="1" x="7292"/>
        <item m="1" x="7384"/>
        <item m="1" x="7483"/>
        <item m="1" x="7575"/>
        <item m="1" x="7672"/>
        <item m="1" x="7757"/>
        <item m="1" x="7855"/>
        <item m="1" x="7949"/>
        <item m="1" x="44"/>
        <item m="1" x="133"/>
        <item m="1" x="226"/>
        <item m="1" x="321"/>
        <item m="1" x="416"/>
        <item m="1" x="506"/>
        <item m="1" x="605"/>
        <item m="1" x="697"/>
        <item m="1" x="794"/>
        <item m="1" x="887"/>
        <item m="1" x="982"/>
        <item m="1" x="1076"/>
        <item m="1" x="1170"/>
        <item m="1" x="1262"/>
        <item m="1" x="1359"/>
        <item m="1" x="1452"/>
        <item m="1" x="1546"/>
        <item m="1" x="1634"/>
        <item m="1" x="1726"/>
        <item m="1" x="1816"/>
        <item m="1" x="1913"/>
        <item m="1" x="2008"/>
        <item m="1" x="2104"/>
        <item m="1" x="2198"/>
        <item m="1" x="2287"/>
        <item m="1" x="2378"/>
        <item m="1" x="2474"/>
        <item m="1" x="2564"/>
        <item m="1" x="2657"/>
        <item m="1" x="2746"/>
        <item m="1" x="2841"/>
        <item m="1" x="2931"/>
        <item m="1" x="3020"/>
        <item m="1" x="3113"/>
        <item m="1" x="3204"/>
        <item m="1" x="3300"/>
        <item m="1" x="427"/>
        <item m="1" x="515"/>
        <item m="1" x="618"/>
        <item m="1" x="708"/>
        <item m="1" x="805"/>
        <item m="1" x="899"/>
        <item m="1" x="995"/>
        <item m="1" x="1083"/>
        <item m="1" x="1182"/>
        <item m="1" x="1273"/>
        <item m="1" x="1374"/>
        <item m="1" x="1460"/>
        <item m="1" x="1557"/>
        <item m="1" x="1645"/>
        <item m="1" x="1740"/>
        <item m="1" x="1827"/>
        <item m="1" x="1924"/>
        <item m="1" x="2019"/>
        <item m="1" x="2117"/>
        <item m="1" x="2206"/>
        <item m="1" x="2299"/>
        <item m="1" x="2389"/>
        <item m="1" x="2487"/>
        <item m="1" x="2571"/>
        <item m="1" x="2668"/>
        <item m="1" x="2760"/>
        <item m="1" x="2853"/>
        <item m="1" x="2939"/>
        <item m="1" x="3031"/>
        <item m="1" x="3124"/>
        <item m="1" x="3220"/>
        <item m="1" x="3307"/>
        <item m="1" x="3402"/>
        <item m="1" x="3490"/>
        <item m="1" x="3591"/>
        <item m="1" x="3679"/>
        <item m="1" x="3774"/>
        <item m="1" x="3867"/>
        <item m="1" x="3963"/>
        <item m="1" x="4048"/>
        <item m="1" x="4145"/>
        <item m="1" x="4235"/>
        <item m="1" x="4334"/>
        <item m="1" x="4419"/>
        <item m="1" x="4520"/>
        <item m="1" x="4608"/>
        <item m="1" x="4705"/>
        <item m="1" x="4791"/>
        <item m="1" x="4892"/>
        <item m="1" x="4987"/>
        <item m="1" x="5085"/>
        <item m="1" x="5174"/>
        <item m="1" x="5270"/>
        <item m="1" x="5360"/>
        <item m="1" x="5453"/>
        <item m="1" x="5540"/>
        <item m="1" x="5641"/>
        <item m="1" x="5733"/>
        <item m="1" x="5827"/>
        <item m="1" x="5913"/>
        <item m="1" x="6008"/>
        <item m="1" x="6103"/>
        <item m="1" x="6197"/>
        <item m="1" x="6286"/>
        <item m="1" x="6386"/>
        <item m="1" x="6474"/>
        <item m="1" x="6568"/>
        <item m="1" x="6657"/>
        <item m="1" x="6750"/>
        <item m="1" x="6842"/>
        <item m="1" x="6935"/>
        <item m="1" x="7024"/>
        <item m="1" x="7123"/>
        <item m="1" x="7212"/>
        <item m="1" x="7309"/>
        <item m="1" x="7398"/>
        <item m="1" x="7498"/>
        <item m="1" x="7588"/>
        <item m="1" x="7685"/>
        <item m="1" x="7771"/>
        <item m="1" x="7870"/>
        <item m="1" x="7961"/>
        <item m="1" x="58"/>
        <item m="1" x="146"/>
        <item m="1" x="245"/>
        <item m="1" x="333"/>
        <item m="1" x="430"/>
        <item m="1" x="518"/>
        <item m="1" x="623"/>
        <item m="1" x="714"/>
        <item m="1" x="809"/>
        <item m="1" x="902"/>
        <item m="1" x="998"/>
        <item m="1" x="1088"/>
        <item m="1" x="1187"/>
        <item m="1" x="1276"/>
        <item m="1" x="1377"/>
        <item m="1" x="1464"/>
        <item m="1" x="1562"/>
        <item m="1" x="1651"/>
        <item m="1" x="1743"/>
        <item m="1" x="1832"/>
        <item m="1" x="1928"/>
        <item m="1" x="2022"/>
        <item m="1" x="2123"/>
        <item m="1" x="2210"/>
        <item m="1" x="2304"/>
        <item m="1" x="2392"/>
        <item m="1" x="2490"/>
        <item m="1" x="2576"/>
        <item m="1" x="2672"/>
        <item m="1" x="2763"/>
        <item m="1" x="2856"/>
        <item m="1" x="2943"/>
        <item m="1" x="3036"/>
        <item m="1" x="3127"/>
        <item m="1" x="3223"/>
        <item m="1" x="3312"/>
        <item m="1" x="3406"/>
        <item m="1" x="3493"/>
        <item m="1" x="3595"/>
        <item m="1" x="3683"/>
        <item m="1" x="3779"/>
        <item m="1" x="3870"/>
        <item m="1" x="3966"/>
        <item m="1" x="4053"/>
        <item m="1" x="4150"/>
        <item m="1" x="4238"/>
        <item m="1" x="4337"/>
        <item m="1" x="4423"/>
        <item m="1" x="4525"/>
        <item m="1" x="4613"/>
        <item m="1" x="4707"/>
        <item m="1" x="4795"/>
        <item m="1" x="4895"/>
        <item m="1" x="4989"/>
        <item m="1" x="5088"/>
        <item m="1" x="5177"/>
        <item m="1" x="5274"/>
        <item m="1" x="5362"/>
        <item m="1" x="5455"/>
        <item m="1" x="5545"/>
        <item m="1" x="5644"/>
        <item m="1" x="5735"/>
        <item m="1" x="5829"/>
        <item m="1" x="5917"/>
        <item m="1" x="6012"/>
        <item m="1" x="6105"/>
        <item m="1" x="6199"/>
        <item m="1" x="6291"/>
        <item m="1" x="6389"/>
        <item m="1" x="6476"/>
        <item m="1" x="6571"/>
        <item m="1" x="6661"/>
        <item m="1" x="6754"/>
        <item m="1" x="6844"/>
        <item m="1" x="6937"/>
        <item m="1" x="7030"/>
        <item m="1" x="7128"/>
        <item m="1" x="7214"/>
        <item m="1" x="7311"/>
        <item m="1" x="7402"/>
        <item m="1" x="7502"/>
        <item m="1" x="7592"/>
        <item m="1" x="7687"/>
        <item m="1" x="7776"/>
        <item m="1" x="7873"/>
        <item m="1" x="7963"/>
        <item m="1" x="61"/>
        <item m="1" x="150"/>
        <item m="1" x="249"/>
        <item m="1" x="335"/>
        <item m="1" x="432"/>
        <item m="1" x="524"/>
        <item m="1" x="626"/>
        <item m="1" x="716"/>
        <item m="1" x="811"/>
        <item m="1" x="906"/>
        <item m="1" x="1001"/>
        <item m="1" x="1090"/>
        <item m="1" x="1188"/>
        <item m="1" x="1281"/>
        <item m="1" x="1379"/>
        <item m="1" x="1466"/>
        <item m="1" x="1564"/>
        <item m="1" x="1655"/>
        <item m="1" x="1745"/>
        <item m="1" x="1834"/>
        <item m="1" x="1929"/>
        <item m="1" x="2028"/>
        <item m="1" x="2127"/>
        <item m="1" x="2212"/>
        <item m="1" x="2306"/>
        <item m="1" x="2396"/>
        <item m="1" x="2492"/>
        <item m="1" x="2580"/>
        <item m="1" x="2673"/>
        <item m="1" x="2768"/>
        <item m="1" x="2858"/>
        <item m="1" x="2946"/>
        <item m="1" x="3041"/>
        <item m="1" x="3132"/>
        <item m="1" x="3227"/>
        <item m="1" x="3315"/>
        <item m="1" x="3408"/>
        <item m="1" x="3500"/>
        <item m="1" x="3598"/>
        <item m="1" x="3687"/>
        <item m="1" x="3782"/>
        <item m="1" x="3876"/>
        <item m="1" x="3969"/>
        <item m="1" x="4057"/>
        <item m="1" x="4153"/>
        <item m="1" x="4245"/>
        <item m="1" x="4340"/>
        <item m="1" x="4427"/>
        <item m="1" x="4529"/>
        <item m="1" x="4620"/>
        <item m="1" x="4710"/>
        <item m="1" x="4800"/>
        <item m="1" x="4898"/>
        <item m="1" x="4998"/>
        <item m="1" x="5093"/>
        <item m="1" x="5181"/>
        <item m="1" x="5277"/>
        <item m="1" x="5367"/>
        <item m="1" x="5458"/>
        <item m="1" x="5551"/>
        <item m="1" x="5646"/>
        <item m="1" x="5741"/>
        <item m="1" x="5832"/>
        <item m="1" x="5921"/>
        <item m="1" x="6017"/>
        <item m="1" x="6110"/>
        <item m="1" x="6202"/>
        <item m="1" x="6295"/>
        <item m="1" x="6391"/>
        <item m="1" x="6482"/>
        <item m="1" x="6574"/>
        <item m="1" x="6665"/>
        <item m="1" x="6757"/>
        <item m="1" x="6849"/>
        <item m="1" x="6940"/>
        <item m="1" x="7034"/>
        <item m="1" x="4166"/>
        <item m="1" x="4255"/>
        <item m="1" x="4351"/>
        <item m="1" x="4443"/>
        <item m="1" x="4542"/>
        <item m="1" x="4632"/>
        <item m="1" x="4721"/>
        <item m="1" x="4814"/>
        <item m="1" x="4914"/>
        <item m="1" x="5008"/>
        <item m="1" x="5103"/>
        <item m="1" x="5194"/>
        <item m="1" x="5290"/>
        <item m="1" x="5380"/>
        <item m="1" x="5469"/>
        <item m="1" x="5566"/>
        <item m="1" x="5659"/>
        <item m="1" x="5751"/>
        <item m="1" x="5843"/>
        <item m="1" x="5934"/>
        <item m="1" x="6032"/>
        <item m="1" x="6120"/>
        <item m="1" x="6213"/>
        <item m="1" x="6308"/>
        <item m="1" x="6405"/>
        <item m="1" x="6493"/>
        <item m="1" x="6584"/>
        <item m="1" x="6677"/>
        <item m="1" x="6769"/>
        <item m="1" x="6860"/>
        <item m="1" x="6954"/>
        <item m="1" x="7047"/>
        <item m="1" x="7141"/>
        <item m="1" x="7229"/>
        <item m="1" x="7328"/>
        <item m="1" x="7423"/>
        <item m="1" x="7519"/>
        <item m="1" x="7609"/>
        <item m="1" x="7701"/>
        <item m="1" x="7793"/>
        <item m="1" x="7890"/>
        <item m="1" x="7978"/>
        <item m="1" x="77"/>
        <item m="1" x="166"/>
        <item m="1" x="263"/>
        <item m="1" x="352"/>
        <item m="1" x="447"/>
        <item m="1" x="545"/>
        <item m="1" x="638"/>
        <item m="1" x="731"/>
        <item m="1" x="829"/>
        <item m="1" x="924"/>
        <item m="1" x="1019"/>
        <item m="1" x="1106"/>
        <item m="1" x="1203"/>
        <item m="1" x="1299"/>
        <item m="1" x="1392"/>
        <item m="1" x="1484"/>
        <item m="1" x="1578"/>
        <item m="1" x="1671"/>
        <item m="1" x="1759"/>
        <item m="1" x="1851"/>
        <item m="1" x="1949"/>
        <item m="1" x="2046"/>
        <item m="1" x="2140"/>
        <item m="1" x="2226"/>
        <item m="1" x="2323"/>
        <item m="1" x="2416"/>
        <item m="1" x="2506"/>
        <item m="1" x="2597"/>
        <item m="1" x="2688"/>
        <item m="1" x="2785"/>
        <item m="1" x="2873"/>
        <item m="1" x="2962"/>
        <item m="1" x="3058"/>
        <item m="1" x="3148"/>
        <item m="1" x="3241"/>
        <item m="1" x="3333"/>
        <item m="1" x="3424"/>
        <item m="1" x="3518"/>
        <item m="1" x="3610"/>
        <item m="1" x="3701"/>
        <item m="1" x="3800"/>
        <item m="1" x="3892"/>
        <item m="1" x="3985"/>
        <item m="1" x="4073"/>
        <item m="1" x="4169"/>
        <item m="1" x="4260"/>
        <item m="1" x="4354"/>
        <item m="1" x="4446"/>
        <item m="1" x="4545"/>
        <item m="1" x="4636"/>
        <item m="1" x="4725"/>
        <item m="1" x="4818"/>
        <item m="1" x="4918"/>
        <item m="1" x="5013"/>
        <item m="1" x="5107"/>
        <item m="1" x="5197"/>
        <item m="1" x="5295"/>
        <item m="1" x="5384"/>
        <item m="1" x="5474"/>
        <item m="1" x="5569"/>
        <item m="1" x="5662"/>
        <item m="1" x="5756"/>
        <item m="1" x="5849"/>
        <item m="1" x="5937"/>
        <item m="1" x="6035"/>
        <item m="1" x="6124"/>
        <item m="1" x="6218"/>
        <item m="1" x="6314"/>
        <item m="1" x="6408"/>
        <item m="1" x="6498"/>
        <item m="1" x="6588"/>
        <item m="1" x="6680"/>
        <item m="1" x="6775"/>
        <item m="1" x="6864"/>
        <item m="1" x="6959"/>
        <item m="1" x="7050"/>
        <item m="1" x="7144"/>
        <item m="1" x="7234"/>
        <item m="1" x="7332"/>
        <item m="1" x="7427"/>
        <item m="1" x="7522"/>
        <item m="1" x="7613"/>
        <item m="1" x="7706"/>
        <item m="1" x="7797"/>
        <item m="1" x="7893"/>
        <item m="1" x="7983"/>
        <item m="1" x="81"/>
        <item m="1" x="169"/>
        <item m="1" x="267"/>
        <item m="1" x="357"/>
        <item m="1" x="451"/>
        <item m="1" x="547"/>
        <item m="1" x="640"/>
        <item m="1" x="735"/>
        <item m="1" x="834"/>
        <item m="1" x="926"/>
        <item m="1" x="1021"/>
        <item m="1" x="1109"/>
        <item m="1" x="1207"/>
        <item m="1" x="1304"/>
        <item m="1" x="1394"/>
        <item m="1" x="1489"/>
        <item m="1" x="1581"/>
        <item m="1" x="1673"/>
        <item m="1" x="1762"/>
        <item m="1" x="1855"/>
        <item m="1" x="1953"/>
        <item m="1" x="2048"/>
        <item m="1" x="2142"/>
        <item m="1" x="2232"/>
        <item m="1" x="2326"/>
        <item m="1" x="2418"/>
        <item m="1" x="2508"/>
        <item m="1" x="2601"/>
        <item m="1" x="2692"/>
        <item m="1" x="2788"/>
        <item m="1" x="2875"/>
        <item m="1" x="2967"/>
        <item m="1" x="3061"/>
        <item m="1" x="3150"/>
        <item m="1" x="3244"/>
        <item m="1" x="3337"/>
        <item m="1" x="3428"/>
        <item m="1" x="3520"/>
        <item m="1" x="3612"/>
        <item m="1" x="3707"/>
        <item m="1" x="3804"/>
        <item m="1" x="3894"/>
        <item m="1" x="3987"/>
        <item m="1" x="4077"/>
        <item m="1" x="4173"/>
        <item m="1" x="4264"/>
        <item m="1" x="4356"/>
        <item m="1" x="4451"/>
        <item m="1" x="4548"/>
        <item m="1" x="4638"/>
        <item m="1" x="4727"/>
        <item m="1" x="4822"/>
        <item m="1" x="4921"/>
        <item m="1" x="5015"/>
        <item m="1" x="5108"/>
        <item m="1" x="5203"/>
        <item m="1" x="5297"/>
        <item m="1" x="5386"/>
        <item m="1" x="5476"/>
        <item m="1" x="5573"/>
        <item m="1" x="5664"/>
        <item m="1" x="5758"/>
        <item m="1" x="5850"/>
        <item m="1" x="5942"/>
        <item m="1" x="6037"/>
        <item m="1" x="6126"/>
        <item m="1" x="6221"/>
        <item m="1" x="6318"/>
        <item m="1" x="6410"/>
        <item m="1" x="6500"/>
        <item m="1" x="6590"/>
        <item m="1" x="6687"/>
        <item m="1" x="6779"/>
        <item m="1" x="6866"/>
        <item m="1" x="6961"/>
        <item m="1" x="7054"/>
        <item m="1" x="7146"/>
        <item m="1" x="7238"/>
        <item m="1" x="7333"/>
        <item m="1" x="7433"/>
        <item m="1" x="7524"/>
        <item m="1" x="7616"/>
        <item m="1" x="7710"/>
        <item m="1" x="7802"/>
        <item m="1" x="7895"/>
        <item m="1" x="7986"/>
        <item m="1" x="82"/>
        <item m="1" x="176"/>
        <item m="1" x="269"/>
        <item m="1" x="360"/>
        <item m="1" x="454"/>
        <item m="1" x="553"/>
        <item m="1" x="643"/>
        <item m="1" x="739"/>
        <item m="1" x="836"/>
        <item m="1" x="932"/>
        <item m="1" x="1023"/>
        <item m="1" x="1112"/>
        <item m="1" x="1210"/>
        <item m="1" x="1308"/>
        <item m="1" x="1396"/>
        <item m="1" x="1492"/>
        <item m="1" x="1582"/>
        <item m="1" x="1678"/>
        <item m="1" x="1766"/>
        <item m="1" x="1858"/>
        <item m="1" x="1955"/>
        <item m="1" x="2052"/>
        <item m="1" x="2144"/>
        <item m="1" x="2237"/>
        <item m="1" x="2327"/>
        <item m="1" x="2422"/>
        <item m="1" x="2510"/>
        <item m="1" x="2604"/>
        <item m="1" x="2696"/>
        <item m="1" x="7811"/>
        <item m="1" x="7904"/>
        <item m="1" x="7998"/>
        <item m="1" x="94"/>
        <item m="1" x="187"/>
        <item m="1" x="277"/>
        <item m="1" x="371"/>
        <item m="1" x="465"/>
        <item m="1" x="563"/>
        <item m="1" x="654"/>
        <item m="1" x="751"/>
        <item m="1" x="847"/>
        <item m="1" x="940"/>
        <item m="1" x="1032"/>
        <item m="1" x="1128"/>
        <item m="1" x="1222"/>
        <item m="1" x="1317"/>
        <item m="1" x="1405"/>
        <item m="1" x="1504"/>
        <item m="1" x="1597"/>
        <item m="1" x="1685"/>
        <item m="1" x="1774"/>
        <item m="1" x="1868"/>
        <item m="1" x="1967"/>
        <item m="1" x="2063"/>
        <item m="1" x="2153"/>
        <item m="1" x="2250"/>
        <item m="1" x="2337"/>
        <item m="1" x="2429"/>
        <item m="1" x="2521"/>
        <item m="1" x="2616"/>
        <item m="1" x="2708"/>
        <item m="1" x="2799"/>
        <item m="1" x="2885"/>
        <item m="1" x="2981"/>
        <item m="1" x="3073"/>
        <item m="1" x="3163"/>
        <item m="1" x="3255"/>
        <item m="1" x="3350"/>
        <item m="1" x="3439"/>
        <item m="1" x="3534"/>
        <item m="1" x="3628"/>
        <item m="1" x="3722"/>
        <item m="1" x="3815"/>
        <item m="1" x="3905"/>
        <item m="1" x="4001"/>
        <item m="1" x="4094"/>
        <item m="1" x="4185"/>
        <item m="1" x="4278"/>
        <item m="1" x="4368"/>
        <item m="1" x="4466"/>
        <item m="1" x="4560"/>
        <item m="1" x="4651"/>
        <item m="1" x="4740"/>
        <item m="1" x="4836"/>
        <item m="1" x="4932"/>
        <item m="1" x="5030"/>
        <item m="1" x="5121"/>
        <item m="1" x="5222"/>
        <item m="1" x="5306"/>
        <item m="1" x="5399"/>
        <item m="1" x="5492"/>
        <item m="1" x="5590"/>
        <item m="1" x="5680"/>
        <item m="1" x="5772"/>
        <item m="1" x="5863"/>
        <item m="1" x="5957"/>
        <item m="1" x="6048"/>
        <item m="1" x="6141"/>
        <item m="1" x="6234"/>
        <item m="1" x="6333"/>
        <item m="1" x="6422"/>
        <item m="1" x="6515"/>
        <item m="1" x="6608"/>
        <item m="1" x="6701"/>
        <item m="1" x="6789"/>
        <item m="1" x="6879"/>
        <item m="1" x="6976"/>
        <item m="1" x="7072"/>
        <item m="1" x="7158"/>
        <item m="1" x="7253"/>
        <item m="1" x="7346"/>
        <item m="1" x="7446"/>
        <item m="1" x="7537"/>
        <item m="1" x="7629"/>
        <item m="1" x="7724"/>
        <item m="1" x="7815"/>
        <item m="1" x="7908"/>
        <item m="1" x="5"/>
        <item m="1" x="97"/>
        <item m="1" x="192"/>
        <item m="1" x="280"/>
        <item m="1" x="374"/>
        <item m="1" x="472"/>
        <item m="1" x="567"/>
        <item m="1" x="659"/>
        <item m="1" x="754"/>
        <item m="1" x="851"/>
        <item m="1" x="945"/>
        <item m="1" x="1036"/>
        <item m="1" x="1131"/>
        <item m="1" x="1226"/>
        <item m="1" x="1321"/>
        <item m="1" x="1410"/>
        <item m="1" x="1508"/>
        <item m="1" x="1601"/>
        <item m="1" x="1690"/>
        <item m="1" x="1778"/>
        <item m="1" x="1871"/>
        <item m="1" x="1973"/>
        <item m="1" x="2068"/>
        <item m="1" x="2158"/>
        <item m="1" x="2253"/>
        <item m="1" x="2341"/>
        <item m="1" x="2434"/>
        <item m="1" x="2526"/>
        <item m="1" x="2619"/>
        <item m="1" x="2712"/>
        <item m="1" x="2803"/>
        <item m="1" x="2890"/>
        <item m="1" x="2986"/>
        <item m="1" x="3077"/>
        <item m="1" x="3168"/>
        <item m="1" x="3259"/>
        <item m="1" x="3353"/>
        <item m="1" x="3445"/>
        <item m="1" x="3538"/>
        <item m="1" x="3633"/>
        <item m="1" x="3725"/>
        <item m="1" x="3819"/>
        <item m="1" x="3910"/>
        <item m="1" x="4004"/>
        <item m="1" x="4096"/>
        <item m="1" x="4188"/>
        <item m="1" x="4281"/>
        <item m="1" x="4372"/>
        <item m="1" x="4469"/>
        <item m="1" x="4563"/>
        <item m="1" x="4655"/>
        <item m="1" x="4743"/>
        <item m="1" x="4838"/>
        <item m="1" x="4936"/>
        <item m="1" x="5034"/>
        <item m="1" x="5125"/>
        <item m="1" x="5224"/>
        <item m="1" x="5309"/>
        <item m="1" x="5404"/>
        <item m="1" x="5497"/>
        <item m="1" x="5592"/>
        <item m="1" x="5683"/>
        <item m="1" x="5776"/>
        <item m="1" x="5867"/>
        <item m="1" x="5962"/>
        <item m="1" x="6051"/>
        <item m="1" x="6146"/>
        <item m="1" x="6237"/>
        <item m="1" x="6335"/>
        <item m="1" x="6426"/>
        <item m="1" x="6519"/>
        <item m="1" x="6612"/>
        <item m="1" x="6703"/>
        <item m="1" x="6792"/>
        <item m="1" x="6885"/>
        <item m="1" x="6979"/>
        <item m="1" x="7074"/>
        <item m="1" x="7161"/>
        <item m="1" x="7257"/>
        <item m="1" x="7350"/>
        <item m="1" x="7448"/>
        <item m="1" x="7540"/>
        <item m="1" x="7634"/>
        <item m="1" x="7727"/>
        <item m="1" x="7817"/>
        <item m="1" x="7912"/>
        <item m="1" x="11"/>
        <item m="1" x="101"/>
        <item m="1" x="194"/>
        <item m="1" x="283"/>
        <item m="1" x="380"/>
        <item m="1" x="476"/>
        <item m="1" x="569"/>
        <item m="1" x="661"/>
        <item m="1" x="758"/>
        <item m="1" x="854"/>
        <item m="1" x="949"/>
        <item m="1" x="1038"/>
        <item m="1" x="1136"/>
        <item m="1" x="1228"/>
        <item m="1" x="1323"/>
        <item m="1" x="1414"/>
        <item m="1" x="1512"/>
        <item m="1" x="1603"/>
        <item m="1" x="1692"/>
        <item m="1" x="1780"/>
        <item m="1" x="1877"/>
        <item m="1" x="1975"/>
        <item m="1" x="2070"/>
        <item m="1" x="2161"/>
        <item m="1" x="2257"/>
        <item m="1" x="2344"/>
        <item m="1" x="2437"/>
        <item m="1" x="2529"/>
        <item m="1" x="2625"/>
        <item m="1" x="2714"/>
        <item m="1" x="2805"/>
        <item m="1" x="2894"/>
        <item m="1" x="2991"/>
        <item m="1" x="3079"/>
        <item m="1" x="3171"/>
        <item m="1" x="3261"/>
        <item m="1" x="3360"/>
        <item m="1" x="3448"/>
        <item m="1" x="3541"/>
        <item m="1" x="3636"/>
        <item m="1" x="3730"/>
        <item m="1" x="3821"/>
        <item m="1" x="3915"/>
        <item m="1" x="4006"/>
        <item m="1" x="4102"/>
        <item m="1" x="4190"/>
        <item m="1" x="4284"/>
        <item m="1" x="4377"/>
        <item m="1" x="4475"/>
        <item m="1" x="4565"/>
        <item m="1" x="4658"/>
        <item m="1" x="4745"/>
        <item m="1" x="4844"/>
        <item m="1" x="4938"/>
        <item m="1" x="5037"/>
        <item m="1" x="5128"/>
        <item m="1" x="5228"/>
        <item m="1" x="5311"/>
        <item m="1" x="5407"/>
        <item m="1" x="5499"/>
        <item m="1" x="5596"/>
        <item m="1" x="5685"/>
        <item m="1" x="5779"/>
        <item m="1" x="5871"/>
        <item m="1" x="5966"/>
        <item m="1" x="6053"/>
        <item m="1" x="6149"/>
        <item m="1" x="6239"/>
        <item m="1" x="6340"/>
        <item m="1" x="3551"/>
        <item m="1" x="3647"/>
        <item m="1" x="3743"/>
        <item m="1" x="3831"/>
        <item m="1" x="3928"/>
        <item m="1" x="4018"/>
        <item m="1" x="4110"/>
        <item m="1" x="4201"/>
        <item m="1" x="4297"/>
        <item m="1" x="4389"/>
        <item m="1" x="4484"/>
        <item m="1" x="4575"/>
        <item m="1" x="4670"/>
        <item m="1" x="4759"/>
        <item m="1" x="4857"/>
        <item m="1" x="4948"/>
        <item m="1" x="5049"/>
        <item m="1" x="5140"/>
        <item m="1" x="5237"/>
        <item m="1" x="5323"/>
        <item m="1" x="5418"/>
        <item m="1" x="5511"/>
        <item m="1" x="5603"/>
        <item m="1" x="5695"/>
        <item m="1" x="5793"/>
        <item m="1" x="5881"/>
        <item m="1" x="5974"/>
        <item m="1" x="6063"/>
        <item m="1" x="6160"/>
        <item m="1" x="6254"/>
        <item m="1" x="6347"/>
        <item m="1" x="6439"/>
        <item m="1" x="6531"/>
        <item m="1" x="6625"/>
        <item m="1" x="6716"/>
        <item m="1" x="6804"/>
        <item m="1" x="6902"/>
        <item m="1" x="6992"/>
        <item m="1" x="7085"/>
        <item m="1" x="7176"/>
        <item m="1" x="7273"/>
        <item m="1" x="7366"/>
        <item m="1" x="7461"/>
        <item m="1" x="7553"/>
        <item m="1" x="7648"/>
        <item m="1" x="7740"/>
        <item m="1" x="7833"/>
        <item m="1" x="7924"/>
        <item m="1" x="25"/>
        <item m="1" x="113"/>
        <item m="1" x="208"/>
        <item m="1" x="298"/>
        <item m="1" x="395"/>
        <item m="1" x="487"/>
        <item m="1" x="581"/>
        <item m="1" x="675"/>
        <item m="1" x="776"/>
        <item m="1" x="867"/>
        <item m="1" x="962"/>
        <item m="1" x="1050"/>
        <item m="1" x="1152"/>
        <item m="1" x="1244"/>
        <item m="1" x="1337"/>
        <item m="1" x="1430"/>
        <item m="1" x="1527"/>
        <item m="1" x="1616"/>
        <item m="1" x="1707"/>
        <item m="1" x="1794"/>
        <item m="1" x="1896"/>
        <item m="1" x="1987"/>
        <item m="1" x="2083"/>
        <item m="1" x="2177"/>
        <item m="1" x="2273"/>
        <item m="1" x="2359"/>
        <item m="1" x="2452"/>
        <item m="1" x="2543"/>
        <item m="1" x="2639"/>
        <item m="1" x="2727"/>
        <item m="1" x="2820"/>
        <item m="1" x="2907"/>
        <item m="1" x="3004"/>
        <item m="1" x="3092"/>
        <item m="1" x="3186"/>
        <item m="1" x="3280"/>
        <item m="1" x="3373"/>
        <item m="1" x="3461"/>
        <item m="1" x="3554"/>
        <item m="1" x="3652"/>
        <item m="1" x="3748"/>
        <item m="1" x="3835"/>
        <item m="1" x="3931"/>
        <item m="1" x="4021"/>
        <item m="1" x="4115"/>
        <item m="1" x="4206"/>
        <item m="1" x="4300"/>
        <item m="1" x="4393"/>
        <item m="1" x="4488"/>
        <item m="1" x="4580"/>
        <item m="1" x="4676"/>
        <item m="1" x="4763"/>
        <item m="1" x="4862"/>
        <item m="1" x="4953"/>
        <item m="1" x="5052"/>
        <item m="1" x="5147"/>
        <item m="1" x="5241"/>
        <item m="1" x="5328"/>
        <item m="1" x="5421"/>
        <item m="1" x="5515"/>
        <item m="1" x="5608"/>
        <item m="1" x="5700"/>
        <item m="1" x="5796"/>
        <item m="1" x="5885"/>
        <item m="1" x="5978"/>
        <item m="1" x="6068"/>
        <item m="1" x="6164"/>
        <item m="1" x="6259"/>
        <item m="1" x="6352"/>
        <item m="1" x="6444"/>
        <item m="1" x="6534"/>
        <item m="1" x="6630"/>
        <item m="1" x="6721"/>
        <item m="1" x="6809"/>
        <item m="1" x="6905"/>
        <item m="1" x="6996"/>
        <item m="1" x="7090"/>
        <item m="1" x="7182"/>
        <item m="1" x="7276"/>
        <item m="1" x="7370"/>
        <item m="1" x="7465"/>
        <item m="1" x="7558"/>
        <item m="1" x="7654"/>
        <item m="1" x="7743"/>
        <item m="1" x="7838"/>
        <item m="1" x="7928"/>
        <item m="1" x="27"/>
        <item m="1" x="117"/>
        <item m="1" x="211"/>
        <item m="1" x="302"/>
        <item m="1" x="397"/>
        <item m="1" x="490"/>
        <item m="1" x="586"/>
        <item m="1" x="679"/>
        <item m="1" x="778"/>
        <item m="1" x="870"/>
        <item m="1" x="966"/>
        <item m="1" x="1054"/>
        <item m="1" x="1155"/>
        <item m="1" x="1247"/>
        <item m="1" x="1342"/>
        <item m="1" x="1434"/>
        <item m="1" x="1529"/>
        <item m="1" x="1620"/>
        <item m="1" x="1712"/>
        <item m="1" x="1798"/>
        <item m="1" x="1898"/>
        <item m="1" x="1990"/>
        <item m="1" x="2089"/>
        <item m="1" x="2183"/>
        <item m="1" x="2275"/>
        <item m="1" x="2362"/>
        <item m="1" x="2456"/>
        <item m="1" x="2547"/>
        <item m="1" x="2643"/>
        <item m="1" x="2730"/>
        <item m="1" x="2825"/>
        <item m="1" x="2911"/>
        <item m="1" x="3006"/>
        <item m="1" x="3096"/>
        <item m="1" x="3190"/>
        <item m="1" x="3284"/>
        <item m="1" x="3375"/>
        <item m="1" x="3464"/>
        <item m="1" x="3560"/>
        <item m="1" x="3656"/>
        <item m="1" x="3750"/>
        <item m="1" x="3838"/>
        <item m="1" x="3935"/>
        <item m="1" x="4024"/>
        <item m="1" x="4117"/>
        <item m="1" x="4209"/>
        <item m="1" x="4305"/>
        <item m="1" x="4396"/>
        <item m="1" x="4490"/>
        <item m="1" x="4583"/>
        <item m="1" x="4680"/>
        <item m="1" x="4765"/>
        <item m="1" x="4864"/>
        <item m="1" x="4955"/>
        <item m="1" x="5058"/>
        <item m="1" x="5151"/>
        <item m="1" x="5243"/>
        <item m="1" x="5331"/>
        <item m="1" x="5425"/>
        <item m="1" x="5517"/>
        <item m="1" x="5611"/>
        <item m="1" x="5702"/>
        <item m="1" x="5801"/>
        <item m="1" x="5887"/>
        <item m="1" x="5981"/>
        <item m="1" x="6074"/>
        <item m="1" x="6169"/>
        <item m="1" x="6262"/>
        <item m="1" x="6355"/>
        <item m="1" x="6446"/>
        <item m="1" x="6540"/>
        <item m="1" x="6632"/>
        <item m="1" x="6724"/>
        <item m="1" x="6812"/>
        <item m="1" x="6910"/>
        <item m="1" x="6998"/>
        <item m="1" x="7093"/>
        <item m="1" x="7184"/>
        <item m="1" x="7282"/>
        <item m="1" x="7372"/>
        <item m="1" x="7468"/>
        <item m="1" x="7562"/>
        <item m="1" x="7661"/>
        <item m="1" x="7745"/>
        <item m="1" x="7841"/>
        <item m="1" x="7930"/>
        <item m="1" x="34"/>
        <item m="1" x="121"/>
        <item m="1" x="214"/>
        <item m="1" x="305"/>
        <item m="1" x="401"/>
        <item m="1" x="492"/>
        <item m="1" x="591"/>
        <item m="1" x="681"/>
        <item m="1" x="783"/>
        <item m="1" x="872"/>
        <item m="1" x="969"/>
        <item m="1" x="1059"/>
        <item m="1" x="1159"/>
        <item m="1" x="1249"/>
        <item m="1" x="1345"/>
        <item m="1" x="1436"/>
        <item m="1" x="1534"/>
        <item m="1" x="1622"/>
        <item m="1" x="1715"/>
        <item m="1" x="1801"/>
        <item m="1" x="1902"/>
        <item m="1" x="1992"/>
        <item m="1" x="2092"/>
        <item m="1" x="7196"/>
        <item m="1" x="7290"/>
        <item m="1" x="7382"/>
        <item m="1" x="7482"/>
        <item m="1" x="7573"/>
        <item m="1" x="7670"/>
        <item m="1" x="7755"/>
        <item m="1" x="7853"/>
        <item m="1" x="7946"/>
        <item m="1" x="42"/>
        <item m="1" x="130"/>
        <item m="1" x="225"/>
        <item m="1" x="316"/>
        <item m="1" x="414"/>
        <item m="1" x="503"/>
        <item m="1" x="604"/>
        <item m="1" x="694"/>
        <item m="1" x="792"/>
        <item m="1" x="883"/>
        <item m="1" x="981"/>
        <item m="1" x="1073"/>
        <item m="1" x="1168"/>
        <item m="1" x="1259"/>
        <item m="1" x="1356"/>
        <item m="1" x="1449"/>
        <item m="1" x="1544"/>
        <item m="1" x="1631"/>
        <item m="1" x="1725"/>
        <item m="1" x="1811"/>
        <item m="1" x="1911"/>
        <item m="1" x="2005"/>
        <item m="1" x="2103"/>
        <item m="1" x="2195"/>
        <item m="1" x="2285"/>
        <item m="1" x="2375"/>
        <item m="1" x="2473"/>
        <item m="1" x="2561"/>
        <item m="1" x="2655"/>
        <item m="1" x="2743"/>
        <item m="1" x="2839"/>
        <item m="1" x="2927"/>
        <item m="1" x="3018"/>
        <item m="1" x="3110"/>
        <item m="1" x="3203"/>
        <item m="1" x="3296"/>
        <item m="1" x="3389"/>
        <item m="1" x="3477"/>
        <item m="1" x="3578"/>
        <item m="1" x="3667"/>
        <item m="1" x="3762"/>
        <item m="1" x="3853"/>
        <item m="1" x="3951"/>
        <item m="1" x="4039"/>
        <item m="1" x="4130"/>
        <item m="1" x="4222"/>
        <item m="1" x="4320"/>
        <item m="1" x="4408"/>
        <item m="1" x="4506"/>
        <item m="1" x="4595"/>
        <item m="1" x="4694"/>
        <item m="1" x="4778"/>
        <item m="1" x="4879"/>
        <item m="1" x="4974"/>
        <item m="1" x="5074"/>
        <item m="1" x="5163"/>
        <item m="1" x="5255"/>
        <item m="1" x="5346"/>
        <item m="1" x="5443"/>
        <item m="1" x="5530"/>
        <item m="1" x="5626"/>
        <item m="1" x="5716"/>
        <item m="1" x="5816"/>
        <item m="1" x="5902"/>
        <item m="1" x="5995"/>
        <item m="1" x="6089"/>
        <item m="1" x="6183"/>
        <item m="1" x="6275"/>
        <item m="1" x="6372"/>
        <item m="1" x="6461"/>
        <item m="1" x="6557"/>
        <item m="1" x="6644"/>
        <item m="1" x="6736"/>
        <item m="1" x="6828"/>
        <item m="1" x="6925"/>
        <item m="1" x="7014"/>
        <item m="1" x="7107"/>
        <item m="1" x="7199"/>
        <item m="1" x="7295"/>
        <item m="1" x="7386"/>
        <item m="1" x="7485"/>
        <item m="1" x="7576"/>
        <item m="1" x="7674"/>
        <item m="1" x="7759"/>
        <item m="1" x="7857"/>
        <item m="1" x="7950"/>
        <item m="1" x="47"/>
        <item m="1" x="135"/>
        <item m="1" x="228"/>
        <item m="1" x="322"/>
        <item m="1" x="418"/>
        <item m="1" x="508"/>
        <item m="1" x="607"/>
        <item m="1" x="698"/>
        <item m="1" x="797"/>
        <item m="1" x="890"/>
        <item m="1" x="984"/>
        <item m="1" x="1077"/>
        <item m="1" x="1172"/>
        <item m="1" x="1264"/>
        <item m="1" x="1362"/>
        <item m="1" x="1453"/>
        <item m="1" x="1549"/>
        <item m="1" x="1636"/>
        <item m="1" x="1728"/>
        <item m="1" x="1818"/>
        <item m="1" x="1915"/>
        <item m="1" x="2010"/>
        <item m="1" x="2106"/>
        <item m="1" x="2199"/>
        <item m="1" x="2290"/>
        <item m="1" x="2380"/>
        <item m="1" x="2476"/>
        <item m="1" x="2565"/>
        <item m="1" x="2659"/>
        <item m="1" x="2748"/>
        <item m="1" x="2843"/>
        <item m="1" x="2932"/>
        <item m="1" x="3023"/>
        <item m="1" x="3115"/>
        <item m="1" x="3206"/>
        <item m="1" x="3301"/>
        <item m="1" x="3393"/>
        <item m="1" x="3481"/>
        <item m="1" x="3580"/>
        <item m="1" x="3670"/>
        <item m="1" x="3766"/>
        <item m="1" x="3858"/>
        <item m="1" x="3953"/>
        <item m="1" x="4042"/>
        <item m="1" x="4133"/>
        <item m="1" x="4226"/>
        <item m="1" x="4325"/>
        <item m="1" x="4411"/>
        <item m="1" x="4511"/>
        <item m="1" x="4599"/>
        <item m="1" x="4696"/>
        <item m="1" x="4782"/>
        <item m="1" x="4883"/>
        <item m="1" x="4978"/>
        <item m="1" x="5076"/>
        <item m="1" x="5166"/>
        <item m="1" x="5261"/>
        <item m="1" x="5350"/>
        <item m="1" x="5445"/>
        <item m="1" x="5533"/>
        <item m="1" x="5630"/>
        <item m="1" x="5720"/>
        <item m="1" x="5819"/>
        <item m="1" x="5906"/>
        <item m="1" x="6000"/>
        <item m="1" x="6093"/>
        <item m="1" x="6185"/>
        <item m="1" x="6279"/>
        <item m="1" x="6377"/>
        <item m="1" x="6465"/>
        <item m="1" x="6559"/>
        <item m="1" x="6647"/>
        <item m="1" x="6742"/>
        <item m="1" x="6833"/>
        <item m="1" x="6927"/>
        <item m="1" x="7017"/>
        <item m="1" x="7111"/>
        <item m="1" x="7203"/>
        <item m="1" x="7298"/>
        <item m="1" x="7389"/>
        <item m="1" x="7490"/>
        <item m="1" x="7580"/>
        <item m="1" x="7676"/>
        <item m="1" x="7762"/>
        <item m="1" x="7861"/>
        <item m="1" x="7953"/>
        <item m="1" x="49"/>
        <item m="1" x="137"/>
        <item m="1" x="234"/>
        <item m="1" x="325"/>
        <item m="1" x="421"/>
        <item m="1" x="510"/>
        <item m="1" x="611"/>
        <item m="1" x="700"/>
        <item m="1" x="799"/>
        <item m="1" x="892"/>
        <item m="1" x="989"/>
        <item m="1" x="1079"/>
        <item m="1" x="1174"/>
        <item m="1" x="1268"/>
        <item m="1" x="1367"/>
        <item m="1" x="1455"/>
        <item m="1" x="1551"/>
        <item m="1" x="1638"/>
        <item m="1" x="1734"/>
        <item m="1" x="1822"/>
        <item m="1" x="1918"/>
        <item m="1" x="2014"/>
        <item m="1" x="2110"/>
        <item m="1" x="2201"/>
        <item m="1" x="2294"/>
        <item m="1" x="2382"/>
        <item m="1" x="2482"/>
        <item m="1" x="2567"/>
        <item m="1" x="2662"/>
        <item m="1" x="2753"/>
        <item m="1" x="2848"/>
        <item m="1" x="2934"/>
        <item m="1" x="3026"/>
        <item m="1" x="3117"/>
        <item m="1" x="3213"/>
        <item m="1" x="3303"/>
        <item m="1" x="3396"/>
        <item m="1" x="3485"/>
        <item m="1" x="3586"/>
        <item m="1" x="3673"/>
        <item m="1" x="3769"/>
        <item m="1" x="3860"/>
        <item m="1" x="3959"/>
        <item m="1" x="4044"/>
        <item m="1" x="4136"/>
        <item m="1" x="4230"/>
        <item m="1" x="4329"/>
        <item m="1" x="4413"/>
        <item m="1" x="4514"/>
        <item m="1" x="4601"/>
        <item m="1" x="4701"/>
        <item m="1" x="4786"/>
        <item m="1" x="4886"/>
        <item m="1" x="4981"/>
        <item m="1" x="5080"/>
        <item m="1" x="5168"/>
        <item m="1" x="5265"/>
        <item m="1" x="5352"/>
        <item m="1" x="5449"/>
        <item m="1" x="5535"/>
        <item m="1" x="5633"/>
        <item m="1" x="5725"/>
        <item m="1" x="2944"/>
        <item m="1" x="3038"/>
        <item m="1" x="3130"/>
        <item m="1" x="3225"/>
        <item m="1" x="3313"/>
        <item m="1" x="3407"/>
        <item m="1" x="3496"/>
        <item m="1" x="3596"/>
        <item m="1" x="3684"/>
        <item m="1" x="3781"/>
        <item m="1" x="3873"/>
        <item m="1" x="3967"/>
        <item m="1" x="4054"/>
        <item m="1" x="4152"/>
        <item m="1" x="4241"/>
        <item m="1" x="4338"/>
        <item m="1" x="4424"/>
        <item m="1" x="4527"/>
        <item m="1" x="4617"/>
        <item m="1" x="4708"/>
        <item m="1" x="4797"/>
        <item m="1" x="4897"/>
        <item m="1" x="4993"/>
        <item m="1" x="5091"/>
        <item m="1" x="5178"/>
        <item m="1" x="5276"/>
        <item m="1" x="5364"/>
        <item m="1" x="5456"/>
        <item m="1" x="5547"/>
        <item m="1" x="5645"/>
        <item m="1" x="5737"/>
        <item m="1" x="5830"/>
        <item m="1" x="5918"/>
        <item m="1" x="6014"/>
        <item m="1" x="6107"/>
        <item m="1" x="6200"/>
        <item m="1" x="6292"/>
        <item m="1" x="6390"/>
        <item m="1" x="6478"/>
        <item m="1" x="6572"/>
        <item m="1" x="6662"/>
        <item m="1" x="6756"/>
        <item m="1" x="6846"/>
        <item m="1" x="6938"/>
        <item m="1" x="7031"/>
        <item m="1" x="7129"/>
        <item m="1" x="7217"/>
        <item m="1" x="7313"/>
        <item m="1" x="7404"/>
        <item m="1" x="7505"/>
        <item m="1" x="7596"/>
        <item m="1" x="7689"/>
        <item m="1" x="7778"/>
        <item m="1" x="7875"/>
        <item m="1" x="7966"/>
        <item m="1" x="64"/>
        <item m="1" x="152"/>
        <item m="1" x="252"/>
        <item m="1" x="338"/>
        <item m="1" x="434"/>
        <item m="1" x="527"/>
        <item m="1" x="628"/>
        <item m="1" x="719"/>
        <item m="1" x="813"/>
        <item m="1" x="908"/>
        <item m="1" x="1004"/>
        <item m="1" x="1093"/>
        <item m="1" x="1190"/>
        <item m="1" x="1283"/>
        <item m="1" x="1381"/>
        <item m="1" x="1469"/>
        <item m="1" x="1566"/>
        <item m="1" x="1657"/>
        <item m="1" x="1748"/>
        <item m="1" x="1837"/>
        <item m="1" x="1931"/>
        <item m="1" x="2030"/>
        <item m="1" x="2129"/>
        <item m="1" x="2215"/>
        <item m="1" x="2308"/>
        <item m="1" x="2398"/>
        <item m="1" x="2495"/>
        <item m="1" x="2583"/>
        <item m="1" x="2675"/>
        <item m="1" x="2770"/>
        <item m="1" x="2860"/>
        <item m="1" x="2949"/>
        <item m="1" x="3044"/>
        <item m="1" x="3134"/>
        <item m="1" x="3230"/>
        <item m="1" x="3318"/>
        <item m="1" x="3410"/>
        <item m="1" x="3503"/>
        <item m="1" x="3600"/>
        <item m="1" x="3690"/>
        <item m="1" x="3784"/>
        <item m="1" x="3878"/>
        <item m="1" x="3972"/>
        <item m="1" x="4060"/>
        <item m="1" x="4155"/>
        <item m="1" x="4247"/>
        <item m="1" x="4342"/>
        <item m="1" x="4430"/>
        <item m="1" x="4531"/>
        <item m="1" x="4622"/>
        <item m="1" x="4713"/>
        <item m="1" x="4803"/>
        <item m="1" x="4900"/>
        <item m="1" x="5000"/>
        <item m="1" x="5095"/>
        <item m="1" x="5184"/>
        <item m="1" x="5279"/>
        <item m="1" x="5369"/>
        <item m="1" x="5461"/>
        <item m="1" x="5554"/>
        <item m="1" x="5648"/>
        <item m="1" x="5743"/>
        <item m="1" x="5834"/>
        <item m="1" x="5924"/>
        <item m="1" x="6020"/>
        <item m="1" x="6112"/>
        <item m="1" x="6205"/>
        <item m="1" x="6298"/>
        <item m="1" x="6393"/>
        <item m="1" x="6485"/>
        <item m="1" x="6576"/>
        <item m="1" x="6668"/>
        <item m="1" x="6759"/>
        <item m="1" x="6851"/>
        <item m="1" x="6943"/>
        <item m="1" x="7037"/>
        <item m="1" x="7131"/>
        <item m="1" x="7221"/>
        <item m="1" x="7316"/>
        <item m="1" x="7409"/>
        <item m="1" x="7508"/>
        <item m="1" x="7600"/>
        <item m="1" x="7693"/>
        <item m="1" x="7783"/>
        <item m="1" x="7877"/>
        <item m="1" x="7971"/>
        <item m="1" x="68"/>
        <item m="1" x="157"/>
        <item m="1" x="254"/>
        <item m="1" x="342"/>
        <item m="1" x="439"/>
        <item m="1" x="534"/>
        <item m="1" x="630"/>
        <item m="1" x="723"/>
        <item m="1" x="817"/>
        <item m="1" x="913"/>
        <item m="1" x="1009"/>
        <item m="1" x="1097"/>
        <item m="1" x="1195"/>
        <item m="1" x="1288"/>
        <item m="1" x="1383"/>
        <item m="1" x="1474"/>
        <item m="1" x="1570"/>
        <item m="1" x="1662"/>
        <item m="1" x="1750"/>
        <item m="1" x="1841"/>
        <item m="1" x="1937"/>
        <item m="1" x="2035"/>
        <item m="1" x="2132"/>
        <item m="1" x="2219"/>
        <item m="1" x="2312"/>
        <item m="1" x="2403"/>
        <item m="1" x="2497"/>
        <item m="1" x="2588"/>
        <item m="1" x="2680"/>
        <item m="1" x="2775"/>
        <item m="1" x="2862"/>
        <item m="1" x="2954"/>
        <item m="1" x="3049"/>
        <item m="1" x="3139"/>
        <item m="1" x="3232"/>
        <item m="1" x="3322"/>
        <item m="1" x="3416"/>
        <item m="1" x="3508"/>
        <item m="1" x="3602"/>
        <item m="1" x="3693"/>
        <item m="1" x="3788"/>
        <item m="1" x="3882"/>
        <item m="1" x="3976"/>
        <item m="1" x="4063"/>
        <item m="1" x="4160"/>
        <item m="1" x="4250"/>
        <item m="1" x="4344"/>
        <item m="1" x="4435"/>
        <item m="1" x="4535"/>
        <item m="1" x="4626"/>
        <item m="1" x="4715"/>
        <item m="1" x="4806"/>
        <item m="1" x="4906"/>
        <item m="1" x="5003"/>
        <item m="1" x="5097"/>
        <item m="1" x="5188"/>
        <item m="1" x="5283"/>
        <item m="1" x="5372"/>
        <item m="1" x="5463"/>
        <item m="1" x="5558"/>
        <item m="1" x="5653"/>
        <item m="1" x="5746"/>
        <item m="1" x="5836"/>
        <item m="1" x="5929"/>
        <item m="1" x="6026"/>
        <item m="1" x="6115"/>
        <item m="1" x="6208"/>
        <item m="1" x="6301"/>
        <item m="1" x="6400"/>
        <item m="1" x="6489"/>
        <item m="1" x="6579"/>
        <item m="1" x="6672"/>
        <item m="1" x="6764"/>
        <item m="1" x="6854"/>
        <item m="1" x="6947"/>
        <item m="1" x="7040"/>
        <item m="1" x="7137"/>
        <item m="1" x="7225"/>
        <item m="1" x="7320"/>
        <item m="1" x="7416"/>
        <item m="1" x="7514"/>
        <item m="1" x="7604"/>
        <item m="1" x="7696"/>
        <item m="1" x="7786"/>
        <item m="1" x="7883"/>
        <item m="1" x="7974"/>
        <item m="1" x="71"/>
        <item m="1" x="161"/>
        <item m="1" x="258"/>
        <item m="1" x="345"/>
        <item m="1" x="442"/>
        <item m="1" x="537"/>
        <item m="1" x="634"/>
        <item m="1" x="726"/>
        <item m="1" x="820"/>
        <item m="1" x="918"/>
        <item m="1" x="1014"/>
        <item m="1" x="1100"/>
        <item m="1" x="1198"/>
        <item m="1" x="1291"/>
        <item m="1" x="1388"/>
        <item m="1" x="1479"/>
        <item m="1" x="6589"/>
        <item m="1" x="6683"/>
        <item m="1" x="2342"/>
        <item m="1" x="2435"/>
        <item m="1" x="2527"/>
        <item m="1" x="2622"/>
        <item m="1" x="5979"/>
        <item m="1" x="6070"/>
        <item m="1" x="6167"/>
        <item m="1" x="6260"/>
        <item m="1" x="6353"/>
        <item m="1" x="1916"/>
        <item m="1" x="1964"/>
        <item m="1" x="2012"/>
        <item m="1" x="2061"/>
        <item m="1" x="1070"/>
        <item m="1" x="1116"/>
        <item m="1" x="1167"/>
        <item m="1" x="1214"/>
        <item m="1" x="4749"/>
        <item m="1" x="4796"/>
        <item m="1" x="4848"/>
        <item m="1" x="4896"/>
        <item m="1" x="4941"/>
        <item m="1" x="4990"/>
        <item m="1" x="5041"/>
        <item m="1" x="5089"/>
        <item m="1" x="5132"/>
        <item m="1" x="403"/>
        <item m="1" x="452"/>
        <item m="1" x="496"/>
        <item m="1" x="548"/>
        <item m="1" x="594"/>
        <item m="1" x="641"/>
        <item m="1" x="685"/>
        <item m="1" x="736"/>
        <item m="1" x="785"/>
        <item m="1" x="835"/>
        <item m="1" x="4417"/>
        <item m="1" x="4470"/>
        <item m="1" x="4517"/>
        <item m="1" x="3482"/>
        <item m="1" x="3532"/>
        <item m="1" x="3581"/>
        <item m="1" x="3625"/>
        <item m="1" x="3671"/>
        <item m="1" x="3718"/>
        <item m="1" x="7170"/>
        <item m="1" x="7222"/>
        <item m="1" x="7271"/>
        <item m="1" x="7317"/>
        <item m="1" x="7362"/>
        <item m="1" x="7410"/>
        <item m="1" x="7459"/>
        <item m="1" x="7509"/>
        <item m="1" x="7550"/>
        <item m="1" x="7601"/>
        <item t="default"/>
      </items>
    </pivotField>
    <pivotField axis="axisRow" showAll="0" sortType="ascending">
      <items count="8001">
        <item sd="0" m="1" x="4852"/>
        <item sd="0" m="1" x="4854"/>
        <item sd="0" m="1" x="4855"/>
        <item sd="0" m="1" x="4858"/>
        <item sd="0" m="1" x="4859"/>
        <item sd="0" m="1" x="4862"/>
        <item sd="0" m="1" x="771"/>
        <item sd="0" m="1" x="1884"/>
        <item sd="0" m="1" x="1893"/>
        <item sd="0" m="1" x="776"/>
        <item sd="0" m="1" x="1894"/>
        <item sd="0" m="1" x="1898"/>
        <item sd="0" m="1" x="1899"/>
        <item sd="0" m="1" x="4901"/>
        <item sd="0" m="1" x="4902"/>
        <item sd="0" m="1" x="4904"/>
        <item sd="0" m="1" x="4905"/>
        <item sd="0" m="1" x="4907"/>
        <item sd="0" m="1" x="4908"/>
        <item sd="0" m="1" x="4910"/>
        <item sd="0" m="1" x="4913"/>
        <item sd="0" m="1" x="4914"/>
        <item sd="0" m="1" x="4916"/>
        <item sd="0" m="1" x="4919"/>
        <item sd="0" m="1" x="4921"/>
        <item sd="0" m="1" x="4922"/>
        <item sd="0" m="1" x="4315"/>
        <item sd="0" m="1" x="4501"/>
        <item sd="0" m="1" x="4686"/>
        <item sd="0" m="1" x="5444"/>
        <item sd="0" m="1" x="3413"/>
        <item sd="0" m="1" x="1409"/>
        <item sd="0" m="1" x="3950"/>
        <item sd="0" m="1" x="1965"/>
        <item sd="0" m="1" x="7813"/>
        <item sd="0" m="1" x="5610"/>
        <item sd="0" m="1" x="3618"/>
        <item sd="0" m="1" x="1578"/>
        <item sd="0" m="1" x="4126"/>
        <item sd="0" m="1" x="2121"/>
        <item sd="0" m="1" x="7975"/>
        <item sd="0" m="1" x="3057"/>
        <item sd="0" m="1" x="1084"/>
        <item sd="0" m="1" x="6668"/>
        <item sd="0" m="1" x="4716"/>
        <item sd="0" m="1" x="2745"/>
        <item sd="0" m="1" x="3240"/>
        <item sd="0" m="1" x="1260"/>
        <item sd="0" m="1" x="6883"/>
        <item sd="0" m="1" x="4917"/>
        <item sd="0" m="1" x="2897"/>
        <item sd="0" m="1" x="203"/>
        <item sd="0" m="1" x="6129"/>
        <item sd="0" m="1" x="4142"/>
        <item sd="0" m="1" x="2132"/>
        <item sd="0" m="1" x="426"/>
        <item sd="0" m="1" x="6311"/>
        <item sd="0" m="1" x="4309"/>
        <item sd="0" m="1" x="2339"/>
        <item sd="0" m="1" x="1602"/>
        <item sd="0" m="1" x="7446"/>
        <item sd="0" m="1" x="5473"/>
        <item sd="0" m="1" x="1805"/>
        <item sd="0" m="1" x="7661"/>
        <item sd="0" m="1" x="5636"/>
        <item sd="0" m="1" x="2008"/>
        <item sd="0" m="1" x="4949"/>
        <item sd="0" m="1" x="2917"/>
        <item sd="0" m="1" x="924"/>
        <item sd="0" m="1" x="6718"/>
        <item sd="0" m="1" x="4571"/>
        <item sd="0" m="1" x="5132"/>
        <item sd="0" m="1" x="3100"/>
        <item sd="0" m="1" x="1140"/>
        <item sd="0" m="1" x="6926"/>
        <item sd="0" m="1" x="4755"/>
        <item sd="0" m="1" x="5330"/>
        <item sd="0" m="1" x="3304"/>
        <item sd="0" m="1" x="1300"/>
        <item sd="0" m="1" x="6257"/>
        <item sd="0" m="1" x="4238"/>
        <item sd="0" m="1" x="2273"/>
        <item sd="0" m="1" x="122"/>
        <item sd="0" m="1" x="7930"/>
        <item sd="0" m="1" x="5881"/>
        <item sd="0" m="1" x="3923"/>
        <item sd="0" m="1" x="6418"/>
        <item sd="0" m="1" x="4424"/>
        <item sd="0" m="1" x="2479"/>
        <item sd="0" m="1" x="376"/>
        <item sd="0" m="1" x="138"/>
        <item sd="0" m="1" x="6083"/>
        <item sd="0" m="1" x="4102"/>
        <item sd="0" m="1" x="6580"/>
        <item sd="0" m="1" x="4608"/>
        <item sd="0" m="1" x="2646"/>
        <item sd="0" m="1" x="592"/>
        <item sd="0" m="1" x="5589"/>
        <item sd="0" m="1" x="3586"/>
        <item sd="0" m="1" x="1379"/>
        <item sd="0" m="1" x="7184"/>
        <item sd="0" m="1" x="5246"/>
        <item sd="0" m="1" x="3197"/>
        <item sd="0" m="1" x="5757"/>
        <item sd="0" m="1" x="3750"/>
        <item sd="0" m="1" x="1560"/>
        <item sd="0" m="1" x="7392"/>
        <item sd="0" m="1" x="5437"/>
        <item sd="0" m="1" x="3404"/>
        <item sd="0" m="1" x="5920"/>
        <item sd="0" m="1" x="3945"/>
        <item sd="0" m="1" x="5475"/>
        <item sd="0" m="1" x="3440"/>
        <item sd="0" m="1" x="1435"/>
        <item sd="0" m="1" x="7255"/>
        <item sd="0" m="1" x="5113"/>
        <item sd="0" m="1" x="3088"/>
        <item sd="0" m="1" x="5640"/>
        <item sd="0" m="1" x="3655"/>
        <item sd="0" m="1" x="1622"/>
        <item sd="0" m="1" x="7469"/>
        <item sd="0" m="1" x="5317"/>
        <item sd="0" m="1" x="3292"/>
        <item sd="0" m="1" x="5808"/>
        <item sd="0" m="1" x="3827"/>
        <item sd="0" m="1" x="1820"/>
        <item sd="0" m="1" x="7673"/>
        <item sd="0" m="1" x="4744"/>
        <item sd="0" m="1" x="2769"/>
        <item sd="0" m="1" x="563"/>
        <item sd="0" m="1" x="6401"/>
        <item sd="0" m="1" x="4410"/>
        <item sd="0" m="1" x="2466"/>
        <item sd="0" m="1" x="4962"/>
        <item sd="0" m="1" x="2932"/>
        <item sd="0" m="1" x="756"/>
        <item sd="0" m="1" x="6568"/>
        <item sd="0" m="1" x="4590"/>
        <item sd="0" m="1" x="2637"/>
        <item sd="0" m="1" x="5150"/>
        <item sd="0" m="1" x="3114"/>
        <item sd="0" m="1" x="4092"/>
        <item sd="0" m="1" x="1936"/>
        <item sd="0" m="1" x="7781"/>
        <item sd="0" m="1" x="5745"/>
        <item sd="0" m="1" x="4251"/>
        <item sd="0" m="1" x="2103"/>
        <item sd="0" m="1" x="7952"/>
        <item sd="0" m="1" x="5906"/>
        <item sd="0" m="1" x="4440"/>
        <item sd="0" m="1" x="3201"/>
        <item sd="0" m="1" x="1230"/>
        <item sd="0" m="1" x="7033"/>
        <item sd="0" m="1" x="3408"/>
        <item sd="0" m="1" x="1404"/>
        <item sd="0" m="1" x="7209"/>
        <item sd="0" m="1" x="6495"/>
        <item sd="0" m="1" x="4524"/>
        <item sd="0" m="1" x="2576"/>
        <item sd="0" m="1" x="474"/>
        <item sd="0" m="1" x="6663"/>
        <item sd="0" m="1" x="4713"/>
        <item sd="0" m="1" x="2739"/>
        <item sd="0" m="1" x="686"/>
        <item sd="0" m="1" x="6880"/>
        <item sd="0" m="1" x="4911"/>
        <item sd="0" m="1" x="624"/>
        <item sd="0" m="1" x="6452"/>
        <item sd="0" m="1" x="4289"/>
        <item sd="0" m="1" x="2322"/>
        <item sd="0" m="1" x="201"/>
        <item sd="0" m="1" x="815"/>
        <item sd="0" m="1" x="6618"/>
        <item sd="0" m="1" x="4484"/>
        <item sd="0" m="1" x="2534"/>
        <item sd="0" m="1" x="424"/>
        <item sd="0" m="1" x="1022"/>
        <item sd="0" m="1" x="6826"/>
        <item sd="0" m="1" x="7649"/>
        <item sd="0" m="1" x="5623"/>
        <item sd="0" m="1" x="3640"/>
        <item sd="0" m="1" x="1601"/>
        <item sd="0" m="1" x="7847"/>
        <item sd="0" m="1" x="5799"/>
        <item sd="0" m="1" x="3809"/>
        <item sd="0" m="1" x="1804"/>
        <item sd="0" m="1" x="7036"/>
        <item sd="0" m="1" x="5057"/>
        <item sd="0" m="1" x="3036"/>
        <item sd="0" m="1" x="1059"/>
        <item sd="0" m="1" x="858"/>
        <item sd="0" m="1" x="6654"/>
        <item sd="0" m="1" x="7212"/>
        <item sd="0" m="1" x="5263"/>
        <item sd="0" m="1" x="3223"/>
        <item sd="0" m="1" x="1247"/>
        <item sd="0" m="1" x="1079"/>
        <item sd="0" m="1" x="6875"/>
        <item sd="0" m="1" x="7412"/>
        <item sd="0" m="1" x="5452"/>
        <item sd="0" m="1" x="3421"/>
        <item sd="0" m="1" x="475"/>
        <item sd="0" m="1" x="6339"/>
        <item sd="0" m="1" x="4352"/>
        <item sd="0" m="1" x="2208"/>
        <item sd="0" m="1" x="53"/>
        <item sd="0" m="1" x="6019"/>
        <item sd="0" m="1" x="689"/>
        <item sd="0" m="1" x="6509"/>
        <item sd="0" m="1" x="4537"/>
        <item sd="0" m="1" x="2412"/>
        <item sd="0" m="1" x="314"/>
        <item sd="0" m="1" x="6214"/>
        <item sd="0" m="1" x="881"/>
        <item sd="0" m="1" x="6680"/>
        <item sd="0" m="1" x="4721"/>
        <item sd="0" m="1" x="7701"/>
        <item sd="0" m="1" x="5683"/>
        <item sd="0" m="1" x="3527"/>
        <item sd="0" m="1" x="1491"/>
        <item sd="0" m="1" x="7317"/>
        <item sd="0" m="1" x="7886"/>
        <item sd="0" m="1" x="5839"/>
        <item sd="0" m="1" x="3706"/>
        <item sd="0" m="1" x="1694"/>
        <item sd="0" m="1" x="7539"/>
        <item sd="0" m="1" x="83"/>
        <item sd="0" m="1" x="6040"/>
        <item sd="0" m="1" x="1603"/>
        <item sd="0" m="1" x="7447"/>
        <item sd="0" m="1" x="5474"/>
        <item sd="0" m="1" x="3265"/>
        <item sd="0" m="1" x="1806"/>
        <item sd="0" m="1" x="7662"/>
        <item sd="0" m="1" x="5637"/>
        <item sd="0" m="1" x="3464"/>
        <item sd="0" m="1" x="2009"/>
        <item sd="0" m="1" x="7854"/>
        <item sd="0" m="1" x="4950"/>
        <item sd="0" m="1" x="2918"/>
        <item sd="0" m="1" x="925"/>
        <item sd="0" m="1" x="6719"/>
        <item sd="0" m="1" x="4572"/>
        <item sd="0" m="1" x="2621"/>
        <item sd="0" m="1" x="5133"/>
        <item sd="0" m="1" x="3101"/>
        <item sd="0" m="1" x="1141"/>
        <item sd="0" m="1" x="6927"/>
        <item sd="0" m="1" x="4756"/>
        <item sd="0" m="1" x="2782"/>
        <item sd="0" m="1" x="5331"/>
        <item sd="0" m="1" x="3305"/>
        <item sd="0" m="1" x="1301"/>
        <item sd="0" m="1" x="7126"/>
        <item sd="0" m="1" x="4239"/>
        <item sd="0" m="1" x="2274"/>
        <item sd="0" m="1" x="123"/>
        <item sd="0" m="1" x="7931"/>
        <item sd="0" m="1" x="5882"/>
        <item sd="0" m="1" x="3924"/>
        <item sd="0" m="1" x="1934"/>
        <item sd="0" m="1" x="4425"/>
        <item sd="0" m="1" x="2480"/>
        <item sd="0" m="1" x="377"/>
        <item sd="0" m="1" x="139"/>
        <item sd="0" m="1" x="6084"/>
        <item sd="0" m="1" x="4103"/>
        <item sd="0" m="1" x="2101"/>
        <item sd="0" m="1" x="4609"/>
        <item sd="0" m="1" x="2647"/>
        <item sd="0" m="1" x="593"/>
        <item sd="0" m="1" x="3587"/>
        <item sd="0" m="1" x="1380"/>
        <item sd="0" m="1" x="7185"/>
        <item sd="0" m="1" x="5247"/>
        <item sd="0" m="1" x="3198"/>
        <item sd="0" m="1" x="3751"/>
        <item sd="0" m="1" x="1561"/>
        <item sd="0" m="1" x="7393"/>
        <item sd="0" m="1" x="5438"/>
        <item sd="0" m="1" x="3405"/>
        <item sd="0" m="1" x="3946"/>
        <item sd="0" m="1" x="2724"/>
        <item sd="0" m="1" x="668"/>
        <item sd="0" m="1" x="6493"/>
        <item sd="0" m="1" x="2887"/>
        <item sd="0" m="1" x="867"/>
        <item sd="0" m="1" x="6661"/>
        <item sd="0" m="1" x="480"/>
        <item sd="0" m="1" x="6342"/>
        <item sd="0" m="1" x="4357"/>
        <item sd="0" m="1" x="2216"/>
        <item sd="0" m="1" x="59"/>
        <item sd="0" m="1" x="696"/>
        <item sd="0" m="1" x="6513"/>
        <item sd="0" m="1" x="4540"/>
        <item sd="0" m="1" x="2418"/>
        <item sd="0" m="1" x="320"/>
        <item sd="0" m="1" x="885"/>
        <item sd="0" m="1" x="6684"/>
        <item sd="0" m="1" x="4723"/>
        <item sd="0" m="1" x="1855"/>
        <item sd="0" m="1" x="7706"/>
        <item sd="0" m="1" x="5688"/>
        <item sd="0" m="1" x="3535"/>
        <item sd="0" m="1" x="1497"/>
        <item sd="0" m="1" x="7323"/>
        <item sd="0" m="1" x="2055"/>
        <item sd="0" m="1" x="7892"/>
        <item sd="0" m="1" x="5844"/>
        <item sd="0" m="1" x="3711"/>
        <item sd="0" m="1" x="1702"/>
        <item sd="0" m="1" x="7547"/>
        <item sd="0" m="1" x="2243"/>
        <item sd="0" m="1" x="87"/>
        <item sd="0" m="1" x="6043"/>
        <item sd="0" m="1" x="1181"/>
        <item sd="0" m="1" x="6964"/>
        <item sd="0" m="1" x="6802"/>
        <item sd="0" m="1" x="4818"/>
        <item sd="0" m="1" x="2830"/>
        <item sd="0" m="1" x="808"/>
        <item sd="0" m="1" x="1346"/>
        <item sd="0" m="1" x="7153"/>
        <item sd="0" m="1" x="6985"/>
        <item sd="0" m="1" x="5026"/>
        <item sd="0" m="1" x="2997"/>
        <item sd="0" m="1" x="1015"/>
        <item sd="0" m="1" x="1527"/>
        <item sd="0" m="1" x="7351"/>
        <item sd="0" m="1" x="211"/>
        <item sd="0" m="1" x="6135"/>
        <item sd="0" m="1" x="4147"/>
        <item sd="0" m="1" x="2137"/>
        <item sd="0" m="1" x="430"/>
        <item sd="0" m="1" x="6314"/>
        <item sd="0" m="1" x="4316"/>
        <item sd="0" m="1" x="2345"/>
        <item sd="0" m="1" x="1607"/>
        <item sd="0" m="1" x="7451"/>
        <item sd="0" m="1" x="5481"/>
        <item sd="0" m="1" x="1809"/>
        <item sd="0" m="1" x="7664"/>
        <item sd="0" m="1" x="5644"/>
        <item sd="0" m="1" x="2011"/>
        <item sd="0" m="1" x="145"/>
        <item sd="0" m="1" x="6584"/>
        <item sd="0" m="1" x="5591"/>
        <item sd="0" m="1" x="3592"/>
        <item sd="0" m="1" x="1387"/>
        <item sd="0" m="1" x="7192"/>
        <item sd="0" m="1" x="5252"/>
        <item sd="0" m="1" x="3205"/>
        <item sd="0" m="1" x="5761"/>
        <item sd="0" m="1" x="3755"/>
        <item sd="0" m="1" x="1565"/>
        <item sd="0" m="1" x="7398"/>
        <item sd="0" m="1" x="5442"/>
        <item sd="0" m="1" x="3410"/>
        <item sd="0" m="1" x="5925"/>
        <item sd="0" m="1" x="3949"/>
        <item sd="0" m="1" x="4888"/>
        <item sd="0" m="1" x="2729"/>
        <item sd="0" m="1" x="672"/>
        <item sd="0" m="1" x="6496"/>
        <item sd="0" m="1" x="5075"/>
        <item sd="0" m="1" x="2888"/>
        <item sd="0" m="1" x="870"/>
        <item sd="0" m="1" x="6665"/>
        <item sd="0" m="1" x="5275"/>
        <item sd="0" m="1" x="2139"/>
        <item sd="0" m="1" x="1"/>
        <item sd="0" m="1" x="5964"/>
        <item sd="0" m="1" x="3802"/>
        <item sd="0" m="1" x="2347"/>
        <item sd="0" m="1" x="239"/>
        <item sd="0" m="1" x="6156"/>
        <item sd="0" m="1" x="3999"/>
        <item sd="0" m="1" x="2549"/>
        <item sd="0" m="1" x="447"/>
        <item sd="0" m="1" x="5483"/>
        <item sd="0" m="1" x="3448"/>
        <item sd="0" m="1" x="1440"/>
        <item sd="0" m="1" x="7261"/>
        <item sd="0" m="1" x="5120"/>
        <item sd="0" m="1" x="3091"/>
        <item sd="0" m="1" x="5646"/>
        <item sd="0" m="1" x="3660"/>
        <item sd="0" m="1" x="1628"/>
        <item sd="0" m="1" x="7476"/>
        <item sd="0" m="1" x="5322"/>
        <item sd="0" m="1" x="3296"/>
        <item sd="0" m="1" x="5809"/>
        <item sd="0" m="1" x="3829"/>
        <item sd="0" m="1" x="1824"/>
        <item sd="0" m="1" x="7677"/>
        <item sd="0" m="1" x="4747"/>
        <item sd="0" m="1" x="2774"/>
        <item sd="0" m="1" x="568"/>
        <item sd="0" m="1" x="6405"/>
        <item sd="0" m="1" x="4413"/>
        <item sd="0" m="1" x="2471"/>
        <item sd="0" m="1" x="4967"/>
        <item sd="0" m="1" x="2938"/>
        <item sd="0" m="1" x="761"/>
        <item sd="0" m="1" x="6572"/>
        <item sd="0" m="1" x="4596"/>
        <item sd="0" m="1" x="2641"/>
        <item sd="0" m="1" x="5153"/>
        <item sd="0" m="1" x="3117"/>
        <item sd="0" m="1" x="6498"/>
        <item sd="0" m="1" x="4527"/>
        <item sd="0" m="1" x="2578"/>
        <item sd="0" m="1" x="479"/>
        <item sd="0" m="1" x="6667"/>
        <item sd="0" m="1" x="4715"/>
        <item sd="0" m="1" x="2742"/>
        <item sd="0" m="1" x="693"/>
        <item sd="0" m="1" x="6882"/>
        <item sd="0" m="1" x="4915"/>
        <item sd="0" m="1" x="7879"/>
        <item sd="0" m="1" x="5833"/>
        <item sd="0" m="1" x="3871"/>
        <item sd="0" m="1" x="1681"/>
        <item sd="0" m="1" x="7526"/>
        <item sd="0" m="1" x="75"/>
        <item sd="0" m="1" x="6036"/>
        <item sd="0" m="1" x="4063"/>
        <item sd="0" m="1" x="1872"/>
        <item sd="0" m="1" x="7723"/>
        <item sd="0" m="1" x="331"/>
        <item sd="0" m="1" x="6228"/>
        <item sd="0" m="1" x="4220"/>
        <item sd="0" m="1" x="1331"/>
        <item sd="0" m="1" x="7145"/>
        <item sd="0" m="1" x="5196"/>
        <item sd="0" m="1" x="2979"/>
        <item sd="0" m="1" x="994"/>
        <item sd="0" m="1" x="6799"/>
        <item sd="0" m="1" x="1514"/>
        <item sd="0" m="1" x="7340"/>
        <item sd="0" m="1" x="5390"/>
        <item sd="0" m="1" x="3162"/>
        <item sd="0" m="1" x="1195"/>
        <item sd="0" m="1" x="6982"/>
        <item sd="0" m="1" x="1718"/>
        <item sd="0" m="1" x="7565"/>
        <item sd="0" m="1" x="5569"/>
        <item sd="0" m="1" x="627"/>
        <item sd="0" m="1" x="6460"/>
        <item sd="0" m="1" x="4292"/>
        <item sd="0" m="1" x="2324"/>
        <item sd="0" m="1" x="208"/>
        <item sd="0" m="1" x="820"/>
        <item sd="0" m="1" x="6624"/>
        <item sd="0" m="1" x="4487"/>
        <item sd="0" m="1" x="2536"/>
        <item sd="0" m="1" x="427"/>
        <item sd="0" m="1" x="1025"/>
        <item sd="0" m="1" x="6828"/>
        <item sd="0" m="1" x="7655"/>
        <item sd="0" m="1" x="5626"/>
        <item sd="0" m="1" x="3642"/>
        <item sd="0" m="1" x="1606"/>
        <item sd="0" m="1" x="7851"/>
        <item sd="0" m="1" x="5802"/>
        <item sd="0" m="1" x="3813"/>
        <item sd="0" m="1" x="1808"/>
        <item sd="0" m="1" x="2419"/>
        <item sd="0" m="1" x="7707"/>
        <item sd="0" m="1" x="5689"/>
        <item sd="0" m="1" x="3536"/>
        <item sd="0" m="1" x="1498"/>
        <item sd="0" m="1" x="7324"/>
        <item sd="0" m="1" x="7893"/>
        <item sd="0" m="1" x="5845"/>
        <item sd="0" m="1" x="3712"/>
        <item sd="0" m="1" x="1703"/>
        <item sd="0" m="1" x="7548"/>
        <item sd="0" m="1" x="88"/>
        <item sd="0" m="1" x="6044"/>
        <item sd="0" m="1" x="6965"/>
        <item sd="0" m="1" x="6803"/>
        <item sd="0" m="1" x="4819"/>
        <item sd="0" m="1" x="2831"/>
        <item sd="0" m="1" x="809"/>
        <item sd="0" m="1" x="7154"/>
        <item sd="0" m="1" x="6986"/>
        <item sd="0" m="1" x="5027"/>
        <item sd="0" m="1" x="2998"/>
        <item sd="0" m="1" x="1016"/>
        <item sd="0" m="1" x="7352"/>
        <item sd="0" m="1" x="212"/>
        <item sd="0" m="1" x="6136"/>
        <item sd="0" m="1" x="4148"/>
        <item sd="0" m="1" x="2138"/>
        <item sd="0" m="1" x="431"/>
        <item sd="0" m="1" x="6315"/>
        <item sd="0" m="1" x="4317"/>
        <item sd="0" m="1" x="2346"/>
        <item sd="0" m="1" x="648"/>
        <item sd="0" m="1" x="1608"/>
        <item sd="0" m="1" x="7452"/>
        <item sd="0" m="1" x="5482"/>
        <item sd="0" m="1" x="3273"/>
        <item sd="0" m="1" x="1810"/>
        <item sd="0" m="1" x="7665"/>
        <item sd="0" m="1" x="5645"/>
        <item sd="0" m="1" x="3472"/>
        <item sd="0" m="1" x="2012"/>
        <item sd="0" m="1" x="7856"/>
        <item sd="0" m="1" x="4954"/>
        <item sd="0" m="1" x="2922"/>
        <item sd="0" m="1" x="927"/>
        <item sd="0" m="1" x="6723"/>
        <item sd="0" m="1" x="4575"/>
        <item sd="0" m="1" x="2624"/>
        <item sd="0" m="1" x="5140"/>
        <item sd="0" m="1" x="3107"/>
        <item sd="0" m="1" x="1144"/>
        <item sd="0" m="1" x="6930"/>
        <item sd="0" m="1" x="4760"/>
        <item sd="0" m="1" x="2786"/>
        <item sd="0" m="1" x="5336"/>
        <item sd="0" m="1" x="3309"/>
        <item sd="0" m="1" x="1304"/>
        <item sd="0" m="1" x="7127"/>
        <item sd="0" m="1" x="2730"/>
        <item sd="0" m="1" x="673"/>
        <item sd="0" m="1" x="6497"/>
        <item sd="0" m="1" x="2889"/>
        <item sd="0" m="1" x="871"/>
        <item sd="0" m="1" x="6666"/>
        <item sd="0" m="1" x="485"/>
        <item sd="0" m="1" x="6346"/>
        <item sd="0" m="1" x="4361"/>
        <item sd="0" m="1" x="2222"/>
        <item sd="0" m="1" x="63"/>
        <item sd="0" m="1" x="701"/>
        <item sd="0" m="1" x="6518"/>
        <item sd="0" m="1" x="4543"/>
        <item sd="0" m="1" x="2424"/>
        <item sd="0" m="1" x="324"/>
        <item sd="0" m="1" x="887"/>
        <item sd="0" m="1" x="6687"/>
        <item sd="0" m="1" x="4725"/>
        <item sd="0" m="1" x="1859"/>
        <item sd="0" m="1" x="7711"/>
        <item sd="0" m="1" x="5692"/>
        <item sd="0" m="1" x="3538"/>
        <item sd="0" m="1" x="1500"/>
        <item sd="0" m="1" x="7328"/>
        <item sd="0" m="1" x="2059"/>
        <item sd="0" m="1" x="7898"/>
        <item sd="0" m="1" x="5849"/>
        <item sd="0" m="1" x="3713"/>
        <item sd="0" m="1" x="1706"/>
        <item sd="0" m="1" x="7553"/>
        <item sd="0" m="1" x="2244"/>
        <item sd="0" m="1" x="90"/>
        <item sd="0" m="1" x="6046"/>
        <item sd="0" m="1" x="1186"/>
        <item sd="0" m="1" x="6971"/>
        <item sd="0" m="1" x="6809"/>
        <item sd="0" m="1" x="4824"/>
        <item sd="0" m="1" x="2833"/>
        <item sd="0" m="1" x="810"/>
        <item sd="0" m="1" x="1351"/>
        <item sd="0" m="1" x="7158"/>
        <item sd="0" m="1" x="6992"/>
        <item sd="0" m="1" x="5029"/>
        <item sd="0" m="1" x="3001"/>
        <item sd="0" m="1" x="1018"/>
        <item sd="0" m="1" x="1529"/>
        <item sd="0" m="1" x="7354"/>
        <item sd="0" m="1" x="220"/>
        <item sd="0" m="1" x="6141"/>
        <item sd="0" m="1" x="4152"/>
        <item sd="0" m="1" x="2142"/>
        <item sd="0" m="1" x="436"/>
        <item sd="0" m="1" x="6317"/>
        <item sd="0" m="1" x="4320"/>
        <item sd="0" m="1" x="2349"/>
        <item sd="0" m="1" x="5337"/>
        <item sd="0" m="1" x="6266"/>
        <item sd="0" m="1" x="4246"/>
        <item sd="0" m="1" x="2279"/>
        <item sd="0" m="1" x="132"/>
        <item sd="0" m="1" x="7942"/>
        <item sd="0" m="1" x="5896"/>
        <item sd="0" m="1" x="3932"/>
        <item sd="0" m="1" x="6429"/>
        <item sd="0" m="1" x="4435"/>
        <item sd="0" m="1" x="2487"/>
        <item sd="0" m="1" x="385"/>
        <item sd="0" m="1" x="152"/>
        <item sd="0" m="1" x="6095"/>
        <item sd="0" m="1" x="4113"/>
        <item sd="0" m="1" x="6585"/>
        <item sd="0" m="1" x="4615"/>
        <item sd="0" m="1" x="2650"/>
        <item sd="0" m="1" x="596"/>
        <item sd="0" m="1" x="5595"/>
        <item sd="0" m="1" x="3599"/>
        <item sd="0" m="1" x="1392"/>
        <item sd="0" m="1" x="7197"/>
        <item sd="0" m="1" x="5256"/>
        <item sd="0" m="1" x="3211"/>
        <item sd="0" m="1" x="5765"/>
        <item sd="0" m="1" x="3761"/>
        <item sd="0" m="1" x="1567"/>
        <item sd="0" m="1" x="7401"/>
        <item sd="0" m="1" x="5446"/>
        <item sd="0" m="1" x="3415"/>
        <item sd="0" m="1" x="5927"/>
        <item sd="0" m="1" x="3951"/>
        <item sd="0" m="1" x="4894"/>
        <item sd="0" m="1" x="2734"/>
        <item sd="0" m="1" x="676"/>
        <item sd="0" m="1" x="6499"/>
        <item sd="0" m="1" x="5081"/>
        <item sd="0" m="1" x="2891"/>
        <item sd="0" m="1" x="873"/>
        <item sd="0" m="1" x="6670"/>
        <item sd="0" m="1" x="5278"/>
        <item sd="0" m="1" x="2144"/>
        <item sd="0" m="1" x="5"/>
        <item sd="0" m="1" x="5968"/>
        <item sd="0" m="1" x="3806"/>
        <item sd="0" m="1" x="2352"/>
        <item sd="0" m="1" x="245"/>
        <item sd="0" m="1" x="6161"/>
        <item sd="0" m="1" x="4003"/>
        <item sd="0" m="1" x="2551"/>
        <item sd="0" m="1" x="450"/>
        <item sd="0" m="1" x="5489"/>
        <item sd="0" m="1" x="3454"/>
        <item sd="0" m="1" x="1445"/>
        <item sd="0" m="1" x="7267"/>
        <item sd="0" m="1" x="5124"/>
        <item sd="0" m="1" x="3094"/>
        <item sd="0" m="1" x="5651"/>
        <item sd="0" m="1" x="3664"/>
        <item sd="0" m="1" x="1633"/>
        <item sd="0" m="1" x="7481"/>
        <item sd="0" m="1" x="5325"/>
        <item sd="0" m="1" x="3298"/>
        <item sd="0" m="1" x="5812"/>
        <item sd="0" m="1" x="3832"/>
        <item sd="0" m="1" x="1826"/>
        <item sd="0" m="1" x="7678"/>
        <item sd="0" m="1" x="3213"/>
        <item sd="0" m="1" x="1236"/>
        <item sd="0" m="1" x="7046"/>
        <item sd="0" m="1" x="3417"/>
        <item sd="0" m="1" x="1411"/>
        <item sd="0" m="1" x="7218"/>
        <item sd="0" m="1" x="6502"/>
        <item sd="0" m="1" x="4530"/>
        <item sd="0" m="1" x="2580"/>
        <item sd="0" m="1" x="484"/>
        <item sd="0" m="1" x="6673"/>
        <item sd="0" m="1" x="4718"/>
        <item sd="0" m="1" x="2747"/>
        <item sd="0" m="1" x="699"/>
        <item sd="0" m="1" x="6886"/>
        <item sd="0" m="1" x="4918"/>
        <item sd="0" m="1" x="7881"/>
        <item sd="0" m="1" x="5834"/>
        <item sd="0" m="1" x="3875"/>
        <item sd="0" m="1" x="1685"/>
        <item sd="0" m="1" x="7530"/>
        <item sd="0" m="1" x="79"/>
        <item sd="0" m="1" x="6038"/>
        <item sd="0" m="1" x="4067"/>
        <item sd="0" m="1" x="1877"/>
        <item sd="0" m="1" x="7728"/>
        <item sd="0" m="1" x="334"/>
        <item sd="0" m="1" x="6230"/>
        <item sd="0" m="1" x="4221"/>
        <item sd="0" m="1" x="1334"/>
        <item sd="0" m="1" x="7147"/>
        <item sd="0" m="1" x="5200"/>
        <item sd="0" m="1" x="2983"/>
        <item sd="0" m="1" x="999"/>
        <item sd="0" m="1" x="6806"/>
        <item sd="0" m="1" x="1519"/>
        <item sd="0" m="1" x="7344"/>
        <item sd="0" m="1" x="5395"/>
        <item sd="0" m="1" x="3165"/>
        <item sd="0" m="1" x="1199"/>
        <item sd="0" m="1" x="6989"/>
        <item sd="0" m="1" x="1721"/>
        <item sd="0" m="1" x="7568"/>
        <item sd="0" m="1" x="5570"/>
        <item sd="0" m="1" x="629"/>
        <item sd="0" m="1" x="6464"/>
        <item sd="0" m="1" x="4297"/>
        <item sd="0" m="1" x="2328"/>
        <item sd="0" m="1" x="217"/>
        <item sd="0" m="1" x="824"/>
        <item sd="0" m="1" x="6628"/>
        <item sd="0" m="1" x="4491"/>
        <item sd="0" m="1" x="2539"/>
        <item sd="0" m="1" x="432"/>
        <item sd="0" m="1" x="1028"/>
        <item sd="0" m="1" x="6829"/>
        <item sd="0" m="1" x="1087"/>
        <item sd="0" m="1" x="486"/>
        <item sd="0" m="1" x="6347"/>
        <item sd="0" m="1" x="4362"/>
        <item sd="0" m="1" x="2223"/>
        <item sd="0" m="1" x="64"/>
        <item sd="0" m="1" x="6030"/>
        <item sd="0" m="1" x="702"/>
        <item sd="0" m="1" x="6519"/>
        <item sd="0" m="1" x="4544"/>
        <item sd="0" m="1" x="2425"/>
        <item sd="0" m="1" x="325"/>
        <item sd="0" m="1" x="6223"/>
        <item sd="0" m="1" x="888"/>
        <item sd="0" m="1" x="6688"/>
        <item sd="0" m="1" x="4726"/>
        <item sd="0" m="1" x="7712"/>
        <item sd="0" m="1" x="5693"/>
        <item sd="0" m="1" x="3539"/>
        <item sd="0" m="1" x="1501"/>
        <item sd="0" m="1" x="7329"/>
        <item sd="0" m="1" x="7899"/>
        <item sd="0" m="1" x="5850"/>
        <item sd="0" m="1" x="3714"/>
        <item sd="0" m="1" x="1707"/>
        <item sd="0" m="1" x="7554"/>
        <item sd="0" m="1" x="91"/>
        <item sd="0" m="1" x="6047"/>
        <item sd="0" m="1" x="6972"/>
        <item sd="0" m="1" x="6810"/>
        <item sd="0" m="1" x="4825"/>
        <item sd="0" m="1" x="2834"/>
        <item sd="0" m="1" x="811"/>
        <item sd="0" m="1" x="7159"/>
        <item sd="0" m="1" x="6993"/>
        <item sd="0" m="1" x="5030"/>
        <item sd="0" m="1" x="3002"/>
        <item sd="0" m="1" x="1019"/>
        <item sd="0" m="1" x="7355"/>
        <item sd="0" m="1" x="221"/>
        <item sd="0" m="1" x="6142"/>
        <item sd="0" m="1" x="4153"/>
        <item sd="0" m="1" x="2143"/>
        <item sd="0" m="1" x="437"/>
        <item sd="0" m="1" x="6318"/>
        <item sd="0" m="1" x="4321"/>
        <item sd="0" m="1" x="2350"/>
        <item sd="0" m="1" x="652"/>
        <item sd="0" m="1" x="1612"/>
        <item sd="0" m="1" x="7457"/>
        <item sd="0" m="1" x="5488"/>
        <item sd="0" m="1" x="3279"/>
        <item sd="0" m="1" x="1813"/>
        <item sd="0" m="1" x="7667"/>
        <item sd="0" m="1" x="5649"/>
        <item sd="0" m="1" x="3478"/>
        <item sd="0" m="1" x="2015"/>
        <item sd="0" m="1" x="3600"/>
        <item sd="0" m="1" x="1393"/>
        <item sd="0" m="1" x="7198"/>
        <item sd="0" m="1" x="5257"/>
        <item sd="0" m="1" x="3212"/>
        <item sd="0" m="1" x="3762"/>
        <item sd="0" m="1" x="1568"/>
        <item sd="0" m="1" x="7402"/>
        <item sd="0" m="1" x="5447"/>
        <item sd="0" m="1" x="3416"/>
        <item sd="0" m="1" x="3952"/>
        <item sd="0" m="1" x="2735"/>
        <item sd="0" m="1" x="677"/>
        <item sd="0" m="1" x="6500"/>
        <item sd="0" m="1" x="2892"/>
        <item sd="0" m="1" x="874"/>
        <item sd="0" m="1" x="6671"/>
        <item sd="0" m="1" x="2145"/>
        <item sd="0" m="1" x="6"/>
        <item sd="0" m="1" x="5969"/>
        <item sd="0" m="1" x="3807"/>
        <item sd="0" m="1" x="1801"/>
        <item sd="0" m="1" x="2353"/>
        <item sd="0" m="1" x="246"/>
        <item sd="0" m="1" x="6162"/>
        <item sd="0" m="1" x="4004"/>
        <item sd="0" m="1" x="2007"/>
        <item sd="0" m="1" x="2552"/>
        <item sd="0" m="1" x="451"/>
        <item sd="0" m="1" x="6324"/>
        <item sd="0" m="1" x="3455"/>
        <item sd="0" m="1" x="1446"/>
        <item sd="0" m="1" x="7268"/>
        <item sd="0" m="1" x="5125"/>
        <item sd="0" m="1" x="3095"/>
        <item sd="0" m="1" x="1135"/>
        <item sd="0" m="1" x="3665"/>
        <item sd="0" m="1" x="1634"/>
        <item sd="0" m="1" x="7482"/>
        <item sd="0" m="1" x="5326"/>
        <item sd="0" m="1" x="3299"/>
        <item sd="0" m="1" x="1298"/>
        <item sd="0" m="1" x="3833"/>
        <item sd="0" m="1" x="1827"/>
        <item sd="0" m="1" x="7679"/>
        <item sd="0" m="1" x="491"/>
        <item sd="0" m="1" x="6350"/>
        <item sd="0" m="1" x="4366"/>
        <item sd="0" m="1" x="2229"/>
        <item sd="0" m="1" x="68"/>
        <item sd="0" m="1" x="707"/>
        <item sd="0" m="1" x="6523"/>
        <item sd="0" m="1" x="4547"/>
        <item sd="0" m="1" x="2429"/>
        <item sd="0" m="1" x="327"/>
        <item sd="0" m="1" x="891"/>
        <item sd="0" m="1" x="6692"/>
        <item sd="0" m="1" x="4728"/>
        <item sd="0" m="1" x="228"/>
        <item sd="0" m="1" x="6148"/>
        <item sd="0" m="1" x="4159"/>
        <item sd="0" m="1" x="2152"/>
        <item sd="0" m="1" x="441"/>
        <item sd="0" m="1" x="6320"/>
        <item sd="0" m="1" x="4325"/>
        <item sd="0" m="1" x="2357"/>
        <item sd="0" m="1" x="1617"/>
        <item sd="0" m="1" x="7463"/>
        <item sd="0" m="1" x="5493"/>
        <item sd="0" m="1" x="1816"/>
        <item sd="0" m="1" x="7670"/>
        <item sd="0" m="1" x="5653"/>
        <item sd="0" m="1" x="2017"/>
        <item sd="0" m="1" x="4958"/>
        <item sd="0" m="1" x="2926"/>
        <item sd="0" m="1" x="933"/>
        <item sd="0" m="1" x="6730"/>
        <item sd="0" m="1" x="4584"/>
        <item sd="0" m="1" x="5146"/>
        <item sd="0" m="1" x="3110"/>
        <item sd="0" m="1" x="1148"/>
        <item sd="0" m="1" x="6935"/>
        <item sd="0" m="1" x="4771"/>
        <item sd="0" m="1" x="5340"/>
        <item sd="0" m="1" x="3311"/>
        <item sd="0" m="1" x="1306"/>
        <item sd="0" m="1" x="6268"/>
        <item sd="0" m="1" x="4247"/>
        <item sd="0" m="1" x="2281"/>
        <item sd="0" m="1" x="134"/>
        <item sd="0" m="1" x="7947"/>
        <item sd="0" m="1" x="5901"/>
        <item sd="0" m="1" x="3935"/>
        <item sd="0" m="1" x="6431"/>
        <item sd="0" m="1" x="4437"/>
        <item sd="0" m="1" x="2490"/>
        <item sd="0" m="1" x="387"/>
        <item sd="0" m="1" x="157"/>
        <item sd="0" m="1" x="6098"/>
        <item sd="0" m="1" x="4115"/>
        <item sd="0" m="1" x="6587"/>
        <item sd="0" m="1" x="4617"/>
        <item sd="0" m="1" x="2652"/>
        <item sd="0" m="1" x="597"/>
        <item sd="0" m="1" x="5596"/>
        <item sd="0" m="1" x="3601"/>
        <item sd="0" m="1" x="1399"/>
        <item sd="0" m="1" x="7204"/>
        <item sd="0" m="1" x="5260"/>
        <item sd="0" m="1" x="3217"/>
        <item sd="0" m="1" x="5767"/>
        <item sd="0" m="1" x="3763"/>
        <item sd="0" m="1" x="1571"/>
        <item sd="0" m="1" x="7406"/>
        <item sd="0" m="1" x="5449"/>
        <item sd="0" m="1" x="3418"/>
        <item sd="0" m="1" x="5929"/>
        <item sd="0" m="1" x="3953"/>
        <item sd="0" m="1" x="5495"/>
        <item sd="0" m="1" x="3462"/>
        <item sd="0" m="1" x="1453"/>
        <item sd="0" m="1" x="7276"/>
        <item sd="0" m="1" x="5130"/>
        <item sd="0" m="1" x="3099"/>
        <item sd="0" m="1" x="5656"/>
        <item sd="0" m="1" x="3670"/>
        <item sd="0" m="1" x="1643"/>
        <item sd="0" m="1" x="7490"/>
        <item sd="0" m="1" x="5328"/>
        <item sd="0" m="1" x="3302"/>
        <item sd="0" m="1" x="5815"/>
        <item sd="0" m="1" x="3836"/>
        <item sd="0" m="1" x="1831"/>
        <item sd="0" m="1" x="7682"/>
        <item sd="0" m="1" x="4753"/>
        <item sd="0" m="1" x="2781"/>
        <item sd="0" m="1" x="578"/>
        <item sd="0" m="1" x="6415"/>
        <item sd="0" m="1" x="4421"/>
        <item sd="0" m="1" x="2478"/>
        <item sd="0" m="1" x="4975"/>
        <item sd="0" m="1" x="2947"/>
        <item sd="0" m="1" x="768"/>
        <item sd="0" m="1" x="6577"/>
        <item sd="0" m="1" x="4604"/>
        <item sd="0" m="1" x="2644"/>
        <item sd="0" m="1" x="5158"/>
        <item sd="0" m="1" x="3122"/>
        <item sd="0" m="1" x="4101"/>
        <item sd="0" m="1" x="1949"/>
        <item sd="0" m="1" x="7795"/>
        <item sd="0" m="1" x="5754"/>
        <item sd="0" m="1" x="4263"/>
        <item sd="0" m="1" x="2111"/>
        <item sd="0" m="1" x="7964"/>
        <item sd="0" m="1" x="5917"/>
        <item sd="0" m="1" x="4448"/>
        <item sd="0" m="1" x="3219"/>
        <item sd="0" m="1" x="1241"/>
        <item sd="0" m="1" x="7051"/>
        <item sd="0" m="1" x="3420"/>
        <item sd="0" m="1" x="1415"/>
        <item sd="0" m="1" x="7222"/>
        <item sd="0" m="1" x="6505"/>
        <item sd="0" m="1" x="4533"/>
        <item sd="0" m="1" x="2582"/>
        <item sd="0" m="1" x="490"/>
        <item sd="0" m="1" x="6677"/>
        <item sd="0" m="1" x="4719"/>
        <item sd="0" m="1" x="2749"/>
        <item sd="0" m="1" x="704"/>
        <item sd="0" m="1" x="6889"/>
        <item sd="0" m="1" x="4920"/>
        <item sd="0" m="1" x="631"/>
        <item sd="0" m="1" x="6467"/>
        <item sd="0" m="1" x="4303"/>
        <item sd="0" m="1" x="2333"/>
        <item sd="0" m="1" x="225"/>
        <item sd="0" m="1" x="826"/>
        <item sd="0" m="1" x="6631"/>
        <item sd="0" m="1" x="4495"/>
        <item sd="0" m="1" x="2543"/>
        <item sd="0" m="1" x="438"/>
        <item sd="0" m="1" x="1029"/>
        <item sd="0" m="1" x="6830"/>
        <item sd="0" m="1" x="7659"/>
        <item sd="0" m="1" x="5630"/>
        <item sd="0" m="1" x="3646"/>
        <item sd="0" m="1" x="1615"/>
        <item sd="0" m="1" x="7853"/>
        <item sd="0" m="1" x="5804"/>
        <item sd="0" m="1" x="3819"/>
        <item sd="0" m="1" x="1814"/>
        <item sd="0" m="1" x="7055"/>
        <item sd="0" m="1" x="5068"/>
        <item sd="0" m="1" x="3050"/>
        <item sd="0" m="1" x="1074"/>
        <item sd="0" m="1" x="866"/>
        <item sd="0" m="1" x="6659"/>
        <item sd="0" m="1" x="7226"/>
        <item sd="0" m="1" x="5270"/>
        <item sd="0" m="1" x="3235"/>
        <item sd="0" m="1" x="1255"/>
        <item sd="0" m="1" x="1092"/>
        <item sd="0" m="1" x="6878"/>
        <item sd="0" m="1" x="7422"/>
        <item sd="0" m="1" x="5458"/>
        <item sd="0" m="1" x="3429"/>
        <item sd="0" m="1" x="492"/>
        <item sd="0" m="1" x="6351"/>
        <item sd="0" m="1" x="4367"/>
        <item sd="0" m="1" x="2230"/>
        <item sd="0" m="1" x="69"/>
        <item sd="0" m="1" x="6032"/>
        <item sd="0" m="1" x="708"/>
        <item sd="0" m="1" x="6524"/>
        <item sd="0" m="1" x="4548"/>
        <item sd="0" m="1" x="2430"/>
        <item sd="0" m="1" x="328"/>
        <item sd="0" m="1" x="6225"/>
        <item sd="0" m="1" x="892"/>
        <item sd="0" m="1" x="6693"/>
        <item sd="0" m="1" x="4729"/>
        <item sd="0" m="1" x="7715"/>
        <item sd="0" m="1" x="5697"/>
        <item sd="0" m="1" x="3547"/>
        <item sd="0" m="1" x="1507"/>
        <item sd="0" m="1" x="7333"/>
        <item sd="0" m="1" x="7901"/>
        <item sd="0" m="1" x="5852"/>
        <item sd="0" m="1" x="3718"/>
        <item sd="0" m="1" x="1711"/>
        <item sd="0" m="1" x="7558"/>
        <item sd="0" m="1" x="92"/>
        <item sd="0" m="1" x="6048"/>
        <item sd="0" m="1" x="1618"/>
        <item sd="0" m="1" x="7464"/>
        <item sd="0" m="1" x="5494"/>
        <item sd="0" m="1" x="3285"/>
        <item sd="0" m="1" x="1817"/>
        <item sd="0" m="1" x="7671"/>
        <item sd="0" m="1" x="5654"/>
        <item sd="0" m="1" x="3485"/>
        <item sd="0" m="1" x="2018"/>
        <item sd="0" m="1" x="7860"/>
        <item sd="0" m="1" x="4959"/>
        <item sd="0" m="1" x="2927"/>
        <item sd="0" m="1" x="934"/>
        <item sd="0" m="1" x="6731"/>
        <item sd="0" m="1" x="4585"/>
        <item sd="0" m="1" x="2632"/>
        <item sd="0" m="1" x="5147"/>
        <item sd="0" m="1" x="3111"/>
        <item sd="0" m="1" x="1149"/>
        <item sd="0" m="1" x="6936"/>
        <item sd="0" m="1" x="4772"/>
        <item sd="0" m="1" x="2793"/>
        <item sd="0" m="1" x="5341"/>
        <item sd="0" m="1" x="3312"/>
        <item sd="0" m="1" x="1307"/>
        <item sd="0" m="1" x="7129"/>
        <item sd="0" m="1" x="4248"/>
        <item sd="0" m="1" x="2282"/>
        <item sd="0" m="1" x="135"/>
        <item sd="0" m="1" x="7948"/>
        <item sd="0" m="1" x="5902"/>
        <item sd="0" m="1" x="3936"/>
        <item sd="0" m="1" x="1948"/>
        <item sd="0" m="1" x="4438"/>
        <item sd="0" m="1" x="2491"/>
        <item sd="0" m="1" x="388"/>
        <item sd="0" m="1" x="158"/>
        <item sd="0" m="1" x="6099"/>
        <item sd="0" m="1" x="4116"/>
        <item sd="0" m="1" x="2110"/>
        <item sd="0" m="1" x="4618"/>
        <item sd="0" m="1" x="2653"/>
        <item sd="0" m="1" x="598"/>
        <item sd="0" m="1" x="3602"/>
        <item sd="0" m="1" x="1400"/>
        <item sd="0" m="1" x="7205"/>
        <item sd="0" m="1" x="5261"/>
        <item sd="0" m="1" x="3218"/>
        <item sd="0" m="1" x="3764"/>
        <item sd="0" m="1" x="1572"/>
        <item sd="0" m="1" x="7407"/>
        <item sd="0" m="1" x="5450"/>
        <item sd="0" m="1" x="3419"/>
        <item sd="0" m="1" x="3954"/>
        <item sd="0" m="1" x="2737"/>
        <item sd="0" m="1" x="681"/>
        <item sd="0" m="1" x="6503"/>
        <item sd="0" m="1" x="2893"/>
        <item sd="0" m="1" x="877"/>
        <item sd="0" m="1" x="6675"/>
        <item sd="0" m="1" x="2434"/>
        <item sd="0" m="1" x="1870"/>
        <item sd="0" m="1" x="7722"/>
        <item sd="0" m="1" x="5703"/>
        <item sd="0" m="1" x="3551"/>
        <item sd="0" m="1" x="1512"/>
        <item sd="0" m="1" x="7338"/>
        <item sd="0" m="1" x="2067"/>
        <item sd="0" m="1" x="7906"/>
        <item sd="0" m="1" x="5857"/>
        <item sd="0" m="1" x="3721"/>
        <item sd="0" m="1" x="1715"/>
        <item sd="0" m="1" x="7562"/>
        <item sd="0" m="1" x="2245"/>
        <item sd="0" m="1" x="94"/>
        <item sd="0" m="1" x="6050"/>
        <item sd="0" m="1" x="1194"/>
        <item sd="0" m="1" x="6980"/>
        <item sd="0" m="1" x="6817"/>
        <item sd="0" m="1" x="4836"/>
        <item sd="0" m="1" x="2842"/>
        <item sd="0" m="1" x="818"/>
        <item sd="0" m="1" x="1360"/>
        <item sd="0" m="1" x="7165"/>
        <item sd="0" m="1" x="7000"/>
        <item sd="0" m="1" x="5033"/>
        <item sd="0" m="1" x="3006"/>
        <item sd="0" m="1" x="1023"/>
        <item sd="0" m="1" x="1531"/>
        <item sd="0" m="1" x="7357"/>
        <item sd="0" m="1" x="235"/>
        <item sd="0" m="1" x="6152"/>
        <item sd="0" m="1" x="4161"/>
        <item sd="0" m="1" x="2156"/>
        <item sd="0" m="1" x="445"/>
        <item sd="0" m="1" x="6321"/>
        <item sd="0" m="1" x="4327"/>
        <item sd="0" m="1" x="2360"/>
        <item sd="0" m="1" x="1623"/>
        <item sd="0" m="1" x="7470"/>
        <item sd="0" m="1" x="5498"/>
        <item sd="0" m="1" x="1821"/>
        <item sd="0" m="1" x="7674"/>
        <item sd="0" m="1" x="5657"/>
        <item sd="0" m="1" x="2020"/>
        <item sd="0" m="1" x="4963"/>
        <item sd="0" m="1" x="2933"/>
        <item sd="0" m="1" x="937"/>
        <item sd="0" m="1" x="6735"/>
        <item sd="0" m="1" x="4591"/>
        <item sd="0" m="1" x="5151"/>
        <item sd="0" m="1" x="3115"/>
        <item sd="0" m="1" x="1152"/>
        <item sd="0" m="1" x="6938"/>
        <item sd="0" m="1" x="4777"/>
        <item sd="0" m="1" x="5344"/>
        <item sd="0" m="1" x="3315"/>
        <item sd="0" m="1" x="1309"/>
        <item sd="0" m="1" x="4900"/>
        <item sd="0" m="1" x="2740"/>
        <item sd="0" m="1" x="687"/>
        <item sd="0" m="1" x="6507"/>
        <item sd="0" m="1" x="5087"/>
        <item sd="0" m="1" x="2894"/>
        <item sd="0" m="1" x="879"/>
        <item sd="0" m="1" x="6678"/>
        <item sd="0" m="1" x="5280"/>
        <item sd="0" m="1" x="2158"/>
        <item sd="0" m="1" x="16"/>
        <item sd="0" m="1" x="5979"/>
        <item sd="0" m="1" x="3811"/>
        <item sd="0" m="1" x="2362"/>
        <item sd="0" m="1" x="257"/>
        <item sd="0" m="1" x="6170"/>
        <item sd="0" m="1" x="4007"/>
        <item sd="0" m="1" x="2554"/>
        <item sd="0" m="1" x="456"/>
        <item sd="0" m="1" x="5500"/>
        <item sd="0" m="1" x="3467"/>
        <item sd="0" m="1" x="1457"/>
        <item sd="0" m="1" x="7280"/>
        <item sd="0" m="1" x="5136"/>
        <item sd="0" m="1" x="3104"/>
        <item sd="0" m="1" x="5660"/>
        <item sd="0" m="1" x="3673"/>
        <item sd="0" m="1" x="1650"/>
        <item sd="0" m="1" x="7496"/>
        <item sd="0" m="1" x="5332"/>
        <item sd="0" m="1" x="3306"/>
        <item sd="0" m="1" x="5817"/>
        <item sd="0" m="1" x="3838"/>
        <item sd="0" m="1" x="1835"/>
        <item sd="0" m="1" x="7685"/>
        <item sd="0" m="1" x="4758"/>
        <item sd="0" m="1" x="2785"/>
        <item sd="0" m="1" x="585"/>
        <item sd="0" m="1" x="6422"/>
        <item sd="0" m="1" x="4428"/>
        <item sd="0" m="1" x="2483"/>
        <item sd="0" m="1" x="4978"/>
        <item sd="0" m="1" x="2950"/>
        <item sd="0" m="1" x="773"/>
        <item sd="0" m="1" x="6581"/>
        <item sd="0" m="1" x="4610"/>
        <item sd="0" m="1" x="2648"/>
        <item sd="0" m="1" x="5160"/>
        <item sd="0" m="1" x="3124"/>
        <item sd="0" m="1" x="4106"/>
        <item sd="0" m="1" x="1955"/>
        <item sd="0" m="1" x="7803"/>
        <item sd="0" m="1" x="5759"/>
        <item sd="0" m="1" x="4266"/>
        <item sd="0" m="1" x="2114"/>
        <item sd="0" m="1" x="7967"/>
        <item sd="0" m="1" x="5921"/>
        <item sd="0" m="1" x="4449"/>
        <item sd="0" m="1" x="6891"/>
        <item sd="0" m="1" x="7887"/>
        <item sd="0" m="1" x="5840"/>
        <item sd="0" m="1" x="3883"/>
        <item sd="0" m="1" x="1695"/>
        <item sd="0" m="1" x="7540"/>
        <item sd="0" m="1" x="84"/>
        <item sd="0" m="1" x="6041"/>
        <item sd="0" m="1" x="4071"/>
        <item sd="0" m="1" x="1887"/>
        <item sd="0" m="1" x="7738"/>
        <item sd="0" m="1" x="338"/>
        <item sd="0" m="1" x="6232"/>
        <item sd="0" m="1" x="4222"/>
        <item sd="0" m="1" x="1340"/>
        <item sd="0" m="1" x="7149"/>
        <item sd="0" m="1" x="5209"/>
        <item sd="0" m="1" x="2991"/>
        <item sd="0" m="1" x="1009"/>
        <item sd="0" m="1" x="6814"/>
        <item sd="0" m="1" x="1524"/>
        <item sd="0" m="1" x="7348"/>
        <item sd="0" m="1" x="5403"/>
        <item sd="0" m="1" x="3170"/>
        <item sd="0" m="1" x="1205"/>
        <item sd="0" m="1" x="6997"/>
        <item sd="0" m="1" x="1725"/>
        <item sd="0" m="1" x="7572"/>
        <item sd="0" m="1" x="5571"/>
        <item sd="0" m="1" x="634"/>
        <item sd="0" m="1" x="6468"/>
        <item sd="0" m="1" x="4310"/>
        <item sd="0" m="1" x="2340"/>
        <item sd="0" m="1" x="232"/>
        <item sd="0" m="1" x="830"/>
        <item sd="0" m="1" x="6632"/>
        <item sd="0" m="1" x="4498"/>
        <item sd="0" m="1" x="2546"/>
        <item sd="0" m="1" x="442"/>
        <item sd="0" m="1" x="1032"/>
        <item sd="0" m="1" x="6831"/>
        <item sd="0" m="1" x="7663"/>
        <item sd="0" m="1" x="5638"/>
        <item sd="0" m="1" x="3652"/>
        <item sd="0" m="1" x="1621"/>
        <item sd="0" m="1" x="7855"/>
        <item sd="0" m="1" x="5806"/>
        <item sd="0" m="1" x="3824"/>
        <item sd="0" m="1" x="1819"/>
        <item sd="0" m="1" x="7061"/>
        <item sd="0" m="1" x="5074"/>
        <item sd="0" m="1" x="3054"/>
        <item sd="0" m="1" x="1080"/>
        <item sd="0" m="1" x="869"/>
        <item sd="0" m="1" x="6664"/>
        <item sd="0" m="1" x="7229"/>
        <item sd="0" m="1" x="5274"/>
        <item sd="0" m="1" x="3238"/>
        <item sd="0" m="1" x="1257"/>
        <item sd="0" m="1" x="1094"/>
        <item sd="0" m="1" x="6881"/>
        <item sd="0" m="1" x="7425"/>
        <item sd="0" m="1" x="5461"/>
        <item sd="0" m="1" x="3432"/>
        <item sd="0" m="1" x="6981"/>
        <item sd="0" m="1" x="6818"/>
        <item sd="0" m="1" x="4837"/>
        <item sd="0" m="1" x="2843"/>
        <item sd="0" m="1" x="819"/>
        <item sd="0" m="1" x="7166"/>
        <item sd="0" m="1" x="7001"/>
        <item sd="0" m="1" x="5034"/>
        <item sd="0" m="1" x="3007"/>
        <item sd="0" m="1" x="1024"/>
        <item sd="0" m="1" x="7358"/>
        <item sd="0" m="1" x="236"/>
        <item sd="0" m="1" x="6153"/>
        <item sd="0" m="1" x="4162"/>
        <item sd="0" m="1" x="2157"/>
        <item sd="0" m="1" x="446"/>
        <item sd="0" m="1" x="6322"/>
        <item sd="0" m="1" x="4328"/>
        <item sd="0" m="1" x="2361"/>
        <item sd="0" m="1" x="657"/>
        <item sd="0" m="1" x="1624"/>
        <item sd="0" m="1" x="7471"/>
        <item sd="0" m="1" x="5499"/>
        <item sd="0" m="1" x="3293"/>
        <item sd="0" m="1" x="1822"/>
        <item sd="0" m="1" x="7675"/>
        <item sd="0" m="1" x="5658"/>
        <item sd="0" m="1" x="3494"/>
        <item sd="0" m="1" x="2021"/>
        <item sd="0" m="1" x="7862"/>
        <item sd="0" m="1" x="4964"/>
        <item sd="0" m="1" x="2934"/>
        <item sd="0" m="1" x="938"/>
        <item sd="0" m="1" x="6736"/>
        <item sd="0" m="1" x="4592"/>
        <item sd="0" m="1" x="2638"/>
        <item sd="0" m="1" x="5152"/>
        <item sd="0" m="1" x="3116"/>
        <item sd="0" m="1" x="1153"/>
        <item sd="0" m="1" x="6939"/>
        <item sd="0" m="1" x="4778"/>
        <item sd="0" m="1" x="2797"/>
        <item sd="0" m="1" x="5345"/>
        <item sd="0" m="1" x="3316"/>
        <item sd="0" m="1" x="1310"/>
        <item sd="0" m="1" x="7130"/>
        <item sd="0" m="1" x="4252"/>
        <item sd="0" m="1" x="2286"/>
        <item sd="0" m="1" x="142"/>
        <item sd="0" m="1" x="7953"/>
        <item sd="0" m="1" x="5907"/>
        <item sd="0" m="1" x="3940"/>
        <item sd="0" m="1" x="1954"/>
        <item sd="0" m="1" x="4441"/>
        <item sd="0" m="1" x="2495"/>
        <item sd="0" m="1" x="392"/>
        <item sd="0" m="1" x="160"/>
        <item sd="0" m="1" x="6101"/>
        <item sd="0" m="1" x="4118"/>
        <item sd="0" m="1" x="2113"/>
        <item sd="0" m="1" x="4620"/>
        <item sd="0" m="1" x="2655"/>
        <item sd="0" m="1" x="599"/>
        <item sd="0" m="1" x="2159"/>
        <item sd="0" m="1" x="17"/>
        <item sd="0" m="1" x="5980"/>
        <item sd="0" m="1" x="3812"/>
        <item sd="0" m="1" x="1807"/>
        <item sd="0" m="1" x="2363"/>
        <item sd="0" m="1" x="258"/>
        <item sd="0" m="1" x="6171"/>
        <item sd="0" m="1" x="4008"/>
        <item sd="0" m="1" x="2010"/>
        <item sd="0" m="1" x="2555"/>
        <item sd="0" m="1" x="457"/>
        <item sd="0" m="1" x="6328"/>
        <item sd="0" m="1" x="3468"/>
        <item sd="0" m="1" x="1458"/>
        <item sd="0" m="1" x="7281"/>
        <item sd="0" m="1" x="5137"/>
        <item sd="0" m="1" x="3105"/>
        <item sd="0" m="1" x="1142"/>
        <item sd="0" m="1" x="3674"/>
        <item sd="0" m="1" x="1651"/>
        <item sd="0" m="1" x="7497"/>
        <item sd="0" m="1" x="5333"/>
        <item sd="0" m="1" x="3307"/>
        <item sd="0" m="1" x="1302"/>
        <item sd="0" m="1" x="3839"/>
        <item sd="0" m="1" x="1836"/>
        <item sd="0" m="1" x="7686"/>
        <item sd="0" m="1" x="504"/>
        <item sd="0" m="1" x="6361"/>
        <item sd="0" m="1" x="4373"/>
        <item sd="0" m="1" x="2236"/>
        <item sd="0" m="1" x="77"/>
        <item sd="0" m="1" x="713"/>
        <item sd="0" m="1" x="6531"/>
        <item sd="0" m="1" x="4554"/>
        <item sd="0" m="1" x="2435"/>
        <item sd="0" m="1" x="332"/>
        <item sd="0" m="1" x="897"/>
        <item sd="0" m="1" x="6698"/>
        <item sd="0" m="1" x="4732"/>
        <item sd="0" m="1" x="1875"/>
        <item sd="0" m="1" x="7726"/>
        <item sd="0" m="1" x="5706"/>
        <item sd="0" m="1" x="3555"/>
        <item sd="0" m="1" x="1517"/>
        <item sd="0" m="1" x="7342"/>
        <item sd="0" m="1" x="2070"/>
        <item sd="0" m="1" x="7909"/>
        <item sd="0" m="1" x="5861"/>
        <item sd="0" m="1" x="3723"/>
        <item sd="0" m="1" x="1719"/>
        <item sd="0" m="1" x="7566"/>
        <item sd="0" m="1" x="2250"/>
        <item sd="0" m="1" x="98"/>
        <item sd="0" m="1" x="6054"/>
        <item sd="0" m="1" x="1198"/>
        <item sd="0" m="1" x="6987"/>
        <item sd="0" m="1" x="6820"/>
        <item sd="0" m="1" x="4842"/>
        <item sd="0" m="1" x="2847"/>
        <item sd="0" m="1" x="822"/>
        <item sd="0" m="1" x="1363"/>
        <item sd="0" m="1" x="7168"/>
        <item sd="0" m="1" x="7004"/>
        <item sd="0" m="1" x="5036"/>
        <item sd="0" m="1" x="3009"/>
        <item sd="0" m="1" x="1026"/>
        <item sd="0" m="1" x="1534"/>
        <item sd="0" m="1" x="7361"/>
        <item sd="0" m="1" x="4968"/>
        <item sd="0" m="1" x="2939"/>
        <item sd="0" m="1" x="944"/>
        <item sd="0" m="1" x="6743"/>
        <item sd="0" m="1" x="4597"/>
        <item sd="0" m="1" x="5154"/>
        <item sd="0" m="1" x="3118"/>
        <item sd="0" m="1" x="1155"/>
        <item sd="0" m="1" x="6942"/>
        <item sd="0" m="1" x="4782"/>
        <item sd="0" m="1" x="5347"/>
        <item sd="0" m="1" x="3318"/>
        <item sd="0" m="1" x="1311"/>
        <item sd="0" m="1" x="6273"/>
        <item sd="0" m="1" x="4254"/>
        <item sd="0" m="1" x="2290"/>
        <item sd="0" m="1" x="149"/>
        <item sd="0" m="1" x="7956"/>
        <item sd="0" m="1" x="5910"/>
        <item sd="0" m="1" x="3941"/>
        <item sd="0" m="1" x="6434"/>
        <item sd="0" m="1" x="4443"/>
        <item sd="0" m="1" x="2499"/>
        <item sd="0" m="1" x="396"/>
        <item sd="0" m="1" x="165"/>
        <item sd="0" m="1" x="6104"/>
        <item sd="0" m="1" x="4120"/>
        <item sd="0" m="1" x="6593"/>
        <item sd="0" m="1" x="4623"/>
        <item sd="0" m="1" x="2658"/>
        <item sd="0" m="1" x="601"/>
        <item sd="0" m="1" x="5600"/>
        <item sd="0" m="1" x="3606"/>
        <item sd="0" m="1" x="1407"/>
        <item sd="0" m="1" x="7214"/>
        <item sd="0" m="1" x="5264"/>
        <item sd="0" m="1" x="3226"/>
        <item sd="0" m="1" x="5769"/>
        <item sd="0" m="1" x="3768"/>
        <item sd="0" m="1" x="1576"/>
        <item sd="0" m="1" x="7413"/>
        <item sd="0" m="1" x="5453"/>
        <item sd="0" m="1" x="3422"/>
        <item sd="0" m="1" x="5932"/>
        <item sd="0" m="1" x="3956"/>
        <item sd="0" m="1" x="4903"/>
        <item sd="0" m="1" x="2743"/>
        <item sd="0" m="1" x="694"/>
        <item sd="0" m="1" x="6511"/>
        <item sd="0" m="1" x="5089"/>
        <item sd="0" m="1" x="2895"/>
        <item sd="0" m="1" x="883"/>
        <item sd="0" m="1" x="6682"/>
        <item sd="0" m="1" x="5283"/>
        <item sd="0" m="1" x="2163"/>
        <item sd="0" m="1" x="19"/>
        <item sd="0" m="1" x="5983"/>
        <item sd="0" m="1" x="3816"/>
        <item sd="0" m="1" x="2366"/>
        <item sd="0" m="1" x="259"/>
        <item sd="0" m="1" x="6172"/>
        <item sd="0" m="1" x="4011"/>
        <item sd="0" m="1" x="2557"/>
        <item sd="0" m="1" x="458"/>
        <item sd="0" m="1" x="4110"/>
        <item sd="0" m="1" x="1958"/>
        <item sd="0" m="1" x="7809"/>
        <item sd="0" m="1" x="5764"/>
        <item sd="0" m="1" x="4272"/>
        <item sd="0" m="1" x="2116"/>
        <item sd="0" m="1" x="7971"/>
        <item sd="0" m="1" x="5926"/>
        <item sd="0" m="1" x="4452"/>
        <item sd="0" m="1" x="3228"/>
        <item sd="0" m="1" x="1250"/>
        <item sd="0" m="1" x="7065"/>
        <item sd="0" m="1" x="3424"/>
        <item sd="0" m="1" x="1420"/>
        <item sd="0" m="1" x="7230"/>
        <item sd="0" m="1" x="6514"/>
        <item sd="0" m="1" x="4541"/>
        <item sd="0" m="1" x="2591"/>
        <item sd="0" m="1" x="503"/>
        <item sd="0" m="1" x="6685"/>
        <item sd="0" m="1" x="4724"/>
        <item sd="0" m="1" x="2754"/>
        <item sd="0" m="1" x="712"/>
        <item sd="0" m="1" x="6896"/>
        <item sd="0" m="1" x="4925"/>
        <item sd="0" m="1" x="7894"/>
        <item sd="0" m="1" x="5846"/>
        <item sd="0" m="1" x="3885"/>
        <item sd="0" m="1" x="1704"/>
        <item sd="0" m="1" x="7549"/>
        <item sd="0" m="1" x="89"/>
        <item sd="0" m="1" x="6045"/>
        <item sd="0" m="1" x="4072"/>
        <item sd="0" m="1" x="1896"/>
        <item sd="0" m="1" x="7747"/>
        <item sd="0" m="1" x="344"/>
        <item sd="0" m="1" x="6236"/>
        <item sd="0" m="1" x="4225"/>
        <item sd="0" m="1" x="1347"/>
        <item sd="0" m="1" x="7155"/>
        <item sd="0" m="1" x="5214"/>
        <item sd="0" m="1" x="2999"/>
        <item sd="0" m="1" x="1017"/>
        <item sd="0" m="1" x="6819"/>
        <item sd="0" m="1" x="1528"/>
        <item sd="0" m="1" x="7353"/>
        <item sd="0" m="1" x="5407"/>
        <item sd="0" m="1" x="3174"/>
        <item sd="0" m="1" x="1209"/>
        <item sd="0" m="1" x="7003"/>
        <item sd="0" m="1" x="1731"/>
        <item sd="0" m="1" x="7577"/>
        <item sd="0" m="1" x="5575"/>
        <item sd="0" m="1" x="7066"/>
        <item sd="0" m="1" x="5080"/>
        <item sd="0" m="1" x="3058"/>
        <item sd="0" m="1" x="1085"/>
        <item sd="0" m="1" x="872"/>
        <item sd="0" m="1" x="6669"/>
        <item sd="0" m="1" x="7231"/>
        <item sd="0" m="1" x="5277"/>
        <item sd="0" m="1" x="3241"/>
        <item sd="0" m="1" x="1261"/>
        <item sd="0" m="1" x="1096"/>
        <item sd="0" m="1" x="6884"/>
        <item sd="0" m="1" x="7428"/>
        <item sd="0" m="1" x="5462"/>
        <item sd="0" m="1" x="3434"/>
        <item sd="0" m="1" x="505"/>
        <item sd="0" m="1" x="6362"/>
        <item sd="0" m="1" x="4374"/>
        <item sd="0" m="1" x="2237"/>
        <item sd="0" m="1" x="78"/>
        <item sd="0" m="1" x="6037"/>
        <item sd="0" m="1" x="714"/>
        <item sd="0" m="1" x="6532"/>
        <item sd="0" m="1" x="4555"/>
        <item sd="0" m="1" x="2436"/>
        <item sd="0" m="1" x="333"/>
        <item sd="0" m="1" x="6229"/>
        <item sd="0" m="1" x="898"/>
        <item sd="0" m="1" x="6699"/>
        <item sd="0" m="1" x="4733"/>
        <item sd="0" m="1" x="7727"/>
        <item sd="0" m="1" x="5707"/>
        <item sd="0" m="1" x="3556"/>
        <item sd="0" m="1" x="1518"/>
        <item sd="0" m="1" x="7343"/>
        <item sd="0" m="1" x="7910"/>
        <item sd="0" m="1" x="5862"/>
        <item sd="0" m="1" x="3724"/>
        <item sd="0" m="1" x="1720"/>
        <item sd="0" m="1" x="7567"/>
        <item sd="0" m="1" x="99"/>
        <item sd="0" m="1" x="6055"/>
        <item sd="0" m="1" x="6988"/>
        <item sd="0" m="1" x="6821"/>
        <item sd="0" m="1" x="4843"/>
        <item sd="0" m="1" x="2848"/>
        <item sd="0" m="1" x="823"/>
        <item sd="0" m="1" x="7169"/>
        <item sd="0" m="1" x="7005"/>
        <item sd="0" m="1" x="5037"/>
        <item sd="0" m="1" x="3010"/>
        <item sd="0" m="1" x="1027"/>
        <item sd="0" m="1" x="7362"/>
        <item sd="0" m="1" x="240"/>
        <item sd="0" m="1" x="6157"/>
        <item sd="0" m="1" x="4166"/>
        <item sd="0" m="1" x="2162"/>
        <item sd="0" m="1" x="448"/>
        <item sd="0" m="1" x="6323"/>
        <item sd="0" m="1" x="4330"/>
        <item sd="0" m="1" x="2365"/>
        <item sd="0" m="1" x="659"/>
        <item sd="0" m="1" x="5348"/>
        <item sd="0" m="1" x="4255"/>
        <item sd="0" m="1" x="2291"/>
        <item sd="0" m="1" x="150"/>
        <item sd="0" m="1" x="7957"/>
        <item sd="0" m="1" x="5911"/>
        <item sd="0" m="1" x="3942"/>
        <item sd="0" m="1" x="1957"/>
        <item sd="0" m="1" x="4444"/>
        <item sd="0" m="1" x="2500"/>
        <item sd="0" m="1" x="397"/>
        <item sd="0" m="1" x="166"/>
        <item sd="0" m="1" x="6105"/>
        <item sd="0" m="1" x="4121"/>
        <item sd="0" m="1" x="2115"/>
        <item sd="0" m="1" x="4624"/>
        <item sd="0" m="1" x="2659"/>
        <item sd="0" m="1" x="602"/>
        <item sd="0" m="1" x="3607"/>
        <item sd="0" m="1" x="1408"/>
        <item sd="0" m="1" x="7215"/>
        <item sd="0" m="1" x="5265"/>
        <item sd="0" m="1" x="3227"/>
        <item sd="0" m="1" x="3769"/>
        <item sd="0" m="1" x="1577"/>
        <item sd="0" m="1" x="7414"/>
        <item sd="0" m="1" x="5454"/>
        <item sd="0" m="1" x="3423"/>
        <item sd="0" m="1" x="3957"/>
        <item sd="0" m="1" x="2744"/>
        <item sd="0" m="1" x="695"/>
        <item sd="0" m="1" x="6512"/>
        <item sd="0" m="1" x="2896"/>
        <item sd="0" m="1" x="884"/>
        <item sd="0" m="1" x="6683"/>
        <item sd="0" m="1" x="2164"/>
        <item sd="0" m="1" x="20"/>
        <item sd="0" m="1" x="5984"/>
        <item sd="0" m="1" x="3817"/>
        <item sd="0" m="1" x="1811"/>
        <item sd="0" m="1" x="2367"/>
        <item sd="0" m="1" x="260"/>
        <item sd="0" m="1" x="6173"/>
        <item sd="0" m="1" x="4012"/>
        <item sd="0" m="1" x="2013"/>
        <item sd="0" m="1" x="2558"/>
        <item sd="0" m="1" x="459"/>
        <item sd="0" m="1" x="6329"/>
        <item sd="0" m="1" x="512"/>
        <item sd="0" m="1" x="6366"/>
        <item sd="0" m="1" x="4377"/>
        <item sd="0" m="1" x="2238"/>
        <item sd="0" m="1" x="80"/>
        <item sd="0" m="1" x="717"/>
        <item sd="0" m="1" x="6533"/>
        <item sd="0" m="1" x="4556"/>
        <item sd="0" m="1" x="2437"/>
        <item sd="0" m="1" x="335"/>
        <item sd="0" m="1" x="900"/>
        <item sd="0" m="1" x="6700"/>
        <item sd="0" m="1" x="4734"/>
        <item sd="0" m="1" x="247"/>
        <item sd="0" m="1" x="6163"/>
        <item sd="0" m="1" x="4170"/>
        <item sd="0" m="1" x="2168"/>
        <item sd="0" m="1" x="452"/>
        <item sd="0" m="1" x="6325"/>
        <item sd="0" m="1" x="4331"/>
        <item sd="0" m="1" x="2368"/>
        <item sd="0" m="1" x="1635"/>
        <item sd="0" m="1" x="7483"/>
        <item sd="0" m="1" x="5508"/>
        <item sd="0" m="1" x="1828"/>
        <item sd="0" m="1" x="7680"/>
        <item sd="0" m="1" x="5661"/>
        <item sd="0" m="1" x="2025"/>
        <item sd="0" m="1" x="4971"/>
        <item sd="0" m="1" x="2941"/>
        <item sd="0" m="1" x="948"/>
        <item sd="0" m="1" x="6748"/>
        <item sd="0" m="1" x="4601"/>
        <item sd="0" m="1" x="5156"/>
        <item sd="0" m="1" x="3120"/>
        <item sd="0" m="1" x="1156"/>
        <item sd="0" m="1" x="6943"/>
        <item sd="0" m="1" x="4786"/>
        <item sd="0" m="1" x="5351"/>
        <item sd="0" m="1" x="3322"/>
        <item sd="0" m="1" x="1313"/>
        <item sd="0" m="1" x="6278"/>
        <item sd="0" m="1" x="4259"/>
        <item sd="0" m="1" x="2294"/>
        <item sd="0" m="1" x="155"/>
        <item sd="0" m="1" x="7962"/>
        <item sd="0" m="1" x="5915"/>
        <item sd="0" m="1" x="3943"/>
        <item sd="0" m="1" x="6436"/>
        <item sd="0" m="1" x="4446"/>
        <item sd="0" m="1" x="2502"/>
        <item sd="0" m="1" x="398"/>
        <item sd="0" m="1" x="169"/>
        <item sd="0" m="1" x="6108"/>
        <item sd="0" m="1" x="4122"/>
        <item sd="0" m="1" x="6596"/>
        <item sd="0" m="1" x="4626"/>
        <item sd="0" m="1" x="2661"/>
        <item sd="0" m="1" x="606"/>
        <item sd="0" m="1" x="5603"/>
        <item sd="0" m="1" x="3608"/>
        <item sd="0" m="1" x="1412"/>
        <item sd="0" m="1" x="7219"/>
        <item sd="0" m="1" x="5266"/>
        <item sd="0" m="1" x="3230"/>
        <item sd="0" m="1" x="5770"/>
        <item sd="0" m="1" x="3770"/>
        <item sd="0" m="1" x="1579"/>
        <item sd="0" m="1" x="7416"/>
        <item sd="0" m="1" x="5455"/>
        <item sd="0" m="1" x="3425"/>
        <item sd="0" m="1" x="5934"/>
        <item sd="0" m="1" x="3959"/>
        <item sd="0" m="1" x="5510"/>
        <item sd="0" m="1" x="3481"/>
        <item sd="0" m="1" x="1463"/>
        <item sd="0" m="1" x="7288"/>
        <item sd="0" m="1" x="5144"/>
        <item sd="0" m="1" x="3109"/>
        <item sd="0" m="1" x="5663"/>
        <item sd="0" m="1" x="3677"/>
        <item sd="0" m="1" x="1654"/>
        <item sd="0" m="1" x="7501"/>
        <item sd="0" m="1" x="5338"/>
        <item sd="0" m="1" x="3310"/>
        <item sd="0" m="1" x="5819"/>
        <item sd="0" m="1" x="3840"/>
        <item sd="0" m="1" x="1838"/>
        <item sd="0" m="1" x="7688"/>
        <item sd="0" m="1" x="4770"/>
        <item sd="0" m="1" x="2792"/>
        <item sd="0" m="1" x="590"/>
        <item sd="0" m="1" x="6430"/>
        <item sd="0" m="1" x="4436"/>
        <item sd="0" m="1" x="2489"/>
        <item sd="0" m="1" x="4984"/>
        <item sd="0" m="1" x="2955"/>
        <item sd="0" m="1" x="777"/>
        <item sd="0" m="1" x="6586"/>
        <item sd="0" m="1" x="4616"/>
        <item sd="0" m="1" x="2651"/>
        <item sd="0" m="1" x="5164"/>
        <item sd="0" m="1" x="3128"/>
        <item sd="0" m="1" x="4114"/>
        <item sd="0" m="1" x="1961"/>
        <item sd="0" m="1" x="7810"/>
        <item sd="0" m="1" x="5766"/>
        <item sd="0" m="1" x="4273"/>
        <item sd="0" m="1" x="2118"/>
        <item sd="0" m="1" x="7972"/>
        <item sd="0" m="1" x="5928"/>
        <item sd="0" m="1" x="4455"/>
        <item sd="0" m="1" x="3232"/>
        <item sd="0" m="1" x="1252"/>
        <item sd="0" m="1" x="7069"/>
        <item sd="0" m="1" x="3427"/>
        <item sd="0" m="1" x="1421"/>
        <item sd="0" m="1" x="7232"/>
        <item sd="0" m="1" x="6520"/>
        <item sd="0" m="1" x="4545"/>
        <item sd="0" m="1" x="2595"/>
        <item sd="0" m="1" x="511"/>
        <item sd="0" m="1" x="6689"/>
        <item sd="0" m="1" x="4727"/>
        <item sd="0" m="1" x="2755"/>
        <item sd="0" m="1" x="716"/>
        <item sd="0" m="1" x="6898"/>
        <item sd="0" m="1" x="4927"/>
        <item sd="0" m="1" x="640"/>
        <item sd="0" m="1" x="6472"/>
        <item sd="0" m="1" x="4322"/>
        <item sd="0" m="1" x="2351"/>
        <item sd="0" m="1" x="244"/>
        <item sd="0" m="1" x="833"/>
        <item sd="0" m="1" x="6636"/>
        <item sd="0" m="1" x="4504"/>
        <item sd="0" m="1" x="2550"/>
        <item sd="0" m="1" x="449"/>
        <item sd="0" m="1" x="1037"/>
        <item sd="0" m="1" x="6835"/>
        <item sd="0" m="1" x="7668"/>
        <item sd="0" m="1" x="5650"/>
        <item sd="0" m="1" x="3663"/>
        <item sd="0" m="1" x="1632"/>
        <item sd="0" m="1" x="7858"/>
        <item sd="0" m="1" x="5811"/>
        <item sd="0" m="1" x="3831"/>
        <item sd="0" m="1" x="1825"/>
        <item sd="0" m="1" x="7070"/>
        <item sd="0" m="1" x="5083"/>
        <item sd="0" m="1" x="3060"/>
        <item sd="0" m="1" x="1088"/>
        <item sd="0" m="1" x="876"/>
        <item sd="0" m="1" x="6674"/>
        <item sd="0" m="1" x="7233"/>
        <item sd="0" m="1" x="5279"/>
        <item sd="0" m="1" x="3242"/>
        <item sd="0" m="1" x="1262"/>
        <item sd="0" m="1" x="1098"/>
        <item sd="0" m="1" x="6887"/>
        <item sd="0" m="1" x="7431"/>
        <item sd="0" m="1" x="5463"/>
        <item sd="0" m="1" x="3435"/>
        <item sd="0" m="1" x="513"/>
        <item sd="0" m="1" x="6367"/>
        <item sd="0" m="1" x="4378"/>
        <item sd="0" m="1" x="2239"/>
        <item sd="0" m="1" x="81"/>
        <item sd="0" m="1" x="6039"/>
        <item sd="0" m="1" x="718"/>
        <item sd="0" m="1" x="6534"/>
        <item sd="0" m="1" x="4557"/>
        <item sd="0" m="1" x="2438"/>
        <item sd="0" m="1" x="336"/>
        <item sd="0" m="1" x="6231"/>
        <item sd="0" m="1" x="901"/>
        <item sd="0" m="1" x="6701"/>
        <item sd="0" m="1" x="4735"/>
        <item sd="0" m="1" x="7732"/>
        <item sd="0" m="1" x="5711"/>
        <item sd="0" m="1" x="3559"/>
        <item sd="0" m="1" x="1520"/>
        <item sd="0" m="1" x="7345"/>
        <item sd="0" m="1" x="7912"/>
        <item sd="0" m="1" x="5864"/>
        <item sd="0" m="1" x="3725"/>
        <item sd="0" m="1" x="1722"/>
        <item sd="0" m="1" x="7569"/>
        <item sd="0" m="1" x="100"/>
        <item sd="0" m="1" x="6056"/>
        <item sd="0" m="1" x="1636"/>
        <item sd="0" m="1" x="7484"/>
        <item sd="0" m="1" x="5509"/>
        <item sd="0" m="1" x="3300"/>
        <item sd="0" m="1" x="1829"/>
        <item sd="0" m="1" x="7681"/>
        <item sd="0" m="1" x="5662"/>
        <item sd="0" m="1" x="3498"/>
        <item sd="0" m="1" x="2026"/>
        <item sd="0" m="1" x="7865"/>
        <item sd="0" m="1" x="4972"/>
        <item sd="0" m="1" x="2942"/>
        <item sd="0" m="1" x="949"/>
        <item sd="0" m="1" x="6749"/>
        <item sd="0" m="1" x="4602"/>
        <item sd="0" m="1" x="2643"/>
        <item sd="0" m="1" x="5157"/>
        <item sd="0" m="1" x="3121"/>
        <item sd="0" m="1" x="1157"/>
        <item sd="0" m="1" x="6944"/>
        <item sd="0" m="1" x="4787"/>
        <item sd="0" m="1" x="2801"/>
        <item sd="0" m="1" x="5352"/>
        <item sd="0" m="1" x="3323"/>
        <item sd="0" m="1" x="1314"/>
        <item sd="0" m="1" x="7133"/>
        <item sd="0" m="1" x="4260"/>
        <item sd="0" m="1" x="2295"/>
        <item sd="0" m="1" x="156"/>
        <item sd="0" m="1" x="7963"/>
        <item sd="0" m="1" x="5916"/>
        <item sd="0" m="1" x="3944"/>
        <item sd="0" m="1" x="1960"/>
        <item sd="0" m="1" x="4447"/>
        <item sd="0" m="1" x="2503"/>
        <item sd="0" m="1" x="399"/>
        <item sd="0" m="1" x="170"/>
        <item sd="0" m="1" x="6109"/>
        <item sd="0" m="1" x="4123"/>
        <item sd="0" m="1" x="2117"/>
        <item sd="0" m="1" x="4627"/>
        <item sd="0" m="1" x="2662"/>
        <item sd="0" m="1" x="607"/>
        <item sd="0" m="1" x="3609"/>
        <item sd="0" m="1" x="1413"/>
        <item sd="0" m="1" x="7220"/>
        <item sd="0" m="1" x="5267"/>
        <item sd="0" m="1" x="3231"/>
        <item sd="0" m="1" x="3771"/>
        <item sd="0" m="1" x="1580"/>
        <item sd="0" m="1" x="7417"/>
        <item sd="0" m="1" x="5456"/>
        <item sd="0" m="1" x="3426"/>
        <item sd="0" m="1" x="3960"/>
        <item sd="0" m="1" x="2748"/>
        <item sd="0" m="1" x="700"/>
        <item sd="0" m="1" x="6517"/>
        <item sd="0" m="1" x="2898"/>
        <item sd="0" m="1" x="886"/>
        <item sd="0" m="1" x="6686"/>
        <item sd="0" m="1" x="520"/>
        <item sd="0" m="1" x="6371"/>
        <item sd="0" m="1" x="4382"/>
        <item sd="0" m="1" x="2240"/>
        <item sd="0" m="1" x="82"/>
        <item sd="0" m="1" x="721"/>
        <item sd="0" m="1" x="6535"/>
        <item sd="0" m="1" x="4558"/>
        <item sd="0" m="1" x="2439"/>
        <item sd="0" m="1" x="337"/>
        <item sd="0" m="1" x="903"/>
        <item sd="0" m="1" x="6702"/>
        <item sd="0" m="1" x="4736"/>
        <item sd="0" m="1" x="1885"/>
        <item sd="0" m="1" x="7736"/>
        <item sd="0" m="1" x="5715"/>
        <item sd="0" m="1" x="3562"/>
        <item sd="0" m="1" x="1522"/>
        <item sd="0" m="1" x="7346"/>
        <item sd="0" m="1" x="2075"/>
        <item sd="0" m="1" x="7915"/>
        <item sd="0" m="1" x="5867"/>
        <item sd="0" m="1" x="3726"/>
        <item sd="0" m="1" x="1723"/>
        <item sd="0" m="1" x="7570"/>
        <item sd="0" m="1" x="2252"/>
        <item sd="0" m="1" x="102"/>
        <item sd="0" m="1" x="6058"/>
        <item sd="0" m="1" x="1204"/>
        <item sd="0" m="1" x="6995"/>
        <item sd="0" m="1" x="6824"/>
        <item sd="0" m="1" x="4847"/>
        <item sd="0" m="1" x="2851"/>
        <item sd="0" m="1" x="828"/>
        <item sd="0" m="1" x="1367"/>
        <item sd="0" m="1" x="7172"/>
        <item sd="0" m="1" x="7007"/>
        <item sd="0" m="1" x="5038"/>
        <item sd="0" m="1" x="3011"/>
        <item sd="0" m="1" x="1030"/>
        <item sd="0" m="1" x="1535"/>
        <item sd="0" m="1" x="7363"/>
        <item sd="0" m="1" x="252"/>
        <item sd="0" m="1" x="6166"/>
        <item sd="0" m="1" x="4174"/>
        <item sd="0" m="1" x="2171"/>
        <item sd="0" m="1" x="454"/>
        <item sd="0" m="1" x="6326"/>
        <item sd="0" m="1" x="4332"/>
        <item sd="0" m="1" x="2369"/>
        <item sd="0" m="1" x="1644"/>
        <item sd="0" m="1" x="7491"/>
        <item sd="0" m="1" x="5516"/>
        <item sd="0" m="1" x="1832"/>
        <item sd="0" m="1" x="7683"/>
        <item sd="0" m="1" x="5664"/>
        <item sd="0" m="1" x="2029"/>
        <item sd="0" m="1" x="171"/>
        <item sd="0" m="1" x="6600"/>
        <item sd="0" m="1" x="5605"/>
        <item sd="0" m="1" x="3611"/>
        <item sd="0" m="1" x="1416"/>
        <item sd="0" m="1" x="7223"/>
        <item sd="0" m="1" x="5269"/>
        <item sd="0" m="1" x="3234"/>
        <item sd="0" m="1" x="5771"/>
        <item sd="0" m="1" x="3772"/>
        <item sd="0" m="1" x="1582"/>
        <item sd="0" m="1" x="7419"/>
        <item sd="0" m="1" x="5457"/>
        <item sd="0" m="1" x="3428"/>
        <item sd="0" m="1" x="5936"/>
        <item sd="0" m="1" x="3962"/>
        <item sd="0" m="1" x="4909"/>
        <item sd="0" m="1" x="2750"/>
        <item sd="0" m="1" x="705"/>
        <item sd="0" m="1" x="6521"/>
        <item sd="0" m="1" x="5091"/>
        <item sd="0" m="1" x="2899"/>
        <item sd="0" m="1" x="889"/>
        <item sd="0" m="1" x="6690"/>
        <item sd="0" m="1" x="5284"/>
        <item sd="0" m="1" x="2173"/>
        <item sd="0" m="1" x="25"/>
        <item sd="0" m="1" x="5987"/>
        <item sd="0" m="1" x="3822"/>
        <item sd="0" m="1" x="2371"/>
        <item sd="0" m="1" x="261"/>
        <item sd="0" m="1" x="6174"/>
        <item sd="0" m="1" x="4016"/>
        <item sd="0" m="1" x="2561"/>
        <item sd="0" m="1" x="460"/>
        <item sd="0" m="1" x="5518"/>
        <item sd="0" m="1" x="3490"/>
        <item sd="0" m="1" x="1468"/>
        <item sd="0" m="1" x="7291"/>
        <item sd="0" m="1" x="5148"/>
        <item sd="0" m="1" x="3112"/>
        <item sd="0" m="1" x="5666"/>
        <item sd="0" m="1" x="3678"/>
        <item sd="0" m="1" x="1655"/>
        <item sd="0" m="1" x="7502"/>
        <item sd="0" m="1" x="5342"/>
        <item sd="0" m="1" x="3313"/>
        <item sd="0" m="1" x="5821"/>
        <item sd="0" m="1" x="3841"/>
        <item sd="0" m="1" x="1839"/>
        <item sd="0" m="1" x="7689"/>
        <item sd="0" m="1" x="4776"/>
        <item sd="0" m="1" x="2796"/>
        <item sd="0" m="1" x="591"/>
        <item sd="0" m="1" x="6432"/>
        <item sd="0" m="1" x="4439"/>
        <item sd="0" m="1" x="2494"/>
        <item sd="0" m="1" x="4986"/>
        <item sd="0" m="1" x="2956"/>
        <item sd="0" m="1" x="778"/>
        <item sd="0" m="1" x="6588"/>
        <item sd="0" m="1" x="4619"/>
        <item sd="0" m="1" x="2654"/>
        <item sd="0" m="1" x="5166"/>
        <item sd="0" m="1" x="3130"/>
        <item sd="0" m="1" x="6525"/>
        <item sd="0" m="1" x="4549"/>
        <item sd="0" m="1" x="2598"/>
        <item sd="0" m="1" x="519"/>
        <item sd="0" m="1" x="6694"/>
        <item sd="0" m="1" x="4730"/>
        <item sd="0" m="1" x="2756"/>
        <item sd="0" m="1" x="720"/>
        <item sd="0" m="1" x="6900"/>
        <item sd="0" m="1" x="4929"/>
        <item sd="0" m="1" x="7902"/>
        <item sd="0" m="1" x="5853"/>
        <item sd="0" m="1" x="3890"/>
        <item sd="0" m="1" x="1712"/>
        <item sd="0" m="1" x="7559"/>
        <item sd="0" m="1" x="93"/>
        <item sd="0" m="1" x="6049"/>
        <item sd="0" m="1" x="4074"/>
        <item sd="0" m="1" x="1902"/>
        <item sd="0" m="1" x="7752"/>
        <item sd="0" m="1" x="345"/>
        <item sd="0" m="1" x="6237"/>
        <item sd="0" m="1" x="4226"/>
        <item sd="0" m="1" x="1356"/>
        <item sd="0" m="1" x="7162"/>
        <item sd="0" m="1" x="5218"/>
        <item sd="0" m="1" x="3005"/>
        <item sd="0" m="1" x="1021"/>
        <item sd="0" m="1" x="6823"/>
        <item sd="0" m="1" x="1530"/>
        <item sd="0" m="1" x="7356"/>
        <item sd="0" m="1" x="5411"/>
        <item sd="0" m="1" x="3177"/>
        <item sd="0" m="1" x="1210"/>
        <item sd="0" m="1" x="7006"/>
        <item sd="0" m="1" x="1736"/>
        <item sd="0" m="1" x="7580"/>
        <item sd="0" m="1" x="5578"/>
        <item sd="0" m="1" x="644"/>
        <item sd="0" m="1" x="6474"/>
        <item sd="0" m="1" x="4326"/>
        <item sd="0" m="1" x="2358"/>
        <item sd="0" m="1" x="251"/>
        <item sd="0" m="1" x="834"/>
        <item sd="0" m="1" x="6638"/>
        <item sd="0" m="1" x="4507"/>
        <item sd="0" m="1" x="2553"/>
        <item sd="0" m="1" x="453"/>
        <item sd="0" m="1" x="1040"/>
        <item sd="0" m="1" x="6838"/>
        <item sd="0" m="1" x="7672"/>
        <item sd="0" m="1" x="5655"/>
        <item sd="0" m="1" x="3669"/>
        <item sd="0" m="1" x="1642"/>
        <item sd="0" m="1" x="7861"/>
        <item sd="0" m="1" x="5814"/>
        <item sd="0" m="1" x="3835"/>
        <item sd="0" m="1" x="1830"/>
        <item sd="0" m="1" x="2440"/>
        <item sd="0" m="1" x="7737"/>
        <item sd="0" m="1" x="5716"/>
        <item sd="0" m="1" x="3563"/>
        <item sd="0" m="1" x="1523"/>
        <item sd="0" m="1" x="7347"/>
        <item sd="0" m="1" x="7916"/>
        <item sd="0" m="1" x="5868"/>
        <item sd="0" m="1" x="3727"/>
        <item sd="0" m="1" x="1724"/>
        <item sd="0" m="1" x="7571"/>
        <item sd="0" m="1" x="103"/>
        <item sd="0" m="1" x="6059"/>
        <item sd="0" m="1" x="6996"/>
        <item sd="0" m="1" x="6825"/>
        <item sd="0" m="1" x="4848"/>
        <item sd="0" m="1" x="2852"/>
        <item sd="0" m="1" x="829"/>
        <item sd="0" m="1" x="7173"/>
        <item sd="0" m="1" x="7008"/>
        <item sd="0" m="1" x="5039"/>
        <item sd="0" m="1" x="3012"/>
        <item sd="0" m="1" x="1031"/>
        <item sd="0" m="1" x="7364"/>
        <item sd="0" m="1" x="253"/>
        <item sd="0" m="1" x="6167"/>
        <item sd="0" m="1" x="4175"/>
        <item sd="0" m="1" x="2172"/>
        <item sd="0" m="1" x="455"/>
        <item sd="0" m="1" x="6327"/>
        <item sd="0" m="1" x="4333"/>
        <item sd="0" m="1" x="2370"/>
        <item sd="0" m="1" x="662"/>
        <item sd="0" m="1" x="1645"/>
        <item sd="0" m="1" x="7492"/>
        <item sd="0" m="1" x="5517"/>
        <item sd="0" m="1" x="3303"/>
        <item sd="0" m="1" x="1833"/>
        <item sd="0" m="1" x="7684"/>
        <item sd="0" m="1" x="5665"/>
        <item sd="0" m="1" x="3500"/>
        <item sd="0" m="1" x="2030"/>
        <item sd="0" m="1" x="7867"/>
        <item sd="0" m="1" x="4976"/>
        <item sd="0" m="1" x="2948"/>
        <item sd="0" m="1" x="955"/>
        <item sd="0" m="1" x="6754"/>
        <item sd="0" m="1" x="4605"/>
        <item sd="0" m="1" x="2645"/>
        <item sd="0" m="1" x="5159"/>
        <item sd="0" m="1" x="3123"/>
        <item sd="0" m="1" x="1158"/>
        <item sd="0" m="1" x="6946"/>
        <item sd="0" m="1" x="4789"/>
        <item sd="0" m="1" x="2802"/>
        <item sd="0" m="1" x="5355"/>
        <item sd="0" m="1" x="3327"/>
        <item sd="0" m="1" x="1316"/>
        <item sd="0" m="1" x="7136"/>
        <item sd="0" m="1" x="2751"/>
        <item sd="0" m="1" x="706"/>
        <item sd="0" m="1" x="6522"/>
        <item sd="0" m="1" x="2900"/>
        <item sd="0" m="1" x="890"/>
        <item sd="0" m="1" x="6691"/>
        <item sd="0" m="1" x="2174"/>
        <item sd="0" m="1" x="26"/>
        <item sd="0" m="1" x="5988"/>
        <item sd="0" m="1" x="3823"/>
        <item sd="0" m="1" x="1818"/>
        <item sd="0" m="1" x="2372"/>
        <item sd="0" m="1" x="262"/>
        <item sd="0" m="1" x="6175"/>
        <item sd="0" m="1" x="4017"/>
        <item sd="0" m="1" x="2019"/>
        <item sd="0" m="1" x="2562"/>
        <item sd="0" m="1" x="461"/>
        <item sd="0" m="1" x="6332"/>
        <item sd="0" m="1" x="3491"/>
        <item sd="0" m="1" x="1469"/>
        <item sd="0" m="1" x="7292"/>
        <item sd="0" m="1" x="5149"/>
        <item sd="0" m="1" x="3113"/>
        <item sd="0" m="1" x="1151"/>
        <item sd="0" m="1" x="3679"/>
        <item sd="0" m="1" x="1656"/>
        <item sd="0" m="1" x="7503"/>
        <item sd="0" m="1" x="5343"/>
        <item sd="0" m="1" x="3314"/>
        <item sd="0" m="1" x="1308"/>
        <item sd="0" m="1" x="3842"/>
        <item sd="0" m="1" x="1840"/>
        <item sd="0" m="1" x="7690"/>
        <item sd="0" m="1" x="528"/>
        <item sd="0" m="1" x="6376"/>
        <item sd="0" m="1" x="4386"/>
        <item sd="0" m="1" x="2241"/>
        <item sd="0" m="1" x="85"/>
        <item sd="0" m="1" x="724"/>
        <item sd="0" m="1" x="6537"/>
        <item sd="0" m="1" x="4559"/>
        <item sd="0" m="1" x="2442"/>
        <item sd="0" m="1" x="340"/>
        <item sd="0" m="1" x="908"/>
        <item sd="0" m="1" x="6705"/>
        <item sd="0" m="1" x="4738"/>
        <item sd="0" m="1" x="1895"/>
        <item sd="0" m="1" x="7745"/>
        <item sd="0" m="1" x="5720"/>
        <item sd="0" m="1" x="3565"/>
        <item sd="0" m="1" x="1525"/>
        <item sd="0" m="1" x="7349"/>
        <item sd="0" m="1" x="2078"/>
        <item sd="0" m="1" x="7918"/>
        <item sd="0" m="1" x="5870"/>
        <item sd="0" m="1" x="3729"/>
        <item sd="0" m="1" x="1727"/>
        <item sd="0" m="1" x="7573"/>
        <item sd="0" m="1" x="2257"/>
        <item sd="0" m="1" x="106"/>
        <item sd="0" m="1" x="6062"/>
        <item sd="0" m="1" x="1652"/>
        <item sd="0" m="1" x="7498"/>
        <item sd="0" m="1" x="5522"/>
        <item sd="0" m="1" x="1837"/>
        <item sd="0" m="1" x="7687"/>
        <item sd="0" m="1" x="5667"/>
        <item sd="0" m="1" x="2036"/>
        <item sd="0" m="1" x="4979"/>
        <item sd="0" m="1" x="2951"/>
        <item sd="0" m="1" x="958"/>
        <item sd="0" m="1" x="6758"/>
        <item sd="0" m="1" x="4611"/>
        <item sd="0" m="1" x="5161"/>
        <item sd="0" m="1" x="3125"/>
        <item sd="0" m="1" x="1159"/>
        <item sd="0" m="1" x="6948"/>
        <item sd="0" m="1" x="4792"/>
        <item sd="0" m="1" x="5357"/>
        <item sd="0" m="1" x="3331"/>
        <item sd="0" m="1" x="1319"/>
        <item sd="0" m="1" x="6284"/>
        <item sd="0" m="1" x="4267"/>
        <item sd="0" m="1" x="2300"/>
        <item sd="0" m="1" x="163"/>
        <item sd="0" m="1" x="7968"/>
        <item sd="0" m="1" x="5922"/>
        <item sd="0" m="1" x="3947"/>
        <item sd="0" m="1" x="6437"/>
        <item sd="0" m="1" x="4450"/>
        <item sd="0" m="1" x="2504"/>
        <item sd="0" m="1" x="401"/>
        <item sd="0" m="1" x="174"/>
        <item sd="0" m="1" x="6112"/>
        <item sd="0" m="1" x="4124"/>
        <item sd="0" m="1" x="6602"/>
        <item sd="0" m="1" x="4631"/>
        <item sd="0" m="1" x="2666"/>
        <item sd="0" m="1" x="613"/>
        <item sd="0" m="1" x="5608"/>
        <item sd="0" m="1" x="3614"/>
        <item sd="0" m="1" x="1418"/>
        <item sd="0" m="1" x="7227"/>
        <item sd="0" m="1" x="5272"/>
        <item sd="0" m="1" x="3236"/>
        <item sd="0" m="1" x="5772"/>
        <item sd="0" m="1" x="3773"/>
        <item sd="0" m="1" x="1584"/>
        <item sd="0" m="1" x="7423"/>
        <item sd="0" m="1" x="5459"/>
        <item sd="0" m="1" x="3430"/>
        <item sd="0" m="1" x="5938"/>
        <item sd="0" m="1" x="3965"/>
        <item sd="0" m="1" x="4912"/>
        <item sd="0" m="1" x="2752"/>
        <item sd="0" m="1" x="710"/>
        <item sd="0" m="1" x="6527"/>
        <item sd="0" m="1" x="5092"/>
        <item sd="0" m="1" x="2901"/>
        <item sd="0" m="1" x="893"/>
        <item sd="0" m="1" x="6695"/>
        <item sd="0" m="1" x="5286"/>
        <item sd="0" m="1" x="5826"/>
        <item sd="0" m="1" x="4781"/>
        <item sd="0" m="1" x="2799"/>
        <item sd="0" m="1" x="594"/>
        <item sd="0" m="1" x="6433"/>
        <item sd="0" m="1" x="4442"/>
        <item sd="0" m="1" x="2498"/>
        <item sd="0" m="1" x="4989"/>
        <item sd="0" m="1" x="2957"/>
        <item sd="0" m="1" x="781"/>
        <item sd="0" m="1" x="6591"/>
        <item sd="0" m="1" x="4621"/>
        <item sd="0" m="1" x="2656"/>
        <item sd="0" m="1" x="5172"/>
        <item sd="0" m="1" x="3134"/>
        <item sd="0" m="1" x="4119"/>
        <item sd="0" m="1" x="1964"/>
        <item sd="0" m="1" x="7812"/>
        <item sd="0" m="1" x="5768"/>
        <item sd="0" m="1" x="4275"/>
        <item sd="0" m="1" x="2120"/>
        <item sd="0" m="1" x="7973"/>
        <item sd="0" m="1" x="5930"/>
        <item sd="0" m="1" x="4459"/>
        <item sd="0" m="1" x="3239"/>
        <item sd="0" m="1" x="1258"/>
        <item sd="0" m="1" x="7075"/>
        <item sd="0" m="1" x="3433"/>
        <item sd="0" m="1" x="1422"/>
        <item sd="0" m="1" x="7234"/>
        <item sd="0" m="1" x="6529"/>
        <item sd="0" m="1" x="4552"/>
        <item sd="0" m="1" x="2603"/>
        <item sd="0" m="1" x="527"/>
        <item sd="0" m="1" x="6697"/>
        <item sd="0" m="1" x="4731"/>
        <item sd="0" m="1" x="2757"/>
        <item sd="0" m="1" x="722"/>
        <item sd="0" m="1" x="6904"/>
        <item sd="0" m="1" x="4932"/>
        <item sd="0" m="1" x="7907"/>
        <item sd="0" m="1" x="5858"/>
        <item sd="0" m="1" x="3895"/>
        <item sd="0" m="1" x="1716"/>
        <item sd="0" m="1" x="7563"/>
        <item sd="0" m="1" x="95"/>
        <item sd="0" m="1" x="6051"/>
        <item sd="0" m="1" x="4075"/>
        <item sd="0" m="1" x="1905"/>
        <item sd="0" m="1" x="7755"/>
        <item sd="0" m="1" x="350"/>
        <item sd="0" m="1" x="6241"/>
        <item sd="0" m="1" x="4229"/>
        <item sd="0" m="1" x="7676"/>
        <item sd="0" m="1" x="5659"/>
        <item sd="0" m="1" x="3672"/>
        <item sd="0" m="1" x="1649"/>
        <item sd="0" m="1" x="7863"/>
        <item sd="0" m="1" x="5816"/>
        <item sd="0" m="1" x="3837"/>
        <item sd="0" m="1" x="1834"/>
        <item sd="0" m="1" x="7076"/>
        <item sd="0" m="1" x="5088"/>
        <item sd="0" m="1" x="3064"/>
        <item sd="0" m="1" x="1095"/>
        <item sd="0" m="1" x="882"/>
        <item sd="0" m="1" x="6681"/>
        <item sd="0" m="1" x="7236"/>
        <item sd="0" m="1" x="5282"/>
        <item sd="0" m="1" x="3243"/>
        <item sd="0" m="1" x="1263"/>
        <item sd="0" m="1" x="1102"/>
        <item sd="0" m="1" x="6893"/>
        <item sd="0" m="1" x="7437"/>
        <item sd="0" m="1" x="5466"/>
        <item sd="0" m="1" x="3436"/>
        <item sd="0" m="1" x="529"/>
        <item sd="0" m="1" x="6377"/>
        <item sd="0" m="1" x="4387"/>
        <item sd="0" m="1" x="2242"/>
        <item sd="0" m="1" x="86"/>
        <item sd="0" m="1" x="6042"/>
        <item sd="0" m="1" x="725"/>
        <item sd="0" m="1" x="6538"/>
        <item sd="0" m="1" x="4560"/>
        <item sd="0" m="1" x="2443"/>
        <item sd="0" m="1" x="341"/>
        <item sd="0" m="1" x="6233"/>
        <item sd="0" m="1" x="909"/>
        <item sd="0" m="1" x="6706"/>
        <item sd="0" m="1" x="4739"/>
        <item sd="0" m="1" x="7746"/>
        <item sd="0" m="1" x="5721"/>
        <item sd="0" m="1" x="3566"/>
        <item sd="0" m="1" x="1526"/>
        <item sd="0" m="1" x="7350"/>
        <item sd="0" m="1" x="7919"/>
        <item sd="0" m="1" x="5871"/>
        <item sd="0" m="1" x="3730"/>
        <item sd="0" m="1" x="1728"/>
        <item sd="0" m="1" x="7574"/>
        <item sd="0" m="1" x="107"/>
        <item sd="0" m="1" x="6063"/>
        <item sd="0" m="1" x="7002"/>
        <item sd="0" m="1" x="6827"/>
        <item sd="0" m="1" x="4851"/>
        <item sd="0" m="1" x="2854"/>
        <item sd="0" m="1" x="832"/>
        <item sd="0" m="1" x="7175"/>
        <item sd="0" m="1" x="7009"/>
        <item sd="0" m="1" x="5040"/>
        <item sd="0" m="1" x="3013"/>
        <item sd="0" m="1" x="1033"/>
        <item sd="0" m="1" x="7367"/>
        <item sd="0" m="1" x="3501"/>
        <item sd="0" m="1" x="4980"/>
        <item sd="0" m="1" x="2952"/>
        <item sd="0" m="1" x="959"/>
        <item sd="0" m="1" x="6759"/>
        <item sd="0" m="1" x="4612"/>
        <item sd="0" m="1" x="2649"/>
        <item sd="0" m="1" x="5162"/>
        <item sd="0" m="1" x="3126"/>
        <item sd="0" m="1" x="1160"/>
        <item sd="0" m="1" x="6949"/>
        <item sd="0" m="1" x="4793"/>
        <item sd="0" m="1" x="2803"/>
        <item sd="0" m="1" x="5358"/>
        <item sd="0" m="1" x="3332"/>
        <item sd="0" m="1" x="1320"/>
        <item sd="0" m="1" x="7140"/>
        <item sd="0" m="1" x="4268"/>
        <item sd="0" m="1" x="2301"/>
        <item sd="0" m="1" x="164"/>
        <item sd="0" m="1" x="7969"/>
        <item sd="0" m="1" x="5923"/>
        <item sd="0" m="1" x="3948"/>
        <item sd="0" m="1" x="1963"/>
        <item sd="0" m="1" x="4451"/>
        <item sd="0" m="1" x="2505"/>
        <item sd="0" m="1" x="402"/>
        <item sd="0" m="1" x="175"/>
        <item sd="0" m="1" x="6113"/>
        <item sd="0" m="1" x="4125"/>
        <item sd="0" m="1" x="2119"/>
        <item sd="0" m="1" x="4632"/>
        <item sd="0" m="1" x="2667"/>
        <item sd="0" m="1" x="614"/>
        <item sd="0" m="1" x="3615"/>
        <item sd="0" m="1" x="1419"/>
        <item sd="0" m="1" x="7228"/>
        <item sd="0" m="1" x="5273"/>
        <item sd="0" m="1" x="3237"/>
        <item sd="0" m="1" x="3774"/>
        <item sd="0" m="1" x="1585"/>
        <item sd="0" m="1" x="7424"/>
        <item sd="0" m="1" x="5460"/>
        <item sd="0" m="1" x="3431"/>
        <item sd="0" m="1" x="3966"/>
        <item sd="0" m="1" x="2753"/>
        <item sd="0" m="1" x="711"/>
        <item sd="0" m="1" x="6528"/>
        <item sd="0" m="1" x="2902"/>
        <item sd="0" m="1" x="894"/>
        <item sd="0" m="1" x="6696"/>
        <item sd="0" m="1" x="2179"/>
        <item sd="0" m="1" x="30"/>
        <item sd="0" m="1" x="5991"/>
        <item sd="0" m="1" x="3828"/>
        <item sd="0" m="1" x="1823"/>
        <item sd="0" m="1" x="2373"/>
        <item sd="0" m="1" x="263"/>
        <item sd="0" m="1" x="6176"/>
        <item sd="0" m="1" x="4020"/>
        <item sd="0" m="1" x="2022"/>
        <item sd="0" m="1" x="2566"/>
        <item sd="0" m="1" x="462"/>
        <item sd="0" m="1" x="6333"/>
        <item sd="0" m="1" x="798"/>
        <item sd="0" m="1" x="6448"/>
        <item sd="0" m="1" x="4466"/>
        <item sd="0" m="1" x="2516"/>
        <item sd="0" m="1" x="1004"/>
        <item sd="0" m="1" x="6615"/>
        <item sd="0" m="1" x="4659"/>
        <item sd="0" m="1" x="2682"/>
        <item sd="0" m="1" x="1202"/>
        <item sd="0" m="1" x="1988"/>
        <item sd="0" m="1" x="7832"/>
        <item sd="0" m="1" x="5786"/>
        <item sd="0" m="1" x="3785"/>
        <item sd="0" m="1" x="2148"/>
        <item sd="0" m="1" x="7"/>
        <item sd="0" m="1" x="5970"/>
        <item sd="0" m="1" x="3986"/>
        <item sd="0" m="1" x="2354"/>
        <item sd="0" m="1" x="3258"/>
        <item sd="0" m="1" x="1271"/>
        <item sd="0" m="1" x="7100"/>
        <item sd="0" m="1" x="5102"/>
        <item sd="0" m="1" x="4945"/>
        <item sd="0" m="1" x="3458"/>
        <item sd="0" m="1" x="1447"/>
        <item sd="0" m="1" x="7269"/>
        <item sd="0" m="1" x="5305"/>
        <item sd="0" m="1" x="5127"/>
        <item sd="0" m="1" x="3666"/>
        <item sd="0" m="1" x="1637"/>
        <item sd="0" m="1" x="4566"/>
        <item sd="0" m="1" x="2614"/>
        <item sd="0" m="1" x="552"/>
        <item sd="0" m="1" x="6253"/>
        <item sd="0" m="1" x="4236"/>
        <item sd="0" m="1" x="4751"/>
        <item sd="0" m="1" x="2777"/>
        <item sd="0" m="1" x="748"/>
        <item sd="0" m="1" x="6412"/>
        <item sd="0" m="1" x="4419"/>
        <item sd="0" m="1" x="4973"/>
        <item sd="0" m="1" x="2943"/>
        <item sd="0" m="1" x="950"/>
        <item sd="0" m="1" x="5879"/>
        <item sd="0" m="1" x="3919"/>
        <item sd="0" m="1" x="1927"/>
        <item sd="0" m="1" x="7592"/>
        <item sd="0" m="1" x="5587"/>
        <item sd="0" m="1" x="3582"/>
        <item sd="0" m="1" x="6081"/>
        <item sd="0" m="1" x="4099"/>
        <item sd="0" m="1" x="2097"/>
        <item sd="0" m="1" x="7791"/>
        <item sd="0" m="1" x="5752"/>
        <item sd="0" m="1" x="3747"/>
        <item sd="0" m="1" x="6280"/>
        <item sd="0" m="1" x="4261"/>
        <item sd="0" m="1" x="2296"/>
        <item sd="0" m="1" x="3787"/>
        <item sd="0" m="1" x="1792"/>
        <item sd="0" m="1" x="7647"/>
        <item sd="0" m="1" x="5470"/>
        <item sd="0" m="1" x="3437"/>
        <item sd="0" m="1" x="3990"/>
        <item sd="0" m="1" x="2001"/>
        <item sd="0" m="1" x="7846"/>
        <item sd="0" m="1" x="5632"/>
        <item sd="0" m="1" x="3649"/>
        <item sd="0" m="1" x="4173"/>
        <item sd="0" m="1" x="2170"/>
        <item sd="0" m="1" x="24"/>
        <item sd="0" m="1" x="5104"/>
        <item sd="0" m="1" x="3082"/>
        <item sd="0" m="1" x="1119"/>
        <item sd="0" m="1" x="6713"/>
        <item sd="0" m="1" x="4742"/>
        <item sd="0" m="1" x="2765"/>
        <item sd="0" m="1" x="5310"/>
        <item sd="0" m="1" x="3286"/>
        <item sd="0" m="1" x="1289"/>
        <item sd="0" m="1" x="6921"/>
        <item sd="0" m="1" x="4960"/>
        <item sd="0" m="1" x="2928"/>
        <item sd="0" m="1" x="5514"/>
        <item sd="0" m="1" x="3486"/>
        <item sd="0" m="1" x="1465"/>
        <item sd="0" m="1" x="4405"/>
        <item sd="0" m="1" x="2460"/>
        <item sd="0" m="1" x="118"/>
        <item sd="0" m="1" x="6072"/>
        <item sd="0" m="1" x="4087"/>
        <item sd="0" m="1" x="4586"/>
        <item sd="0" m="1" x="2633"/>
        <item sd="0" m="1" x="373"/>
        <item sd="0" m="1" x="6269"/>
        <item sd="0" m="1" x="4249"/>
        <item sd="0" m="1" x="4773"/>
        <item sd="0" m="1" x="2794"/>
        <item sd="0" m="1" x="3584"/>
        <item sd="0" m="1" x="1546"/>
        <item sd="0" m="1" x="7379"/>
        <item sd="0" m="1" x="5419"/>
        <item sd="0" m="1" x="3749"/>
        <item sd="0" m="1" x="1761"/>
        <item sd="0" m="1" x="7611"/>
        <item sd="0" m="1" x="5597"/>
        <item sd="0" m="1" x="4879"/>
        <item sd="0" m="1" x="2872"/>
        <item sd="0" m="1" x="850"/>
        <item sd="0" m="1" x="5065"/>
        <item sd="0" m="1" x="3046"/>
        <item sd="0" m="1" x="1069"/>
        <item sd="0" m="1" x="5268"/>
        <item sd="0" m="1" x="2060"/>
        <item sd="0" m="1" x="984"/>
        <item sd="0" m="1" x="6788"/>
        <item sd="0" m="1" x="4645"/>
        <item sd="0" m="1" x="2673"/>
        <item sd="0" m="1" x="622"/>
        <item sd="0" m="1" x="6447"/>
        <item sd="0" m="1" x="1188"/>
        <item sd="0" m="1" x="6974"/>
        <item sd="0" m="1" x="4827"/>
        <item sd="0" m="1" x="2836"/>
        <item sd="0" m="1" x="812"/>
        <item sd="0" m="1" x="6614"/>
        <item sd="0" m="1" x="1353"/>
        <item sd="0" m="1" x="7160"/>
        <item sd="0" m="1" x="194"/>
        <item sd="0" m="1" x="5953"/>
        <item sd="0" m="1" x="3977"/>
        <item sd="0" m="1" x="1986"/>
        <item sd="0" m="1" x="7831"/>
        <item sd="0" m="1" x="420"/>
        <item sd="0" m="1" x="6143"/>
        <item sd="0" m="1" x="4155"/>
        <item sd="0" m="1" x="2146"/>
        <item sd="0" m="1" x="641"/>
        <item sd="0" m="1" x="7247"/>
        <item sd="0" m="1" x="5294"/>
        <item sd="0" m="1" x="3256"/>
        <item sd="0" m="1" x="7458"/>
        <item sd="0" m="1" x="5490"/>
        <item sd="0" m="1" x="3456"/>
        <item sd="0" m="1" x="852"/>
        <item sd="0" m="1" x="6649"/>
        <item sd="0" m="1" x="4703"/>
        <item sd="0" m="1" x="2723"/>
        <item sd="0" m="1" x="469"/>
        <item sd="0" m="1" x="6336"/>
        <item sd="0" m="1" x="1072"/>
        <item sd="0" m="1" x="6870"/>
        <item sd="0" m="1" x="4896"/>
        <item sd="0" m="1" x="2883"/>
        <item sd="0" m="1" x="683"/>
        <item sd="0" m="1" x="6506"/>
        <item sd="0" m="1" x="1254"/>
        <item sd="0" m="1" x="7072"/>
        <item sd="0" m="1" x="5084"/>
        <item sd="0" m="1" x="3061"/>
        <item sd="0" m="1" x="50"/>
        <item sd="0" m="1" x="6015"/>
        <item sd="0" m="1" x="4035"/>
        <item sd="0" m="1" x="3861"/>
        <item sd="0" m="1" x="1847"/>
        <item sd="0" m="1" x="7697"/>
        <item sd="0" m="1" x="5676"/>
        <item sd="0" m="1" x="308"/>
        <item sd="0" m="1" x="6210"/>
        <item sd="0" m="1" x="4210"/>
        <item sd="0" m="1" x="4054"/>
        <item sd="0" m="1" x="2048"/>
        <item sd="0" m="1" x="7883"/>
        <item sd="0" m="1" x="5836"/>
        <item sd="0" m="1" x="515"/>
        <item sd="0" m="1" x="6368"/>
        <item sd="0" m="1" x="4379"/>
        <item sd="0" m="1" x="1989"/>
        <item sd="0" m="1" x="7833"/>
        <item sd="0" m="1" x="5787"/>
        <item sd="0" m="1" x="3786"/>
        <item sd="0" m="1" x="2149"/>
        <item sd="0" m="1" x="8"/>
        <item sd="0" m="1" x="5971"/>
        <item sd="0" m="1" x="3987"/>
        <item sd="0" m="1" x="2355"/>
        <item sd="0" m="1" x="248"/>
        <item sd="0" m="1" x="3259"/>
        <item sd="0" m="1" x="1272"/>
        <item sd="0" m="1" x="7101"/>
        <item sd="0" m="1" x="5103"/>
        <item sd="0" m="1" x="4946"/>
        <item sd="0" m="1" x="2914"/>
        <item sd="0" m="1" x="3459"/>
        <item sd="0" m="1" x="1448"/>
        <item sd="0" m="1" x="7270"/>
        <item sd="0" m="1" x="5306"/>
        <item sd="0" m="1" x="5128"/>
        <item sd="0" m="1" x="3097"/>
        <item sd="0" m="1" x="3667"/>
        <item sd="0" m="1" x="1638"/>
        <item sd="0" m="1" x="7485"/>
        <item sd="0" m="1" x="4567"/>
        <item sd="0" m="1" x="2615"/>
        <item sd="0" m="1" x="553"/>
        <item sd="0" m="1" x="6254"/>
        <item sd="0" m="1" x="4237"/>
        <item sd="0" m="1" x="2271"/>
        <item sd="0" m="1" x="4752"/>
        <item sd="0" m="1" x="2778"/>
        <item sd="0" m="1" x="749"/>
        <item sd="0" m="1" x="6413"/>
        <item sd="0" m="1" x="4420"/>
        <item sd="0" m="1" x="2476"/>
        <item sd="0" m="1" x="4974"/>
        <item sd="0" m="1" x="2944"/>
        <item sd="0" m="1" x="951"/>
        <item sd="0" m="1" x="3920"/>
        <item sd="0" m="1" x="1928"/>
        <item sd="0" m="1" x="7593"/>
        <item sd="0" m="1" x="5588"/>
        <item sd="0" m="1" x="3583"/>
        <item sd="0" m="1" x="4100"/>
        <item sd="0" m="1" x="2098"/>
        <item sd="0" m="1" x="7792"/>
        <item sd="0" m="1" x="5753"/>
        <item sd="0" m="1" x="3748"/>
        <item sd="0" m="1" x="4262"/>
        <item sd="0" m="1" x="2297"/>
        <item sd="0" m="1" x="3194"/>
        <item sd="0" m="1" x="3028"/>
        <item sd="0" m="1" x="1050"/>
        <item sd="0" m="1" x="6854"/>
        <item sd="0" m="1" x="4878"/>
        <item sd="0" m="1" x="3403"/>
        <item sd="0" m="1" x="3214"/>
        <item sd="0" m="1" x="1238"/>
        <item sd="0" m="1" x="7048"/>
        <item sd="0" m="1" x="5064"/>
        <item sd="0" m="1" x="3610"/>
        <item sd="0" m="1" x="5633"/>
        <item sd="0" m="1" x="3083"/>
        <item sd="0" m="1" x="1120"/>
        <item sd="0" m="1" x="6714"/>
        <item sd="0" m="1" x="4743"/>
        <item sd="0" m="1" x="2766"/>
        <item sd="0" m="1" x="3287"/>
        <item sd="0" m="1" x="1290"/>
        <item sd="0" m="1" x="6922"/>
        <item sd="0" m="1" x="4961"/>
        <item sd="0" m="1" x="2929"/>
        <item sd="0" m="1" x="3487"/>
        <item sd="0" m="1" x="1466"/>
        <item sd="0" m="1" x="2209"/>
        <item sd="0" m="1" x="54"/>
        <item sd="0" m="1" x="6020"/>
        <item sd="0" m="1" x="4042"/>
        <item sd="0" m="1" x="3866"/>
        <item sd="0" m="1" x="1851"/>
        <item sd="0" m="1" x="7702"/>
        <item sd="0" m="1" x="2413"/>
        <item sd="0" m="1" x="315"/>
        <item sd="0" m="1" x="6215"/>
        <item sd="0" m="1" x="4215"/>
        <item sd="0" m="1" x="4058"/>
        <item sd="0" m="1" x="2051"/>
        <item sd="0" m="1" x="7888"/>
        <item sd="0" m="1" x="2600"/>
        <item sd="0" m="1" x="522"/>
        <item sd="0" m="1" x="6372"/>
        <item sd="0" m="1" x="4383"/>
        <item sd="0" m="1" x="1492"/>
        <item sd="0" m="1" x="7318"/>
        <item sd="0" m="1" x="5189"/>
        <item sd="0" m="1" x="3144"/>
        <item sd="0" m="1" x="1176"/>
        <item sd="0" m="1" x="6958"/>
        <item sd="0" m="1" x="1696"/>
        <item sd="0" m="1" x="7541"/>
        <item sd="0" m="1" x="5384"/>
        <item sd="0" m="1" x="3358"/>
        <item sd="0" m="1" x="1341"/>
        <item sd="0" m="1" x="7150"/>
        <item sd="0" m="1" x="1888"/>
        <item sd="0" m="1" x="7739"/>
        <item sd="0" m="1" x="804"/>
        <item sd="0" m="1" x="6454"/>
        <item sd="0" m="1" x="4470"/>
        <item sd="0" m="1" x="2521"/>
        <item sd="0" m="1" x="1010"/>
        <item sd="0" m="1" x="6620"/>
        <item sd="0" m="1" x="4663"/>
        <item sd="0" m="1" x="2686"/>
        <item sd="0" m="1" x="1206"/>
        <item sd="0" m="1" x="1993"/>
        <item sd="0" m="1" x="7838"/>
        <item sd="0" m="1" x="5791"/>
        <item sd="0" m="1" x="3793"/>
        <item sd="0" m="1" x="2154"/>
        <item sd="0" m="1" x="12"/>
        <item sd="0" m="1" x="5975"/>
        <item sd="0" m="1" x="3991"/>
        <item sd="0" m="1" x="6419"/>
        <item sd="0" m="1" x="5883"/>
        <item sd="0" m="1" x="3925"/>
        <item sd="0" m="1" x="1935"/>
        <item sd="0" m="1" x="7596"/>
        <item sd="0" m="1" x="5590"/>
        <item sd="0" m="1" x="3588"/>
        <item sd="0" m="1" x="6085"/>
        <item sd="0" m="1" x="4104"/>
        <item sd="0" m="1" x="2102"/>
        <item sd="0" m="1" x="7798"/>
        <item sd="0" m="1" x="5758"/>
        <item sd="0" m="1" x="3752"/>
        <item sd="0" m="1" x="6282"/>
        <item sd="0" m="1" x="4264"/>
        <item sd="0" m="1" x="2298"/>
        <item sd="0" m="1" x="5248"/>
        <item sd="0" m="1" x="3199"/>
        <item sd="0" m="1" x="3031"/>
        <item sd="0" m="1" x="1053"/>
        <item sd="0" m="1" x="6857"/>
        <item sd="0" m="1" x="4882"/>
        <item sd="0" m="1" x="5439"/>
        <item sd="0" m="1" x="3406"/>
        <item sd="0" m="1" x="3220"/>
        <item sd="0" m="1" x="1243"/>
        <item sd="0" m="1" x="7056"/>
        <item sd="0" m="1" x="5069"/>
        <item sd="0" m="1" x="5606"/>
        <item sd="0" m="1" x="3612"/>
        <item sd="0" m="1" x="4347"/>
        <item sd="0" m="1" x="2384"/>
        <item sd="0" m="1" x="289"/>
        <item sd="0" m="1" x="6192"/>
        <item sd="0" m="1" x="4534"/>
        <item sd="0" m="1" x="2583"/>
        <item sd="0" m="1" x="493"/>
        <item sd="0" m="1" x="6352"/>
        <item sd="0" m="1" x="3795"/>
        <item sd="0" m="1" x="1797"/>
        <item sd="0" m="1" x="7653"/>
        <item sd="0" m="1" x="5476"/>
        <item sd="0" m="1" x="3441"/>
        <item sd="0" m="1" x="3995"/>
        <item sd="0" m="1" x="2003"/>
        <item sd="0" m="1" x="7848"/>
        <item sd="0" m="1" x="5641"/>
        <item sd="0" m="1" x="3656"/>
        <item sd="0" m="1" x="4178"/>
        <item sd="0" m="1" x="2176"/>
        <item sd="0" m="1" x="27"/>
        <item sd="0" m="1" x="5114"/>
        <item sd="0" m="1" x="3089"/>
        <item sd="0" m="1" x="1128"/>
        <item sd="0" m="1" x="6720"/>
        <item sd="0" m="1" x="4745"/>
        <item sd="0" m="1" x="2770"/>
        <item sd="0" m="1" x="5318"/>
        <item sd="0" m="1" x="3294"/>
        <item sd="0" m="1" x="1294"/>
        <item sd="0" m="1" x="6928"/>
        <item sd="0" m="1" x="4965"/>
        <item sd="0" m="1" x="2935"/>
        <item sd="0" m="1" x="5521"/>
        <item sd="0" m="1" x="3495"/>
        <item sd="0" m="1" x="1470"/>
        <item sd="0" m="1" x="4884"/>
        <item sd="0" m="1" x="2875"/>
        <item sd="0" m="1" x="855"/>
        <item sd="0" m="1" x="5071"/>
        <item sd="0" m="1" x="3051"/>
        <item sd="0" m="1" x="1076"/>
        <item sd="0" m="1" x="5271"/>
        <item sd="0" m="1" x="6194"/>
        <item sd="0" m="1" x="4199"/>
        <item sd="0" m="1" x="2205"/>
        <item sd="0" m="1" x="7876"/>
        <item sd="0" m="1" x="6354"/>
        <item sd="0" m="1" x="4368"/>
        <item sd="0" m="1" x="2408"/>
        <item sd="0" m="1" x="72"/>
        <item sd="0" m="1" x="6526"/>
        <item sd="0" m="1" x="4550"/>
        <item sd="0" m="1" x="1673"/>
        <item sd="0" m="1" x="7518"/>
        <item sd="0" m="1" x="5545"/>
        <item sd="0" m="1" x="3526"/>
        <item sd="0" m="1" x="1329"/>
        <item sd="0" m="1" x="7144"/>
        <item sd="0" m="1" x="1865"/>
        <item sd="0" m="1" x="7716"/>
        <item sd="0" m="1" x="5698"/>
        <item sd="0" m="1" x="3704"/>
        <item sd="0" m="1" x="1511"/>
        <item sd="0" m="1" x="7337"/>
        <item sd="0" m="1" x="2064"/>
        <item sd="0" m="1" x="7903"/>
        <item sd="0" m="1" x="5854"/>
        <item sd="0" m="1" x="3891"/>
        <item sd="0" m="1" x="989"/>
        <item sd="0" m="1" x="6794"/>
        <item sd="0" m="1" x="4649"/>
        <item sd="0" m="1" x="2676"/>
        <item sd="0" m="1" x="625"/>
        <item sd="0" m="1" x="6453"/>
        <item sd="0" m="1" x="1192"/>
        <item sd="0" m="1" x="6978"/>
        <item sd="0" m="1" x="4832"/>
        <item sd="0" m="1" x="2840"/>
        <item sd="0" m="1" x="816"/>
        <item sd="0" m="1" x="6619"/>
        <item sd="0" m="1" x="1358"/>
        <item sd="0" m="1" x="7163"/>
        <item sd="0" m="1" x="202"/>
        <item sd="0" m="1" x="5957"/>
        <item sd="0" m="1" x="3980"/>
        <item sd="0" m="1" x="1992"/>
        <item sd="0" m="1" x="425"/>
        <item sd="0" m="1" x="6149"/>
        <item sd="0" m="1" x="4160"/>
        <item sd="0" m="1" x="2153"/>
        <item sd="0" m="1" x="645"/>
        <item sd="0" m="1" x="1256"/>
        <item sd="0" m="1" x="55"/>
        <item sd="0" m="1" x="6021"/>
        <item sd="0" m="1" x="4043"/>
        <item sd="0" m="1" x="3867"/>
        <item sd="0" m="1" x="1852"/>
        <item sd="0" m="1" x="7703"/>
        <item sd="0" m="1" x="5684"/>
        <item sd="0" m="1" x="316"/>
        <item sd="0" m="1" x="6216"/>
        <item sd="0" m="1" x="4216"/>
        <item sd="0" m="1" x="4059"/>
        <item sd="0" m="1" x="2052"/>
        <item sd="0" m="1" x="7889"/>
        <item sd="0" m="1" x="5841"/>
        <item sd="0" m="1" x="523"/>
        <item sd="0" m="1" x="6373"/>
        <item sd="0" m="1" x="4384"/>
        <item sd="0" m="1" x="7319"/>
        <item sd="0" m="1" x="5190"/>
        <item sd="0" m="1" x="3145"/>
        <item sd="0" m="1" x="1177"/>
        <item sd="0" m="1" x="6959"/>
        <item sd="0" m="1" x="7542"/>
        <item sd="0" m="1" x="5385"/>
        <item sd="0" m="1" x="3359"/>
        <item sd="0" m="1" x="1342"/>
        <item sd="0" m="1" x="7151"/>
        <item sd="0" m="1" x="7740"/>
        <item sd="0" m="1" x="6455"/>
        <item sd="0" m="1" x="4471"/>
        <item sd="0" m="1" x="2522"/>
        <item sd="0" m="1" x="6621"/>
        <item sd="0" m="1" x="4664"/>
        <item sd="0" m="1" x="2687"/>
        <item sd="0" m="1" x="1994"/>
        <item sd="0" m="1" x="7839"/>
        <item sd="0" m="1" x="5792"/>
        <item sd="0" m="1" x="3794"/>
        <item sd="0" m="1" x="2155"/>
        <item sd="0" m="1" x="13"/>
        <item sd="0" m="1" x="5976"/>
        <item sd="0" m="1" x="3992"/>
        <item sd="0" m="1" x="2359"/>
        <item sd="0" m="1" x="254"/>
        <item sd="0" m="1" x="3266"/>
        <item sd="0" m="1" x="1277"/>
        <item sd="0" m="1" x="7109"/>
        <item sd="0" m="1" x="5112"/>
        <item sd="0" m="1" x="4951"/>
        <item sd="0" m="1" x="2919"/>
        <item sd="0" m="1" x="3465"/>
        <item sd="0" m="1" x="1454"/>
        <item sd="0" m="1" x="7277"/>
        <item sd="0" m="1" x="5314"/>
        <item sd="0" m="1" x="5134"/>
        <item sd="0" m="1" x="3102"/>
        <item sd="0" m="1" x="3671"/>
        <item sd="0" m="1" x="1646"/>
        <item sd="0" m="1" x="7493"/>
        <item sd="0" m="1" x="3200"/>
        <item sd="0" m="1" x="3032"/>
        <item sd="0" m="1" x="1054"/>
        <item sd="0" m="1" x="6858"/>
        <item sd="0" m="1" x="4883"/>
        <item sd="0" m="1" x="3407"/>
        <item sd="0" m="1" x="3221"/>
        <item sd="0" m="1" x="1244"/>
        <item sd="0" m="1" x="7057"/>
        <item sd="0" m="1" x="5070"/>
        <item sd="0" m="1" x="3613"/>
        <item sd="0" m="1" x="4348"/>
        <item sd="0" m="1" x="2385"/>
        <item sd="0" m="1" x="290"/>
        <item sd="0" m="1" x="6193"/>
        <item sd="0" m="1" x="4535"/>
        <item sd="0" m="1" x="2584"/>
        <item sd="0" m="1" x="494"/>
        <item sd="0" m="1" x="6353"/>
        <item sd="0" m="1" x="4720"/>
        <item sd="0" m="1" x="3796"/>
        <item sd="0" m="1" x="1798"/>
        <item sd="0" m="1" x="7654"/>
        <item sd="0" m="1" x="5477"/>
        <item sd="0" m="1" x="3442"/>
        <item sd="0" m="1" x="1436"/>
        <item sd="0" m="1" x="3996"/>
        <item sd="0" m="1" x="2004"/>
        <item sd="0" m="1" x="7849"/>
        <item sd="0" m="1" x="5642"/>
        <item sd="0" m="1" x="3657"/>
        <item sd="0" m="1" x="1625"/>
        <item sd="0" m="1" x="4179"/>
        <item sd="0" m="1" x="2177"/>
        <item sd="0" m="1" x="28"/>
        <item sd="0" m="1" x="2217"/>
        <item sd="0" m="1" x="60"/>
        <item sd="0" m="1" x="6026"/>
        <item sd="0" m="1" x="4048"/>
        <item sd="0" m="1" x="3872"/>
        <item sd="0" m="1" x="1856"/>
        <item sd="0" m="1" x="7708"/>
        <item sd="0" m="1" x="2420"/>
        <item sd="0" m="1" x="321"/>
        <item sd="0" m="1" x="6220"/>
        <item sd="0" m="1" x="4218"/>
        <item sd="0" m="1" x="4064"/>
        <item sd="0" m="1" x="2056"/>
        <item sd="0" m="1" x="7895"/>
        <item sd="0" m="1" x="2604"/>
        <item sd="0" m="1" x="530"/>
        <item sd="0" m="1" x="6378"/>
        <item sd="0" m="1" x="4388"/>
        <item sd="0" m="1" x="1499"/>
        <item sd="0" m="1" x="7325"/>
        <item sd="0" m="1" x="5197"/>
        <item sd="0" m="1" x="3150"/>
        <item sd="0" m="1" x="1182"/>
        <item sd="0" m="1" x="6966"/>
        <item sd="0" m="1" x="1705"/>
        <item sd="0" m="1" x="7550"/>
        <item sd="0" m="1" x="5391"/>
        <item sd="0" m="1" x="3365"/>
        <item sd="0" m="1" x="1348"/>
        <item sd="0" m="1" x="7156"/>
        <item sd="0" m="1" x="1897"/>
        <item sd="0" m="1" x="7748"/>
        <item sd="0" m="1" x="2364"/>
        <item sd="0" m="1" x="3274"/>
        <item sd="0" m="1" x="1281"/>
        <item sd="0" m="1" x="7112"/>
        <item sd="0" m="1" x="5119"/>
        <item sd="0" m="1" x="4955"/>
        <item sd="0" m="1" x="3473"/>
        <item sd="0" m="1" x="1459"/>
        <item sd="0" m="1" x="7282"/>
        <item sd="0" m="1" x="5321"/>
        <item sd="0" m="1" x="5141"/>
        <item sd="0" m="1" x="3675"/>
        <item sd="0" m="1" x="1653"/>
        <item sd="0" m="1" x="4576"/>
        <item sd="0" m="1" x="2625"/>
        <item sd="0" m="1" x="566"/>
        <item sd="0" m="1" x="6261"/>
        <item sd="0" m="1" x="4242"/>
        <item sd="0" m="1" x="4761"/>
        <item sd="0" m="1" x="2787"/>
        <item sd="0" m="1" x="758"/>
        <item sd="0" m="1" x="6425"/>
        <item sd="0" m="1" x="4431"/>
        <item sd="0" m="1" x="4981"/>
        <item sd="0" m="1" x="2953"/>
        <item sd="0" m="1" x="960"/>
        <item sd="0" m="1" x="5888"/>
        <item sd="0" m="1" x="3927"/>
        <item sd="0" m="1" x="1939"/>
        <item sd="0" m="1" x="7602"/>
        <item sd="0" m="1" x="5592"/>
        <item sd="0" m="1" x="3593"/>
        <item sd="0" m="1" x="6089"/>
        <item sd="0" m="1" x="4107"/>
        <item sd="0" m="1" x="2105"/>
        <item sd="0" m="1" x="7805"/>
        <item sd="0" m="1" x="5762"/>
        <item sd="0" m="1" x="3756"/>
        <item sd="0" m="1" x="6286"/>
        <item sd="0" m="1" x="4269"/>
        <item sd="0" m="1" x="2302"/>
        <item sd="0" m="1" x="5253"/>
        <item sd="0" m="1" x="3206"/>
        <item sd="0" m="1" x="3038"/>
        <item sd="0" m="1" x="1061"/>
        <item sd="0" m="1" x="6863"/>
        <item sd="0" m="1" x="4889"/>
        <item sd="0" m="1" x="5443"/>
        <item sd="0" m="1" x="3411"/>
        <item sd="0" m="1" x="3224"/>
        <item sd="0" m="1" x="1248"/>
        <item sd="0" m="1" x="7062"/>
        <item sd="0" m="1" x="5076"/>
        <item sd="0" m="1" x="5609"/>
        <item sd="0" m="1" x="3616"/>
        <item sd="0" m="1" x="4354"/>
        <item sd="0" m="1" x="2392"/>
        <item sd="0" m="1" x="297"/>
        <item sd="0" m="1" x="6201"/>
        <item sd="0" m="1" x="4538"/>
        <item sd="0" m="1" x="2588"/>
        <item sd="0" m="1" x="500"/>
        <item sd="0" m="1" x="6358"/>
        <item sd="0" m="1" x="4414"/>
        <item sd="0" m="1" x="2472"/>
        <item sd="0" m="1" x="127"/>
        <item sd="0" m="1" x="6076"/>
        <item sd="0" m="1" x="4096"/>
        <item sd="0" m="1" x="4598"/>
        <item sd="0" m="1" x="2642"/>
        <item sd="0" m="1" x="380"/>
        <item sd="0" m="1" x="6274"/>
        <item sd="0" m="1" x="4256"/>
        <item sd="0" m="1" x="4783"/>
        <item sd="0" m="1" x="2800"/>
        <item sd="0" m="1" x="3595"/>
        <item sd="0" m="1" x="1552"/>
        <item sd="0" m="1" x="7385"/>
        <item sd="0" m="1" x="5429"/>
        <item sd="0" m="1" x="3758"/>
        <item sd="0" m="1" x="1767"/>
        <item sd="0" m="1" x="7617"/>
        <item sd="0" m="1" x="5601"/>
        <item sd="0" m="1" x="4891"/>
        <item sd="0" m="1" x="2879"/>
        <item sd="0" m="1" x="859"/>
        <item sd="0" m="1" x="5078"/>
        <item sd="0" m="1" x="3055"/>
        <item sd="0" m="1" x="1081"/>
        <item sd="0" m="1" x="5276"/>
        <item sd="0" m="1" x="6203"/>
        <item sd="0" m="1" x="4204"/>
        <item sd="0" m="1" x="2215"/>
        <item sd="0" m="1" x="7880"/>
        <item sd="0" m="1" x="6360"/>
        <item sd="0" m="1" x="4372"/>
        <item sd="0" m="1" x="2417"/>
        <item sd="0" m="1" x="76"/>
        <item sd="0" m="1" x="6530"/>
        <item sd="0" m="1" x="4553"/>
        <item sd="0" m="1" x="1682"/>
        <item sd="0" m="1" x="7527"/>
        <item sd="0" m="1" x="5552"/>
        <item sd="0" m="1" x="3534"/>
        <item sd="0" m="1" x="1332"/>
        <item sd="0" m="1" x="7146"/>
        <item sd="0" m="1" x="1873"/>
        <item sd="0" m="1" x="7724"/>
        <item sd="0" m="1" x="5704"/>
        <item sd="0" m="1" x="3710"/>
        <item sd="0" m="1" x="1515"/>
        <item sd="0" m="1" x="7341"/>
        <item sd="0" m="1" x="2068"/>
        <item sd="0" m="1" x="7908"/>
        <item sd="0" m="1" x="5859"/>
        <item sd="0" m="1" x="3896"/>
        <item sd="0" m="1" x="7256"/>
        <item sd="0" m="1" x="5298"/>
        <item sd="0" m="1" x="3270"/>
        <item sd="0" m="1" x="7472"/>
        <item sd="0" m="1" x="5501"/>
        <item sd="0" m="1" x="3469"/>
        <item sd="0" m="1" x="861"/>
        <item sd="0" m="1" x="6656"/>
        <item sd="0" m="1" x="4708"/>
        <item sd="0" m="1" x="2731"/>
        <item sd="0" m="1" x="481"/>
        <item sd="0" m="1" x="6343"/>
        <item sd="0" m="1" x="1083"/>
        <item sd="0" m="1" x="6876"/>
        <item sd="0" m="1" x="4906"/>
        <item sd="0" m="1" x="2890"/>
        <item sd="0" m="1" x="697"/>
        <item sd="0" m="1" x="6515"/>
        <item sd="0" m="1" x="1259"/>
        <item sd="0" m="1" x="7077"/>
        <item sd="0" m="1" x="5090"/>
        <item sd="0" m="1" x="3065"/>
        <item sd="0" m="1" x="61"/>
        <item sd="0" m="1" x="6027"/>
        <item sd="0" m="1" x="4049"/>
        <item sd="0" m="1" x="3873"/>
        <item sd="0" m="1" x="1857"/>
        <item sd="0" m="1" x="7709"/>
        <item sd="0" m="1" x="5690"/>
        <item sd="0" m="1" x="322"/>
        <item sd="0" m="1" x="6221"/>
        <item sd="0" m="1" x="4219"/>
        <item sd="0" m="1" x="4065"/>
        <item sd="0" m="1" x="2057"/>
        <item sd="0" m="1" x="7896"/>
        <item sd="0" m="1" x="5847"/>
        <item sd="0" m="1" x="531"/>
        <item sd="0" m="1" x="6379"/>
        <item sd="0" m="1" x="4389"/>
        <item sd="0" m="1" x="7326"/>
        <item sd="0" m="1" x="5198"/>
        <item sd="0" m="1" x="3151"/>
        <item sd="0" m="1" x="1183"/>
        <item sd="0" m="1" x="6967"/>
        <item sd="0" m="1" x="7551"/>
        <item sd="0" m="1" x="5392"/>
        <item sd="0" m="1" x="3366"/>
        <item sd="0" m="1" x="1349"/>
        <item sd="0" m="1" x="7157"/>
        <item sd="0" m="1" x="7749"/>
        <item sd="0" m="1" x="6461"/>
        <item sd="0" m="1" x="4477"/>
        <item sd="0" m="1" x="2527"/>
        <item sd="0" m="1" x="6625"/>
        <item sd="0" m="1" x="4670"/>
        <item sd="0" m="1" x="2692"/>
        <item sd="0" m="1" x="5142"/>
        <item sd="0" m="1" x="3676"/>
        <item sd="0" m="1" x="2276"/>
        <item sd="0" m="1" x="4762"/>
        <item sd="0" m="1" x="2788"/>
        <item sd="0" m="1" x="759"/>
        <item sd="0" m="1" x="6426"/>
        <item sd="0" m="1" x="4432"/>
        <item sd="0" m="1" x="2484"/>
        <item sd="0" m="1" x="4982"/>
        <item sd="0" m="1" x="2954"/>
        <item sd="0" m="1" x="961"/>
        <item sd="0" m="1" x="3928"/>
        <item sd="0" m="1" x="1940"/>
        <item sd="0" m="1" x="7603"/>
        <item sd="0" m="1" x="5593"/>
        <item sd="0" m="1" x="3594"/>
        <item sd="0" m="1" x="4108"/>
        <item sd="0" m="1" x="2106"/>
        <item sd="0" m="1" x="7806"/>
        <item sd="0" m="1" x="5763"/>
        <item sd="0" m="1" x="3757"/>
        <item sd="0" m="1" x="4270"/>
        <item sd="0" m="1" x="2303"/>
        <item sd="0" m="1" x="3207"/>
        <item sd="0" m="1" x="3039"/>
        <item sd="0" m="1" x="1062"/>
        <item sd="0" m="1" x="6864"/>
        <item sd="0" m="1" x="4890"/>
        <item sd="0" m="1" x="3412"/>
        <item sd="0" m="1" x="3225"/>
        <item sd="0" m="1" x="1249"/>
        <item sd="0" m="1" x="7063"/>
        <item sd="0" m="1" x="5077"/>
        <item sd="0" m="1" x="3617"/>
        <item sd="0" m="1" x="4355"/>
        <item sd="0" m="1" x="2393"/>
        <item sd="0" m="1" x="298"/>
        <item sd="0" m="1" x="6202"/>
        <item sd="0" m="1" x="4539"/>
        <item sd="0" m="1" x="2589"/>
        <item sd="0" m="1" x="501"/>
        <item sd="0" m="1" x="6359"/>
        <item sd="0" m="1" x="4722"/>
        <item sd="0" m="1" x="3803"/>
        <item sd="0" m="1" x="1800"/>
        <item sd="0" m="1" x="7657"/>
        <item sd="0" m="1" x="5484"/>
        <item sd="0" m="1" x="3449"/>
        <item sd="0" m="1" x="1441"/>
        <item sd="0" m="1" x="4000"/>
        <item sd="0" m="1" x="2006"/>
        <item sd="0" m="1" x="7852"/>
        <item sd="0" m="1" x="5647"/>
        <item sd="0" m="1" x="3661"/>
        <item sd="0" m="1" x="1629"/>
        <item sd="0" m="1" x="4180"/>
        <item sd="0" m="1" x="2180"/>
        <item sd="0" m="1" x="31"/>
        <item sd="0" m="1" x="7368"/>
        <item sd="0" m="1" x="2084"/>
        <item sd="0" m="1" x="7932"/>
        <item sd="0" m="1" x="5884"/>
        <item sd="0" m="1" x="3740"/>
        <item sd="0" m="1" x="1751"/>
        <item sd="0" m="1" x="7597"/>
        <item sd="0" m="1" x="2285"/>
        <item sd="0" m="1" x="140"/>
        <item sd="0" m="1" x="6086"/>
        <item sd="0" m="1" x="1214"/>
        <item sd="0" m="1" x="7012"/>
        <item sd="0" m="1" x="6844"/>
        <item sd="0" m="1" x="4863"/>
        <item sd="0" m="1" x="2860"/>
        <item sd="0" m="1" x="837"/>
        <item sd="0" m="1" x="1381"/>
        <item sd="0" m="1" x="7186"/>
        <item sd="0" m="1" x="7031"/>
        <item sd="0" m="1" x="5055"/>
        <item sd="0" m="1" x="3033"/>
        <item sd="0" m="1" x="1055"/>
        <item sd="0" m="1" x="1562"/>
        <item sd="0" m="1" x="7394"/>
        <item sd="0" m="1" x="273"/>
        <item sd="0" m="1" x="6177"/>
        <item sd="0" m="1" x="4184"/>
        <item sd="0" m="1" x="2181"/>
        <item sd="0" m="1" x="472"/>
        <item sd="0" m="1" x="6337"/>
        <item sd="0" m="1" x="4349"/>
        <item sd="0" m="1" x="2386"/>
        <item sd="0" m="1" x="1659"/>
        <item sd="0" m="1" x="7506"/>
        <item sd="0" m="1" x="5529"/>
        <item sd="0" m="1" x="1849"/>
        <item sd="0" m="1" x="7698"/>
        <item sd="0" m="1" x="5677"/>
        <item sd="0" m="1" x="2049"/>
        <item sd="0" m="1" x="4996"/>
        <item sd="0" m="1" x="2961"/>
        <item sd="0" m="1" x="974"/>
        <item sd="0" m="1" x="6775"/>
        <item sd="0" m="1" x="4633"/>
        <item sd="0" m="1" x="5186"/>
        <item sd="0" m="1" x="3142"/>
        <item sd="0" m="1" x="1173"/>
        <item sd="0" m="1" x="6956"/>
        <item sd="0" m="1" x="4807"/>
        <item sd="0" m="1" x="5382"/>
        <item sd="0" m="1" x="3356"/>
        <item sd="0" m="1" x="1338"/>
        <item sd="0" m="1" x="4933"/>
        <item sd="0" m="1" x="2759"/>
        <item sd="0" m="1" x="727"/>
        <item sd="0" m="1" x="6540"/>
        <item sd="0" m="1" x="5106"/>
        <item sd="0" m="1" x="2916"/>
        <item sd="0" m="1" x="922"/>
        <item sd="0" m="1" x="6716"/>
        <item sd="0" m="1" x="5312"/>
        <item sd="0" m="1" x="2183"/>
        <item sd="0" m="1" x="38"/>
        <item sd="0" m="1" x="6002"/>
        <item sd="0" m="1" x="3849"/>
        <item sd="0" m="1" x="2389"/>
        <item sd="0" m="1" x="292"/>
        <item sd="0" m="1" x="6195"/>
        <item sd="0" m="1" x="4038"/>
        <item sd="0" m="1" x="2586"/>
        <item sd="0" m="1" x="496"/>
        <item sd="0" m="1" x="5531"/>
        <item sd="0" m="1" x="3506"/>
        <item sd="0" m="1" x="1480"/>
        <item sd="0" m="1" x="7303"/>
        <item sd="0" m="1" x="5173"/>
        <item sd="0" m="1" x="3135"/>
        <item sd="0" m="1" x="5680"/>
        <item sd="0" m="1" x="3693"/>
        <item sd="0" m="1" x="1674"/>
        <item sd="0" m="1" x="7519"/>
        <item sd="0" m="1" x="5370"/>
        <item sd="0" m="1" x="3346"/>
        <item sd="0" m="1" x="5838"/>
        <item sd="0" m="1" x="3881"/>
        <item sd="0" m="1" x="1866"/>
        <item sd="0" m="1" x="7717"/>
        <item sd="0" m="1" x="4799"/>
        <item sd="0" m="1" x="2815"/>
        <item sd="0" m="1" x="617"/>
        <item sd="0" m="1" x="6442"/>
        <item sd="0" m="1" x="4460"/>
        <item sd="0" m="1" x="2509"/>
        <item sd="0" m="1" x="5006"/>
        <item sd="0" m="1" x="2976"/>
        <item sd="0" m="1" x="801"/>
        <item sd="0" m="1" x="6611"/>
        <item sd="0" m="1" x="4650"/>
        <item sd="0" m="1" x="2677"/>
        <item sd="0" m="1" x="5207"/>
        <item sd="0" m="1" x="3159"/>
        <item sd="0" m="1" x="4129"/>
        <item sd="0" m="1" x="1974"/>
        <item sd="0" m="1" x="7821"/>
        <item sd="0" m="1" x="5779"/>
        <item sd="0" m="1" x="4290"/>
        <item sd="0" m="1" x="2130"/>
        <item sd="0" m="1" x="7994"/>
        <item sd="0" m="1" x="5958"/>
        <item sd="0" m="1" x="4485"/>
        <item sd="0" m="1" x="6925"/>
        <item sd="0" m="1" x="7921"/>
        <item sd="0" m="1" x="5873"/>
        <item sd="0" m="1" x="3908"/>
        <item sd="0" m="1" x="1741"/>
        <item sd="0" m="1" x="7584"/>
        <item sd="0" m="1" x="120"/>
        <item sd="0" m="1" x="6074"/>
        <item sd="0" m="1" x="4088"/>
        <item sd="0" m="1" x="1929"/>
        <item sd="0" m="1" x="7776"/>
        <item sd="0" m="1" x="375"/>
        <item sd="0" m="1" x="6271"/>
        <item sd="0" m="1" x="4250"/>
        <item sd="0" m="1" x="1371"/>
        <item sd="0" m="1" x="7177"/>
        <item sd="0" m="1" x="5231"/>
        <item sd="0" m="1" x="3021"/>
        <item sd="0" m="1" x="1044"/>
        <item sd="0" m="1" x="6842"/>
        <item sd="0" m="1" x="1547"/>
        <item sd="0" m="1" x="7380"/>
        <item sd="0" m="1" x="5421"/>
        <item sd="0" m="1" x="3195"/>
        <item sd="0" m="1" x="1228"/>
        <item sd="0" m="1" x="7029"/>
        <item sd="0" m="1" x="1763"/>
        <item sd="0" m="1" x="7613"/>
        <item sd="0" m="1" x="5598"/>
        <item sd="0" m="1" x="665"/>
        <item sd="0" m="1" x="6485"/>
        <item sd="0" m="1" x="4339"/>
        <item sd="0" m="1" x="2379"/>
        <item sd="0" m="1" x="271"/>
        <item sd="0" m="1" x="853"/>
        <item sd="0" m="1" x="6650"/>
        <item sd="0" m="1" x="4522"/>
        <item sd="0" m="1" x="2574"/>
        <item sd="0" m="1" x="470"/>
        <item sd="0" m="1" x="1075"/>
        <item sd="0" m="1" x="6874"/>
        <item sd="0" m="1" x="7693"/>
        <item sd="0" m="1" x="5671"/>
        <item sd="0" m="1" x="3685"/>
        <item sd="0" m="1" x="1658"/>
        <item sd="0" m="1" x="7875"/>
        <item sd="0" m="1" x="5831"/>
        <item sd="0" m="1" x="3863"/>
        <item sd="0" m="1" x="1848"/>
        <item sd="0" m="1" x="7089"/>
        <item sd="0" m="1" x="5095"/>
        <item sd="0" m="1" x="3073"/>
        <item sd="0" m="1" x="1109"/>
        <item sd="0" m="1" x="913"/>
        <item sd="0" m="1" x="6707"/>
        <item sd="0" m="1" x="7254"/>
        <item sd="0" m="1" x="5297"/>
        <item sd="0" m="1" x="3267"/>
        <item sd="0" m="1" x="1278"/>
        <item sd="0" m="1" x="1126"/>
        <item sd="0" m="1" x="6915"/>
        <item sd="0" m="1" x="7468"/>
        <item sd="0" m="1" x="5497"/>
        <item sd="0" m="1" x="3466"/>
        <item sd="0" m="1" x="7013"/>
        <item sd="0" m="1" x="6845"/>
        <item sd="0" m="1" x="4864"/>
        <item sd="0" m="1" x="2861"/>
        <item sd="0" m="1" x="838"/>
        <item sd="0" m="1" x="7187"/>
        <item sd="0" m="1" x="7032"/>
        <item sd="0" m="1" x="5056"/>
        <item sd="0" m="1" x="3034"/>
        <item sd="0" m="1" x="1056"/>
        <item sd="0" m="1" x="7395"/>
        <item sd="0" m="1" x="274"/>
        <item sd="0" m="1" x="6178"/>
        <item sd="0" m="1" x="4185"/>
        <item sd="0" m="1" x="2182"/>
        <item sd="0" m="1" x="473"/>
        <item sd="0" m="1" x="6338"/>
        <item sd="0" m="1" x="4350"/>
        <item sd="0" m="1" x="2387"/>
        <item sd="0" m="1" x="685"/>
        <item sd="0" m="1" x="1660"/>
        <item sd="0" m="1" x="7507"/>
        <item sd="0" m="1" x="5530"/>
        <item sd="0" m="1" x="3335"/>
        <item sd="0" m="1" x="1850"/>
        <item sd="0" m="1" x="7699"/>
        <item sd="0" m="1" x="5678"/>
        <item sd="0" m="1" x="3524"/>
        <item sd="0" m="1" x="2050"/>
        <item sd="0" m="1" x="7884"/>
        <item sd="0" m="1" x="4997"/>
        <item sd="0" m="1" x="2962"/>
        <item sd="0" m="1" x="975"/>
        <item sd="0" m="1" x="6776"/>
        <item sd="0" m="1" x="4634"/>
        <item sd="0" m="1" x="2668"/>
        <item sd="0" m="1" x="5187"/>
        <item sd="0" m="1" x="3143"/>
        <item sd="0" m="1" x="1174"/>
        <item sd="0" m="1" x="6957"/>
        <item sd="0" m="1" x="4808"/>
        <item sd="0" m="1" x="2823"/>
        <item sd="0" m="1" x="5383"/>
        <item sd="0" m="1" x="3357"/>
        <item sd="0" m="1" x="1339"/>
        <item sd="0" m="1" x="7148"/>
        <item sd="0" m="1" x="4278"/>
        <item sd="0" m="1" x="2311"/>
        <item sd="0" m="1" x="183"/>
        <item sd="0" m="1" x="7979"/>
        <item sd="0" m="1" x="5939"/>
        <item sd="0" m="1" x="3967"/>
        <item sd="0" m="1" x="1971"/>
        <item sd="0" m="1" x="4468"/>
        <item sd="0" m="1" x="2518"/>
        <item sd="0" m="1" x="409"/>
        <item sd="0" m="1" x="197"/>
        <item sd="0" m="1" x="6124"/>
        <item sd="0" m="1" x="4138"/>
        <item sd="0" m="1" x="2127"/>
        <item sd="0" m="1" x="4662"/>
        <item sd="0" m="1" x="2685"/>
        <item sd="0" m="1" x="633"/>
        <item sd="0" m="1" x="2184"/>
        <item sd="0" m="1" x="39"/>
        <item sd="0" m="1" x="6003"/>
        <item sd="0" m="1" x="3850"/>
        <item sd="0" m="1" x="1843"/>
        <item sd="0" m="1" x="2390"/>
        <item sd="0" m="1" x="293"/>
        <item sd="0" m="1" x="6196"/>
        <item sd="0" m="1" x="4039"/>
        <item sd="0" m="1" x="2044"/>
        <item sd="0" m="1" x="2587"/>
        <item sd="0" m="1" x="497"/>
        <item sd="0" m="1" x="6355"/>
        <item sd="0" m="1" x="3507"/>
        <item sd="0" m="1" x="1481"/>
        <item sd="0" m="1" x="7304"/>
        <item sd="0" m="1" x="5174"/>
        <item sd="0" m="1" x="3136"/>
        <item sd="0" m="1" x="1166"/>
        <item sd="0" m="1" x="3694"/>
        <item sd="0" m="1" x="1675"/>
        <item sd="0" m="1" x="7520"/>
        <item sd="0" m="1" x="5371"/>
        <item sd="0" m="1" x="3347"/>
        <item sd="0" m="1" x="1330"/>
        <item sd="0" m="1" x="3882"/>
        <item sd="0" m="1" x="1867"/>
        <item sd="0" m="1" x="7718"/>
        <item sd="0" m="1" x="542"/>
        <item sd="0" m="1" x="6386"/>
        <item sd="0" m="1" x="4399"/>
        <item sd="0" m="1" x="2264"/>
        <item sd="0" m="1" x="111"/>
        <item sd="0" m="1" x="740"/>
        <item sd="0" m="1" x="6554"/>
        <item sd="0" m="1" x="4577"/>
        <item sd="0" m="1" x="2468"/>
        <item sd="0" m="1" x="366"/>
        <item sd="0" m="1" x="942"/>
        <item sd="0" m="1" x="6740"/>
        <item sd="0" m="1" x="4763"/>
        <item sd="0" m="1" x="1917"/>
        <item sd="0" m="1" x="7766"/>
        <item sd="0" m="1" x="5731"/>
        <item sd="0" m="1" x="3575"/>
        <item sd="0" m="1" x="1540"/>
        <item sd="0" m="1" x="7372"/>
        <item sd="0" m="1" x="2088"/>
        <item sd="0" m="1" x="7936"/>
        <item sd="0" m="1" x="5889"/>
        <item sd="0" m="1" x="3742"/>
        <item sd="0" m="1" x="1755"/>
        <item sd="0" m="1" x="7604"/>
        <item sd="0" m="1" x="2289"/>
        <item sd="0" m="1" x="146"/>
        <item sd="0" m="1" x="6090"/>
        <item sd="0" m="1" x="1219"/>
        <item sd="0" m="1" x="7018"/>
        <item sd="0" m="1" x="6848"/>
        <item sd="0" m="1" x="4868"/>
        <item sd="0" m="1" x="2864"/>
        <item sd="0" m="1" x="842"/>
        <item sd="0" m="1" x="1388"/>
        <item sd="0" m="1" x="7193"/>
        <item sd="0" m="1" x="7039"/>
        <item sd="0" m="1" x="5059"/>
        <item sd="0" m="1" x="3040"/>
        <item sd="0" m="1" x="1063"/>
        <item sd="0" m="1" x="1566"/>
        <item sd="0" m="1" x="7399"/>
        <item sd="0" m="1" x="4998"/>
        <item sd="0" m="1" x="2965"/>
        <item sd="0" m="1" x="978"/>
        <item sd="0" m="1" x="6780"/>
        <item sd="0" m="1" x="4638"/>
        <item sd="0" m="1" x="5193"/>
        <item sd="0" m="1" x="3149"/>
        <item sd="0" m="1" x="1180"/>
        <item sd="0" m="1" x="6962"/>
        <item sd="0" m="1" x="4813"/>
        <item sd="0" m="1" x="5388"/>
        <item sd="0" m="1" x="3364"/>
        <item sd="0" m="1" x="1345"/>
        <item sd="0" m="1" x="6292"/>
        <item sd="0" m="1" x="4280"/>
        <item sd="0" m="1" x="2314"/>
        <item sd="0" m="1" x="187"/>
        <item sd="0" m="1" x="7983"/>
        <item sd="0" m="1" x="5944"/>
        <item sd="0" m="1" x="3971"/>
        <item sd="0" m="1" x="6457"/>
        <item sd="0" m="1" x="4473"/>
        <item sd="0" m="1" x="2524"/>
        <item sd="0" m="1" x="413"/>
        <item sd="0" m="1" x="204"/>
        <item sd="0" m="1" x="6130"/>
        <item sd="0" m="1" x="4143"/>
        <item sd="0" m="1" x="6623"/>
        <item sd="0" m="1" x="4668"/>
        <item sd="0" m="1" x="2690"/>
        <item sd="0" m="1" x="636"/>
        <item sd="0" m="1" x="5616"/>
        <item sd="0" m="1" x="3632"/>
        <item sd="0" m="1" x="1427"/>
        <item sd="0" m="1" x="7241"/>
        <item sd="0" m="1" x="5289"/>
        <item sd="0" m="1" x="3247"/>
        <item sd="0" m="1" x="5793"/>
        <item sd="0" m="1" x="3797"/>
        <item sd="0" m="1" x="1604"/>
        <item sd="0" m="1" x="7448"/>
        <item sd="0" m="1" x="5478"/>
        <item sd="0" m="1" x="3443"/>
        <item sd="0" m="1" x="5981"/>
        <item sd="0" m="1" x="3997"/>
        <item sd="0" m="1" x="4939"/>
        <item sd="0" m="1" x="2761"/>
        <item sd="0" m="1" x="729"/>
        <item sd="0" m="1" x="6542"/>
        <item sd="0" m="1" x="5115"/>
        <item sd="0" m="1" x="2921"/>
        <item sd="0" m="1" x="926"/>
        <item sd="0" m="1" x="6721"/>
        <item sd="0" m="1" x="5319"/>
        <item sd="0" m="1" x="2189"/>
        <item sd="0" m="1" x="42"/>
        <item sd="0" m="1" x="6007"/>
        <item sd="0" m="1" x="3856"/>
        <item sd="0" m="1" x="2395"/>
        <item sd="0" m="1" x="299"/>
        <item sd="0" m="1" x="6204"/>
        <item sd="0" m="1" x="4047"/>
        <item sd="0" m="1" x="2590"/>
        <item sd="0" m="1" x="502"/>
        <item sd="0" m="1" x="4131"/>
        <item sd="0" m="1" x="1980"/>
        <item sd="0" m="1" x="7825"/>
        <item sd="0" m="1" x="5782"/>
        <item sd="0" m="1" x="4293"/>
        <item sd="0" m="1" x="2136"/>
        <item sd="0" m="1" x="7997"/>
        <item sd="0" m="1" x="5961"/>
        <item sd="0" m="1" x="4488"/>
        <item sd="0" m="1" x="3251"/>
        <item sd="0" m="1" x="1268"/>
        <item sd="0" m="1" x="7091"/>
        <item sd="0" m="1" x="3447"/>
        <item sd="0" m="1" x="1437"/>
        <item sd="0" m="1" x="7257"/>
        <item sd="0" m="1" x="6543"/>
        <item sd="0" m="1" x="4562"/>
        <item sd="0" m="1" x="2610"/>
        <item sd="0" m="1" x="541"/>
        <item sd="0" m="1" x="6722"/>
        <item sd="0" m="1" x="4746"/>
        <item sd="0" m="1" x="2771"/>
        <item sd="0" m="1" x="737"/>
        <item sd="0" m="1" x="6929"/>
        <item sd="0" m="1" x="4966"/>
        <item sd="0" m="1" x="7924"/>
        <item sd="0" m="1" x="5875"/>
        <item sd="0" m="1" x="3913"/>
        <item sd="0" m="1" x="1746"/>
        <item sd="0" m="1" x="7589"/>
        <item sd="0" m="1" x="125"/>
        <item sd="0" m="1" x="6075"/>
        <item sd="0" m="1" x="4093"/>
        <item sd="0" m="1" x="1938"/>
        <item sd="0" m="1" x="7784"/>
        <item sd="0" m="1" x="379"/>
        <item sd="0" m="1" x="6272"/>
        <item sd="0" m="1" x="4253"/>
        <item sd="0" m="1" x="1374"/>
        <item sd="0" m="1" x="7179"/>
        <item sd="0" m="1" x="5237"/>
        <item sd="0" m="1" x="3023"/>
        <item sd="0" m="1" x="1046"/>
        <item sd="0" m="1" x="6846"/>
        <item sd="0" m="1" x="1551"/>
        <item sd="0" m="1" x="7384"/>
        <item sd="0" m="1" x="5427"/>
        <item sd="0" m="1" x="3202"/>
        <item sd="0" m="1" x="1232"/>
        <item sd="0" m="1" x="7037"/>
        <item sd="0" m="1" x="1766"/>
        <item sd="0" m="1" x="7616"/>
        <item sd="0" m="1" x="5599"/>
        <item sd="0" m="1" x="7092"/>
        <item sd="0" m="1" x="5097"/>
        <item sd="0" m="1" x="3077"/>
        <item sd="0" m="1" x="1113"/>
        <item sd="0" m="1" x="916"/>
        <item sd="0" m="1" x="6709"/>
        <item sd="0" m="1" x="7260"/>
        <item sd="0" m="1" x="5301"/>
        <item sd="0" m="1" x="3275"/>
        <item sd="0" m="1" x="1282"/>
        <item sd="0" m="1" x="1130"/>
        <item sd="0" m="1" x="6917"/>
        <item sd="0" m="1" x="7475"/>
        <item sd="0" m="1" x="5504"/>
        <item sd="0" m="1" x="3474"/>
        <item sd="0" m="1" x="543"/>
        <item sd="0" m="1" x="6387"/>
        <item sd="0" m="1" x="4400"/>
        <item sd="0" m="1" x="2265"/>
        <item sd="0" m="1" x="112"/>
        <item sd="0" m="1" x="6067"/>
        <item sd="0" m="1" x="741"/>
        <item sd="0" m="1" x="6555"/>
        <item sd="0" m="1" x="4578"/>
        <item sd="0" m="1" x="2469"/>
        <item sd="0" m="1" x="367"/>
        <item sd="0" m="1" x="6262"/>
        <item sd="0" m="1" x="943"/>
        <item sd="0" m="1" x="6741"/>
        <item sd="0" m="1" x="4764"/>
        <item sd="0" m="1" x="7767"/>
        <item sd="0" m="1" x="5732"/>
        <item sd="0" m="1" x="3576"/>
        <item sd="0" m="1" x="1541"/>
        <item sd="0" m="1" x="7373"/>
        <item sd="0" m="1" x="7937"/>
        <item sd="0" m="1" x="5890"/>
        <item sd="0" m="1" x="3743"/>
        <item sd="0" m="1" x="1756"/>
        <item sd="0" m="1" x="7605"/>
        <item sd="0" m="1" x="147"/>
        <item sd="0" m="1" x="6091"/>
        <item sd="0" m="1" x="7019"/>
        <item sd="0" m="1" x="6849"/>
        <item sd="0" m="1" x="4869"/>
        <item sd="0" m="1" x="2865"/>
        <item sd="0" m="1" x="843"/>
        <item sd="0" m="1" x="7194"/>
        <item sd="0" m="1" x="7040"/>
        <item sd="0" m="1" x="5060"/>
        <item sd="0" m="1" x="3041"/>
        <item sd="0" m="1" x="1064"/>
        <item sd="0" m="1" x="7400"/>
        <item sd="0" m="1" x="279"/>
        <item sd="0" m="1" x="6182"/>
        <item sd="0" m="1" x="4189"/>
        <item sd="0" m="1" x="2188"/>
        <item sd="0" m="1" x="478"/>
        <item sd="0" m="1" x="6341"/>
        <item sd="0" m="1" x="4356"/>
        <item sd="0" m="1" x="2394"/>
        <item sd="0" m="1" x="692"/>
        <item sd="0" m="1" x="5389"/>
        <item sd="0" m="1" x="4281"/>
        <item sd="0" m="1" x="2315"/>
        <item sd="0" m="1" x="188"/>
        <item sd="0" m="1" x="7984"/>
        <item sd="0" m="1" x="5945"/>
        <item sd="0" m="1" x="3972"/>
        <item sd="0" m="1" x="1977"/>
        <item sd="0" m="1" x="4474"/>
        <item sd="0" m="1" x="2525"/>
        <item sd="0" m="1" x="414"/>
        <item sd="0" m="1" x="205"/>
        <item sd="0" m="1" x="6131"/>
        <item sd="0" m="1" x="4144"/>
        <item sd="0" m="1" x="2133"/>
        <item sd="0" m="1" x="4669"/>
        <item sd="0" m="1" x="2691"/>
        <item sd="0" m="1" x="637"/>
        <item sd="0" m="1" x="3633"/>
        <item sd="0" m="1" x="1428"/>
        <item sd="0" m="1" x="7242"/>
        <item sd="0" m="1" x="5290"/>
        <item sd="0" m="1" x="3248"/>
        <item sd="0" m="1" x="3798"/>
        <item sd="0" m="1" x="1605"/>
        <item sd="0" m="1" x="7449"/>
        <item sd="0" m="1" x="5479"/>
        <item sd="0" m="1" x="3444"/>
        <item sd="0" m="1" x="3998"/>
        <item sd="0" m="1" x="546"/>
        <item sd="0" m="1" x="6389"/>
        <item sd="0" m="1" x="4401"/>
        <item sd="0" m="1" x="2268"/>
        <item sd="0" m="1" x="116"/>
        <item sd="0" m="1" x="745"/>
        <item sd="0" m="1" x="6560"/>
        <item sd="0" m="1" x="4582"/>
        <item sd="0" m="1" x="2474"/>
        <item sd="0" m="1" x="371"/>
        <item sd="0" m="1" x="946"/>
        <item sd="0" m="1" x="6746"/>
        <item sd="0" m="1" x="4768"/>
        <item sd="0" m="1" x="1922"/>
        <item sd="0" m="1" x="7771"/>
        <item sd="0" m="1" x="5736"/>
        <item sd="0" m="1" x="3579"/>
        <item sd="0" m="1" x="1543"/>
        <item sd="0" m="1" x="7376"/>
        <item sd="0" m="1" x="2093"/>
        <item sd="0" m="1" x="7943"/>
        <item sd="0" m="1" x="5897"/>
        <item sd="0" m="1" x="3745"/>
        <item sd="0" m="1" x="1759"/>
        <item sd="0" m="1" x="7609"/>
        <item sd="0" m="1" x="2293"/>
        <item sd="0" m="1" x="153"/>
        <item sd="0" m="1" x="6096"/>
        <item sd="0" m="1" x="1223"/>
        <item sd="0" m="1" x="7023"/>
        <item sd="0" m="1" x="6852"/>
        <item sd="0" m="1" x="4873"/>
        <item sd="0" m="1" x="2868"/>
        <item sd="0" m="1" x="846"/>
        <item sd="0" m="1" x="1394"/>
        <item sd="0" m="1" x="7199"/>
        <item sd="0" m="1" x="7044"/>
        <item sd="0" m="1" x="5062"/>
        <item sd="0" m="1" x="3043"/>
        <item sd="0" m="1" x="1066"/>
        <item sd="0" m="1" x="1569"/>
        <item sd="0" m="1" x="7403"/>
        <item sd="0" m="1" x="5000"/>
        <item sd="0" m="1" x="2968"/>
        <item sd="0" m="1" x="981"/>
        <item sd="0" m="1" x="6785"/>
        <item sd="0" m="1" x="4642"/>
        <item sd="0" m="1" x="5199"/>
        <item sd="0" m="1" x="3152"/>
        <item sd="0" m="1" x="1184"/>
        <item sd="0" m="1" x="6969"/>
        <item sd="0" m="1" x="4821"/>
        <item sd="0" m="1" x="5393"/>
        <item sd="0" m="1" x="3367"/>
        <item sd="0" m="1" x="1350"/>
        <item sd="0" m="1" x="6296"/>
        <item sd="0" m="1" x="4283"/>
        <item sd="0" m="1" x="2317"/>
        <item sd="0" m="1" x="191"/>
        <item sd="0" m="1" x="7987"/>
        <item sd="0" m="1" x="5949"/>
        <item sd="0" m="1" x="3975"/>
        <item sd="0" m="1" x="6463"/>
        <item sd="0" m="1" x="4479"/>
        <item sd="0" m="1" x="2529"/>
        <item sd="0" m="1" x="417"/>
        <item sd="0" m="1" x="213"/>
        <item sd="0" m="1" x="6137"/>
        <item sd="0" m="1" x="4150"/>
        <item sd="0" m="1" x="6627"/>
        <item sd="0" m="1" x="4672"/>
        <item sd="0" m="1" x="2694"/>
        <item sd="0" m="1" x="638"/>
        <item sd="0" m="1" x="5619"/>
        <item sd="0" m="1" x="3637"/>
        <item sd="0" m="1" x="1429"/>
        <item sd="0" m="1" x="7244"/>
        <item sd="0" m="1" x="5292"/>
        <item sd="0" m="1" x="3252"/>
        <item sd="0" m="1" x="5797"/>
        <item sd="0" m="1" x="3804"/>
        <item sd="0" m="1" x="1609"/>
        <item sd="0" m="1" x="7453"/>
        <item sd="0" m="1" x="5485"/>
        <item sd="0" m="1" x="3450"/>
        <item sd="0" m="1" x="5985"/>
        <item sd="0" m="1" x="4001"/>
        <item sd="0" m="1" x="4943"/>
        <item sd="0" m="1" x="2763"/>
        <item sd="0" m="1" x="730"/>
        <item sd="0" m="1" x="6544"/>
        <item sd="0" m="1" x="5122"/>
        <item sd="0" m="1" x="2924"/>
        <item sd="0" m="1" x="929"/>
        <item sd="0" m="1" x="6725"/>
        <item sd="0" m="1" x="5324"/>
        <item sd="0" m="1" x="2194"/>
        <item sd="0" m="1" x="45"/>
        <item sd="0" m="1" x="6010"/>
        <item sd="0" m="1" x="3859"/>
        <item sd="0" m="1" x="2399"/>
        <item sd="0" m="1" x="302"/>
        <item sd="0" m="1" x="6206"/>
        <item sd="0" m="1" x="4052"/>
        <item sd="0" m="1" x="2593"/>
        <item sd="0" m="1" x="507"/>
        <item sd="0" m="1" x="4134"/>
        <item sd="0" m="1" x="1983"/>
        <item sd="0" m="1" x="7827"/>
        <item sd="0" m="1" x="5783"/>
        <item sd="0" m="1" x="4298"/>
        <item sd="0" m="1" x="2141"/>
        <item sd="0" m="1" x="2"/>
        <item sd="0" m="1" x="5965"/>
        <item sd="0" m="1" x="4492"/>
        <item sd="0" m="1" x="3254"/>
        <item sd="0" m="1" x="1269"/>
        <item sd="0" m="1" x="7094"/>
        <item sd="0" m="1" x="3452"/>
        <item sd="0" m="1" x="1442"/>
        <item sd="0" m="1" x="7262"/>
        <item sd="0" m="1" x="6546"/>
        <item sd="0" m="1" x="4563"/>
        <item sd="0" m="1" x="2611"/>
        <item sd="0" m="1" x="545"/>
        <item sd="0" m="1" x="6727"/>
        <item sd="0" m="1" x="4748"/>
        <item sd="0" m="1" x="2775"/>
        <item sd="0" m="1" x="743"/>
        <item sd="0" m="1" x="6932"/>
        <item sd="0" m="1" x="4969"/>
        <item sd="0" m="1" x="7927"/>
        <item sd="0" m="1" x="5877"/>
        <item sd="0" m="1" x="3917"/>
        <item sd="0" m="1" x="1747"/>
        <item sd="0" m="1" x="7590"/>
        <item sd="0" m="1" x="130"/>
        <item sd="0" m="1" x="6078"/>
        <item sd="0" m="1" x="4097"/>
        <item sd="0" m="1" x="1942"/>
        <item sd="0" m="1" x="7787"/>
        <item sd="0" m="1" x="383"/>
        <item sd="0" m="1" x="6276"/>
        <item sd="0" m="1" x="4257"/>
        <item sd="0" m="1" x="1375"/>
        <item sd="0" m="1" x="7180"/>
        <item sd="0" m="1" x="5241"/>
        <item sd="0" m="1" x="3025"/>
        <item sd="0" m="1" x="1048"/>
        <item sd="0" m="1" x="6850"/>
        <item sd="0" m="1" x="1555"/>
        <item sd="0" m="1" x="7388"/>
        <item sd="0" m="1" x="5432"/>
        <item sd="0" m="1" x="3208"/>
        <item sd="0" m="1" x="1234"/>
        <item sd="0" m="1" x="7042"/>
        <item sd="0" m="1" x="1770"/>
        <item sd="0" m="1" x="7620"/>
        <item sd="0" m="1" x="5602"/>
        <item sd="0" m="1" x="7096"/>
        <item sd="0" m="1" x="5099"/>
        <item sd="0" m="1" x="3079"/>
        <item sd="0" m="1" x="1115"/>
        <item sd="0" m="1" x="919"/>
        <item sd="0" m="1" x="6711"/>
        <item sd="0" m="1" x="7266"/>
        <item sd="0" m="1" x="5304"/>
        <item sd="0" m="1" x="3280"/>
        <item sd="0" m="1" x="1285"/>
        <item sd="0" m="1" x="1134"/>
        <item sd="0" m="1" x="6919"/>
        <item sd="0" m="1" x="7480"/>
        <item sd="0" m="1" x="5507"/>
        <item sd="0" m="1" x="3479"/>
        <item sd="0" m="1" x="547"/>
        <item sd="0" m="1" x="6390"/>
        <item sd="0" m="1" x="4402"/>
        <item sd="0" m="1" x="2269"/>
        <item sd="0" m="1" x="117"/>
        <item sd="0" m="1" x="6071"/>
        <item sd="0" m="1" x="746"/>
        <item sd="0" m="1" x="6561"/>
        <item sd="0" m="1" x="4583"/>
        <item sd="0" m="1" x="2475"/>
        <item sd="0" m="1" x="372"/>
        <item sd="0" m="1" x="6267"/>
        <item sd="0" m="1" x="947"/>
        <item sd="0" m="1" x="6747"/>
        <item sd="0" m="1" x="4769"/>
        <item sd="0" m="1" x="7772"/>
        <item sd="0" m="1" x="5737"/>
        <item sd="0" m="1" x="3580"/>
        <item sd="0" m="1" x="1544"/>
        <item sd="0" m="1" x="7377"/>
        <item sd="0" m="1" x="7944"/>
        <item sd="0" m="1" x="5898"/>
        <item sd="0" m="1" x="3746"/>
        <item sd="0" m="1" x="1760"/>
        <item sd="0" m="1" x="7610"/>
        <item sd="0" m="1" x="154"/>
        <item sd="0" m="1" x="6097"/>
        <item sd="0" m="1" x="7024"/>
        <item sd="0" m="1" x="6853"/>
        <item sd="0" m="1" x="4874"/>
        <item sd="0" m="1" x="2869"/>
        <item sd="0" m="1" x="847"/>
        <item sd="0" m="1" x="7200"/>
        <item sd="0" m="1" x="7045"/>
        <item sd="0" m="1" x="5063"/>
        <item sd="0" m="1" x="3044"/>
        <item sd="0" m="1" x="1067"/>
        <item sd="0" m="1" x="7404"/>
        <item sd="0" m="1" x="283"/>
        <item sd="0" m="1" x="6186"/>
        <item sd="0" m="1" x="4193"/>
        <item sd="0" m="1" x="2193"/>
        <item sd="0" m="1" x="483"/>
        <item sd="0" m="1" x="6345"/>
        <item sd="0" m="1" x="4359"/>
        <item sd="0" m="1" x="2397"/>
        <item sd="0" m="1" x="5394"/>
        <item sd="0" m="1" x="4284"/>
        <item sd="0" m="1" x="2318"/>
        <item sd="0" m="1" x="192"/>
        <item sd="0" m="1" x="7988"/>
        <item sd="0" m="1" x="5950"/>
        <item sd="0" m="1" x="3976"/>
        <item sd="0" m="1" x="1982"/>
        <item sd="0" m="1" x="4480"/>
        <item sd="0" m="1" x="2530"/>
        <item sd="0" m="1" x="418"/>
        <item sd="0" m="1" x="214"/>
        <item sd="0" m="1" x="6138"/>
        <item sd="0" m="1" x="4151"/>
        <item sd="0" m="1" x="2140"/>
        <item sd="0" m="1" x="4673"/>
        <item sd="0" m="1" x="2695"/>
        <item sd="0" m="1" x="639"/>
        <item sd="0" m="1" x="3638"/>
        <item sd="0" m="1" x="1430"/>
        <item sd="0" m="1" x="7245"/>
        <item sd="0" m="1" x="5293"/>
        <item sd="0" m="1" x="3253"/>
        <item sd="0" m="1" x="3805"/>
        <item sd="0" m="1" x="1610"/>
        <item sd="0" m="1" x="7454"/>
        <item sd="0" m="1" x="5486"/>
        <item sd="0" m="1" x="3451"/>
        <item sd="0" m="1" x="4002"/>
        <item sd="0" m="1" x="2764"/>
        <item sd="0" m="1" x="731"/>
        <item sd="0" m="1" x="6545"/>
        <item sd="0" m="1" x="2925"/>
        <item sd="0" m="1" x="930"/>
        <item sd="0" m="1" x="6726"/>
        <item sd="0" m="1" x="2195"/>
        <item sd="0" m="1" x="46"/>
        <item sd="0" m="1" x="6011"/>
        <item sd="0" m="1" x="3860"/>
        <item sd="0" m="1" x="1846"/>
        <item sd="0" m="1" x="2400"/>
        <item sd="0" m="1" x="303"/>
        <item sd="0" m="1" x="6207"/>
        <item sd="0" m="1" x="4053"/>
        <item sd="0" m="1" x="2047"/>
        <item sd="0" m="1" x="2594"/>
        <item sd="0" m="1" x="508"/>
        <item sd="0" m="1" x="6363"/>
        <item sd="0" m="1" x="3517"/>
        <item sd="0" m="1" x="1486"/>
        <item sd="0" m="1" x="7311"/>
        <item sd="0" m="1" x="5179"/>
        <item sd="0" m="1" x="3138"/>
        <item sd="0" m="1" x="1170"/>
        <item sd="0" m="1" x="3700"/>
        <item sd="0" m="1" x="1686"/>
        <item sd="0" m="1" x="7531"/>
        <item sd="0" m="1" x="5376"/>
        <item sd="0" m="1" x="3350"/>
        <item sd="0" m="1" x="1335"/>
        <item sd="0" m="1" x="3887"/>
        <item sd="0" m="1" x="1878"/>
        <item sd="0" m="1" x="7729"/>
        <item sd="0" m="1" x="1227"/>
        <item sd="0" m="1" x="7028"/>
        <item sd="0" m="1" x="6856"/>
        <item sd="0" m="1" x="4880"/>
        <item sd="0" m="1" x="2873"/>
        <item sd="0" m="1" x="851"/>
        <item sd="0" m="1" x="1401"/>
        <item sd="0" m="1" x="7206"/>
        <item sd="0" m="1" x="7050"/>
        <item sd="0" m="1" x="5066"/>
        <item sd="0" m="1" x="3047"/>
        <item sd="0" m="1" x="1070"/>
        <item sd="0" m="1" x="1573"/>
        <item sd="0" m="1" x="7408"/>
        <item sd="0" m="1" x="286"/>
        <item sd="0" m="1" x="6189"/>
        <item sd="0" m="1" x="4196"/>
        <item sd="0" m="1" x="2201"/>
        <item sd="0" m="1" x="488"/>
        <item sd="0" m="1" x="6348"/>
        <item sd="0" m="1" x="4363"/>
        <item sd="0" m="1" x="2403"/>
        <item sd="0" m="1" x="1667"/>
        <item sd="0" m="1" x="7514"/>
        <item sd="0" m="1" x="5540"/>
        <item sd="0" m="1" x="1861"/>
        <item sd="0" m="1" x="7713"/>
        <item sd="0" m="1" x="5694"/>
        <item sd="0" m="1" x="2061"/>
        <item sd="0" m="1" x="5001"/>
        <item sd="0" m="1" x="2970"/>
        <item sd="0" m="1" x="985"/>
        <item sd="0" m="1" x="6789"/>
        <item sd="0" m="1" x="4646"/>
        <item sd="0" m="1" x="5203"/>
        <item sd="0" m="1" x="3155"/>
        <item sd="0" m="1" x="1189"/>
        <item sd="0" m="1" x="6975"/>
        <item sd="0" m="1" x="4828"/>
        <item sd="0" m="1" x="5398"/>
        <item sd="0" m="1" x="3370"/>
        <item sd="0" m="1" x="1354"/>
        <item sd="0" m="1" x="6298"/>
        <item sd="0" m="1" x="4285"/>
        <item sd="0" m="1" x="2319"/>
        <item sd="0" m="1" x="195"/>
        <item sd="0" m="1" x="7991"/>
        <item sd="0" m="1" x="5954"/>
        <item sd="0" m="1" x="3978"/>
        <item sd="0" m="1" x="6466"/>
        <item sd="0" m="1" x="4482"/>
        <item sd="0" m="1" x="2532"/>
        <item sd="0" m="1" x="421"/>
        <item sd="0" m="1" x="222"/>
        <item sd="0" m="1" x="6144"/>
        <item sd="0" m="1" x="4156"/>
        <item sd="0" m="1" x="6630"/>
        <item sd="0" m="1" x="4675"/>
        <item sd="0" m="1" x="2697"/>
        <item sd="0" m="1" x="642"/>
        <item sd="0" m="1" x="2203"/>
        <item sd="0" m="1" x="51"/>
        <item sd="0" m="1" x="6016"/>
        <item sd="0" m="1" x="3862"/>
        <item sd="0" m="1" x="2406"/>
        <item sd="0" m="1" x="309"/>
        <item sd="0" m="1" x="6211"/>
        <item sd="0" m="1" x="4055"/>
        <item sd="0" m="1" x="2597"/>
        <item sd="0" m="1" x="516"/>
        <item sd="0" m="1" x="5542"/>
        <item sd="0" m="1" x="3521"/>
        <item sd="0" m="1" x="1489"/>
        <item sd="0" m="1" x="7315"/>
        <item sd="0" m="1" x="5184"/>
        <item sd="0" m="1" x="3141"/>
        <item sd="0" m="1" x="5696"/>
        <item sd="0" m="1" x="3703"/>
        <item sd="0" m="1" x="1691"/>
        <item sd="0" m="1" x="7536"/>
        <item sd="0" m="1" x="5379"/>
        <item sd="0" m="1" x="3353"/>
        <item sd="0" m="1" x="5851"/>
        <item sd="0" m="1" x="3888"/>
        <item sd="0" m="1" x="1881"/>
        <item sd="0" m="1" x="7733"/>
        <item sd="0" m="1" x="4806"/>
        <item sd="0" m="1" x="2822"/>
        <item sd="0" m="1" x="623"/>
        <item sd="0" m="1" x="6449"/>
        <item sd="0" m="1" x="4467"/>
        <item sd="0" m="1" x="2517"/>
        <item sd="0" m="1" x="5018"/>
        <item sd="0" m="1" x="2988"/>
        <item sd="0" m="1" x="813"/>
        <item sd="0" m="1" x="6616"/>
        <item sd="0" m="1" x="4660"/>
        <item sd="0" m="1" x="2683"/>
        <item sd="0" m="1" x="5217"/>
        <item sd="0" m="1" x="3168"/>
        <item sd="0" m="1" x="4137"/>
        <item sd="0" m="1" x="1990"/>
        <item sd="0" m="1" x="7834"/>
        <item sd="0" m="1" x="5788"/>
        <item sd="0" m="1" x="4304"/>
        <item sd="0" m="1" x="2150"/>
        <item sd="0" m="1" x="9"/>
        <item sd="0" m="1" x="5972"/>
        <item sd="0" m="1" x="4496"/>
        <item sd="0" m="1" x="3260"/>
        <item sd="0" m="1" x="1273"/>
        <item sd="0" m="1" x="7102"/>
        <item sd="0" m="1" x="3460"/>
        <item sd="0" m="1" x="1449"/>
        <item sd="0" m="1" x="7271"/>
        <item sd="0" m="1" x="1945"/>
        <item sd="0" m="1" x="1376"/>
        <item sd="0" m="1" x="7181"/>
        <item sd="0" m="1" x="5244"/>
        <item sd="0" m="1" x="3029"/>
        <item sd="0" m="1" x="1051"/>
        <item sd="0" m="1" x="6855"/>
        <item sd="0" m="1" x="1556"/>
        <item sd="0" m="1" x="7389"/>
        <item sd="0" m="1" x="5435"/>
        <item sd="0" m="1" x="3215"/>
        <item sd="0" m="1" x="1239"/>
        <item sd="0" m="1" x="7049"/>
        <item sd="0" m="1" x="1771"/>
        <item sd="0" m="1" x="7621"/>
        <item sd="0" m="1" x="5604"/>
        <item sd="0" m="1" x="667"/>
        <item sd="0" m="1" x="6491"/>
        <item sd="0" m="1" x="4345"/>
        <item sd="0" m="1" x="2383"/>
        <item sd="0" m="1" x="285"/>
        <item sd="0" m="1" x="863"/>
        <item sd="0" m="1" x="6658"/>
        <item sd="0" m="1" x="4531"/>
        <item sd="0" m="1" x="2581"/>
        <item sd="0" m="1" x="487"/>
        <item sd="0" m="1" x="1089"/>
        <item sd="0" m="1" x="6877"/>
        <item sd="0" m="1" x="7696"/>
        <item sd="0" m="1" x="5673"/>
        <item sd="0" m="1" x="3689"/>
        <item sd="0" m="1" x="1666"/>
        <item sd="0" m="1" x="7882"/>
        <item sd="0" m="1" x="5835"/>
        <item sd="0" m="1" x="3877"/>
        <item sd="0" m="1" x="1860"/>
        <item sd="0" m="1" x="7103"/>
        <item sd="0" m="1" x="5105"/>
        <item sd="0" m="1" x="3084"/>
        <item sd="0" m="1" x="1121"/>
        <item sd="0" m="1" x="921"/>
        <item sd="0" m="1" x="6715"/>
        <item sd="0" m="1" x="7275"/>
        <item sd="0" m="1" x="5311"/>
        <item sd="0" m="1" x="3288"/>
        <item sd="0" m="1" x="1291"/>
        <item sd="0" m="1" x="1138"/>
        <item sd="0" m="1" x="6923"/>
        <item sd="0" m="1" x="7489"/>
        <item sd="0" m="1" x="5515"/>
        <item sd="0" m="1" x="3488"/>
        <item sd="0" m="1" x="554"/>
        <item sd="0" m="1" x="6394"/>
        <item sd="0" m="1" x="4406"/>
        <item sd="0" m="1" x="2272"/>
        <item sd="0" m="1" x="119"/>
        <item sd="0" m="1" x="6073"/>
        <item sd="0" m="1" x="752"/>
        <item sd="0" m="1" x="6564"/>
        <item sd="0" m="1" x="4587"/>
        <item sd="0" m="1" x="2477"/>
        <item sd="0" m="1" x="374"/>
        <item sd="0" m="1" x="6270"/>
        <item sd="0" m="1" x="954"/>
        <item sd="0" m="1" x="6752"/>
        <item sd="0" m="1" x="4774"/>
        <item sd="0" m="1" x="287"/>
        <item sd="0" m="1" x="6190"/>
        <item sd="0" m="1" x="4197"/>
        <item sd="0" m="1" x="2202"/>
        <item sd="0" m="1" x="489"/>
        <item sd="0" m="1" x="6349"/>
        <item sd="0" m="1" x="4364"/>
        <item sd="0" m="1" x="2404"/>
        <item sd="0" m="1" x="703"/>
        <item sd="0" m="1" x="1668"/>
        <item sd="0" m="1" x="7515"/>
        <item sd="0" m="1" x="5541"/>
        <item sd="0" m="1" x="3342"/>
        <item sd="0" m="1" x="1862"/>
        <item sd="0" m="1" x="7714"/>
        <item sd="0" m="1" x="5695"/>
        <item sd="0" m="1" x="3542"/>
        <item sd="0" m="1" x="2062"/>
        <item sd="0" m="1" x="7900"/>
        <item sd="0" m="1" x="5002"/>
        <item sd="0" m="1" x="2971"/>
        <item sd="0" m="1" x="986"/>
        <item sd="0" m="1" x="6790"/>
        <item sd="0" m="1" x="4647"/>
        <item sd="0" m="1" x="2674"/>
        <item sd="0" m="1" x="5204"/>
        <item sd="0" m="1" x="3156"/>
        <item sd="0" m="1" x="1190"/>
        <item sd="0" m="1" x="6976"/>
        <item sd="0" m="1" x="4829"/>
        <item sd="0" m="1" x="2837"/>
        <item sd="0" m="1" x="5399"/>
        <item sd="0" m="1" x="3371"/>
        <item sd="0" m="1" x="1355"/>
        <item sd="0" m="1" x="7161"/>
        <item sd="0" m="1" x="4286"/>
        <item sd="0" m="1" x="2320"/>
        <item sd="0" m="1" x="196"/>
        <item sd="0" m="1" x="7992"/>
        <item sd="0" m="1" x="5955"/>
        <item sd="0" m="1" x="3979"/>
        <item sd="0" m="1" x="1987"/>
        <item sd="0" m="1" x="4483"/>
        <item sd="0" m="1" x="2533"/>
        <item sd="0" m="1" x="422"/>
        <item sd="0" m="1" x="223"/>
        <item sd="0" m="1" x="6145"/>
        <item sd="0" m="1" x="4157"/>
        <item sd="0" m="1" x="2147"/>
        <item sd="0" m="1" x="4676"/>
        <item sd="0" m="1" x="2698"/>
        <item sd="0" m="1" x="643"/>
        <item sd="0" m="1" x="3639"/>
        <item sd="0" m="1" x="1431"/>
        <item sd="0" m="1" x="7248"/>
        <item sd="0" m="1" x="5295"/>
        <item sd="0" m="1" x="3257"/>
        <item sd="0" m="1" x="3808"/>
        <item sd="0" m="1" x="1613"/>
        <item sd="0" m="1" x="7459"/>
        <item sd="0" m="1" x="5491"/>
        <item sd="0" m="1" x="3457"/>
        <item sd="0" m="1" x="4005"/>
        <item sd="0" m="1" x="564"/>
        <item sd="0" m="1" x="6402"/>
        <item sd="0" m="1" x="4411"/>
        <item sd="0" m="1" x="2275"/>
        <item sd="0" m="1" x="124"/>
        <item sd="0" m="1" x="757"/>
        <item sd="0" m="1" x="6569"/>
        <item sd="0" m="1" x="4593"/>
        <item sd="0" m="1" x="2481"/>
        <item sd="0" m="1" x="378"/>
        <item sd="0" m="1" x="957"/>
        <item sd="0" m="1" x="6756"/>
        <item sd="0" m="1" x="4779"/>
        <item sd="0" m="1" x="1937"/>
        <item sd="0" m="1" x="7782"/>
        <item sd="0" m="1" x="5746"/>
        <item sd="0" m="1" x="3589"/>
        <item sd="0" m="1" x="1549"/>
        <item sd="0" m="1" x="7382"/>
        <item sd="0" m="1" x="2104"/>
        <item sd="0" m="1" x="7954"/>
        <item sd="0" m="1" x="5908"/>
        <item sd="0" m="1" x="3753"/>
        <item sd="0" m="1" x="1764"/>
        <item sd="0" m="1" x="7614"/>
        <item sd="0" m="1" x="2299"/>
        <item sd="0" m="1" x="161"/>
        <item sd="0" m="1" x="6102"/>
        <item sd="0" m="1" x="1231"/>
        <item sd="0" m="1" x="7034"/>
        <item sd="0" m="1" x="6860"/>
        <item sd="0" m="1" x="4885"/>
        <item sd="0" m="1" x="2876"/>
        <item sd="0" m="1" x="856"/>
        <item sd="0" m="1" x="1405"/>
        <item sd="0" m="1" x="7210"/>
        <item sd="0" m="1" x="7059"/>
        <item sd="0" m="1" x="5072"/>
        <item sd="0" m="1" x="3052"/>
        <item sd="0" m="1" x="1077"/>
        <item sd="0" m="1" x="1575"/>
        <item sd="0" m="1" x="7410"/>
        <item sd="0" m="1" x="294"/>
        <item sd="0" m="1" x="6197"/>
        <item sd="0" m="1" x="4200"/>
        <item sd="0" m="1" x="2206"/>
        <item sd="0" m="1" x="498"/>
        <item sd="0" m="1" x="6356"/>
        <item sd="0" m="1" x="4369"/>
        <item sd="0" m="1" x="2409"/>
        <item sd="0" m="1" x="1676"/>
        <item sd="0" m="1" x="7521"/>
        <item sd="0" m="1" x="5546"/>
        <item sd="0" m="1" x="1868"/>
        <item sd="0" m="1" x="7719"/>
        <item sd="0" m="1" x="5699"/>
        <item sd="0" m="1" x="2065"/>
        <item sd="0" m="1" x="229"/>
        <item sd="0" m="1" x="5624"/>
        <item sd="0" m="1" x="3641"/>
        <item sd="0" m="1" x="1433"/>
        <item sd="0" m="1" x="7251"/>
        <item sd="0" m="1" x="5296"/>
        <item sd="0" m="1" x="3264"/>
        <item sd="0" m="1" x="5800"/>
        <item sd="0" m="1" x="3810"/>
        <item sd="0" m="1" x="1619"/>
        <item sd="0" m="1" x="7465"/>
        <item sd="0" m="1" x="5496"/>
        <item sd="0" m="1" x="3463"/>
        <item sd="0" m="1" x="5989"/>
        <item sd="0" m="1" x="4006"/>
        <item sd="0" m="1" x="4948"/>
        <item sd="0" m="1" x="2767"/>
        <item sd="0" m="1" x="734"/>
        <item sd="0" m="1" x="6548"/>
        <item sd="0" m="1" x="5131"/>
        <item sd="0" m="1" x="2930"/>
        <item sd="0" m="1" x="935"/>
        <item sd="0" m="1" x="6732"/>
        <item sd="0" m="1" x="5329"/>
        <item sd="0" m="1" x="2210"/>
        <item sd="0" m="1" x="56"/>
        <item sd="0" m="1" x="6022"/>
        <item sd="0" m="1" x="3868"/>
        <item sd="0" m="1" x="2414"/>
        <item sd="0" m="1" x="317"/>
        <item sd="0" m="1" x="6217"/>
        <item sd="0" m="1" x="4060"/>
        <item sd="0" m="1" x="2601"/>
        <item sd="0" m="1" x="524"/>
        <item sd="0" m="1" x="5548"/>
        <item sd="0" m="1" x="3528"/>
        <item sd="0" m="1" x="1493"/>
        <item sd="0" m="1" x="7320"/>
        <item sd="0" m="1" x="5191"/>
        <item sd="0" m="1" x="3146"/>
        <item sd="0" m="1" x="5702"/>
        <item sd="0" m="1" x="3707"/>
        <item sd="0" m="1" x="1697"/>
        <item sd="0" m="1" x="7543"/>
        <item sd="0" m="1" x="5386"/>
        <item sd="0" m="1" x="3360"/>
        <item sd="0" m="1" x="5856"/>
        <item sd="0" m="1" x="3893"/>
        <item sd="0" m="1" x="1889"/>
        <item sd="0" m="1" x="7741"/>
        <item sd="0" m="1" x="4811"/>
        <item sd="0" m="1" x="2826"/>
        <item sd="0" m="1" x="626"/>
        <item sd="0" m="1" x="6456"/>
        <item sd="0" m="1" x="4472"/>
        <item sd="0" m="1" x="2523"/>
        <item sd="0" m="1" x="5021"/>
        <item sd="0" m="1" x="2992"/>
        <item sd="0" m="1" x="817"/>
        <item sd="0" m="1" x="6622"/>
        <item sd="0" m="1" x="4665"/>
        <item sd="0" m="1" x="2688"/>
        <item sd="0" m="1" x="5219"/>
        <item sd="0" m="1" x="3171"/>
        <item sd="0" m="1" x="6550"/>
        <item sd="0" m="1" x="4573"/>
        <item sd="0" m="1" x="2622"/>
        <item sd="0" m="1" x="562"/>
        <item sd="0" m="1" x="6734"/>
        <item sd="0" m="1" x="4757"/>
        <item sd="0" m="1" x="2783"/>
        <item sd="0" m="1" x="754"/>
        <item sd="0" m="1" x="6937"/>
        <item sd="0" m="1" x="4977"/>
        <item sd="0" m="1" x="7933"/>
        <item sd="0" m="1" x="5885"/>
        <item sd="0" m="1" x="3926"/>
        <item sd="0" m="1" x="1752"/>
        <item sd="0" m="1" x="7598"/>
        <item sd="0" m="1" x="141"/>
        <item sd="0" m="1" x="6087"/>
        <item sd="0" m="1" x="4105"/>
        <item sd="0" m="1" x="1951"/>
        <item sd="0" m="1" x="7799"/>
        <item sd="0" m="1" x="391"/>
        <item sd="0" m="1" x="6283"/>
        <item sd="0" m="1" x="4265"/>
        <item sd="0" m="1" x="1382"/>
        <item sd="0" m="1" x="7188"/>
        <item sd="0" m="1" x="5249"/>
        <item sd="0" m="1" x="3035"/>
        <item sd="0" m="1" x="1057"/>
        <item sd="0" m="1" x="6859"/>
        <item sd="0" m="1" x="1563"/>
        <item sd="0" m="1" x="7396"/>
        <item sd="0" m="1" x="5440"/>
        <item sd="0" m="1" x="3222"/>
        <item sd="0" m="1" x="1245"/>
        <item sd="0" m="1" x="7058"/>
        <item sd="0" m="1" x="1774"/>
        <item sd="0" m="1" x="7624"/>
        <item sd="0" m="1" x="5607"/>
        <item sd="0" m="1" x="669"/>
        <item sd="0" m="1" x="6494"/>
        <item sd="0" m="1" x="4351"/>
        <item sd="0" m="1" x="2388"/>
        <item sd="0" m="1" x="291"/>
        <item sd="0" m="1" x="868"/>
        <item sd="0" m="1" x="6662"/>
        <item sd="0" m="1" x="4536"/>
        <item sd="0" m="1" x="2585"/>
        <item sd="0" m="1" x="495"/>
        <item sd="0" m="1" x="1093"/>
        <item sd="0" m="1" x="6879"/>
        <item sd="0" m="1" x="7700"/>
        <item sd="0" m="1" x="5679"/>
        <item sd="0" m="1" x="3692"/>
        <item sd="0" m="1" x="1672"/>
        <item sd="0" m="1" x="7885"/>
        <item sd="0" m="1" x="5837"/>
        <item sd="0" m="1" x="3880"/>
        <item sd="0" m="1" x="1864"/>
        <item sd="0" m="1" x="2482"/>
        <item sd="0" m="1" x="7783"/>
        <item sd="0" m="1" x="5747"/>
        <item sd="0" m="1" x="3590"/>
        <item sd="0" m="1" x="1550"/>
        <item sd="0" m="1" x="7383"/>
        <item sd="0" m="1" x="7955"/>
        <item sd="0" m="1" x="5909"/>
        <item sd="0" m="1" x="3754"/>
        <item sd="0" m="1" x="1765"/>
        <item sd="0" m="1" x="7615"/>
        <item sd="0" m="1" x="162"/>
        <item sd="0" m="1" x="6103"/>
        <item sd="0" m="1" x="7035"/>
        <item sd="0" m="1" x="6861"/>
        <item sd="0" m="1" x="4886"/>
        <item sd="0" m="1" x="2877"/>
        <item sd="0" m="1" x="857"/>
        <item sd="0" m="1" x="7211"/>
        <item sd="0" m="1" x="7060"/>
        <item sd="0" m="1" x="5073"/>
        <item sd="0" m="1" x="3053"/>
        <item sd="0" m="1" x="1078"/>
        <item sd="0" m="1" x="7411"/>
        <item sd="0" m="1" x="295"/>
        <item sd="0" m="1" x="6198"/>
        <item sd="0" m="1" x="4201"/>
        <item sd="0" m="1" x="2207"/>
        <item sd="0" m="1" x="499"/>
        <item sd="0" m="1" x="6357"/>
        <item sd="0" m="1" x="4370"/>
        <item sd="0" m="1" x="2410"/>
        <item sd="0" m="1" x="709"/>
        <item sd="0" m="1" x="1677"/>
        <item sd="0" m="1" x="7522"/>
        <item sd="0" m="1" x="5547"/>
        <item sd="0" m="1" x="3348"/>
        <item sd="0" m="1" x="1869"/>
        <item sd="0" m="1" x="7720"/>
        <item sd="0" m="1" x="5700"/>
        <item sd="0" m="1" x="3550"/>
        <item sd="0" m="1" x="2066"/>
        <item sd="0" m="1" x="7904"/>
        <item sd="0" m="1" x="5007"/>
        <item sd="0" m="1" x="2977"/>
        <item sd="0" m="1" x="990"/>
        <item sd="0" m="1" x="6795"/>
        <item sd="0" m="1" x="4651"/>
        <item sd="0" m="1" x="2678"/>
        <item sd="0" m="1" x="5208"/>
        <item sd="0" m="1" x="3160"/>
        <item sd="0" m="1" x="1193"/>
        <item sd="0" m="1" x="6979"/>
        <item sd="0" m="1" x="4833"/>
        <item sd="0" m="1" x="2841"/>
        <item sd="0" m="1" x="5402"/>
        <item sd="0" m="1" x="3374"/>
        <item sd="0" m="1" x="1359"/>
        <item sd="0" m="1" x="7164"/>
        <item sd="0" m="1" x="2768"/>
        <item sd="0" m="1" x="735"/>
        <item sd="0" m="1" x="6549"/>
        <item sd="0" m="1" x="2931"/>
        <item sd="0" m="1" x="936"/>
        <item sd="0" m="1" x="6733"/>
        <item sd="0" m="1" x="2211"/>
        <item sd="0" m="1" x="57"/>
        <item sd="0" m="1" x="6023"/>
        <item sd="0" m="1" x="3869"/>
        <item sd="0" m="1" x="1853"/>
        <item sd="0" m="1" x="2415"/>
        <item sd="0" m="1" x="318"/>
        <item sd="0" m="1" x="6218"/>
        <item sd="0" m="1" x="4061"/>
        <item sd="0" m="1" x="2053"/>
        <item sd="0" m="1" x="2602"/>
        <item sd="0" m="1" x="525"/>
        <item sd="0" m="1" x="6374"/>
        <item sd="0" m="1" x="3529"/>
        <item sd="0" m="1" x="1494"/>
        <item sd="0" m="1" x="7321"/>
        <item sd="0" m="1" x="5192"/>
        <item sd="0" m="1" x="3147"/>
        <item sd="0" m="1" x="1178"/>
        <item sd="0" m="1" x="3708"/>
        <item sd="0" m="1" x="1698"/>
        <item sd="0" m="1" x="7544"/>
        <item sd="0" m="1" x="5387"/>
        <item sd="0" m="1" x="3361"/>
        <item sd="0" m="1" x="1343"/>
        <item sd="0" m="1" x="3894"/>
        <item sd="0" m="1" x="1890"/>
        <item sd="0" m="1" x="7742"/>
        <item sd="0" m="1" x="569"/>
        <item sd="0" m="1" x="6406"/>
        <item sd="0" m="1" x="4415"/>
        <item sd="0" m="1" x="2277"/>
        <item sd="0" m="1" x="128"/>
        <item sd="0" m="1" x="762"/>
        <item sd="0" m="1" x="6573"/>
        <item sd="0" m="1" x="4599"/>
        <item sd="0" m="1" x="2485"/>
        <item sd="0" m="1" x="381"/>
        <item sd="0" m="1" x="962"/>
        <item sd="0" m="1" x="6760"/>
        <item sd="0" m="1" x="4784"/>
        <item sd="0" m="1" x="1941"/>
        <item sd="0" m="1" x="7785"/>
        <item sd="0" m="1" x="5748"/>
        <item sd="0" m="1" x="3596"/>
        <item sd="0" m="1" x="1553"/>
        <item sd="0" m="1" x="7386"/>
        <item sd="0" m="1" x="2107"/>
        <item sd="0" m="1" x="7958"/>
        <item sd="0" m="1" x="5912"/>
        <item sd="0" m="1" x="3759"/>
        <item sd="0" m="1" x="1768"/>
        <item sd="0" m="1" x="7618"/>
        <item sd="0" m="1" x="2304"/>
        <item sd="0" m="1" x="167"/>
        <item sd="0" m="1" x="6106"/>
        <item sd="0" m="1" x="1683"/>
        <item sd="0" m="1" x="7528"/>
        <item sd="0" m="1" x="5553"/>
        <item sd="0" m="1" x="1874"/>
        <item sd="0" m="1" x="7725"/>
        <item sd="0" m="1" x="5705"/>
        <item sd="0" m="1" x="2069"/>
        <item sd="0" m="1" x="5010"/>
        <item sd="0" m="1" x="2980"/>
        <item sd="0" m="1" x="995"/>
        <item sd="0" m="1" x="6800"/>
        <item sd="0" m="1" x="4654"/>
        <item sd="0" m="1" x="5212"/>
        <item sd="0" m="1" x="3163"/>
        <item sd="0" m="1" x="1196"/>
        <item sd="0" m="1" x="6983"/>
        <item sd="0" m="1" x="4839"/>
        <item sd="0" m="1" x="5405"/>
        <item sd="0" m="1" x="3376"/>
        <item sd="0" m="1" x="1361"/>
        <item sd="0" m="1" x="6303"/>
        <item sd="0" m="1" x="4294"/>
        <item sd="0" m="1" x="2325"/>
        <item sd="0" m="1" x="209"/>
        <item sd="0" m="1" x="7998"/>
        <item sd="0" m="1" x="5962"/>
        <item sd="0" m="1" x="3981"/>
        <item sd="0" m="1" x="6470"/>
        <item sd="0" m="1" x="4489"/>
        <item sd="0" m="1" x="2537"/>
        <item sd="0" m="1" x="428"/>
        <item sd="0" m="1" x="237"/>
        <item sd="0" m="1" x="6154"/>
        <item sd="0" m="1" x="4164"/>
        <item sd="0" m="1" x="6634"/>
        <item sd="0" m="1" x="4678"/>
        <item sd="0" m="1" x="2700"/>
        <item sd="0" m="1" x="646"/>
        <item sd="0" m="1" x="5627"/>
        <item sd="0" m="1" x="3643"/>
        <item sd="0" m="1" x="1438"/>
        <item sd="0" m="1" x="7258"/>
        <item sd="0" m="1" x="5299"/>
        <item sd="0" m="1" x="3271"/>
        <item sd="0" m="1" x="5803"/>
        <item sd="0" m="1" x="3814"/>
        <item sd="0" m="1" x="1626"/>
        <item sd="0" m="1" x="7473"/>
        <item sd="0" m="1" x="5502"/>
        <item sd="0" m="1" x="3470"/>
        <item sd="0" m="1" x="5992"/>
        <item sd="0" m="1" x="4009"/>
        <item sd="0" m="1" x="4953"/>
        <item sd="0" m="1" x="2772"/>
        <item sd="0" m="1" x="738"/>
        <item sd="0" m="1" x="6552"/>
        <item sd="0" m="1" x="5139"/>
        <item sd="0" m="1" x="2936"/>
        <item sd="0" m="1" x="940"/>
        <item sd="0" m="1" x="6738"/>
        <item sd="0" m="1" x="5335"/>
        <item sd="0" m="1" x="5860"/>
        <item sd="0" m="1" x="4820"/>
        <item sd="0" m="1" x="2832"/>
        <item sd="0" m="1" x="628"/>
        <item sd="0" m="1" x="6462"/>
        <item sd="0" m="1" x="4478"/>
        <item sd="0" m="1" x="2528"/>
        <item sd="0" m="1" x="5028"/>
        <item sd="0" m="1" x="3000"/>
        <item sd="0" m="1" x="821"/>
        <item sd="0" m="1" x="6626"/>
        <item sd="0" m="1" x="4671"/>
        <item sd="0" m="1" x="2693"/>
        <item sd="0" m="1" x="5222"/>
        <item sd="0" m="1" x="3175"/>
        <item sd="0" m="1" x="4149"/>
        <item sd="0" m="1" x="1996"/>
        <item sd="0" m="1" x="7842"/>
        <item sd="0" m="1" x="5796"/>
        <item sd="0" m="1" x="4318"/>
        <item sd="0" m="1" x="2161"/>
        <item sd="0" m="1" x="18"/>
        <item sd="0" m="1" x="5982"/>
        <item sd="0" m="1" x="4502"/>
        <item sd="0" m="1" x="3276"/>
        <item sd="0" m="1" x="1283"/>
        <item sd="0" m="1" x="7113"/>
        <item sd="0" m="1" x="3475"/>
        <item sd="0" m="1" x="1460"/>
        <item sd="0" m="1" x="7283"/>
        <item sd="0" m="1" x="6556"/>
        <item sd="0" m="1" x="4579"/>
        <item sd="0" m="1" x="2626"/>
        <item sd="0" m="1" x="567"/>
        <item sd="0" m="1" x="6742"/>
        <item sd="0" m="1" x="4765"/>
        <item sd="0" m="1" x="2789"/>
        <item sd="0" m="1" x="760"/>
        <item sd="0" m="1" x="6941"/>
        <item sd="0" m="1" x="4983"/>
        <item sd="0" m="1" x="7938"/>
        <item sd="0" m="1" x="5891"/>
        <item sd="0" m="1" x="3929"/>
        <item sd="0" m="1" x="1757"/>
        <item sd="0" m="1" x="7606"/>
        <item sd="0" m="1" x="148"/>
        <item sd="0" m="1" x="6092"/>
        <item sd="0" m="1" x="4109"/>
        <item sd="0" m="1" x="1956"/>
        <item sd="0" m="1" x="7807"/>
        <item sd="0" m="1" x="395"/>
        <item sd="0" m="1" x="6287"/>
        <item sd="0" m="1" x="4271"/>
        <item sd="0" m="1" x="7705"/>
        <item sd="0" m="1" x="5686"/>
        <item sd="0" m="1" x="3698"/>
        <item sd="0" m="1" x="1680"/>
        <item sd="0" m="1" x="7891"/>
        <item sd="0" m="1" x="5843"/>
        <item sd="0" m="1" x="3884"/>
        <item sd="0" m="1" x="1871"/>
        <item sd="0" m="1" x="7114"/>
        <item sd="0" m="1" x="5121"/>
        <item sd="0" m="1" x="3092"/>
        <item sd="0" m="1" x="1132"/>
        <item sd="0" m="1" x="928"/>
        <item sd="0" m="1" x="6724"/>
        <item sd="0" m="1" x="7284"/>
        <item sd="0" m="1" x="5323"/>
        <item sd="0" m="1" x="3297"/>
        <item sd="0" m="1" x="1297"/>
        <item sd="0" m="1" x="1145"/>
        <item sd="0" m="1" x="6931"/>
        <item sd="0" m="1" x="7499"/>
        <item sd="0" m="1" x="5523"/>
        <item sd="0" m="1" x="3497"/>
        <item sd="0" m="1" x="570"/>
        <item sd="0" m="1" x="6407"/>
        <item sd="0" m="1" x="4416"/>
        <item sd="0" m="1" x="2278"/>
        <item sd="0" m="1" x="129"/>
        <item sd="0" m="1" x="6077"/>
        <item sd="0" m="1" x="763"/>
        <item sd="0" m="1" x="6574"/>
        <item sd="0" m="1" x="4600"/>
        <item sd="0" m="1" x="2486"/>
        <item sd="0" m="1" x="382"/>
        <item sd="0" m="1" x="6275"/>
        <item sd="0" m="1" x="963"/>
        <item sd="0" m="1" x="6761"/>
        <item sd="0" m="1" x="4785"/>
        <item sd="0" m="1" x="7786"/>
        <item sd="0" m="1" x="5749"/>
        <item sd="0" m="1" x="3597"/>
        <item sd="0" m="1" x="1554"/>
        <item sd="0" m="1" x="7387"/>
        <item sd="0" m="1" x="7959"/>
        <item sd="0" m="1" x="5913"/>
        <item sd="0" m="1" x="3760"/>
        <item sd="0" m="1" x="1769"/>
        <item sd="0" m="1" x="7619"/>
        <item sd="0" m="1" x="168"/>
        <item sd="0" m="1" x="6107"/>
        <item sd="0" m="1" x="7041"/>
        <item sd="0" m="1" x="6865"/>
        <item sd="0" m="1" x="4892"/>
        <item sd="0" m="1" x="2880"/>
        <item sd="0" m="1" x="860"/>
        <item sd="0" m="1" x="7216"/>
        <item sd="0" m="1" x="7064"/>
        <item sd="0" m="1" x="5079"/>
        <item sd="0" m="1" x="3056"/>
        <item sd="0" m="1" x="1082"/>
        <item sd="0" m="1" x="7415"/>
        <item sd="0" m="1" x="3553"/>
        <item sd="0" m="1" x="5011"/>
        <item sd="0" m="1" x="2981"/>
        <item sd="0" m="1" x="996"/>
        <item sd="0" m="1" x="6801"/>
        <item sd="0" m="1" x="4655"/>
        <item sd="0" m="1" x="2679"/>
        <item sd="0" m="1" x="5213"/>
        <item sd="0" m="1" x="3164"/>
        <item sd="0" m="1" x="1197"/>
        <item sd="0" m="1" x="6984"/>
        <item sd="0" m="1" x="4840"/>
        <item sd="0" m="1" x="2845"/>
        <item sd="0" m="1" x="5406"/>
        <item sd="0" m="1" x="3377"/>
        <item sd="0" m="1" x="1362"/>
        <item sd="0" m="1" x="7167"/>
        <item sd="0" m="1" x="4295"/>
        <item sd="0" m="1" x="2326"/>
        <item sd="0" m="1" x="210"/>
        <item sd="0" m="1" x="7999"/>
        <item sd="0" m="1" x="5963"/>
        <item sd="0" m="1" x="3982"/>
        <item sd="0" m="1" x="1995"/>
        <item sd="0" m="1" x="4490"/>
        <item sd="0" m="1" x="2538"/>
        <item sd="0" m="1" x="429"/>
        <item sd="0" m="1" x="238"/>
        <item sd="0" m="1" x="6155"/>
        <item sd="0" m="1" x="4165"/>
        <item sd="0" m="1" x="2160"/>
        <item sd="0" m="1" x="4679"/>
        <item sd="0" m="1" x="2701"/>
        <item sd="0" m="1" x="647"/>
        <item sd="0" m="1" x="3644"/>
        <item sd="0" m="1" x="1439"/>
        <item sd="0" m="1" x="7259"/>
        <item sd="0" m="1" x="5300"/>
        <item sd="0" m="1" x="3272"/>
        <item sd="0" m="1" x="3815"/>
        <item sd="0" m="1" x="1627"/>
        <item sd="0" m="1" x="7474"/>
        <item sd="0" m="1" x="5503"/>
        <item sd="0" m="1" x="3471"/>
        <item sd="0" m="1" x="4010"/>
        <item sd="0" m="1" x="2773"/>
        <item sd="0" m="1" x="739"/>
        <item sd="0" m="1" x="6553"/>
        <item sd="0" m="1" x="2937"/>
        <item sd="0" m="1" x="941"/>
        <item sd="0" m="1" x="6739"/>
        <item sd="0" m="1" x="2218"/>
        <item sd="0" m="1" x="62"/>
        <item sd="0" m="1" x="6028"/>
        <item sd="0" m="1" x="3874"/>
        <item sd="0" m="1" x="1858"/>
        <item sd="0" m="1" x="2421"/>
        <item sd="0" m="1" x="323"/>
        <item sd="0" m="1" x="6222"/>
        <item sd="0" m="1" x="4066"/>
        <item sd="0" m="1" x="2058"/>
        <item sd="0" m="1" x="2605"/>
        <item sd="0" m="1" x="532"/>
        <item sd="0" m="1" x="6380"/>
        <item sd="0" m="1" x="1237"/>
        <item sd="0" m="1" x="7047"/>
        <item sd="0" m="1" x="6868"/>
        <item sd="0" m="1" x="4895"/>
        <item sd="0" m="1" x="2882"/>
        <item sd="0" m="1" x="862"/>
        <item sd="0" m="1" x="1414"/>
        <item sd="0" m="1" x="7221"/>
        <item sd="0" m="1" x="7068"/>
        <item sd="0" m="1" x="5082"/>
        <item sd="0" m="1" x="3059"/>
        <item sd="0" m="1" x="1086"/>
        <item sd="0" m="1" x="1581"/>
        <item sd="0" m="1" x="7418"/>
        <item sd="0" m="1" x="304"/>
        <item sd="0" m="1" x="6208"/>
        <item sd="0" m="1" x="4206"/>
        <item sd="0" m="1" x="2220"/>
        <item sd="0" m="1" x="509"/>
        <item sd="0" m="1" x="6364"/>
        <item sd="0" m="1" x="4375"/>
        <item sd="0" m="1" x="2422"/>
        <item sd="0" m="1" x="1687"/>
        <item sd="0" m="1" x="7532"/>
        <item sd="0" m="1" x="5555"/>
        <item sd="0" m="1" x="1879"/>
        <item sd="0" m="1" x="7730"/>
        <item sd="0" m="1" x="5708"/>
        <item sd="0" m="1" x="2071"/>
        <item sd="0" m="1" x="5014"/>
        <item sd="0" m="1" x="2984"/>
        <item sd="0" m="1" x="1000"/>
        <item sd="0" m="1" x="6807"/>
        <item sd="0" m="1" x="4657"/>
        <item sd="0" m="1" x="5215"/>
        <item sd="0" m="1" x="3166"/>
        <item sd="0" m="1" x="1200"/>
        <item sd="0" m="1" x="6990"/>
        <item sd="0" m="1" x="4844"/>
        <item sd="0" m="1" x="5408"/>
        <item sd="0" m="1" x="3378"/>
        <item sd="0" m="1" x="1364"/>
        <item sd="0" m="1" x="6306"/>
        <item sd="0" m="1" x="4299"/>
        <item sd="0" m="1" x="2329"/>
        <item sd="0" m="1" x="218"/>
        <item sd="0" m="1" x="3"/>
        <item sd="0" m="1" x="5966"/>
        <item sd="0" m="1" x="3983"/>
        <item sd="0" m="1" x="6471"/>
        <item sd="0" m="1" x="4493"/>
        <item sd="0" m="1" x="2540"/>
        <item sd="0" m="1" x="433"/>
        <item sd="0" m="1" x="241"/>
        <item sd="0" m="1" x="6158"/>
        <item sd="0" m="1" x="4167"/>
        <item sd="0" m="1" x="6635"/>
        <item sd="0" m="1" x="4680"/>
        <item sd="0" m="1" x="2702"/>
        <item sd="0" m="1" x="649"/>
        <item sd="0" m="1" x="2224"/>
        <item sd="0" m="1" x="65"/>
        <item sd="0" m="1" x="6031"/>
        <item sd="0" m="1" x="3876"/>
        <item sd="0" m="1" x="2426"/>
        <item sd="0" m="1" x="326"/>
        <item sd="0" m="1" x="6224"/>
        <item sd="0" m="1" x="4068"/>
        <item sd="0" m="1" x="2606"/>
        <item sd="0" m="1" x="533"/>
        <item sd="0" m="1" x="5557"/>
        <item sd="0" m="1" x="3540"/>
        <item sd="0" m="1" x="1502"/>
        <item sd="0" m="1" x="7330"/>
        <item sd="0" m="1" x="5201"/>
        <item sd="0" m="1" x="3153"/>
        <item sd="0" m="1" x="5710"/>
        <item sd="0" m="1" x="3715"/>
        <item sd="0" m="1" x="1708"/>
        <item sd="0" m="1" x="7555"/>
        <item sd="0" m="1" x="5396"/>
        <item sd="0" m="1" x="3368"/>
        <item sd="0" m="1" x="5863"/>
        <item sd="0" m="1" x="3897"/>
        <item sd="0" m="1" x="1900"/>
        <item sd="0" m="1" x="7750"/>
        <item sd="0" m="1" x="4826"/>
        <item sd="0" m="1" x="2835"/>
        <item sd="0" m="1" x="630"/>
        <item sd="0" m="1" x="6465"/>
        <item sd="0" m="1" x="4481"/>
        <item sd="0" m="1" x="2531"/>
        <item sd="0" m="1" x="5031"/>
        <item sd="0" m="1" x="3003"/>
        <item sd="0" m="1" x="825"/>
        <item sd="0" m="1" x="6629"/>
        <item sd="0" m="1" x="4674"/>
        <item sd="0" m="1" x="2696"/>
        <item sd="0" m="1" x="5223"/>
        <item sd="0" m="1" x="3176"/>
        <item sd="0" m="1" x="4154"/>
        <item sd="0" m="1" x="1999"/>
        <item sd="0" m="1" x="7844"/>
        <item sd="0" m="1" x="5798"/>
        <item sd="0" m="1" x="4323"/>
        <item sd="0" m="1" x="2167"/>
        <item sd="0" m="1" x="22"/>
        <item sd="0" m="1" x="5986"/>
        <item sd="0" m="1" x="4505"/>
        <item sd="0" m="1" x="3281"/>
        <item sd="0" m="1" x="1286"/>
        <item sd="0" m="1" x="7117"/>
        <item sd="0" m="1" x="3480"/>
        <item sd="0" m="1" x="1462"/>
        <item sd="0" m="1" x="7286"/>
        <item sd="0" m="1" x="1959"/>
        <item sd="0" m="1" x="1395"/>
        <item sd="0" m="1" x="7201"/>
        <item sd="0" m="1" x="5258"/>
        <item sd="0" m="1" x="3045"/>
        <item sd="0" m="1" x="1068"/>
        <item sd="0" m="1" x="6867"/>
        <item sd="0" m="1" x="1570"/>
        <item sd="0" m="1" x="7405"/>
        <item sd="0" m="1" x="5448"/>
        <item sd="0" m="1" x="3229"/>
        <item sd="0" m="1" x="1251"/>
        <item sd="0" m="1" x="7067"/>
        <item sd="0" m="1" x="1776"/>
        <item sd="0" m="1" x="7626"/>
        <item sd="0" m="1" x="5611"/>
        <item sd="0" m="1" x="678"/>
        <item sd="0" m="1" x="6501"/>
        <item sd="0" m="1" x="4360"/>
        <item sd="0" m="1" x="2398"/>
        <item sd="0" m="1" x="301"/>
        <item sd="0" m="1" x="875"/>
        <item sd="0" m="1" x="6672"/>
        <item sd="0" m="1" x="4542"/>
        <item sd="0" m="1" x="2592"/>
        <item sd="0" m="1" x="506"/>
        <item sd="0" m="1" x="1097"/>
        <item sd="0" m="1" x="6885"/>
        <item sd="0" m="1" x="7710"/>
        <item sd="0" m="1" x="5691"/>
        <item sd="0" m="1" x="3699"/>
        <item sd="0" m="1" x="1684"/>
        <item sd="0" m="1" x="7897"/>
        <item sd="0" m="1" x="5848"/>
        <item sd="0" m="1" x="3886"/>
        <item sd="0" m="1" x="1876"/>
        <item sd="0" m="1" x="7118"/>
        <item sd="0" m="1" x="5126"/>
        <item sd="0" m="1" x="3096"/>
        <item sd="0" m="1" x="1136"/>
        <item sd="0" m="1" x="932"/>
        <item sd="0" m="1" x="6729"/>
        <item sd="0" m="1" x="7287"/>
        <item sd="0" m="1" x="5327"/>
        <item sd="0" m="1" x="3301"/>
        <item sd="0" m="1" x="1299"/>
        <item sd="0" m="1" x="1147"/>
        <item sd="0" m="1" x="6934"/>
        <item sd="0" m="1" x="7500"/>
        <item sd="0" m="1" x="5524"/>
        <item sd="0" m="1" x="3499"/>
        <item sd="0" m="1" x="574"/>
        <item sd="0" m="1" x="6411"/>
        <item sd="0" m="1" x="4418"/>
        <item sd="0" m="1" x="2280"/>
        <item sd="0" m="1" x="133"/>
        <item sd="0" m="1" x="6080"/>
        <item sd="0" m="1" x="766"/>
        <item sd="0" m="1" x="6576"/>
        <item sd="0" m="1" x="4603"/>
        <item sd="0" m="1" x="2488"/>
        <item sd="0" m="1" x="386"/>
        <item sd="0" m="1" x="6279"/>
        <item sd="0" m="1" x="964"/>
        <item sd="0" m="1" x="6762"/>
        <item sd="0" m="1" x="4788"/>
        <item sd="0" m="1" x="305"/>
        <item sd="0" m="1" x="6209"/>
        <item sd="0" m="1" x="4207"/>
        <item sd="0" m="1" x="2221"/>
        <item sd="0" m="1" x="510"/>
        <item sd="0" m="1" x="6365"/>
        <item sd="0" m="1" x="4376"/>
        <item sd="0" m="1" x="2423"/>
        <item sd="0" m="1" x="715"/>
        <item sd="0" m="1" x="1688"/>
        <item sd="0" m="1" x="7533"/>
        <item sd="0" m="1" x="5556"/>
        <item sd="0" m="1" x="3351"/>
        <item sd="0" m="1" x="1880"/>
        <item sd="0" m="1" x="7731"/>
        <item sd="0" m="1" x="5709"/>
        <item sd="0" m="1" x="3557"/>
        <item sd="0" m="1" x="2072"/>
        <item sd="0" m="1" x="7911"/>
        <item sd="0" m="1" x="5015"/>
        <item sd="0" m="1" x="2985"/>
        <item sd="0" m="1" x="1001"/>
        <item sd="0" m="1" x="6808"/>
        <item sd="0" m="1" x="4658"/>
        <item sd="0" m="1" x="2681"/>
        <item sd="0" m="1" x="5216"/>
        <item sd="0" m="1" x="3167"/>
        <item sd="0" m="1" x="1201"/>
        <item sd="0" m="1" x="6991"/>
        <item sd="0" m="1" x="4845"/>
        <item sd="0" m="1" x="2849"/>
        <item sd="0" m="1" x="5409"/>
        <item sd="0" m="1" x="3379"/>
        <item sd="0" m="1" x="1365"/>
        <item sd="0" m="1" x="7170"/>
        <item sd="0" m="1" x="4300"/>
        <item sd="0" m="1" x="2330"/>
        <item sd="0" m="1" x="219"/>
        <item sd="0" m="1" x="4"/>
        <item sd="0" m="1" x="5967"/>
        <item sd="0" m="1" x="3984"/>
        <item sd="0" m="1" x="1997"/>
        <item sd="0" m="1" x="4494"/>
        <item sd="0" m="1" x="2541"/>
        <item sd="0" m="1" x="434"/>
        <item sd="0" m="1" x="242"/>
        <item sd="0" m="1" x="6159"/>
        <item sd="0" m="1" x="4168"/>
        <item sd="0" m="1" x="2165"/>
        <item sd="0" m="1" x="4681"/>
        <item sd="0" m="1" x="2703"/>
        <item sd="0" m="1" x="650"/>
        <item sd="0" m="1" x="3645"/>
        <item sd="0" m="1" x="1443"/>
        <item sd="0" m="1" x="7263"/>
        <item sd="0" m="1" x="5302"/>
        <item sd="0" m="1" x="3277"/>
        <item sd="0" m="1" x="3818"/>
        <item sd="0" m="1" x="1630"/>
        <item sd="0" m="1" x="7477"/>
        <item sd="0" m="1" x="5505"/>
        <item sd="0" m="1" x="3476"/>
        <item sd="0" m="1" x="4013"/>
        <item sd="0" m="1" x="3541"/>
        <item sd="0" m="1" x="1503"/>
        <item sd="0" m="1" x="7331"/>
        <item sd="0" m="1" x="5202"/>
        <item sd="0" m="1" x="3154"/>
        <item sd="0" m="1" x="1187"/>
        <item sd="0" m="1" x="3716"/>
        <item sd="0" m="1" x="1709"/>
        <item sd="0" m="1" x="7556"/>
        <item sd="0" m="1" x="5397"/>
        <item sd="0" m="1" x="3369"/>
        <item sd="0" m="1" x="1352"/>
        <item sd="0" m="1" x="3898"/>
        <item sd="0" m="1" x="1901"/>
        <item sd="0" m="1" x="7751"/>
        <item sd="0" m="1" x="579"/>
        <item sd="0" m="1" x="6416"/>
        <item sd="0" m="1" x="4422"/>
        <item sd="0" m="1" x="2283"/>
        <item sd="0" m="1" x="136"/>
        <item sd="0" m="1" x="769"/>
        <item sd="0" m="1" x="6578"/>
        <item sd="0" m="1" x="4606"/>
        <item sd="0" m="1" x="2492"/>
        <item sd="0" m="1" x="389"/>
        <item sd="0" m="1" x="965"/>
        <item sd="0" m="1" x="6763"/>
        <item sd="0" m="1" x="4790"/>
        <item sd="0" m="1" x="1950"/>
        <item sd="0" m="1" x="7796"/>
        <item sd="0" m="1" x="5755"/>
        <item sd="0" m="1" x="3603"/>
        <item sd="0" m="1" x="1557"/>
        <item sd="0" m="1" x="7390"/>
        <item sd="0" m="1" x="2112"/>
        <item sd="0" m="1" x="7965"/>
        <item sd="0" m="1" x="5918"/>
        <item sd="0" m="1" x="3765"/>
        <item sd="0" m="1" x="1772"/>
        <item sd="0" m="1" x="7622"/>
        <item sd="0" m="1" x="2305"/>
        <item sd="0" m="1" x="172"/>
        <item sd="0" m="1" x="6110"/>
        <item sd="0" m="1" x="1242"/>
        <item sd="0" m="1" x="7052"/>
        <item sd="0" m="1" x="6871"/>
        <item sd="0" m="1" x="4897"/>
        <item sd="0" m="1" x="2884"/>
        <item sd="0" m="1" x="864"/>
        <item sd="0" m="1" x="1417"/>
        <item sd="0" m="1" x="7224"/>
        <item sd="0" m="1" x="7073"/>
        <item sd="0" m="1" x="5085"/>
        <item sd="0" m="1" x="3062"/>
        <item sd="0" m="1" x="1090"/>
        <item sd="0" m="1" x="1583"/>
        <item sd="0" m="1" x="7420"/>
        <item sd="0" m="1" x="310"/>
        <item sd="0" m="1" x="6212"/>
        <item sd="0" m="1" x="4211"/>
        <item sd="0" m="1" x="2227"/>
        <item sd="0" m="1" x="517"/>
        <item sd="0" m="1" x="6369"/>
        <item sd="0" m="1" x="4380"/>
        <item sd="0" m="1" x="2427"/>
        <item sd="0" m="1" x="5410"/>
        <item sd="0" m="1" x="6308"/>
        <item sd="0" m="1" x="4305"/>
        <item sd="0" m="1" x="2334"/>
        <item sd="0" m="1" x="226"/>
        <item sd="0" m="1" x="10"/>
        <item sd="0" m="1" x="5973"/>
        <item sd="0" m="1" x="3988"/>
        <item sd="0" m="1" x="6473"/>
        <item sd="0" m="1" x="4497"/>
        <item sd="0" m="1" x="2544"/>
        <item sd="0" m="1" x="439"/>
        <item sd="0" m="1" x="249"/>
        <item sd="0" m="1" x="6164"/>
        <item sd="0" m="1" x="4171"/>
        <item sd="0" m="1" x="6637"/>
        <item sd="0" m="1" x="4682"/>
        <item sd="0" m="1" x="2705"/>
        <item sd="0" m="1" x="653"/>
        <item sd="0" m="1" x="5631"/>
        <item sd="0" m="1" x="3647"/>
        <item sd="0" m="1" x="1450"/>
        <item sd="0" m="1" x="7272"/>
        <item sd="0" m="1" x="5307"/>
        <item sd="0" m="1" x="3282"/>
        <item sd="0" m="1" x="5805"/>
        <item sd="0" m="1" x="3820"/>
        <item sd="0" m="1" x="1639"/>
        <item sd="0" m="1" x="7486"/>
        <item sd="0" m="1" x="5511"/>
        <item sd="0" m="1" x="3482"/>
        <item sd="0" m="1" x="5993"/>
        <item sd="0" m="1" x="4014"/>
        <item sd="0" m="1" x="4957"/>
        <item sd="0" m="1" x="2779"/>
        <item sd="0" m="1" x="750"/>
        <item sd="0" m="1" x="6562"/>
        <item sd="0" m="1" x="5145"/>
        <item sd="0" m="1" x="2945"/>
        <item sd="0" m="1" x="952"/>
        <item sd="0" m="1" x="6750"/>
        <item sd="0" m="1" x="5339"/>
        <item sd="0" m="1" x="2231"/>
        <item sd="0" m="1" x="70"/>
        <item sd="0" m="1" x="6033"/>
        <item sd="0" m="1" x="3878"/>
        <item sd="0" m="1" x="2431"/>
        <item sd="0" m="1" x="329"/>
        <item sd="0" m="1" x="6226"/>
        <item sd="0" m="1" x="4069"/>
        <item sd="0" m="1" x="2607"/>
        <item sd="0" m="1" x="534"/>
        <item sd="0" m="1" x="5562"/>
        <item sd="0" m="1" x="3548"/>
        <item sd="0" m="1" x="1508"/>
        <item sd="0" m="1" x="7334"/>
        <item sd="0" m="1" x="5205"/>
        <item sd="0" m="1" x="3157"/>
        <item sd="0" m="1" x="5714"/>
        <item sd="0" m="1" x="3719"/>
        <item sd="0" m="1" x="1713"/>
        <item sd="0" m="1" x="7560"/>
        <item sd="0" m="1" x="5400"/>
        <item sd="0" m="1" x="3372"/>
        <item sd="0" m="1" x="5866"/>
        <item sd="0" m="1" x="3899"/>
        <item sd="0" m="1" x="1903"/>
        <item sd="0" m="1" x="7753"/>
        <item sd="0" m="1" x="3289"/>
        <item sd="0" m="1" x="1292"/>
        <item sd="0" m="1" x="7121"/>
        <item sd="0" m="1" x="3489"/>
        <item sd="0" m="1" x="1467"/>
        <item sd="0" m="1" x="7290"/>
        <item sd="0" m="1" x="6565"/>
        <item sd="0" m="1" x="4588"/>
        <item sd="0" m="1" x="2634"/>
        <item sd="0" m="1" x="577"/>
        <item sd="0" m="1" x="6753"/>
        <item sd="0" m="1" x="4775"/>
        <item sd="0" m="1" x="2795"/>
        <item sd="0" m="1" x="767"/>
        <item sd="0" m="1" x="6945"/>
        <item sd="0" m="1" x="4985"/>
        <item sd="0" m="1" x="7949"/>
        <item sd="0" m="1" x="5903"/>
        <item sd="0" m="1" x="3937"/>
        <item sd="0" m="1" x="1762"/>
        <item sd="0" m="1" x="7612"/>
        <item sd="0" m="1" x="159"/>
        <item sd="0" m="1" x="6100"/>
        <item sd="0" m="1" x="4117"/>
        <item sd="0" m="1" x="1962"/>
        <item sd="0" m="1" x="7811"/>
        <item sd="0" m="1" x="400"/>
        <item sd="0" m="1" x="6288"/>
        <item sd="0" m="1" x="4274"/>
        <item sd="0" m="1" x="1402"/>
        <item sd="0" m="1" x="7207"/>
        <item sd="0" m="1" x="5262"/>
        <item sd="0" m="1" x="3048"/>
        <item sd="0" m="1" x="1071"/>
        <item sd="0" m="1" x="6869"/>
        <item sd="0" m="1" x="1574"/>
        <item sd="0" m="1" x="7409"/>
        <item sd="0" m="1" x="5451"/>
        <item sd="0" m="1" x="3233"/>
        <item sd="0" m="1" x="1253"/>
        <item sd="0" m="1" x="7071"/>
        <item sd="0" m="1" x="1777"/>
        <item sd="0" m="1" x="7627"/>
        <item sd="0" m="1" x="5612"/>
        <item sd="0" m="1" x="682"/>
        <item sd="0" m="1" x="6504"/>
        <item sd="0" m="1" x="4365"/>
        <item sd="0" m="1" x="2405"/>
        <item sd="0" m="1" x="307"/>
        <item sd="0" m="1" x="878"/>
        <item sd="0" m="1" x="6676"/>
        <item sd="0" m="1" x="4546"/>
        <item sd="0" m="1" x="2596"/>
        <item sd="0" m="1" x="514"/>
        <item sd="0" m="1" x="1099"/>
        <item sd="0" m="1" x="6888"/>
        <item sd="0" m="1" x="1150"/>
        <item sd="0" m="1" x="580"/>
        <item sd="0" m="1" x="6417"/>
        <item sd="0" m="1" x="4423"/>
        <item sd="0" m="1" x="2284"/>
        <item sd="0" m="1" x="137"/>
        <item sd="0" m="1" x="6082"/>
        <item sd="0" m="1" x="770"/>
        <item sd="0" m="1" x="6579"/>
        <item sd="0" m="1" x="4607"/>
        <item sd="0" m="1" x="2493"/>
        <item sd="0" m="1" x="390"/>
        <item sd="0" m="1" x="6281"/>
        <item sd="0" m="1" x="966"/>
        <item sd="0" m="1" x="6764"/>
        <item sd="0" m="1" x="4791"/>
        <item sd="0" m="1" x="7797"/>
        <item sd="0" m="1" x="5756"/>
        <item sd="0" m="1" x="3604"/>
        <item sd="0" m="1" x="1558"/>
        <item sd="0" m="1" x="7391"/>
        <item sd="0" m="1" x="7966"/>
        <item sd="0" m="1" x="5919"/>
        <item sd="0" m="1" x="3766"/>
        <item sd="0" m="1" x="1773"/>
        <item sd="0" m="1" x="7623"/>
        <item sd="0" m="1" x="173"/>
        <item sd="0" m="1" x="6111"/>
        <item sd="0" m="1" x="7053"/>
        <item sd="0" m="1" x="6872"/>
        <item sd="0" m="1" x="4898"/>
        <item sd="0" m="1" x="2885"/>
        <item sd="0" m="1" x="865"/>
        <item sd="0" m="1" x="7225"/>
        <item sd="0" m="1" x="7074"/>
        <item sd="0" m="1" x="5086"/>
        <item sd="0" m="1" x="3063"/>
        <item sd="0" m="1" x="1091"/>
        <item sd="0" m="1" x="7421"/>
        <item sd="0" m="1" x="311"/>
        <item sd="0" m="1" x="6213"/>
        <item sd="0" m="1" x="4212"/>
        <item sd="0" m="1" x="2228"/>
        <item sd="0" m="1" x="518"/>
        <item sd="0" m="1" x="6370"/>
        <item sd="0" m="1" x="4381"/>
        <item sd="0" m="1" x="2428"/>
        <item sd="0" m="1" x="719"/>
        <item sd="0" m="1" x="1692"/>
        <item sd="0" m="1" x="7537"/>
        <item sd="0" m="1" x="5560"/>
        <item sd="0" m="1" x="3354"/>
        <item sd="0" m="1" x="1882"/>
        <item sd="0" m="1" x="7734"/>
        <item sd="0" m="1" x="5712"/>
        <item sd="0" m="1" x="3560"/>
        <item sd="0" m="1" x="2073"/>
        <item sd="0" m="1" x="7913"/>
        <item sd="0" m="1" x="3648"/>
        <item sd="0" m="1" x="1451"/>
        <item sd="0" m="1" x="7273"/>
        <item sd="0" m="1" x="5308"/>
        <item sd="0" m="1" x="3283"/>
        <item sd="0" m="1" x="3821"/>
        <item sd="0" m="1" x="1640"/>
        <item sd="0" m="1" x="7487"/>
        <item sd="0" m="1" x="5512"/>
        <item sd="0" m="1" x="3483"/>
        <item sd="0" m="1" x="4015"/>
        <item sd="0" m="1" x="2780"/>
        <item sd="0" m="1" x="751"/>
        <item sd="0" m="1" x="6563"/>
        <item sd="0" m="1" x="2946"/>
        <item sd="0" m="1" x="953"/>
        <item sd="0" m="1" x="6751"/>
        <item sd="0" m="1" x="2232"/>
        <item sd="0" m="1" x="71"/>
        <item sd="0" m="1" x="6034"/>
        <item sd="0" m="1" x="3879"/>
        <item sd="0" m="1" x="1863"/>
        <item sd="0" m="1" x="2432"/>
        <item sd="0" m="1" x="330"/>
        <item sd="0" m="1" x="6227"/>
        <item sd="0" m="1" x="4070"/>
        <item sd="0" m="1" x="2063"/>
        <item sd="0" m="1" x="2608"/>
        <item sd="0" m="1" x="535"/>
        <item sd="0" m="1" x="6381"/>
        <item sd="0" m="1" x="3549"/>
        <item sd="0" m="1" x="1509"/>
        <item sd="0" m="1" x="7335"/>
        <item sd="0" m="1" x="5206"/>
        <item sd="0" m="1" x="3158"/>
        <item sd="0" m="1" x="1191"/>
        <item sd="0" m="1" x="3720"/>
        <item sd="0" m="1" x="1714"/>
        <item sd="0" m="1" x="7561"/>
        <item sd="0" m="1" x="5401"/>
        <item sd="0" m="1" x="3373"/>
        <item sd="0" m="1" x="1357"/>
        <item sd="0" m="1" x="3900"/>
        <item sd="0" m="1" x="1904"/>
        <item sd="0" m="1" x="7754"/>
        <item sd="0" m="1" x="586"/>
        <item sd="0" m="1" x="6423"/>
        <item sd="0" m="1" x="4429"/>
        <item sd="0" m="1" x="2287"/>
        <item sd="0" m="1" x="143"/>
        <item sd="0" m="1" x="774"/>
        <item sd="0" m="1" x="6582"/>
        <item sd="0" m="1" x="4613"/>
        <item sd="0" m="1" x="2496"/>
        <item sd="0" m="1" x="393"/>
        <item sd="0" m="1" x="967"/>
        <item sd="0" m="1" x="6765"/>
        <item sd="0" m="1" x="4794"/>
        <item sd="0" m="1" x="319"/>
        <item sd="0" m="1" x="6219"/>
        <item sd="0" m="1" x="4217"/>
        <item sd="0" m="1" x="2235"/>
        <item sd="0" m="1" x="526"/>
        <item sd="0" m="1" x="6375"/>
        <item sd="0" m="1" x="4385"/>
        <item sd="0" m="1" x="2433"/>
        <item sd="0" m="1" x="1699"/>
        <item sd="0" m="1" x="7545"/>
        <item sd="0" m="1" x="5563"/>
        <item sd="0" m="1" x="1891"/>
        <item sd="0" m="1" x="7743"/>
        <item sd="0" m="1" x="5717"/>
        <item sd="0" m="1" x="2076"/>
        <item sd="0" m="1" x="5022"/>
        <item sd="0" m="1" x="2993"/>
        <item sd="0" m="1" x="1011"/>
        <item sd="0" m="1" x="6815"/>
        <item sd="0" m="1" x="4666"/>
        <item sd="0" m="1" x="5220"/>
        <item sd="0" m="1" x="3172"/>
        <item sd="0" m="1" x="1207"/>
        <item sd="0" m="1" x="6998"/>
        <item sd="0" m="1" x="4849"/>
        <item sd="0" m="1" x="5412"/>
        <item sd="0" m="1" x="3381"/>
        <item sd="0" m="1" x="1368"/>
        <item sd="0" m="1" x="6312"/>
        <item sd="0" m="1" x="4311"/>
        <item sd="0" m="1" x="2341"/>
        <item sd="0" m="1" x="233"/>
        <item sd="0" m="1" x="14"/>
        <item sd="0" m="1" x="5977"/>
        <item sd="0" m="1" x="3993"/>
        <item sd="0" m="1" x="6475"/>
        <item sd="0" m="1" x="4499"/>
        <item sd="0" m="1" x="2547"/>
        <item sd="0" m="1" x="443"/>
        <item sd="0" m="1" x="255"/>
        <item sd="0" m="1" x="6168"/>
        <item sd="0" m="1" x="4176"/>
        <item sd="0" m="1" x="6639"/>
        <item sd="0" m="1" x="4683"/>
        <item sd="0" m="1" x="2707"/>
        <item sd="0" m="1" x="655"/>
        <item sd="0" m="1" x="5639"/>
        <item sd="0" m="1" x="3653"/>
        <item sd="0" m="1" x="1455"/>
        <item sd="0" m="1" x="7278"/>
        <item sd="0" m="1" x="5315"/>
        <item sd="0" m="1" x="3290"/>
        <item sd="0" m="1" x="5807"/>
        <item sd="0" m="1" x="3825"/>
        <item sd="0" m="1" x="1647"/>
        <item sd="0" m="1" x="7494"/>
        <item sd="0" m="1" x="5519"/>
        <item sd="0" m="1" x="3492"/>
        <item sd="0" m="1" x="5994"/>
        <item sd="0" m="1" x="4018"/>
        <item sd="0" m="1" x="5565"/>
        <item sd="0" m="1" x="3552"/>
        <item sd="0" m="1" x="1513"/>
        <item sd="0" m="1" x="7339"/>
        <item sd="0" m="1" x="5210"/>
        <item sd="0" m="1" x="3161"/>
        <item sd="0" m="1" x="5719"/>
        <item sd="0" m="1" x="3722"/>
        <item sd="0" m="1" x="1717"/>
        <item sd="0" m="1" x="7564"/>
        <item sd="0" m="1" x="5404"/>
        <item sd="0" m="1" x="3375"/>
        <item sd="0" m="1" x="5869"/>
        <item sd="0" m="1" x="3901"/>
        <item sd="0" m="1" x="1906"/>
        <item sd="0" m="1" x="7756"/>
        <item sd="0" m="1" x="4838"/>
        <item sd="0" m="1" x="2844"/>
        <item sd="0" m="1" x="635"/>
        <item sd="0" m="1" x="6469"/>
        <item sd="0" m="1" x="4486"/>
        <item sd="0" m="1" x="2535"/>
        <item sd="0" m="1" x="5035"/>
        <item sd="0" m="1" x="3008"/>
        <item sd="0" m="1" x="831"/>
        <item sd="0" m="1" x="6633"/>
        <item sd="0" m="1" x="4677"/>
        <item sd="0" m="1" x="2699"/>
        <item sd="0" m="1" x="5225"/>
        <item sd="0" m="1" x="3178"/>
        <item sd="0" m="1" x="4163"/>
        <item sd="0" m="1" x="2005"/>
        <item sd="0" m="1" x="7850"/>
        <item sd="0" m="1" x="5801"/>
        <item sd="0" m="1" x="4329"/>
        <item sd="0" m="1" x="2178"/>
        <item sd="0" m="1" x="29"/>
        <item sd="0" m="1" x="5990"/>
        <item sd="0" m="1" x="4508"/>
        <item sd="0" m="1" x="3295"/>
        <item sd="0" m="1" x="1295"/>
        <item sd="0" m="1" x="7123"/>
        <item sd="0" m="1" x="3496"/>
        <item sd="0" m="1" x="1471"/>
        <item sd="0" m="1" x="7293"/>
        <item sd="0" m="1" x="6570"/>
        <item sd="0" m="1" x="4594"/>
        <item sd="0" m="1" x="2639"/>
        <item sd="0" m="1" x="584"/>
        <item sd="0" m="1" x="6757"/>
        <item sd="0" m="1" x="4780"/>
        <item sd="0" m="1" x="2798"/>
        <item sd="0" m="1" x="772"/>
        <item sd="0" m="1" x="6947"/>
        <item sd="0" m="1" x="4987"/>
        <item sd="0" m="1" x="688"/>
        <item sd="0" m="1" x="6508"/>
        <item sd="0" m="1" x="4371"/>
        <item sd="0" m="1" x="2411"/>
        <item sd="0" m="1" x="313"/>
        <item sd="0" m="1" x="880"/>
        <item sd="0" m="1" x="6679"/>
        <item sd="0" m="1" x="4551"/>
        <item sd="0" m="1" x="2599"/>
        <item sd="0" m="1" x="521"/>
        <item sd="0" m="1" x="1100"/>
        <item sd="0" m="1" x="6890"/>
        <item sd="0" m="1" x="7721"/>
        <item sd="0" m="1" x="5701"/>
        <item sd="0" m="1" x="3705"/>
        <item sd="0" m="1" x="1693"/>
        <item sd="0" m="1" x="7905"/>
        <item sd="0" m="1" x="5855"/>
        <item sd="0" m="1" x="3892"/>
        <item sd="0" m="1" x="1886"/>
        <item sd="0" m="1" x="7124"/>
        <item sd="0" m="1" x="5138"/>
        <item sd="0" m="1" x="3106"/>
        <item sd="0" m="1" x="1143"/>
        <item sd="0" m="1" x="939"/>
        <item sd="0" m="1" x="6737"/>
        <item sd="0" m="1" x="7294"/>
        <item sd="0" m="1" x="5334"/>
        <item sd="0" m="1" x="3308"/>
        <item sd="0" m="1" x="1303"/>
        <item sd="0" m="1" x="1154"/>
        <item sd="0" m="1" x="6940"/>
        <item sd="0" m="1" x="7504"/>
        <item sd="0" m="1" x="5525"/>
        <item sd="0" m="1" x="3502"/>
        <item sd="0" m="1" x="587"/>
        <item sd="0" m="1" x="6424"/>
        <item sd="0" m="1" x="4430"/>
        <item sd="0" m="1" x="2288"/>
        <item sd="0" m="1" x="144"/>
        <item sd="0" m="1" x="6088"/>
        <item sd="0" m="1" x="775"/>
        <item sd="0" m="1" x="6583"/>
        <item sd="0" m="1" x="4614"/>
        <item sd="0" m="1" x="2497"/>
        <item sd="0" m="1" x="394"/>
        <item sd="0" m="1" x="6285"/>
        <item sd="0" m="1" x="968"/>
        <item sd="0" m="1" x="6766"/>
        <item sd="0" m="1" x="4795"/>
        <item sd="0" m="1" x="7804"/>
        <item sd="0" m="1" x="5760"/>
        <item sd="0" m="1" x="3605"/>
        <item sd="0" m="1" x="1564"/>
        <item sd="0" m="1" x="7397"/>
        <item sd="0" m="1" x="7970"/>
        <item sd="0" m="1" x="5924"/>
        <item sd="0" m="1" x="3767"/>
        <item sd="0" m="1" x="1775"/>
        <item sd="0" m="1" x="7625"/>
        <item sd="0" m="1" x="176"/>
        <item sd="0" m="1" x="6114"/>
        <item sd="0" m="1" x="1700"/>
        <item sd="0" m="1" x="7546"/>
        <item sd="0" m="1" x="5564"/>
        <item sd="0" m="1" x="3362"/>
        <item sd="0" m="1" x="1892"/>
        <item sd="0" m="1" x="7744"/>
        <item sd="0" m="1" x="5718"/>
        <item sd="0" m="1" x="3564"/>
        <item sd="0" m="1" x="2077"/>
        <item sd="0" m="1" x="7917"/>
        <item sd="0" m="1" x="5023"/>
        <item sd="0" m="1" x="2994"/>
        <item sd="0" m="1" x="1012"/>
        <item sd="0" m="1" x="6816"/>
        <item sd="0" m="1" x="4667"/>
        <item sd="0" m="1" x="2689"/>
        <item sd="0" m="1" x="5221"/>
        <item sd="0" m="1" x="3173"/>
        <item sd="0" m="1" x="1208"/>
        <item sd="0" m="1" x="6999"/>
        <item sd="0" m="1" x="4850"/>
        <item sd="0" m="1" x="2853"/>
        <item sd="0" m="1" x="5413"/>
        <item sd="0" m="1" x="3382"/>
        <item sd="0" m="1" x="1369"/>
        <item sd="0" m="1" x="7174"/>
        <item sd="0" m="1" x="4312"/>
        <item sd="0" m="1" x="2342"/>
        <item sd="0" m="1" x="234"/>
        <item sd="0" m="1" x="15"/>
        <item sd="0" m="1" x="5978"/>
        <item sd="0" m="1" x="3994"/>
        <item sd="0" m="1" x="2002"/>
        <item sd="0" m="1" x="4500"/>
        <item sd="0" m="1" x="2548"/>
        <item sd="0" m="1" x="444"/>
        <item sd="0" m="1" x="256"/>
        <item sd="0" m="1" x="6169"/>
        <item sd="0" m="1" x="4177"/>
        <item sd="0" m="1" x="2175"/>
        <item sd="0" m="1" x="4684"/>
        <item sd="0" m="1" x="2708"/>
        <item sd="0" m="1" x="656"/>
        <item sd="0" m="1" x="3654"/>
        <item sd="0" m="1" x="1456"/>
        <item sd="0" m="1" x="7279"/>
        <item sd="0" m="1" x="5316"/>
        <item sd="0" m="1" x="3291"/>
        <item sd="0" m="1" x="3826"/>
        <item sd="0" m="1" x="1648"/>
        <item sd="0" m="1" x="7495"/>
        <item sd="0" m="1" x="5520"/>
        <item sd="0" m="1" x="3493"/>
        <item sd="0" m="1" x="4019"/>
        <item sd="0" m="1" x="2784"/>
        <item sd="0" m="1" x="755"/>
        <item sd="0" m="1" x="6567"/>
        <item sd="0" m="1" x="2949"/>
        <item sd="0" m="1" x="956"/>
        <item sd="0" m="1" x="6755"/>
        <item sd="0" m="1" x="4084"/>
        <item sd="0" m="1" x="1536"/>
        <item sd="0" m="1" x="7365"/>
        <item sd="0" m="1" x="5228"/>
        <item sd="0" m="1" x="3181"/>
        <item sd="0" m="1" x="1212"/>
        <item sd="0" m="1" x="7010"/>
        <item sd="0" m="1" x="1749"/>
        <item sd="0" m="1" x="7594"/>
        <item sd="0" m="1" x="5417"/>
        <item sd="0" m="1" x="3390"/>
        <item sd="0" m="1" x="1377"/>
        <item sd="0" m="1" x="7182"/>
        <item sd="0" m="1" x="1946"/>
        <item sd="0" m="1" x="7793"/>
        <item sd="0" m="1" x="835"/>
        <item sd="0" m="1" x="6482"/>
        <item sd="0" m="1" x="4512"/>
        <item sd="0" m="1" x="2563"/>
        <item sd="0" m="1" x="1052"/>
        <item sd="0" m="1" x="6646"/>
        <item sd="0" m="1" x="4700"/>
        <item sd="0" m="1" x="2720"/>
        <item sd="0" m="1" x="1240"/>
        <item sd="0" m="1" x="2033"/>
        <item sd="0" m="1" x="7868"/>
        <item sd="0" m="1" x="5822"/>
        <item sd="0" m="1" x="3843"/>
        <item sd="0" m="1" x="2198"/>
        <item sd="0" m="1" x="47"/>
        <item sd="0" m="1" x="6012"/>
        <item sd="0" m="1" x="4031"/>
        <item sd="0" m="1" x="2401"/>
        <item sd="0" m="1" x="3329"/>
        <item sd="0" m="1" x="1317"/>
        <item sd="0" m="1" x="7137"/>
        <item sd="0" m="1" x="5167"/>
        <item sd="0" m="1" x="4993"/>
        <item sd="0" m="1" x="3519"/>
        <item sd="0" m="1" x="1487"/>
        <item sd="0" m="1" x="7312"/>
        <item sd="0" m="1" x="5365"/>
        <item sd="0" m="1" x="5182"/>
        <item sd="0" m="1" x="3701"/>
        <item sd="0" m="1" x="1689"/>
        <item sd="0" m="1" x="4629"/>
        <item sd="0" m="1" x="2664"/>
        <item sd="0" m="1" x="611"/>
        <item sd="0" m="1" x="6289"/>
        <item sd="0" m="1" x="4276"/>
        <item sd="0" m="1" x="4804"/>
        <item sd="0" m="1" x="2820"/>
        <item sd="0" m="1" x="796"/>
        <item sd="0" m="1" x="6445"/>
        <item sd="0" m="1" x="4464"/>
        <item sd="0" m="1" x="5016"/>
        <item sd="0" m="1" x="2986"/>
        <item sd="0" m="1" x="1002"/>
        <item sd="0" m="1" x="4391"/>
        <item sd="0" m="1" x="2444"/>
        <item sd="0" m="1" x="346"/>
        <item sd="0" m="1" x="6238"/>
        <item sd="0" m="1" x="4564"/>
        <item sd="0" m="1" x="2612"/>
        <item sd="0" m="1" x="548"/>
        <item sd="0" m="1" x="6391"/>
        <item sd="0" m="1" x="3845"/>
        <item sd="0" m="1" x="1841"/>
        <item sd="0" m="1" x="7691"/>
        <item sd="0" m="1" x="5526"/>
        <item sd="0" m="1" x="3503"/>
        <item sd="0" m="1" x="4033"/>
        <item sd="0" m="1" x="2042"/>
        <item sd="0" m="1" x="7873"/>
        <item sd="0" m="1" x="5674"/>
        <item sd="0" m="1" x="3690"/>
        <item sd="0" m="1" x="4208"/>
        <item sd="0" m="1" x="2225"/>
        <item sd="0" m="1" x="66"/>
        <item sd="0" m="1" x="5169"/>
        <item sd="0" m="1" x="3131"/>
        <item sd="0" m="1" x="1163"/>
        <item sd="0" m="1" x="6769"/>
        <item sd="0" m="1" x="4796"/>
        <item sd="0" m="1" x="2810"/>
        <item sd="0" m="1" x="5367"/>
        <item sd="0" m="1" x="3343"/>
        <item sd="0" m="1" x="1326"/>
        <item sd="0" m="1" x="6952"/>
        <item sd="0" m="1" x="5003"/>
        <item sd="0" m="1" x="2972"/>
        <item sd="0" m="1" x="5558"/>
        <item sd="0" m="1" x="3543"/>
        <item sd="0" m="1" x="1504"/>
        <item sd="0" m="1" x="4458"/>
        <item sd="0" m="1" x="2506"/>
        <item sd="0" m="1" x="181"/>
        <item sd="0" m="1" x="6117"/>
        <item sd="0" m="1" x="4127"/>
        <item sd="0" m="1" x="4648"/>
        <item sd="0" m="1" x="2675"/>
        <item sd="0" m="1" x="407"/>
        <item sd="0" m="1" x="6299"/>
        <item sd="0" m="1" x="4287"/>
        <item sd="0" m="1" x="4830"/>
        <item sd="0" m="1" x="2838"/>
        <item sd="0" m="1" x="3625"/>
        <item sd="0" m="1" x="1591"/>
        <item sd="0" m="1" x="7434"/>
        <item sd="0" m="1" x="5464"/>
        <item sd="0" m="1" x="3783"/>
        <item sd="0" m="1" x="1790"/>
        <item sd="0" m="1" x="7645"/>
        <item sd="0" m="1" x="5621"/>
        <item sd="0" m="1" x="1738"/>
        <item sd="0" m="1" x="7581"/>
        <item sd="0" m="1" x="5579"/>
        <item sd="0" m="1" x="3569"/>
        <item sd="0" m="1" x="1370"/>
        <item sd="0" m="1" x="7176"/>
        <item sd="0" m="1" x="1924"/>
        <item sd="0" m="1" x="7773"/>
        <item sd="0" m="1" x="5738"/>
        <item sd="0" m="1" x="3737"/>
        <item sd="0" m="1" x="1545"/>
        <item sd="0" m="1" x="7378"/>
        <item sd="0" m="1" x="2094"/>
        <item sd="0" m="1" x="7945"/>
        <item sd="0" m="1" x="5899"/>
        <item sd="0" m="1" x="3933"/>
        <item sd="0" m="1" x="1041"/>
        <item sd="0" m="1" x="6839"/>
        <item sd="0" m="1" x="4691"/>
        <item sd="0" m="1" x="2712"/>
        <item sd="0" m="1" x="663"/>
        <item sd="0" m="1" x="6481"/>
        <item sd="0" m="1" x="1224"/>
        <item sd="0" m="1" x="7025"/>
        <item sd="0" m="1" x="4875"/>
        <item sd="0" m="1" x="2870"/>
        <item sd="0" m="1" x="848"/>
        <item sd="0" m="1" x="6645"/>
        <item sd="0" m="1" x="1396"/>
        <item sd="0" m="1" x="7202"/>
        <item sd="0" m="1" x="268"/>
        <item sd="0" m="1" x="5999"/>
        <item sd="0" m="1" x="4025"/>
        <item sd="0" m="1" x="2031"/>
        <item sd="0" m="1" x="467"/>
        <item sd="0" m="1" x="6187"/>
        <item sd="0" m="1" x="4194"/>
        <item sd="0" m="1" x="2196"/>
        <item sd="0" m="1" x="679"/>
        <item sd="0" m="1" x="7300"/>
        <item sd="0" m="1" x="5356"/>
        <item sd="0" m="1" x="3328"/>
        <item sd="0" m="1" x="7513"/>
        <item sd="0" m="1" x="5539"/>
        <item sd="0" m="1" x="3518"/>
        <item sd="0" m="1" x="906"/>
        <item sd="0" m="1" x="6703"/>
        <item sd="0" m="1" x="4737"/>
        <item sd="0" m="1" x="2758"/>
        <item sd="0" m="1" x="536"/>
        <item sd="0" m="1" x="6382"/>
        <item sd="0" m="1" x="1118"/>
        <item sd="0" m="1" x="6913"/>
        <item sd="0" m="1" x="4947"/>
        <item sd="0" m="1" x="2915"/>
        <item sd="0" m="1" x="732"/>
        <item sd="0" m="1" x="6547"/>
        <item sd="0" m="1" x="1287"/>
        <item sd="0" m="1" x="7119"/>
        <item sd="0" m="1" x="5129"/>
        <item sd="0" m="1" x="3098"/>
        <item sd="0" m="1" x="6483"/>
        <item sd="0" m="1" x="4513"/>
        <item sd="0" m="1" x="2564"/>
        <item sd="0" m="1" x="6647"/>
        <item sd="0" m="1" x="4701"/>
        <item sd="0" m="1" x="2721"/>
        <item sd="0" m="1" x="2034"/>
        <item sd="0" m="1" x="7869"/>
        <item sd="0" m="1" x="5823"/>
        <item sd="0" m="1" x="3844"/>
        <item sd="0" m="1" x="2199"/>
        <item sd="0" m="1" x="48"/>
        <item sd="0" m="1" x="6013"/>
        <item sd="0" m="1" x="4032"/>
        <item sd="0" m="1" x="2402"/>
        <item sd="0" m="1" x="306"/>
        <item sd="0" m="1" x="3330"/>
        <item sd="0" m="1" x="1318"/>
        <item sd="0" m="1" x="7138"/>
        <item sd="0" m="1" x="5168"/>
        <item sd="0" m="1" x="4994"/>
        <item sd="0" m="1" x="2958"/>
        <item sd="0" m="1" x="3520"/>
        <item sd="0" m="1" x="1488"/>
        <item sd="0" m="1" x="7313"/>
        <item sd="0" m="1" x="5366"/>
        <item sd="0" m="1" x="5183"/>
        <item sd="0" m="1" x="3140"/>
        <item sd="0" m="1" x="3702"/>
        <item sd="0" m="1" x="1690"/>
        <item sd="0" m="1" x="7534"/>
        <item sd="0" m="1" x="4630"/>
        <item sd="0" m="1" x="2665"/>
        <item sd="0" m="1" x="612"/>
        <item sd="0" m="1" x="6290"/>
        <item sd="0" m="1" x="4277"/>
        <item sd="0" m="1" x="2310"/>
        <item sd="0" m="1" x="4805"/>
        <item sd="0" m="1" x="2821"/>
        <item sd="0" m="1" x="797"/>
        <item sd="0" m="1" x="6446"/>
        <item sd="0" m="1" x="4465"/>
        <item sd="0" m="1" x="2515"/>
        <item sd="0" m="1" x="5017"/>
        <item sd="0" m="1" x="2987"/>
        <item sd="0" m="1" x="1003"/>
        <item sd="0" m="1" x="3963"/>
        <item sd="0" m="1" x="1968"/>
        <item sd="0" m="1" x="7631"/>
        <item sd="0" m="1" x="5613"/>
        <item sd="0" m="1" x="3624"/>
        <item sd="0" m="1" x="4135"/>
        <item sd="0" m="1" x="2125"/>
        <item sd="0" m="1" x="7829"/>
        <item sd="0" m="1" x="5785"/>
        <item sd="0" m="1" x="3782"/>
        <item sd="0" m="1" x="4301"/>
        <item sd="0" m="1" x="2331"/>
        <item sd="0" m="1" x="4750"/>
        <item sd="0" m="1" x="3846"/>
        <item sd="0" m="1" x="1842"/>
        <item sd="0" m="1" x="7692"/>
        <item sd="0" m="1" x="5527"/>
        <item sd="0" m="1" x="3504"/>
        <item sd="0" m="1" x="1477"/>
        <item sd="0" m="1" x="4034"/>
        <item sd="0" m="1" x="2043"/>
        <item sd="0" m="1" x="7874"/>
        <item sd="0" m="1" x="5675"/>
        <item sd="0" m="1" x="3691"/>
        <item sd="0" m="1" x="1669"/>
        <item sd="0" m="1" x="4209"/>
        <item sd="0" m="1" x="2226"/>
        <item sd="0" m="1" x="67"/>
        <item sd="0" m="1" x="3132"/>
        <item sd="0" m="1" x="1164"/>
        <item sd="0" m="1" x="6770"/>
        <item sd="0" m="1" x="4797"/>
        <item sd="0" m="1" x="2811"/>
        <item sd="0" m="1" x="3344"/>
        <item sd="0" m="1" x="1327"/>
        <item sd="0" m="1" x="6953"/>
        <item sd="0" m="1" x="5004"/>
        <item sd="0" m="1" x="2973"/>
        <item sd="0" m="1" x="3544"/>
        <item sd="0" m="1" x="1505"/>
        <item sd="0" m="1" x="2261"/>
        <item sd="0" m="1" x="108"/>
        <item sd="0" m="1" x="6064"/>
        <item sd="0" m="1" x="4078"/>
        <item sd="0" m="1" x="3909"/>
        <item sd="0" m="1" x="1913"/>
        <item sd="0" m="1" x="7763"/>
        <item sd="0" m="1" x="2464"/>
        <item sd="0" m="1" x="363"/>
        <item sd="0" m="1" x="6258"/>
        <item sd="0" m="1" x="4240"/>
        <item sd="0" m="1" x="4089"/>
        <item sd="0" m="1" x="2085"/>
        <item sd="0" m="1" x="7934"/>
        <item sd="0" m="1" x="2635"/>
        <item sd="0" m="1" x="581"/>
        <item sd="0" m="1" x="6420"/>
        <item sd="0" m="1" x="4426"/>
        <item sd="0" m="1" x="1538"/>
        <item sd="0" m="1" x="7369"/>
        <item sd="0" m="1" x="5232"/>
        <item sd="0" m="1" x="3184"/>
        <item sd="0" m="1" x="1215"/>
        <item sd="0" m="1" x="7014"/>
        <item sd="0" m="1" x="1753"/>
        <item sd="0" m="1" x="7599"/>
        <item sd="0" m="1" x="5422"/>
        <item sd="0" m="1" x="3393"/>
        <item sd="0" m="1" x="1383"/>
        <item sd="0" m="1" x="7189"/>
        <item sd="0" m="1" x="1952"/>
        <item sd="0" m="1" x="7800"/>
        <item sd="0" m="1" x="839"/>
        <item sd="0" m="1" x="6487"/>
        <item sd="0" m="1" x="4515"/>
        <item sd="0" m="1" x="2567"/>
        <item sd="0" m="1" x="1058"/>
        <item sd="0" m="1" x="6652"/>
        <item sd="0" m="1" x="4704"/>
        <item sd="0" m="1" x="2725"/>
        <item sd="0" m="1" x="1246"/>
        <item sd="0" m="1" x="5188"/>
        <item sd="0" m="1" x="4635"/>
        <item sd="0" m="1" x="2669"/>
        <item sd="0" m="1" x="615"/>
        <item sd="0" m="1" x="6291"/>
        <item sd="0" m="1" x="4279"/>
        <item sd="0" m="1" x="4809"/>
        <item sd="0" m="1" x="2824"/>
        <item sd="0" m="1" x="799"/>
        <item sd="0" m="1" x="6450"/>
        <item sd="0" m="1" x="4469"/>
        <item sd="0" m="1" x="5019"/>
        <item sd="0" m="1" x="2990"/>
        <item sd="0" m="1" x="1006"/>
        <item sd="0" m="1" x="5940"/>
        <item sd="0" m="1" x="3968"/>
        <item sd="0" m="1" x="1972"/>
        <item sd="0" m="1" x="7633"/>
        <item sd="0" m="1" x="5614"/>
        <item sd="0" m="1" x="3627"/>
        <item sd="0" m="1" x="6125"/>
        <item sd="0" m="1" x="4139"/>
        <item sd="0" m="1" x="2128"/>
        <item sd="0" m="1" x="7835"/>
        <item sd="0" m="1" x="5789"/>
        <item sd="0" m="1" x="3788"/>
        <item sd="0" m="1" x="6309"/>
        <item sd="0" m="1" x="4306"/>
        <item sd="0" m="1" x="2336"/>
        <item sd="0" m="1" x="5287"/>
        <item sd="0" m="1" x="3245"/>
        <item sd="0" m="1" x="3068"/>
        <item sd="0" m="1" x="1104"/>
        <item sd="0" m="1" x="6905"/>
        <item sd="0" m="1" x="4934"/>
        <item sd="0" m="1" x="5471"/>
        <item sd="0" m="1" x="3438"/>
        <item sd="0" m="1" x="3261"/>
        <item sd="0" m="1" x="1274"/>
        <item sd="0" m="1" x="7104"/>
        <item sd="0" m="1" x="5107"/>
        <item sd="0" m="1" x="5634"/>
        <item sd="0" m="1" x="3650"/>
        <item sd="0" m="1" x="4393"/>
        <item sd="0" m="1" x="2446"/>
        <item sd="0" m="1" x="351"/>
        <item sd="0" m="1" x="6242"/>
        <item sd="0" m="1" x="4568"/>
        <item sd="0" m="1" x="2616"/>
        <item sd="0" m="1" x="555"/>
        <item sd="0" m="1" x="6395"/>
        <item sd="0" m="1" x="3851"/>
        <item sd="0" m="1" x="1844"/>
        <item sd="0" m="1" x="7694"/>
        <item sd="0" m="1" x="5532"/>
        <item sd="0" m="1" x="3508"/>
        <item sd="0" m="1" x="4040"/>
        <item sd="0" m="1" x="2045"/>
        <item sd="0" m="1" x="7877"/>
        <item sd="0" m="1" x="5681"/>
        <item sd="0" m="1" x="3695"/>
        <item sd="0" m="1" x="4213"/>
        <item sd="0" m="1" x="2233"/>
        <item sd="0" m="1" x="73"/>
        <item sd="0" m="1" x="3629"/>
        <item sd="0" m="1" x="1594"/>
        <item sd="0" m="1" x="7438"/>
        <item sd="0" m="1" x="5467"/>
        <item sd="0" m="1" x="3790"/>
        <item sd="0" m="1" x="1794"/>
        <item sd="0" m="1" x="7650"/>
        <item sd="0" m="1" x="5625"/>
        <item sd="0" m="1" x="4936"/>
        <item sd="0" m="1" x="2909"/>
        <item sd="0" m="1" x="910"/>
        <item sd="0" m="1" x="5109"/>
        <item sd="0" m="1" x="3085"/>
        <item sd="0" m="1" x="1123"/>
        <item sd="0" m="1" x="5313"/>
        <item sd="0" m="1" x="6244"/>
        <item sd="0" m="1" x="4230"/>
        <item sd="0" m="1" x="2258"/>
        <item sd="0" m="1" x="7922"/>
        <item sd="0" m="1" x="6397"/>
        <item sd="0" m="1" x="4407"/>
        <item sd="0" m="1" x="2461"/>
        <item sd="0" m="1" x="121"/>
        <item sd="0" m="1" x="6566"/>
        <item sd="0" m="1" x="4589"/>
        <item sd="0" m="1" x="1742"/>
        <item sd="0" m="1" x="7585"/>
        <item sd="0" m="1" x="5583"/>
        <item sd="0" m="1" x="3572"/>
        <item sd="0" m="1" x="1372"/>
        <item sd="0" m="1" x="7178"/>
        <item sd="0" m="1" x="1930"/>
        <item sd="0" m="1" x="7777"/>
        <item sd="0" m="1" x="5742"/>
        <item sd="0" m="1" x="3739"/>
        <item sd="0" m="1" x="1548"/>
        <item sd="0" m="1" x="7381"/>
        <item sd="0" m="1" x="2099"/>
        <item sd="0" m="1" x="7950"/>
        <item sd="0" m="1" x="5904"/>
        <item sd="0" m="1" x="3938"/>
        <item sd="0" m="1" x="1045"/>
        <item sd="0" m="1" x="6843"/>
        <item sd="0" m="1" x="4694"/>
        <item sd="0" m="1" x="2714"/>
        <item sd="0" m="1" x="666"/>
        <item sd="0" m="1" x="6486"/>
        <item sd="0" m="1" x="1229"/>
        <item sd="0" m="1" x="7030"/>
        <item sd="0" m="1" x="4881"/>
        <item sd="0" m="1" x="2874"/>
        <item sd="0" m="1" x="854"/>
        <item sd="0" m="1" x="6651"/>
        <item sd="0" m="1" x="1403"/>
        <item sd="0" m="1" x="7208"/>
        <item sd="0" m="1" x="914"/>
        <item sd="0" m="1" x="6708"/>
        <item sd="0" m="1" x="4740"/>
        <item sd="0" m="1" x="2760"/>
        <item sd="0" m="1" x="540"/>
        <item sd="0" m="1" x="6385"/>
        <item sd="0" m="1" x="1127"/>
        <item sd="0" m="1" x="6916"/>
        <item sd="0" m="1" x="4952"/>
        <item sd="0" m="1" x="2920"/>
        <item sd="0" m="1" x="736"/>
        <item sd="0" m="1" x="6551"/>
        <item sd="0" m="1" x="1293"/>
        <item sd="0" m="1" x="7122"/>
        <item sd="0" m="1" x="5135"/>
        <item sd="0" m="1" x="3103"/>
        <item sd="0" m="1" x="109"/>
        <item sd="0" m="1" x="6065"/>
        <item sd="0" m="1" x="4079"/>
        <item sd="0" m="1" x="3910"/>
        <item sd="0" m="1" x="1914"/>
        <item sd="0" m="1" x="7764"/>
        <item sd="0" m="1" x="5729"/>
        <item sd="0" m="1" x="364"/>
        <item sd="0" m="1" x="6259"/>
        <item sd="0" m="1" x="4241"/>
        <item sd="0" m="1" x="4090"/>
        <item sd="0" m="1" x="2086"/>
        <item sd="0" m="1" x="7935"/>
        <item sd="0" m="1" x="5886"/>
        <item sd="0" m="1" x="582"/>
        <item sd="0" m="1" x="6421"/>
        <item sd="0" m="1" x="4427"/>
        <item sd="0" m="1" x="7370"/>
        <item sd="0" m="1" x="5233"/>
        <item sd="0" m="1" x="3185"/>
        <item sd="0" m="1" x="1216"/>
        <item sd="0" m="1" x="7015"/>
        <item sd="0" m="1" x="7600"/>
        <item sd="0" m="1" x="5423"/>
        <item sd="0" m="1" x="3394"/>
        <item sd="0" m="1" x="1384"/>
        <item sd="0" m="1" x="7190"/>
        <item sd="0" m="1" x="7801"/>
        <item sd="0" m="1" x="6488"/>
        <item sd="0" m="1" x="4516"/>
        <item sd="0" m="1" x="2568"/>
        <item sd="0" m="1" x="6653"/>
        <item sd="0" m="1" x="4705"/>
        <item sd="0" m="1" x="2726"/>
        <item sd="0" m="1" x="2037"/>
        <item sd="0" m="1" x="7871"/>
        <item sd="0" m="1" x="5827"/>
        <item sd="0" m="1" x="3848"/>
        <item sd="0" m="1" x="2204"/>
        <item sd="0" m="1" x="52"/>
        <item sd="0" m="1" x="6018"/>
        <item sd="0" m="1" x="4037"/>
        <item sd="0" m="1" x="2407"/>
        <item sd="0" m="1" x="312"/>
        <item sd="0" m="1" x="6451"/>
        <item sd="0" m="1" x="3969"/>
        <item sd="0" m="1" x="1973"/>
        <item sd="0" m="1" x="7634"/>
        <item sd="0" m="1" x="5615"/>
        <item sd="0" m="1" x="3628"/>
        <item sd="0" m="1" x="4140"/>
        <item sd="0" m="1" x="2129"/>
        <item sd="0" m="1" x="7836"/>
        <item sd="0" m="1" x="5790"/>
        <item sd="0" m="1" x="3789"/>
        <item sd="0" m="1" x="4307"/>
        <item sd="0" m="1" x="2337"/>
        <item sd="0" m="1" x="3246"/>
        <item sd="0" m="1" x="3069"/>
        <item sd="0" m="1" x="1105"/>
        <item sd="0" m="1" x="6906"/>
        <item sd="0" m="1" x="4935"/>
        <item sd="0" m="1" x="3439"/>
        <item sd="0" m="1" x="3262"/>
        <item sd="0" m="1" x="1275"/>
        <item sd="0" m="1" x="7105"/>
        <item sd="0" m="1" x="5108"/>
        <item sd="0" m="1" x="3651"/>
        <item sd="0" m="1" x="4394"/>
        <item sd="0" m="1" x="2447"/>
        <item sd="0" m="1" x="352"/>
        <item sd="0" m="1" x="6243"/>
        <item sd="0" m="1" x="4569"/>
        <item sd="0" m="1" x="2617"/>
        <item sd="0" m="1" x="556"/>
        <item sd="0" m="1" x="6396"/>
        <item sd="0" m="1" x="4754"/>
        <item sd="0" m="1" x="3852"/>
        <item sd="0" m="1" x="1845"/>
        <item sd="0" m="1" x="7695"/>
        <item sd="0" m="1" x="5533"/>
        <item sd="0" m="1" x="3509"/>
        <item sd="0" m="1" x="1482"/>
        <item sd="0" m="1" x="4041"/>
        <item sd="0" m="1" x="2046"/>
        <item sd="0" m="1" x="7878"/>
        <item sd="0" m="1" x="5682"/>
        <item sd="0" m="1" x="3696"/>
        <item sd="0" m="1" x="1678"/>
        <item sd="0" m="1" x="4214"/>
        <item sd="0" m="1" x="2234"/>
        <item sd="0" m="1" x="74"/>
        <item sd="0" m="1" x="2266"/>
        <item sd="0" m="1" x="113"/>
        <item sd="0" m="1" x="6068"/>
        <item sd="0" m="1" x="4080"/>
        <item sd="0" m="1" x="3914"/>
        <item sd="0" m="1" x="1918"/>
        <item sd="0" m="1" x="7768"/>
        <item sd="0" m="1" x="2470"/>
        <item sd="0" m="1" x="368"/>
        <item sd="0" m="1" x="6263"/>
        <item sd="0" m="1" x="4243"/>
        <item sd="0" m="1" x="4094"/>
        <item sd="0" m="1" x="2089"/>
        <item sd="0" m="1" x="7939"/>
        <item sd="0" m="1" x="2640"/>
        <item sd="0" m="1" x="588"/>
        <item sd="0" m="1" x="6427"/>
        <item sd="0" m="1" x="4433"/>
        <item sd="0" m="1" x="2040"/>
        <item sd="0" m="1" x="7872"/>
        <item sd="0" m="1" x="5829"/>
        <item sd="0" m="1" x="3855"/>
        <item sd="0" m="1" x="2214"/>
        <item sd="0" m="1" x="58"/>
        <item sd="0" m="1" x="6025"/>
        <item sd="0" m="1" x="4046"/>
        <item sd="0" m="1" x="2416"/>
        <item sd="0" m="1" x="3339"/>
        <item sd="0" m="1" x="1323"/>
        <item sd="0" m="1" x="7142"/>
        <item sd="0" m="1" x="5176"/>
        <item sd="0" m="1" x="4999"/>
        <item sd="0" m="1" x="3532"/>
        <item sd="0" m="1" x="1496"/>
        <item sd="0" m="1" x="7322"/>
        <item sd="0" m="1" x="5373"/>
        <item sd="0" m="1" x="5194"/>
        <item sd="0" m="1" x="3709"/>
        <item sd="0" m="1" x="1701"/>
        <item sd="0" m="1" x="4639"/>
        <item sd="0" m="1" x="2672"/>
        <item sd="0" m="1" x="621"/>
        <item sd="0" m="1" x="6293"/>
        <item sd="0" m="1" x="4282"/>
        <item sd="0" m="1" x="4814"/>
        <item sd="0" m="1" x="2828"/>
        <item sd="0" m="1" x="806"/>
        <item sd="0" m="1" x="6458"/>
        <item sd="0" m="1" x="4475"/>
        <item sd="0" m="1" x="5024"/>
        <item sd="0" m="1" x="2995"/>
        <item sd="0" m="1" x="1013"/>
        <item sd="0" m="1" x="5946"/>
        <item sd="0" m="1" x="3973"/>
        <item sd="0" m="1" x="1978"/>
        <item sd="0" m="1" x="7638"/>
        <item sd="0" m="1" x="5617"/>
        <item sd="0" m="1" x="3634"/>
        <item sd="0" m="1" x="6132"/>
        <item sd="0" m="1" x="4145"/>
        <item sd="0" m="1" x="2134"/>
        <item sd="0" m="1" x="7840"/>
        <item sd="0" m="1" x="5794"/>
        <item sd="0" m="1" x="3799"/>
        <item sd="0" m="1" x="6313"/>
        <item sd="0" m="1" x="4313"/>
        <item sd="0" m="1" x="2343"/>
        <item sd="0" m="1" x="5291"/>
        <item sd="0" m="1" x="3249"/>
        <item sd="0" m="1" x="3074"/>
        <item sd="0" m="1" x="1110"/>
        <item sd="0" m="1" x="6910"/>
        <item sd="0" m="1" x="4940"/>
        <item sd="0" m="1" x="5480"/>
        <item sd="0" m="1" x="3445"/>
        <item sd="0" m="1" x="3268"/>
        <item sd="0" m="1" x="1279"/>
        <item sd="0" m="1" x="7110"/>
        <item sd="0" m="1" x="5116"/>
        <item sd="0" m="1" x="5643"/>
        <item sd="0" m="1" x="3658"/>
        <item sd="0" m="1" x="5687"/>
        <item sd="0" m="1" x="5177"/>
        <item sd="0" m="1" x="3137"/>
        <item sd="0" m="1" x="1168"/>
        <item sd="0" m="1" x="6781"/>
        <item sd="0" m="1" x="4802"/>
        <item sd="0" m="1" x="2818"/>
        <item sd="0" m="1" x="5374"/>
        <item sd="0" m="1" x="3349"/>
        <item sd="0" m="1" x="1333"/>
        <item sd="0" m="1" x="6963"/>
        <item sd="0" m="1" x="5012"/>
        <item sd="0" m="1" x="2982"/>
        <item sd="0" m="1" x="5566"/>
        <item sd="0" m="1" x="3554"/>
        <item sd="0" m="1" x="1516"/>
        <item sd="0" m="1" x="4463"/>
        <item sd="0" m="1" x="2512"/>
        <item sd="0" m="1" x="189"/>
        <item sd="0" m="1" x="6121"/>
        <item sd="0" m="1" x="4132"/>
        <item sd="0" m="1" x="4656"/>
        <item sd="0" m="1" x="2680"/>
        <item sd="0" m="1" x="415"/>
        <item sd="0" m="1" x="6304"/>
        <item sd="0" m="1" x="4296"/>
        <item sd="0" m="1" x="4841"/>
        <item sd="0" m="1" x="2846"/>
        <item sd="0" m="1" x="3636"/>
        <item sd="0" m="1" x="1597"/>
        <item sd="0" m="1" x="7441"/>
        <item sd="0" m="1" x="5468"/>
        <item sd="0" m="1" x="3801"/>
        <item sd="0" m="1" x="1799"/>
        <item sd="0" m="1" x="7656"/>
        <item sd="0" m="1" x="5628"/>
        <item sd="0" m="1" x="4942"/>
        <item sd="0" m="1" x="2912"/>
        <item sd="0" m="1" x="915"/>
        <item sd="0" m="1" x="5118"/>
        <item sd="0" m="1" x="3090"/>
        <item sd="0" m="1" x="1129"/>
        <item sd="0" m="1" x="5320"/>
        <item sd="0" m="1" x="6250"/>
        <item sd="0" m="1" x="4233"/>
        <item sd="0" m="1" x="2263"/>
        <item sd="0" m="1" x="7925"/>
        <item sd="0" m="1" x="6404"/>
        <item sd="0" m="1" x="4412"/>
        <item sd="0" m="1" x="2467"/>
        <item sd="0" m="1" x="126"/>
        <item sd="0" m="1" x="6571"/>
        <item sd="0" m="1" x="4595"/>
        <item sd="0" m="1" x="277"/>
        <item sd="0" m="1" x="6004"/>
        <item sd="0" m="1" x="4028"/>
        <item sd="0" m="1" x="2038"/>
        <item sd="0" m="1" x="476"/>
        <item sd="0" m="1" x="6199"/>
        <item sd="0" m="1" x="4202"/>
        <item sd="0" m="1" x="2212"/>
        <item sd="0" m="1" x="690"/>
        <item sd="0" m="1" x="7305"/>
        <item sd="0" m="1" x="5361"/>
        <item sd="0" m="1" x="3337"/>
        <item sd="0" m="1" x="7523"/>
        <item sd="0" m="1" x="5549"/>
        <item sd="0" m="1" x="3530"/>
        <item sd="0" m="1" x="917"/>
        <item sd="0" m="1" x="6710"/>
        <item sd="0" m="1" x="4741"/>
        <item sd="0" m="1" x="2762"/>
        <item sd="0" m="1" x="544"/>
        <item sd="0" m="1" x="6388"/>
        <item sd="0" m="1" x="1131"/>
        <item sd="0" m="1" x="6918"/>
        <item sd="0" m="1" x="4956"/>
        <item sd="0" m="1" x="2923"/>
        <item sd="0" m="1" x="742"/>
        <item sd="0" m="1" x="6557"/>
        <item sd="0" m="1" x="1296"/>
        <item sd="0" m="1" x="7125"/>
        <item sd="0" m="1" x="5143"/>
        <item sd="0" m="1" x="3108"/>
        <item sd="0" m="1" x="114"/>
        <item sd="0" m="1" x="6069"/>
        <item sd="0" m="1" x="4081"/>
        <item sd="0" m="1" x="3915"/>
        <item sd="0" m="1" x="1919"/>
        <item sd="0" m="1" x="7769"/>
        <item sd="0" m="1" x="5733"/>
        <item sd="0" m="1" x="369"/>
        <item sd="0" m="1" x="6264"/>
        <item sd="0" m="1" x="4244"/>
        <item sd="0" m="1" x="4095"/>
        <item sd="0" m="1" x="2090"/>
        <item sd="0" m="1" x="7940"/>
        <item sd="0" m="1" x="5892"/>
        <item sd="0" m="1" x="589"/>
        <item sd="0" m="1" x="6428"/>
        <item sd="0" m="1" x="4434"/>
        <item sd="0" m="1" x="7374"/>
        <item sd="0" m="1" x="5238"/>
        <item sd="0" m="1" x="3189"/>
        <item sd="0" m="1" x="1220"/>
        <item sd="0" m="1" x="7020"/>
        <item sd="0" m="1" x="7607"/>
        <item sd="0" m="1" x="5428"/>
        <item sd="0" m="1" x="3398"/>
        <item sd="0" m="1" x="1389"/>
        <item sd="0" m="1" x="7195"/>
        <item sd="0" m="1" x="7808"/>
        <item sd="0" m="1" x="5195"/>
        <item sd="0" m="1" x="6294"/>
        <item sd="0" m="1" x="2316"/>
        <item sd="0" m="1" x="4815"/>
        <item sd="0" m="1" x="2829"/>
        <item sd="0" m="1" x="807"/>
        <item sd="0" m="1" x="6459"/>
        <item sd="0" m="1" x="4476"/>
        <item sd="0" m="1" x="2526"/>
        <item sd="0" m="1" x="5025"/>
        <item sd="0" m="1" x="2996"/>
        <item sd="0" m="1" x="1014"/>
        <item sd="0" m="1" x="3974"/>
        <item sd="0" m="1" x="1979"/>
        <item sd="0" m="1" x="7639"/>
        <item sd="0" m="1" x="5618"/>
        <item sd="0" m="1" x="3635"/>
        <item sd="0" m="1" x="4146"/>
        <item sd="0" m="1" x="2135"/>
        <item sd="0" m="1" x="7841"/>
        <item sd="0" m="1" x="5795"/>
        <item sd="0" m="1" x="3800"/>
        <item sd="0" m="1" x="4314"/>
        <item sd="0" m="1" x="2344"/>
        <item sd="0" m="1" x="3250"/>
        <item sd="0" m="1" x="3075"/>
        <item sd="0" m="1" x="1111"/>
        <item sd="0" m="1" x="6911"/>
        <item sd="0" m="1" x="4941"/>
        <item sd="0" m="1" x="3446"/>
        <item sd="0" m="1" x="3269"/>
        <item sd="0" m="1" x="1280"/>
        <item sd="0" m="1" x="7111"/>
        <item sd="0" m="1" x="5117"/>
        <item sd="0" m="1" x="3659"/>
        <item sd="0" m="1" x="4398"/>
        <item sd="0" m="1" x="2453"/>
        <item sd="0" m="1" x="358"/>
        <item sd="0" m="1" x="6249"/>
        <item sd="0" m="1" x="4574"/>
        <item sd="0" m="1" x="2623"/>
        <item sd="0" m="1" x="565"/>
        <item sd="0" m="1" x="6403"/>
        <item sd="0" m="1" x="4759"/>
        <item sd="0" m="1" x="2507"/>
        <item sd="0" m="1" x="7426"/>
        <item sd="0" m="1" x="2122"/>
        <item sd="0" m="1" x="7980"/>
        <item sd="0" m="1" x="5941"/>
        <item sd="0" m="1" x="3775"/>
        <item sd="0" m="1" x="1782"/>
        <item sd="0" m="1" x="7635"/>
        <item sd="0" m="1" x="2321"/>
        <item sd="0" m="1" x="198"/>
        <item sd="0" m="1" x="6126"/>
        <item sd="0" m="1" x="1264"/>
        <item sd="0" m="1" x="7078"/>
        <item sd="0" m="1" x="6894"/>
        <item sd="0" m="1" x="4923"/>
        <item sd="0" m="1" x="2903"/>
        <item sd="0" m="1" x="895"/>
        <item sd="0" m="1" x="1425"/>
        <item sd="0" m="1" x="7238"/>
        <item sd="0" m="1" x="7085"/>
        <item sd="0" m="1" x="5093"/>
        <item sd="0" m="1" x="3070"/>
        <item sd="0" m="1" x="1106"/>
        <item sd="0" m="1" x="1599"/>
        <item sd="0" m="1" x="7443"/>
        <item sd="0" m="1" x="342"/>
        <item sd="0" m="1" x="6234"/>
        <item sd="0" m="1" x="4223"/>
        <item sd="0" m="1" x="2246"/>
        <item sd="0" m="1" x="538"/>
        <item sd="0" m="1" x="6383"/>
        <item sd="0" m="1" x="4395"/>
        <item sd="0" m="1" x="2448"/>
        <item sd="0" m="1" x="1729"/>
        <item sd="0" m="1" x="7575"/>
        <item sd="0" m="1" x="5572"/>
        <item sd="0" m="1" x="1911"/>
        <item sd="0" m="1" x="7761"/>
        <item sd="0" m="1" x="5726"/>
        <item sd="0" m="1" x="2082"/>
        <item sd="0" m="1" x="270"/>
        <item sd="0" m="1" x="5668"/>
        <item sd="0" m="1" x="3680"/>
        <item sd="0" m="1" x="1472"/>
        <item sd="0" m="1" x="7295"/>
        <item sd="0" m="1" x="5346"/>
        <item sd="0" m="1" x="3317"/>
        <item sd="0" m="1" x="5825"/>
        <item sd="0" m="1" x="3847"/>
        <item sd="0" m="1" x="1657"/>
        <item sd="0" m="1" x="7505"/>
        <item sd="0" m="1" x="5528"/>
        <item sd="0" m="1" x="3505"/>
        <item sd="0" m="1" x="6017"/>
        <item sd="0" m="1" x="4036"/>
        <item sd="0" m="1" x="4988"/>
        <item sd="0" m="1" x="2804"/>
        <item sd="0" m="1" x="779"/>
        <item sd="0" m="1" x="6589"/>
        <item sd="0" m="1" x="5171"/>
        <item sd="0" m="1" x="2959"/>
        <item sd="0" m="1" x="972"/>
        <item sd="0" m="1" x="6772"/>
        <item sd="0" m="1" x="5369"/>
        <item sd="0" m="1" x="2248"/>
        <item sd="0" m="1" x="96"/>
        <item sd="0" m="1" x="6052"/>
        <item sd="0" m="1" x="3902"/>
        <item sd="0" m="1" x="2451"/>
        <item sd="0" m="1" x="354"/>
        <item sd="0" m="1" x="6245"/>
        <item sd="0" m="1" x="4076"/>
        <item sd="0" m="1" x="2619"/>
        <item sd="0" m="1" x="558"/>
        <item sd="0" m="1" x="5574"/>
        <item sd="0" m="1" x="3567"/>
        <item sd="0" m="1" x="1532"/>
        <item sd="0" m="1" x="7359"/>
        <item sd="0" m="1" x="5226"/>
        <item sd="0" m="1" x="3179"/>
        <item sd="0" m="1" x="5728"/>
        <item sd="0" m="1" x="3734"/>
        <item sd="0" m="1" x="1743"/>
        <item sd="0" m="1" x="7586"/>
        <item sd="0" m="1" x="5414"/>
        <item sd="0" m="1" x="3385"/>
        <item sd="0" m="1" x="5880"/>
        <item sd="0" m="1" x="3921"/>
        <item sd="0" m="1" x="1931"/>
        <item sd="0" m="1" x="7778"/>
        <item sd="0" m="1" x="4853"/>
        <item sd="0" m="1" x="2855"/>
        <item sd="0" m="1" x="658"/>
        <item sd="0" m="1" x="6478"/>
        <item sd="0" m="1" x="4509"/>
        <item sd="0" m="1" x="2556"/>
        <item sd="0" m="1" x="5048"/>
        <item sd="0" m="1" x="3022"/>
        <item sd="0" m="1" x="836"/>
        <item sd="0" m="1" x="6640"/>
        <item sd="0" m="1" x="4695"/>
        <item sd="0" m="1" x="2715"/>
        <item sd="0" m="1" x="5245"/>
        <item sd="0" m="1" x="3196"/>
        <item sd="0" m="1" x="6592"/>
        <item sd="0" m="1" x="4622"/>
        <item sd="0" m="1" x="2657"/>
        <item sd="0" m="1" x="600"/>
        <item sd="0" m="1" x="6774"/>
        <item sd="0" m="1" x="4798"/>
        <item sd="0" m="1" x="2812"/>
        <item sd="0" m="1" x="786"/>
        <item sd="0" m="1" x="6955"/>
        <item sd="0" m="1" x="5005"/>
        <item sd="0" m="1" x="7974"/>
        <item sd="0" m="1" x="5931"/>
        <item sd="0" m="1" x="3955"/>
        <item sd="0" m="1" x="1778"/>
        <item sd="0" m="1" x="7628"/>
        <item sd="0" m="1" x="182"/>
        <item sd="0" m="1" x="6118"/>
        <item sd="0" m="1" x="4128"/>
        <item sd="0" m="1" x="1970"/>
        <item sd="0" m="1" x="7820"/>
        <item sd="0" m="1" x="408"/>
        <item sd="0" m="1" x="6300"/>
        <item sd="0" m="1" x="4288"/>
        <item sd="0" m="1" x="1423"/>
        <item sd="0" m="1" x="7235"/>
        <item sd="0" m="1" x="5281"/>
        <item sd="0" m="1" x="3066"/>
        <item sd="0" m="1" x="1101"/>
        <item sd="0" m="1" x="6892"/>
        <item sd="0" m="1" x="1593"/>
        <item sd="0" m="1" x="7436"/>
        <item sd="0" m="1" x="5465"/>
        <item sd="0" m="1" x="3244"/>
        <item sd="0" m="1" x="1266"/>
        <item sd="0" m="1" x="7084"/>
        <item sd="0" m="1" x="1793"/>
        <item sd="0" m="1" x="7648"/>
        <item sd="0" m="1" x="5622"/>
        <item sd="0" m="1" x="723"/>
        <item sd="0" m="1" x="6536"/>
        <item sd="0" m="1" x="4390"/>
        <item sd="0" m="1" x="2441"/>
        <item sd="0" m="1" x="339"/>
        <item sd="0" m="1" x="907"/>
        <item sd="0" m="1" x="6704"/>
        <item sd="0" m="1" x="4561"/>
        <item sd="0" m="1" x="2609"/>
        <item sd="0" m="1" x="537"/>
        <item sd="0" m="1" x="1122"/>
        <item sd="0" m="1" x="6914"/>
        <item sd="0" m="1" x="7757"/>
        <item sd="0" m="1" x="5722"/>
        <item sd="0" m="1" x="3728"/>
        <item sd="0" m="1" x="1726"/>
        <item sd="0" m="1" x="7920"/>
        <item sd="0" m="1" x="5872"/>
        <item sd="0" m="1" x="3907"/>
        <item sd="0" m="1" x="1910"/>
        <item sd="0" m="1" x="2508"/>
        <item sd="0" m="1" x="7814"/>
        <item sd="0" m="1" x="5773"/>
        <item sd="0" m="1" x="3619"/>
        <item sd="0" m="1" x="1586"/>
        <item sd="0" m="1" x="7427"/>
        <item sd="0" m="1" x="7981"/>
        <item sd="0" m="1" x="5942"/>
        <item sd="0" m="1" x="3776"/>
        <item sd="0" m="1" x="1783"/>
        <item sd="0" m="1" x="7636"/>
        <item sd="0" m="1" x="199"/>
        <item sd="0" m="1" x="6127"/>
        <item sd="0" m="1" x="7079"/>
        <item sd="0" m="1" x="6895"/>
        <item sd="0" m="1" x="4924"/>
        <item sd="0" m="1" x="2904"/>
        <item sd="0" m="1" x="896"/>
        <item sd="0" m="1" x="7239"/>
        <item sd="0" m="1" x="7086"/>
        <item sd="0" m="1" x="5094"/>
        <item sd="0" m="1" x="3071"/>
        <item sd="0" m="1" x="1107"/>
        <item sd="0" m="1" x="7444"/>
        <item sd="0" m="1" x="343"/>
        <item sd="0" m="1" x="6235"/>
        <item sd="0" m="1" x="4224"/>
        <item sd="0" m="1" x="2247"/>
        <item sd="0" m="1" x="539"/>
        <item sd="0" m="1" x="6384"/>
        <item sd="0" m="1" x="4396"/>
        <item sd="0" m="1" x="2449"/>
        <item sd="0" m="1" x="733"/>
        <item sd="0" m="1" x="1730"/>
        <item sd="0" m="1" x="7576"/>
        <item sd="0" m="1" x="5573"/>
        <item sd="0" m="1" x="3383"/>
        <item sd="0" m="1" x="1912"/>
        <item sd="0" m="1" x="7762"/>
        <item sd="0" m="1" x="5727"/>
        <item sd="0" m="1" x="3571"/>
        <item sd="0" m="1" x="2083"/>
        <item sd="0" m="1" x="7929"/>
        <item sd="0" m="1" x="5041"/>
        <item sd="0" m="1" x="3014"/>
        <item sd="0" m="1" x="1034"/>
        <item sd="0" m="1" x="6832"/>
        <item sd="0" m="1" x="4685"/>
        <item sd="0" m="1" x="2709"/>
        <item sd="0" m="1" x="5230"/>
        <item sd="0" m="1" x="3183"/>
        <item sd="0" m="1" x="1213"/>
        <item sd="0" m="1" x="7011"/>
        <item sd="0" m="1" x="4861"/>
        <item sd="0" m="1" x="2859"/>
        <item sd="0" m="1" x="5420"/>
        <item sd="0" m="1" x="3392"/>
        <item sd="0" m="1" x="1378"/>
        <item sd="0" m="1" x="7183"/>
        <item sd="0" m="1" x="2805"/>
        <item sd="0" m="1" x="780"/>
        <item sd="0" m="1" x="6590"/>
        <item sd="0" m="1" x="2960"/>
        <item sd="0" m="1" x="973"/>
        <item sd="0" m="1" x="6773"/>
        <item sd="0" m="1" x="2249"/>
        <item sd="0" m="1" x="97"/>
        <item sd="0" m="1" x="6053"/>
        <item sd="0" m="1" x="3903"/>
        <item sd="0" m="1" x="1907"/>
        <item sd="0" m="1" x="2452"/>
        <item sd="0" m="1" x="355"/>
        <item sd="0" m="1" x="6246"/>
        <item sd="0" m="1" x="4077"/>
        <item sd="0" m="1" x="2079"/>
        <item sd="0" m="1" x="2620"/>
        <item sd="0" m="1" x="559"/>
        <item sd="0" m="1" x="6398"/>
        <item sd="0" m="1" x="3568"/>
        <item sd="0" m="1" x="1533"/>
        <item sd="0" m="1" x="7360"/>
        <item sd="0" m="1" x="5227"/>
        <item sd="0" m="1" x="3180"/>
        <item sd="0" m="1" x="1211"/>
        <item sd="0" m="1" x="3735"/>
        <item sd="0" m="1" x="1744"/>
        <item sd="0" m="1" x="7587"/>
        <item sd="0" m="1" x="5415"/>
        <item sd="0" m="1" x="3386"/>
        <item sd="0" m="1" x="1373"/>
        <item sd="0" m="1" x="3922"/>
        <item sd="0" m="1" x="1932"/>
        <item sd="0" m="1" x="7779"/>
        <item sd="0" m="1" x="604"/>
        <item sd="0" m="1" x="6438"/>
        <item sd="0" m="1" x="4453"/>
        <item sd="0" m="1" x="2306"/>
        <item sd="0" m="1" x="177"/>
        <item sd="0" m="1" x="791"/>
        <item sd="0" m="1" x="6607"/>
        <item sd="0" m="1" x="4640"/>
        <item sd="0" m="1" x="2510"/>
        <item sd="0" m="1" x="403"/>
        <item sd="0" m="1" x="992"/>
        <item sd="0" m="1" x="6797"/>
        <item sd="0" m="1" x="4816"/>
        <item sd="0" m="1" x="1966"/>
        <item sd="0" m="1" x="7815"/>
        <item sd="0" m="1" x="5774"/>
        <item sd="0" m="1" x="3620"/>
        <item sd="0" m="1" x="1587"/>
        <item sd="0" m="1" x="7429"/>
        <item sd="0" m="1" x="2123"/>
        <item sd="0" m="1" x="7985"/>
        <item sd="0" m="1" x="5947"/>
        <item sd="0" m="1" x="3777"/>
        <item sd="0" m="1" x="1785"/>
        <item sd="0" m="1" x="7640"/>
        <item sd="0" m="1" x="2323"/>
        <item sd="0" m="1" x="206"/>
        <item sd="0" m="1" x="6133"/>
        <item sd="0" m="1" x="1733"/>
        <item sd="0" m="1" x="7578"/>
        <item sd="0" m="1" x="5576"/>
        <item sd="0" m="1" x="1916"/>
        <item sd="0" m="1" x="7765"/>
        <item sd="0" m="1" x="5730"/>
        <item sd="0" m="1" x="2087"/>
        <item sd="0" m="1" x="5042"/>
        <item sd="0" m="1" x="3015"/>
        <item sd="0" m="1" x="1035"/>
        <item sd="0" m="1" x="6833"/>
        <item sd="0" m="1" x="4687"/>
        <item sd="0" m="1" x="5235"/>
        <item sd="0" m="1" x="3187"/>
        <item sd="0" m="1" x="1217"/>
        <item sd="0" m="1" x="7016"/>
        <item sd="0" m="1" x="4865"/>
        <item sd="0" m="1" x="5425"/>
        <item sd="0" m="1" x="3396"/>
        <item sd="0" m="1" x="1385"/>
        <item sd="0" m="1" x="6330"/>
        <item sd="0" m="1" x="4334"/>
        <item sd="0" m="1" x="2374"/>
        <item sd="0" m="1" x="264"/>
        <item sd="0" m="1" x="32"/>
        <item sd="0" m="1" x="5995"/>
        <item sd="0" m="1" x="4021"/>
        <item sd="0" m="1" x="6489"/>
        <item sd="0" m="1" x="4517"/>
        <item sd="0" m="1" x="2569"/>
        <item sd="0" m="1" x="463"/>
        <item sd="0" m="1" x="275"/>
        <item sd="0" m="1" x="6179"/>
        <item sd="0" m="1" x="4186"/>
        <item sd="0" m="1" x="6655"/>
        <item sd="0" m="1" x="4706"/>
        <item sd="0" m="1" x="2727"/>
        <item sd="0" m="1" x="670"/>
        <item sd="0" m="1" x="5669"/>
        <item sd="0" m="1" x="3681"/>
        <item sd="0" m="1" x="1473"/>
        <item sd="0" m="1" x="7296"/>
        <item sd="0" m="1" x="5349"/>
        <item sd="0" m="1" x="3319"/>
        <item sd="0" m="1" x="5828"/>
        <item sd="0" m="1" x="3853"/>
        <item sd="0" m="1" x="1661"/>
        <item sd="0" m="1" x="7508"/>
        <item sd="0" m="1" x="5534"/>
        <item sd="0" m="1" x="3510"/>
        <item sd="0" m="1" x="6024"/>
        <item sd="0" m="1" x="4044"/>
        <item sd="0" m="1" x="4990"/>
        <item sd="0" m="1" x="2806"/>
        <item sd="0" m="1" x="782"/>
        <item sd="0" m="1" x="6594"/>
        <item sd="0" m="1" x="5175"/>
        <item sd="0" m="1" x="2963"/>
        <item sd="0" m="1" x="976"/>
        <item sd="0" m="1" x="6777"/>
        <item sd="0" m="1" x="5372"/>
        <item sd="0" m="1" x="5887"/>
        <item sd="0" m="1" x="4856"/>
        <item sd="0" m="1" x="2856"/>
        <item sd="0" m="1" x="660"/>
        <item sd="0" m="1" x="6479"/>
        <item sd="0" m="1" x="4510"/>
        <item sd="0" m="1" x="2559"/>
        <item sd="0" m="1" x="5049"/>
        <item sd="0" m="1" x="3024"/>
        <item sd="0" m="1" x="840"/>
        <item sd="0" m="1" x="6641"/>
        <item sd="0" m="1" x="4696"/>
        <item sd="0" m="1" x="2716"/>
        <item sd="0" m="1" x="5250"/>
        <item sd="0" m="1" x="3203"/>
        <item sd="0" m="1" x="4181"/>
        <item sd="0" m="1" x="2024"/>
        <item sd="0" m="1" x="7864"/>
        <item sd="0" m="1" x="5818"/>
        <item sd="0" m="1" x="4341"/>
        <item sd="0" m="1" x="2186"/>
        <item sd="0" m="1" x="40"/>
        <item sd="0" m="1" x="6005"/>
        <item sd="0" m="1" x="4525"/>
        <item sd="0" m="1" x="3321"/>
        <item sd="0" m="1" x="1312"/>
        <item sd="0" m="1" x="7131"/>
        <item sd="0" m="1" x="3512"/>
        <item sd="0" m="1" x="1483"/>
        <item sd="0" m="1" x="7306"/>
        <item sd="0" m="1" x="6595"/>
        <item sd="0" m="1" x="4625"/>
        <item sd="0" m="1" x="2660"/>
        <item sd="0" m="1" x="603"/>
        <item sd="0" m="1" x="6778"/>
        <item sd="0" m="1" x="4800"/>
        <item sd="0" m="1" x="2816"/>
        <item sd="0" m="1" x="789"/>
        <item sd="0" m="1" x="6960"/>
        <item sd="0" m="1" x="5008"/>
        <item sd="0" m="1" x="7976"/>
        <item sd="0" m="1" x="5933"/>
        <item sd="0" m="1" x="3958"/>
        <item sd="0" m="1" x="1779"/>
        <item sd="0" m="1" x="7629"/>
        <item sd="0" m="1" x="186"/>
        <item sd="0" m="1" x="6120"/>
        <item sd="0" m="1" x="4130"/>
        <item sd="0" m="1" x="1976"/>
        <item sd="0" m="1" x="7824"/>
        <item sd="0" m="1" x="412"/>
        <item sd="0" m="1" x="6302"/>
        <item sd="0" m="1" x="4291"/>
        <item sd="0" m="1" x="7758"/>
        <item sd="0" m="1" x="5723"/>
        <item sd="0" m="1" x="3731"/>
        <item sd="0" m="1" x="1732"/>
        <item sd="0" m="1" x="7923"/>
        <item sd="0" m="1" x="5874"/>
        <item sd="0" m="1" x="3912"/>
        <item sd="0" m="1" x="1915"/>
        <item sd="0" m="1" x="7132"/>
        <item sd="0" m="1" x="5163"/>
        <item sd="0" m="1" x="3127"/>
        <item sd="0" m="1" x="1161"/>
        <item sd="0" m="1" x="969"/>
        <item sd="0" m="1" x="6767"/>
        <item sd="0" m="1" x="7308"/>
        <item sd="0" m="1" x="5363"/>
        <item sd="0" m="1" x="3340"/>
        <item sd="0" m="1" x="1324"/>
        <item sd="0" m="1" x="1167"/>
        <item sd="0" m="1" x="6950"/>
        <item sd="0" m="1" x="7525"/>
        <item sd="0" m="1" x="5551"/>
        <item sd="0" m="1" x="3533"/>
        <item sd="0" m="1" x="605"/>
        <item sd="0" m="1" x="6439"/>
        <item sd="0" m="1" x="4454"/>
        <item sd="0" m="1" x="2307"/>
        <item sd="0" m="1" x="178"/>
        <item sd="0" m="1" x="6115"/>
        <item sd="0" m="1" x="792"/>
        <item sd="0" m="1" x="6608"/>
        <item sd="0" m="1" x="4641"/>
        <item sd="0" m="1" x="2511"/>
        <item sd="0" m="1" x="404"/>
        <item sd="0" m="1" x="6295"/>
        <item sd="0" m="1" x="993"/>
        <item sd="0" m="1" x="6798"/>
        <item sd="0" m="1" x="4817"/>
        <item sd="0" m="1" x="7816"/>
        <item sd="0" m="1" x="5775"/>
        <item sd="0" m="1" x="3621"/>
        <item sd="0" m="1" x="1588"/>
        <item sd="0" m="1" x="7430"/>
        <item sd="0" m="1" x="7986"/>
        <item sd="0" m="1" x="5948"/>
        <item sd="0" m="1" x="3778"/>
        <item sd="0" m="1" x="1786"/>
        <item sd="0" m="1" x="7641"/>
        <item sd="0" m="1" x="207"/>
        <item sd="0" m="1" x="6134"/>
        <item sd="0" m="1" x="7080"/>
        <item sd="0" m="1" x="6897"/>
        <item sd="0" m="1" x="4926"/>
        <item sd="0" m="1" x="2905"/>
        <item sd="0" m="1" x="899"/>
        <item sd="0" m="1" x="7243"/>
        <item sd="0" m="1" x="7090"/>
        <item sd="0" m="1" x="5096"/>
        <item sd="0" m="1" x="3076"/>
        <item sd="0" m="1" x="1112"/>
        <item sd="0" m="1" x="7450"/>
        <item sd="0" m="1" x="3574"/>
        <item sd="0" m="1" x="5043"/>
        <item sd="0" m="1" x="3016"/>
        <item sd="0" m="1" x="1036"/>
        <item sd="0" m="1" x="6834"/>
        <item sd="0" m="1" x="4688"/>
        <item sd="0" m="1" x="2710"/>
        <item sd="0" m="1" x="5236"/>
        <item sd="0" m="1" x="3188"/>
        <item sd="0" m="1" x="1218"/>
        <item sd="0" m="1" x="7017"/>
        <item sd="0" m="1" x="4866"/>
        <item sd="0" m="1" x="2862"/>
        <item sd="0" m="1" x="5426"/>
        <item sd="0" m="1" x="3397"/>
        <item sd="0" m="1" x="1386"/>
        <item sd="0" m="1" x="7191"/>
        <item sd="0" m="1" x="4335"/>
        <item sd="0" m="1" x="2375"/>
        <item sd="0" m="1" x="265"/>
        <item sd="0" m="1" x="33"/>
        <item sd="0" m="1" x="5996"/>
        <item sd="0" m="1" x="4022"/>
        <item sd="0" m="1" x="2023"/>
        <item sd="0" m="1" x="4518"/>
        <item sd="0" m="1" x="2570"/>
        <item sd="0" m="1" x="464"/>
        <item sd="0" m="1" x="276"/>
        <item sd="0" m="1" x="6180"/>
        <item sd="0" m="1" x="4187"/>
        <item sd="0" m="1" x="2185"/>
        <item sd="0" m="1" x="4707"/>
        <item sd="0" m="1" x="2728"/>
        <item sd="0" m="1" x="671"/>
        <item sd="0" m="1" x="3682"/>
        <item sd="0" m="1" x="1474"/>
        <item sd="0" m="1" x="7297"/>
        <item sd="0" m="1" x="5350"/>
        <item sd="0" m="1" x="3320"/>
        <item sd="0" m="1" x="3854"/>
        <item sd="0" m="1" x="1662"/>
        <item sd="0" m="1" x="7509"/>
        <item sd="0" m="1" x="5535"/>
        <item sd="0" m="1" x="3511"/>
        <item sd="0" m="1" x="4045"/>
        <item sd="0" m="1" x="609"/>
        <item sd="0" m="1" x="6440"/>
        <item sd="0" m="1" x="4456"/>
        <item sd="0" m="1" x="2308"/>
        <item sd="0" m="1" x="179"/>
        <item sd="0" m="1" x="794"/>
        <item sd="0" m="1" x="6609"/>
        <item sd="0" m="1" x="4643"/>
        <item sd="0" m="1" x="2513"/>
        <item sd="0" m="1" x="405"/>
        <item sd="0" m="1" x="997"/>
        <item sd="0" m="1" x="6804"/>
        <item sd="0" m="1" x="4822"/>
        <item sd="0" m="1" x="1967"/>
        <item sd="0" m="1" x="7817"/>
        <item sd="0" m="1" x="5776"/>
        <item sd="0" m="1" x="3622"/>
        <item sd="0" m="1" x="1589"/>
        <item sd="0" m="1" x="7432"/>
        <item sd="0" m="1" x="2124"/>
        <item sd="0" m="1" x="7989"/>
        <item sd="0" m="1" x="5951"/>
        <item sd="0" m="1" x="3779"/>
        <item sd="0" m="1" x="1787"/>
        <item sd="0" m="1" x="7642"/>
        <item sd="0" m="1" x="2327"/>
        <item sd="0" m="1" x="215"/>
        <item sd="0" m="1" x="6139"/>
        <item sd="0" m="1" x="1735"/>
        <item sd="0" m="1" x="7579"/>
        <item sd="0" m="1" x="5577"/>
        <item sd="0" m="1" x="1921"/>
        <item sd="0" m="1" x="7770"/>
        <item sd="0" m="1" x="5734"/>
        <item sd="0" m="1" x="2091"/>
        <item sd="0" m="1" x="5044"/>
        <item sd="0" m="1" x="3017"/>
        <item sd="0" m="1" x="1038"/>
        <item sd="0" m="1" x="6836"/>
        <item sd="0" m="1" x="4689"/>
        <item sd="0" m="1" x="5239"/>
        <item sd="0" m="1" x="3190"/>
        <item sd="0" m="1" x="1221"/>
        <item sd="0" m="1" x="7021"/>
        <item sd="0" m="1" x="4870"/>
        <item sd="0" m="1" x="5430"/>
        <item sd="0" m="1" x="3399"/>
        <item sd="0" m="1" x="1390"/>
        <item sd="0" m="1" x="6331"/>
        <item sd="0" m="1" x="4336"/>
        <item sd="0" m="1" x="2376"/>
        <item sd="0" m="1" x="266"/>
        <item sd="0" m="1" x="34"/>
        <item sd="0" m="1" x="5997"/>
        <item sd="0" m="1" x="4023"/>
        <item sd="0" m="1" x="6490"/>
        <item sd="0" m="1" x="4519"/>
        <item sd="0" m="1" x="2571"/>
        <item sd="0" m="1" x="465"/>
        <item sd="0" m="1" x="280"/>
        <item sd="0" m="1" x="6183"/>
        <item sd="0" m="1" x="4190"/>
        <item sd="0" m="1" x="6657"/>
        <item sd="0" m="1" x="4709"/>
        <item sd="0" m="1" x="2732"/>
        <item sd="0" m="1" x="674"/>
        <item sd="0" m="1" x="5670"/>
        <item sd="0" m="1" x="3683"/>
        <item sd="0" m="1" x="1475"/>
        <item sd="0" m="1" x="7298"/>
        <item sd="0" m="1" x="5353"/>
        <item sd="0" m="1" x="3324"/>
        <item sd="0" m="1" x="5830"/>
        <item sd="0" m="1" x="3857"/>
        <item sd="0" m="1" x="1664"/>
        <item sd="0" m="1" x="7511"/>
        <item sd="0" m="1" x="5537"/>
        <item sd="0" m="1" x="3514"/>
        <item sd="0" m="1" x="6029"/>
        <item sd="0" m="1" x="4050"/>
        <item sd="0" m="1" x="4991"/>
        <item sd="0" m="1" x="2807"/>
        <item sd="0" m="1" x="783"/>
        <item sd="0" m="1" x="6597"/>
        <item sd="0" m="1" x="5178"/>
        <item sd="0" m="1" x="2966"/>
        <item sd="0" m="1" x="979"/>
        <item sd="0" m="1" x="6782"/>
        <item sd="0" m="1" x="5375"/>
        <item sd="0" m="1" x="5893"/>
        <item sd="0" m="1" x="7788"/>
        <item sd="0" m="1" x="4857"/>
        <item sd="0" m="1" x="2857"/>
        <item sd="0" m="1" x="661"/>
        <item sd="0" m="1" x="6480"/>
        <item sd="0" m="1" x="4511"/>
        <item sd="0" m="1" x="2560"/>
        <item sd="0" m="1" x="5051"/>
        <item sd="0" m="1" x="3026"/>
        <item sd="0" m="1" x="844"/>
        <item sd="0" m="1" x="6643"/>
        <item sd="0" m="1" x="4698"/>
        <item sd="0" m="1" x="2718"/>
        <item sd="0" m="1" x="5254"/>
        <item sd="0" m="1" x="3209"/>
        <item sd="0" m="1" x="4182"/>
        <item sd="0" m="1" x="2028"/>
        <item sd="0" m="1" x="7866"/>
        <item sd="0" m="1" x="5820"/>
        <item sd="0" m="1" x="4343"/>
        <item sd="0" m="1" x="2191"/>
        <item sd="0" m="1" x="43"/>
        <item sd="0" m="1" x="6008"/>
        <item sd="0" m="1" x="4528"/>
        <item sd="0" m="1" x="3326"/>
        <item sd="0" m="1" x="1315"/>
        <item sd="0" m="1" x="7134"/>
        <item sd="0" m="1" x="3516"/>
        <item sd="0" m="1" x="1485"/>
        <item sd="0" m="1" x="7309"/>
        <item sd="0" m="1" x="6599"/>
        <item sd="0" m="1" x="4628"/>
        <item sd="0" m="1" x="2663"/>
        <item sd="0" m="1" x="608"/>
        <item sd="0" m="1" x="6784"/>
        <item sd="0" m="1" x="4803"/>
        <item sd="0" m="1" x="2819"/>
        <item sd="0" m="1" x="793"/>
        <item sd="0" m="1" x="6968"/>
        <item sd="0" m="1" x="5013"/>
        <item sd="0" m="1" x="7977"/>
        <item sd="0" m="1" x="5935"/>
        <item sd="0" m="1" x="3961"/>
        <item sd="0" m="1" x="1780"/>
        <item sd="0" m="1" x="7630"/>
        <item sd="0" m="1" x="190"/>
        <item sd="0" m="1" x="6122"/>
        <item sd="0" m="1" x="4133"/>
        <item sd="0" m="1" x="1981"/>
        <item sd="0" m="1" x="7826"/>
        <item sd="0" m="1" x="416"/>
        <item sd="0" m="1" x="6305"/>
        <item sd="0" m="1" x="7759"/>
        <item sd="0" m="1" x="5724"/>
        <item sd="0" m="1" x="3732"/>
        <item sd="0" m="1" x="1734"/>
        <item sd="0" m="1" x="7926"/>
        <item sd="0" m="1" x="5876"/>
        <item sd="0" m="1" x="3916"/>
        <item sd="0" m="1" x="1920"/>
        <item sd="0" m="1" x="7135"/>
        <item sd="0" m="1" x="5165"/>
        <item sd="0" m="1" x="3129"/>
        <item sd="0" m="1" x="1162"/>
        <item sd="0" m="1" x="970"/>
        <item sd="0" m="1" x="6768"/>
        <item sd="0" m="1" x="7310"/>
        <item sd="0" m="1" x="5364"/>
        <item sd="0" m="1" x="3341"/>
        <item sd="0" m="1" x="1325"/>
        <item sd="0" m="1" x="1169"/>
        <item sd="0" m="1" x="6951"/>
        <item sd="0" m="1" x="7529"/>
        <item sd="0" m="1" x="5554"/>
        <item sd="0" m="1" x="3537"/>
        <item sd="0" m="1" x="610"/>
        <item sd="0" m="1" x="6441"/>
        <item sd="0" m="1" x="4457"/>
        <item sd="0" m="1" x="2309"/>
        <item sd="0" m="1" x="180"/>
        <item sd="0" m="1" x="6116"/>
        <item sd="0" m="1" x="795"/>
        <item sd="0" m="1" x="6610"/>
        <item sd="0" m="1" x="4644"/>
        <item sd="0" m="1" x="2514"/>
        <item sd="0" m="1" x="406"/>
        <item sd="0" m="1" x="6297"/>
        <item sd="0" m="1" x="998"/>
        <item sd="0" m="1" x="6805"/>
        <item sd="0" m="1" x="4823"/>
        <item sd="0" m="1" x="7818"/>
        <item sd="0" m="1" x="5777"/>
        <item sd="0" m="1" x="3623"/>
        <item sd="0" m="1" x="1590"/>
        <item sd="0" m="1" x="7433"/>
        <item sd="0" m="1" x="7990"/>
        <item sd="0" m="1" x="5952"/>
        <item sd="0" m="1" x="3780"/>
        <item sd="0" m="1" x="1788"/>
        <item sd="0" m="1" x="7643"/>
        <item sd="0" m="1" x="216"/>
        <item sd="0" m="1" x="6140"/>
        <item sd="0" m="1" x="7081"/>
        <item sd="0" m="1" x="6899"/>
        <item sd="0" m="1" x="4928"/>
        <item sd="0" m="1" x="2906"/>
        <item sd="0" m="1" x="902"/>
        <item sd="0" m="1" x="7246"/>
        <item sd="0" m="1" x="7093"/>
        <item sd="0" m="1" x="5098"/>
        <item sd="0" m="1" x="3078"/>
        <item sd="0" m="1" x="1114"/>
        <item sd="0" m="1" x="7455"/>
        <item sd="0" m="1" x="3577"/>
        <item sd="0" m="1" x="5045"/>
        <item sd="0" m="1" x="3018"/>
        <item sd="0" m="1" x="1039"/>
        <item sd="0" m="1" x="6837"/>
        <item sd="0" m="1" x="4690"/>
        <item sd="0" m="1" x="2711"/>
        <item sd="0" m="1" x="5240"/>
        <item sd="0" m="1" x="3191"/>
        <item sd="0" m="1" x="1222"/>
        <item sd="0" m="1" x="7022"/>
        <item sd="0" m="1" x="4871"/>
        <item sd="0" m="1" x="2866"/>
        <item sd="0" m="1" x="5431"/>
        <item sd="0" m="1" x="3400"/>
        <item sd="0" m="1" x="1391"/>
        <item sd="0" m="1" x="7196"/>
        <item sd="0" m="1" x="4337"/>
        <item sd="0" m="1" x="2377"/>
        <item sd="0" m="1" x="267"/>
        <item sd="0" m="1" x="35"/>
        <item sd="0" m="1" x="5998"/>
        <item sd="0" m="1" x="4024"/>
        <item sd="0" m="1" x="2027"/>
        <item sd="0" m="1" x="4520"/>
        <item sd="0" m="1" x="2572"/>
        <item sd="0" m="1" x="466"/>
        <item sd="0" m="1" x="281"/>
        <item sd="0" m="1" x="6184"/>
        <item sd="0" m="1" x="4191"/>
        <item sd="0" m="1" x="2190"/>
        <item sd="0" m="1" x="4710"/>
        <item sd="0" m="1" x="2733"/>
        <item sd="0" m="1" x="675"/>
        <item sd="0" m="1" x="3684"/>
        <item sd="0" m="1" x="1476"/>
        <item sd="0" m="1" x="7299"/>
        <item sd="0" m="1" x="5354"/>
        <item sd="0" m="1" x="3325"/>
        <item sd="0" m="1" x="3858"/>
        <item sd="0" m="1" x="1665"/>
        <item sd="0" m="1" x="7512"/>
        <item sd="0" m="1" x="5538"/>
        <item sd="0" m="1" x="3515"/>
        <item sd="0" m="1" x="4051"/>
        <item sd="0" m="1" x="2808"/>
        <item sd="0" m="1" x="784"/>
        <item sd="0" m="1" x="6598"/>
        <item sd="0" m="1" x="2967"/>
        <item sd="0" m="1" x="980"/>
        <item sd="0" m="1" x="6783"/>
        <item sd="0" m="1" x="2251"/>
        <item sd="0" m="1" x="101"/>
        <item sd="0" m="1" x="6057"/>
        <item sd="0" m="1" x="3904"/>
        <item sd="0" m="1" x="1908"/>
        <item sd="0" m="1" x="2454"/>
        <item sd="0" m="1" x="359"/>
        <item sd="0" m="1" x="6251"/>
        <item sd="0" m="1" x="4082"/>
        <item sd="0" m="1" x="2080"/>
        <item sd="0" m="1" x="2627"/>
        <item sd="0" m="1" x="571"/>
        <item sd="0" m="1" x="6408"/>
        <item sd="0" m="1" x="1969"/>
        <item sd="0" m="1" x="7819"/>
        <item sd="0" m="1" x="5778"/>
        <item sd="0" m="1" x="3626"/>
        <item sd="0" m="1" x="1592"/>
        <item sd="0" m="1" x="7435"/>
        <item sd="0" m="1" x="2126"/>
        <item sd="0" m="1" x="7993"/>
        <item sd="0" m="1" x="5956"/>
        <item sd="0" m="1" x="3784"/>
        <item sd="0" m="1" x="1791"/>
        <item sd="0" m="1" x="7646"/>
        <item sd="0" m="1" x="2332"/>
        <item sd="0" m="1" x="224"/>
        <item sd="0" m="1" x="6146"/>
        <item sd="0" m="1" x="1265"/>
        <item sd="0" m="1" x="7082"/>
        <item sd="0" m="1" x="6902"/>
        <item sd="0" m="1" x="4930"/>
        <item sd="0" m="1" x="2907"/>
        <item sd="0" m="1" x="904"/>
        <item sd="0" m="1" x="1432"/>
        <item sd="0" m="1" x="7249"/>
        <item sd="0" m="1" x="7098"/>
        <item sd="0" m="1" x="5100"/>
        <item sd="0" m="1" x="3080"/>
        <item sd="0" m="1" x="1116"/>
        <item sd="0" m="1" x="1614"/>
        <item sd="0" m="1" x="7460"/>
        <item sd="0" m="1" x="348"/>
        <item sd="0" m="1" x="6239"/>
        <item sd="0" m="1" x="4227"/>
        <item sd="0" m="1" x="2253"/>
        <item sd="0" m="1" x="550"/>
        <item sd="0" m="1" x="6392"/>
        <item sd="0" m="1" x="4403"/>
        <item sd="0" m="1" x="2456"/>
        <item sd="0" m="1" x="1739"/>
        <item sd="0" m="1" x="7582"/>
        <item sd="0" m="1" x="5580"/>
        <item sd="0" m="1" x="1925"/>
        <item sd="0" m="1" x="7774"/>
        <item sd="0" m="1" x="5739"/>
        <item sd="0" m="1" x="2095"/>
        <item sd="0" m="1" x="5046"/>
        <item sd="0" m="1" x="3019"/>
        <item sd="0" m="1" x="1042"/>
        <item sd="0" m="1" x="6840"/>
        <item sd="0" m="1" x="4692"/>
        <item sd="0" m="1" x="5242"/>
        <item sd="0" m="1" x="3192"/>
        <item sd="0" m="1" x="1225"/>
        <item sd="0" m="1" x="7026"/>
        <item sd="0" m="1" x="4876"/>
        <item sd="0" m="1" x="5433"/>
        <item sd="0" m="1" x="3401"/>
        <item sd="0" m="1" x="1397"/>
        <item sd="0" m="1" x="4992"/>
        <item sd="0" m="1" x="2809"/>
        <item sd="0" m="1" x="785"/>
        <item sd="0" m="1" x="6601"/>
        <item sd="0" m="1" x="5181"/>
        <item sd="0" m="1" x="2969"/>
        <item sd="0" m="1" x="983"/>
        <item sd="0" m="1" x="6787"/>
        <item sd="0" m="1" x="5378"/>
        <item sd="0" m="1" x="2255"/>
        <item sd="0" m="1" x="104"/>
        <item sd="0" m="1" x="6060"/>
        <item sd="0" m="1" x="3905"/>
        <item sd="0" m="1" x="2458"/>
        <item sd="0" m="1" x="361"/>
        <item sd="0" m="1" x="6255"/>
        <item sd="0" m="1" x="4085"/>
        <item sd="0" m="1" x="2630"/>
        <item sd="0" m="1" x="575"/>
        <item sd="0" m="1" x="5582"/>
        <item sd="0" m="1" x="3570"/>
        <item sd="0" m="1" x="1537"/>
        <item sd="0" m="1" x="7366"/>
        <item sd="0" m="1" x="5229"/>
        <item sd="0" m="1" x="3182"/>
        <item sd="0" m="1" x="5741"/>
        <item sd="0" m="1" x="3738"/>
        <item sd="0" m="1" x="1750"/>
        <item sd="0" m="1" x="7595"/>
        <item sd="0" m="1" x="5418"/>
        <item sd="0" m="1" x="3391"/>
        <item sd="0" m="1" x="5900"/>
        <item sd="0" m="1" x="3934"/>
        <item sd="0" m="1" x="1947"/>
        <item sd="0" m="1" x="7794"/>
        <item sd="0" m="1" x="4860"/>
        <item sd="0" m="1" x="2858"/>
        <item sd="0" m="1" x="664"/>
        <item sd="0" m="1" x="6484"/>
        <item sd="0" m="1" x="4514"/>
        <item sd="0" m="1" x="2565"/>
        <item sd="0" m="1" x="5053"/>
        <item sd="0" m="1" x="3030"/>
        <item sd="0" m="1" x="849"/>
        <item sd="0" m="1" x="6648"/>
        <item sd="0" m="1" x="4702"/>
        <item sd="0" m="1" x="2722"/>
        <item sd="0" m="1" x="5259"/>
        <item sd="0" m="1" x="3216"/>
        <item sd="0" m="1" x="4183"/>
        <item sd="0" m="1" x="2035"/>
        <item sd="0" m="1" x="7870"/>
        <item sd="0" m="1" x="5824"/>
        <item sd="0" m="1" x="4346"/>
        <item sd="0" m="1" x="2200"/>
        <item sd="0" m="1" x="49"/>
        <item sd="0" m="1" x="6014"/>
        <item sd="0" m="1" x="4532"/>
        <item sd="0" m="1" x="6973"/>
        <item sd="0" m="1" x="7978"/>
        <item sd="0" m="1" x="5937"/>
        <item sd="0" m="1" x="3964"/>
        <item sd="0" m="1" x="1781"/>
        <item sd="0" m="1" x="7632"/>
        <item sd="0" m="1" x="193"/>
        <item sd="0" m="1" x="6123"/>
        <item sd="0" m="1" x="4136"/>
        <item sd="0" m="1" x="1985"/>
        <item sd="0" m="1" x="7830"/>
        <item sd="0" m="1" x="419"/>
        <item sd="0" m="1" x="6307"/>
        <item sd="0" m="1" x="4302"/>
        <item sd="0" m="1" x="1424"/>
        <item sd="0" m="1" x="7237"/>
        <item sd="0" m="1" x="5285"/>
        <item sd="0" m="1" x="3067"/>
        <item sd="0" m="1" x="1103"/>
        <item sd="0" m="1" x="6901"/>
        <item sd="0" m="1" x="1598"/>
        <item sd="0" m="1" x="7442"/>
        <item sd="0" m="1" x="5469"/>
        <item sd="0" m="1" x="3255"/>
        <item sd="0" m="1" x="1270"/>
        <item sd="0" m="1" x="7097"/>
        <item sd="0" m="1" x="1802"/>
        <item sd="0" m="1" x="7658"/>
        <item sd="0" m="1" x="5629"/>
        <item sd="0" m="1" x="726"/>
        <item sd="0" m="1" x="6539"/>
        <item sd="0" m="1" x="4392"/>
        <item sd="0" m="1" x="2445"/>
        <item sd="0" m="1" x="347"/>
        <item sd="0" m="1" x="920"/>
        <item sd="0" m="1" x="6712"/>
        <item sd="0" m="1" x="4565"/>
        <item sd="0" m="1" x="2613"/>
        <item sd="0" m="1" x="549"/>
        <item sd="0" m="1" x="1137"/>
        <item sd="0" m="1" x="6920"/>
        <item sd="0" m="1" x="7760"/>
        <item sd="0" m="1" x="5725"/>
        <item sd="0" m="1" x="3733"/>
        <item sd="0" m="1" x="1737"/>
        <item sd="0" m="1" x="7928"/>
        <item sd="0" m="1" x="5878"/>
        <item sd="0" m="1" x="3918"/>
        <item sd="0" m="1" x="1923"/>
        <item sd="0" m="1" x="7139"/>
        <item sd="0" m="1" x="5170"/>
        <item sd="0" m="1" x="3133"/>
        <item sd="0" m="1" x="1165"/>
        <item sd="0" m="1" x="971"/>
        <item sd="0" m="1" x="6771"/>
        <item sd="0" m="1" x="7314"/>
        <item sd="0" m="1" x="5368"/>
        <item sd="0" m="1" x="3345"/>
        <item sd="0" m="1" x="1328"/>
        <item sd="0" m="1" x="1172"/>
        <item sd="0" m="1" x="6954"/>
        <item sd="0" m="1" x="7535"/>
        <item sd="0" m="1" x="5559"/>
        <item sd="0" m="1" x="3545"/>
        <item sd="0" m="1" x="7083"/>
        <item sd="0" m="1" x="6903"/>
        <item sd="0" m="1" x="4931"/>
        <item sd="0" m="1" x="2908"/>
        <item sd="0" m="1" x="905"/>
        <item sd="0" m="1" x="7250"/>
        <item sd="0" m="1" x="7099"/>
        <item sd="0" m="1" x="5101"/>
        <item sd="0" m="1" x="3081"/>
        <item sd="0" m="1" x="1117"/>
        <item sd="0" m="1" x="7461"/>
        <item sd="0" m="1" x="349"/>
        <item sd="0" m="1" x="6240"/>
        <item sd="0" m="1" x="4228"/>
        <item sd="0" m="1" x="2254"/>
        <item sd="0" m="1" x="551"/>
        <item sd="0" m="1" x="6393"/>
        <item sd="0" m="1" x="4404"/>
        <item sd="0" m="1" x="2457"/>
        <item sd="0" m="1" x="747"/>
        <item sd="0" m="1" x="1740"/>
        <item sd="0" m="1" x="7583"/>
        <item sd="0" m="1" x="5581"/>
        <item sd="0" m="1" x="3384"/>
        <item sd="0" m="1" x="1926"/>
        <item sd="0" m="1" x="7775"/>
        <item sd="0" m="1" x="5740"/>
        <item sd="0" m="1" x="3581"/>
        <item sd="0" m="1" x="2096"/>
        <item sd="0" m="1" x="7946"/>
        <item sd="0" m="1" x="5047"/>
        <item sd="0" m="1" x="3020"/>
        <item sd="0" m="1" x="1043"/>
        <item sd="0" m="1" x="6841"/>
        <item sd="0" m="1" x="4693"/>
        <item sd="0" m="1" x="2713"/>
        <item sd="0" m="1" x="5243"/>
        <item sd="0" m="1" x="3193"/>
        <item sd="0" m="1" x="1226"/>
        <item sd="0" m="1" x="7027"/>
        <item sd="0" m="1" x="4877"/>
        <item sd="0" m="1" x="2871"/>
        <item sd="0" m="1" x="5434"/>
        <item sd="0" m="1" x="3402"/>
        <item sd="0" m="1" x="1398"/>
        <item sd="0" m="1" x="7203"/>
        <item sd="0" m="1" x="4338"/>
        <item sd="0" m="1" x="2378"/>
        <item sd="0" m="1" x="269"/>
        <item sd="0" m="1" x="36"/>
        <item sd="0" m="1" x="6000"/>
        <item sd="0" m="1" x="4026"/>
        <item sd="0" m="1" x="2032"/>
        <item sd="0" m="1" x="4521"/>
        <item sd="0" m="1" x="2573"/>
        <item sd="0" m="1" x="468"/>
        <item sd="0" m="1" x="284"/>
        <item sd="0" m="1" x="6188"/>
        <item sd="0" m="1" x="4195"/>
        <item sd="0" m="1" x="2197"/>
        <item sd="0" m="1" x="4711"/>
        <item sd="0" m="1" x="2736"/>
        <item sd="0" m="1" x="680"/>
        <item sd="0" m="1" x="2256"/>
        <item sd="0" m="1" x="105"/>
        <item sd="0" m="1" x="6061"/>
        <item sd="0" m="1" x="3906"/>
        <item sd="0" m="1" x="1909"/>
        <item sd="0" m="1" x="2459"/>
        <item sd="0" m="1" x="362"/>
        <item sd="0" m="1" x="6256"/>
        <item sd="0" m="1" x="4086"/>
        <item sd="0" m="1" x="2081"/>
        <item sd="0" m="1" x="2631"/>
        <item sd="0" m="1" x="576"/>
        <item sd="0" m="1" x="6414"/>
        <item sd="0" m="1" x="618"/>
        <item sd="0" m="1" x="6443"/>
        <item sd="0" m="1" x="4461"/>
        <item sd="0" m="1" x="2312"/>
        <item sd="0" m="1" x="184"/>
        <item sd="0" m="1" x="802"/>
        <item sd="0" m="1" x="6612"/>
        <item sd="0" m="1" x="4652"/>
        <item sd="0" m="1" x="2519"/>
        <item sd="0" m="1" x="410"/>
        <item sd="0" m="1" x="1007"/>
        <item sd="0" m="1" x="6812"/>
        <item sd="0" m="1" x="4834"/>
        <item sd="0" m="1" x="1975"/>
        <item sd="0" m="1" x="7822"/>
        <item sd="0" m="1" x="5780"/>
        <item sd="0" m="1" x="3630"/>
        <item sd="0" m="1" x="1595"/>
        <item sd="0" m="1" x="7439"/>
        <item sd="0" m="1" x="2131"/>
        <item sd="0" m="1" x="7995"/>
        <item sd="0" m="1" x="5959"/>
        <item sd="0" m="1" x="3791"/>
        <item sd="0" m="1" x="1795"/>
        <item sd="0" m="1" x="7651"/>
        <item sd="0" m="1" x="2338"/>
        <item sd="0" m="1" x="230"/>
        <item sd="0" m="1" x="6150"/>
        <item sd="0" m="1" x="1267"/>
        <item sd="0" m="1" x="7087"/>
        <item sd="0" m="1" x="6908"/>
        <item sd="0" m="1" x="4937"/>
        <item sd="0" m="1" x="2910"/>
        <item sd="0" m="1" x="911"/>
        <item sd="0" m="1" x="1434"/>
        <item sd="0" m="1" x="7252"/>
        <item sd="0" m="1" x="7107"/>
        <item sd="0" m="1" x="5110"/>
        <item sd="0" m="1" x="3086"/>
        <item sd="0" m="1" x="1124"/>
        <item sd="0" m="1" x="1620"/>
        <item sd="0" m="1" x="7466"/>
        <item sd="0" m="1" x="356"/>
        <item sd="0" m="1" x="6247"/>
        <item sd="0" m="1" x="4231"/>
        <item sd="0" m="1" x="2259"/>
        <item sd="0" m="1" x="560"/>
        <item sd="0" m="1" x="6399"/>
        <item sd="0" m="1" x="4408"/>
        <item sd="0" m="1" x="2462"/>
        <item sd="0" m="1" x="5436"/>
        <item sd="0" m="1" x="6334"/>
        <item sd="0" m="1" x="4340"/>
        <item sd="0" m="1" x="2380"/>
        <item sd="0" m="1" x="272"/>
        <item sd="0" m="1" x="37"/>
        <item sd="0" m="1" x="6001"/>
        <item sd="0" m="1" x="4027"/>
        <item sd="0" m="1" x="6492"/>
        <item sd="0" m="1" x="4523"/>
        <item sd="0" m="1" x="2575"/>
        <item sd="0" m="1" x="471"/>
        <item sd="0" m="1" x="288"/>
        <item sd="0" m="1" x="6191"/>
        <item sd="0" m="1" x="4198"/>
        <item sd="0" m="1" x="6660"/>
        <item sd="0" m="1" x="4712"/>
        <item sd="0" m="1" x="2738"/>
        <item sd="0" m="1" x="684"/>
        <item sd="0" m="1" x="5672"/>
        <item sd="0" m="1" x="3686"/>
        <item sd="0" m="1" x="1478"/>
        <item sd="0" m="1" x="7301"/>
        <item sd="0" m="1" x="5359"/>
        <item sd="0" m="1" x="3333"/>
        <item sd="0" m="1" x="5832"/>
        <item sd="0" m="1" x="3864"/>
        <item sd="0" m="1" x="1670"/>
        <item sd="0" m="1" x="7516"/>
        <item sd="0" m="1" x="5543"/>
        <item sd="0" m="1" x="3522"/>
        <item sd="0" m="1" x="6035"/>
        <item sd="0" m="1" x="4056"/>
        <item sd="0" m="1" x="4995"/>
        <item sd="0" m="1" x="2813"/>
        <item sd="0" m="1" x="787"/>
        <item sd="0" m="1" x="6603"/>
        <item sd="0" m="1" x="5185"/>
        <item sd="0" m="1" x="2974"/>
        <item sd="0" m="1" x="987"/>
        <item sd="0" m="1" x="6791"/>
        <item sd="0" m="1" x="5381"/>
        <item sd="0" m="1" x="2262"/>
        <item sd="0" m="1" x="110"/>
        <item sd="0" m="1" x="6066"/>
        <item sd="0" m="1" x="3911"/>
        <item sd="0" m="1" x="2465"/>
        <item sd="0" m="1" x="365"/>
        <item sd="0" m="1" x="6260"/>
        <item sd="0" m="1" x="4091"/>
        <item sd="0" m="1" x="2636"/>
        <item sd="0" m="1" x="583"/>
        <item sd="0" m="1" x="5585"/>
        <item sd="0" m="1" x="3573"/>
        <item sd="0" m="1" x="1539"/>
        <item sd="0" m="1" x="7371"/>
        <item sd="0" m="1" x="5234"/>
        <item sd="0" m="1" x="3186"/>
        <item sd="0" m="1" x="5744"/>
        <item sd="0" m="1" x="3741"/>
        <item sd="0" m="1" x="1754"/>
        <item sd="0" m="1" x="7601"/>
        <item sd="0" m="1" x="5424"/>
        <item sd="0" m="1" x="3395"/>
        <item sd="0" m="1" x="5905"/>
        <item sd="0" m="1" x="3939"/>
        <item sd="0" m="1" x="1953"/>
        <item sd="0" m="1" x="7802"/>
        <item sd="0" m="1" x="3336"/>
        <item sd="0" m="1" x="1321"/>
        <item sd="0" m="1" x="7141"/>
        <item sd="0" m="1" x="3525"/>
        <item sd="0" m="1" x="1490"/>
        <item sd="0" m="1" x="7316"/>
        <item sd="0" m="1" x="6605"/>
        <item sd="0" m="1" x="4636"/>
        <item sd="0" m="1" x="2670"/>
        <item sd="0" m="1" x="616"/>
        <item sd="0" m="1" x="6793"/>
        <item sd="0" m="1" x="4810"/>
        <item sd="0" m="1" x="2825"/>
        <item sd="0" m="1" x="800"/>
        <item sd="0" m="1" x="6977"/>
        <item sd="0" m="1" x="5020"/>
        <item sd="0" m="1" x="7982"/>
        <item sd="0" m="1" x="5943"/>
        <item sd="0" m="1" x="3970"/>
        <item sd="0" m="1" x="1784"/>
        <item sd="0" m="1" x="7637"/>
        <item sd="0" m="1" x="200"/>
        <item sd="0" m="1" x="6128"/>
        <item sd="0" m="1" x="4141"/>
        <item sd="0" m="1" x="1991"/>
        <item sd="0" m="1" x="7837"/>
        <item sd="0" m="1" x="423"/>
        <item sd="0" m="1" x="6310"/>
        <item sd="0" m="1" x="4308"/>
        <item sd="0" m="1" x="1426"/>
        <item sd="0" m="1" x="7240"/>
        <item sd="0" m="1" x="5288"/>
        <item sd="0" m="1" x="3072"/>
        <item sd="0" m="1" x="1108"/>
        <item sd="0" m="1" x="6907"/>
        <item sd="0" m="1" x="1600"/>
        <item sd="0" m="1" x="7445"/>
        <item sd="0" m="1" x="5472"/>
        <item sd="0" m="1" x="3263"/>
        <item sd="0" m="1" x="1276"/>
        <item sd="0" m="1" x="7106"/>
        <item sd="0" m="1" x="1803"/>
        <item sd="0" m="1" x="7660"/>
        <item sd="0" m="1" x="5635"/>
        <item sd="0" m="1" x="728"/>
        <item sd="0" m="1" x="6541"/>
        <item sd="0" m="1" x="4397"/>
        <item sd="0" m="1" x="2450"/>
        <item sd="0" m="1" x="353"/>
        <item sd="0" m="1" x="923"/>
        <item sd="0" m="1" x="6717"/>
        <item sd="0" m="1" x="4570"/>
        <item sd="0" m="1" x="2618"/>
        <item sd="0" m="1" x="557"/>
        <item sd="0" m="1" x="1139"/>
        <item sd="0" m="1" x="6924"/>
        <item sd="0" m="1" x="1175"/>
        <item sd="0" m="1" x="619"/>
        <item sd="0" m="1" x="6444"/>
        <item sd="0" m="1" x="4462"/>
        <item sd="0" m="1" x="2313"/>
        <item sd="0" m="1" x="185"/>
        <item sd="0" m="1" x="6119"/>
        <item sd="0" m="1" x="803"/>
        <item sd="0" m="1" x="6613"/>
        <item sd="0" m="1" x="4653"/>
        <item sd="0" m="1" x="2520"/>
        <item sd="0" m="1" x="411"/>
        <item sd="0" m="1" x="6301"/>
        <item sd="0" m="1" x="1008"/>
        <item sd="0" m="1" x="6813"/>
        <item sd="0" m="1" x="4835"/>
        <item sd="0" m="1" x="7823"/>
        <item sd="0" m="1" x="5781"/>
        <item sd="0" m="1" x="3631"/>
        <item sd="0" m="1" x="1596"/>
        <item sd="0" m="1" x="7440"/>
        <item sd="0" m="1" x="7996"/>
        <item sd="0" m="1" x="5960"/>
        <item sd="0" m="1" x="3792"/>
        <item sd="0" m="1" x="1796"/>
        <item sd="0" m="1" x="7652"/>
        <item sd="0" m="1" x="231"/>
        <item sd="0" m="1" x="6151"/>
        <item sd="0" m="1" x="7088"/>
        <item sd="0" m="1" x="6909"/>
        <item sd="0" m="1" x="4938"/>
        <item sd="0" m="1" x="2911"/>
        <item sd="0" m="1" x="912"/>
        <item sd="0" m="1" x="7253"/>
        <item sd="0" m="1" x="7108"/>
        <item sd="0" m="1" x="5111"/>
        <item sd="0" m="1" x="3087"/>
        <item sd="0" m="1" x="1125"/>
        <item sd="0" m="1" x="7467"/>
        <item sd="0" m="1" x="357"/>
        <item sd="0" m="1" x="6248"/>
        <item sd="0" m="1" x="4232"/>
        <item sd="0" m="1" x="2260"/>
        <item sd="0" m="1" x="561"/>
        <item sd="0" m="1" x="6400"/>
        <item sd="0" m="1" x="4409"/>
        <item sd="0" m="1" x="2463"/>
        <item sd="0" m="1" x="753"/>
        <item sd="0" m="1" x="1745"/>
        <item sd="0" m="1" x="7588"/>
        <item sd="0" m="1" x="5584"/>
        <item sd="0" m="1" x="3387"/>
        <item sd="0" m="1" x="1933"/>
        <item sd="0" m="1" x="7780"/>
        <item sd="0" m="1" x="5743"/>
        <item sd="0" m="1" x="3585"/>
        <item sd="0" m="1" x="2100"/>
        <item sd="0" m="1" x="7951"/>
        <item sd="0" m="1" x="3687"/>
        <item sd="0" m="1" x="1479"/>
        <item sd="0" m="1" x="7302"/>
        <item sd="0" m="1" x="5360"/>
        <item sd="0" m="1" x="3334"/>
        <item sd="0" m="1" x="3865"/>
        <item sd="0" m="1" x="1671"/>
        <item sd="0" m="1" x="7517"/>
        <item sd="0" m="1" x="5544"/>
        <item sd="0" m="1" x="3523"/>
        <item sd="0" m="1" x="4057"/>
        <item sd="0" m="1" x="2814"/>
        <item sd="0" m="1" x="788"/>
        <item sd="0" m="1" x="6604"/>
        <item sd="0" m="1" x="2975"/>
        <item sd="0" m="1" x="988"/>
        <item sd="0" m="1" x="6792"/>
        <item sd="0" m="1" x="3388"/>
        <item sd="0" m="1" x="3591"/>
        <item sd="0" m="1" x="5050"/>
        <item m="1" x="1047"/>
        <item m="1" x="6847"/>
        <item m="1" x="4867"/>
        <item m="1" x="2863"/>
        <item m="1" x="841"/>
        <item m="1" x="6642"/>
        <item m="1" x="4697"/>
        <item m="1" x="2717"/>
        <item sd="0" m="1" x="5251"/>
        <item m="1" x="3204"/>
        <item m="1" x="1233"/>
        <item m="1" x="7038"/>
        <item m="1" x="5058"/>
        <item m="1" x="3037"/>
        <item m="1" x="1060"/>
        <item m="1" x="6862"/>
        <item m="1" x="4887"/>
        <item m="1" x="2878"/>
        <item sd="0" m="1" x="5441"/>
        <item m="1" x="3409"/>
        <item m="1" x="1406"/>
        <item m="1" x="7213"/>
        <item m="1" x="4342"/>
        <item m="1" x="2381"/>
        <item m="1" x="278"/>
        <item m="1" x="6181"/>
        <item m="1" x="4188"/>
        <item m="1" x="2187"/>
        <item sd="0" m="1" x="41"/>
        <item m="1" x="6006"/>
        <item m="1" x="4029"/>
        <item m="1" x="2039"/>
        <item m="1" x="4526"/>
        <item m="1" x="2577"/>
        <item m="1" x="477"/>
        <item m="1" x="6340"/>
        <item m="1" x="4353"/>
        <item m="1" x="2391"/>
        <item sd="0" m="1" x="296"/>
        <item m="1" x="6200"/>
        <item m="1" x="4203"/>
        <item m="1" x="2213"/>
        <item m="1" x="4714"/>
        <item m="1" x="2741"/>
        <item m="1" x="691"/>
        <item m="1" x="6510"/>
        <item m="1" x="3688"/>
        <item m="1" x="1663"/>
        <item m="1" x="7510"/>
        <item m="1" x="5536"/>
        <item m="1" x="3513"/>
        <item sd="0" m="1" x="1484"/>
        <item m="1" x="7307"/>
        <item m="1" x="5362"/>
        <item m="1" x="3338"/>
        <item m="1" x="1322"/>
        <item m="1" x="3870"/>
        <item m="1" x="1854"/>
        <item m="1" x="7704"/>
        <item m="1" x="5685"/>
        <item m="1" x="3697"/>
        <item sd="0" m="1" x="1679"/>
        <item m="1" x="7524"/>
        <item m="1" x="5550"/>
        <item m="1" x="3531"/>
        <item m="1" x="1495"/>
        <item m="1" x="4062"/>
        <item m="1" x="2054"/>
        <item m="1" x="7890"/>
        <item m="1" x="5842"/>
        <item m="1" x="2964"/>
        <item m="1" x="977"/>
        <item m="1" x="6779"/>
        <item m="1" x="4801"/>
        <item m="1" x="2817"/>
        <item m="1" x="790"/>
        <item m="1" x="6606"/>
        <item m="1" x="4637"/>
        <item m="1" x="2671"/>
        <item m="1" x="620"/>
        <item m="1" x="3148"/>
        <item m="1" x="1179"/>
        <item m="1" x="6961"/>
        <item m="1" x="5009"/>
        <item m="1" x="2978"/>
        <item m="1" x="991"/>
        <item m="1" x="6796"/>
        <item m="1" x="4812"/>
        <item m="1" x="2827"/>
        <item m="1" x="805"/>
        <item m="1" x="3363"/>
        <item m="1" x="1344"/>
        <item m="1" x="7152"/>
        <item m="1" x="5211"/>
        <item m="1" x="1984"/>
        <item m="1" x="7828"/>
        <item m="1" x="5784"/>
        <item m="1" x="3781"/>
        <item m="1" x="1789"/>
        <item m="1" x="7644"/>
        <item m="1" x="5620"/>
        <item sd="0" m="1" x="7143"/>
        <item sd="0" m="1" x="5180"/>
        <item sd="0" m="1" x="3139"/>
        <item sd="0" m="1" x="1171"/>
        <item sd="0" m="1" x="982"/>
        <item sd="0" m="1" x="6786"/>
        <item sd="0" m="1" x="7327"/>
        <item sd="0" m="1" x="5377"/>
        <item sd="0" m="1" x="3352"/>
        <item sd="0" m="1" x="1336"/>
        <item sd="0" m="1" x="1185"/>
        <item sd="0" m="1" x="6970"/>
        <item sd="0" m="1" x="7552"/>
        <item sd="0" m="1" x="5567"/>
        <item sd="0" m="1" x="3558"/>
        <item sd="0" m="1" x="7095"/>
        <item sd="0" m="1" x="6912"/>
        <item sd="0" m="1" x="4944"/>
        <item sd="0" m="1" x="2913"/>
        <item sd="0" m="1" x="918"/>
        <item sd="0" m="1" x="7264"/>
        <item sd="0" m="1" x="7115"/>
        <item sd="0" m="1" x="5123"/>
        <item sd="0" m="1" x="3093"/>
        <item sd="0" m="1" x="1133"/>
        <item sd="0" m="1" x="7478"/>
        <item sd="0" m="1" x="2455"/>
        <item sd="0" m="1" x="360"/>
        <item sd="0" m="1" x="6252"/>
        <item sd="0" m="1" x="4234"/>
        <item sd="0" m="1" x="2267"/>
        <item sd="0" m="1" x="115"/>
        <item sd="0" m="1" x="6070"/>
        <item sd="0" m="1" x="4083"/>
        <item sd="0" m="1" x="6558"/>
        <item sd="0" m="1" x="4580"/>
        <item sd="0" m="1" x="2628"/>
        <item sd="0" m="1" x="572"/>
        <item sd="0" m="1" x="6409"/>
        <item sd="0" m="1" x="4417"/>
        <item sd="0" m="1" x="2473"/>
        <item sd="0" m="1" x="370"/>
        <item sd="0" m="1" x="6265"/>
        <item sd="0" m="1" x="4245"/>
        <item sd="0" m="1" x="6744"/>
        <item sd="0" m="1" x="4766"/>
        <item sd="0" m="1" x="2790"/>
        <item sd="0" m="1" x="764"/>
        <item sd="0" m="1" x="5735"/>
        <item sd="0" m="1" x="3736"/>
        <item sd="0" m="1" x="1748"/>
        <item sd="0" m="1" x="7591"/>
        <item sd="0" m="1" x="5586"/>
        <item sd="0" m="1" x="3578"/>
        <item sd="0" m="1" x="1542"/>
        <item sd="0" m="1" x="7375"/>
        <item sd="0" m="1" x="5416"/>
        <item sd="0" m="1" x="3389"/>
        <item sd="0" m="1" x="5894"/>
        <item sd="0" m="1" x="3930"/>
        <item sd="0" m="1" x="1943"/>
        <item sd="0" m="1" x="7789"/>
        <item sd="0" m="1" x="5750"/>
        <item sd="0" m="1" x="3744"/>
        <item sd="0" m="1" x="1758"/>
        <item sd="0" m="1" x="7608"/>
        <item sd="0" m="1" x="5594"/>
        <item sd="0" m="1" x="3598"/>
        <item sd="0" m="1" x="6093"/>
        <item sd="0" m="1" x="4111"/>
        <item sd="0" m="1" x="2108"/>
        <item sd="0" m="1" x="7960"/>
        <item sd="0" m="1" x="5052"/>
        <item sd="0" m="1" x="3027"/>
        <item sd="0" m="1" x="1049"/>
        <item sd="0" m="1" x="6851"/>
        <item sd="0" m="1" x="4872"/>
        <item sd="0" m="1" x="2867"/>
        <item sd="0" m="1" x="845"/>
        <item sd="0" m="1" x="6644"/>
        <item sd="0" m="1" x="4699"/>
        <item sd="0" m="1" x="2719"/>
        <item sd="0" m="1" x="5255"/>
        <item sd="0" m="1" x="3210"/>
        <item sd="0" m="1" x="1235"/>
        <item sd="0" m="1" x="7043"/>
        <item sd="0" m="1" x="5061"/>
        <item sd="0" m="1" x="3042"/>
        <item sd="0" m="1" x="1065"/>
        <item sd="0" m="1" x="6866"/>
        <item sd="0" m="1" x="4893"/>
        <item sd="0" m="1" x="2881"/>
        <item sd="0" m="1" x="5445"/>
        <item sd="0" m="1" x="3414"/>
        <item sd="0" m="1" x="1410"/>
        <item sd="0" m="1" x="7217"/>
        <item sd="0" m="1" x="4344"/>
        <item sd="0" m="1" x="2382"/>
        <item sd="0" m="1" x="282"/>
        <item sd="0" m="1" x="6185"/>
        <item sd="0" m="1" x="4192"/>
        <item sd="0" m="1" x="2192"/>
        <item sd="0" m="1" x="44"/>
        <item sd="0" m="1" x="6009"/>
        <item sd="0" m="1" x="4030"/>
        <item sd="0" m="1" x="2041"/>
        <item sd="0" m="1" x="4529"/>
        <item sd="0" m="1" x="2579"/>
        <item sd="0" m="1" x="482"/>
        <item sd="0" m="1" x="6344"/>
        <item sd="0" m="1" x="4358"/>
        <item sd="0" m="1" x="2396"/>
        <item sd="0" m="1" x="300"/>
        <item sd="0" m="1" x="6205"/>
        <item sd="0" m="1" x="4205"/>
        <item sd="0" m="1" x="2219"/>
        <item sd="0" m="1" x="4717"/>
        <item sd="0" m="1" x="2746"/>
        <item sd="0" m="1" x="698"/>
        <item sd="0" m="1" x="6516"/>
        <item sd="0" m="1" x="4235"/>
        <item m="1" x="2270"/>
        <item sd="0" m="1" x="5054"/>
        <item sd="0" m="1" x="6335"/>
        <item m="1" x="3985"/>
        <item m="1" x="1998"/>
        <item m="1" x="7843"/>
        <item m="1" x="2542"/>
        <item m="1" x="435"/>
        <item m="1" x="6316"/>
        <item m="1" x="4319"/>
        <item m="1" x="2348"/>
        <item m="1" x="243"/>
        <item m="1" x="6160"/>
        <item m="1" x="4169"/>
        <item m="1" x="2166"/>
        <item m="1" x="21"/>
        <item m="1" x="2704"/>
        <item m="1" x="651"/>
        <item m="1" x="6476"/>
        <item m="1" x="4503"/>
        <item m="1" x="1611"/>
        <item m="1" x="7456"/>
        <item m="1" x="5487"/>
        <item m="1" x="3453"/>
        <item m="1" x="1444"/>
        <item m="1" x="7265"/>
        <item m="1" x="5303"/>
        <item m="1" x="3278"/>
        <item m="1" x="1284"/>
        <item m="1" x="7116"/>
        <item m="1" x="1812"/>
        <item m="1" x="7666"/>
        <item m="1" x="5648"/>
        <item m="1" x="3662"/>
        <item m="1" x="1631"/>
        <item m="1" x="7479"/>
        <item m="1" x="5506"/>
        <item m="1" x="3477"/>
        <item m="1" x="1461"/>
        <item m="1" x="7285"/>
        <item m="1" x="2014"/>
        <item m="1" x="7857"/>
        <item m="1" x="5810"/>
        <item m="1" x="3830"/>
        <item m="1" x="931"/>
        <item m="1" x="6728"/>
        <item m="1" x="4749"/>
        <item m="1" x="2776"/>
        <item m="1" x="744"/>
        <item m="1" x="6559"/>
        <item m="1" x="4581"/>
        <item m="1" x="2629"/>
        <item m="1" x="573"/>
        <item m="1" x="6410"/>
        <item m="1" x="1146"/>
        <item m="1" x="6933"/>
        <item m="1" x="4970"/>
        <item m="1" x="2940"/>
        <item m="1" x="945"/>
        <item m="1" x="6745"/>
        <item m="1" x="4767"/>
        <item m="1" x="2791"/>
        <item m="1" x="765"/>
        <item m="1" x="6575"/>
        <item m="1" x="1305"/>
        <item m="1" x="7128"/>
        <item m="1" x="5155"/>
        <item m="1" x="3119"/>
        <item m="1" x="131"/>
        <item m="1" x="6079"/>
        <item m="1" x="4098"/>
        <item m="1" x="2092"/>
        <item m="1" x="7941"/>
        <item m="1" x="5895"/>
        <item m="1" x="3931"/>
        <item m="1" x="1944"/>
        <item m="1" x="7790"/>
        <item m="1" x="5751"/>
        <item m="1" x="384"/>
        <item m="1" x="6277"/>
        <item m="1" x="4258"/>
        <item m="1" x="2292"/>
        <item m="1" x="151"/>
        <item m="1" x="6094"/>
        <item m="1" x="4112"/>
        <item m="1" x="2109"/>
        <item m="1" x="7961"/>
        <item m="1" x="5914"/>
        <item m="1" x="595"/>
        <item m="1" x="6435"/>
        <item m="1" x="4445"/>
        <item m="1" x="2501"/>
        <item m="1" x="7054"/>
        <item m="1" x="5067"/>
        <item m="1" x="3049"/>
        <item m="1" x="1073"/>
        <item m="1" x="6873"/>
        <item m="1" x="4899"/>
        <item m="1" x="2886"/>
        <item m="1" x="7538"/>
        <item m="1" x="5561"/>
        <item m="1" x="3546"/>
        <item m="1" x="1506"/>
        <item m="1" x="7332"/>
        <item m="1" x="5380"/>
        <item m="1" x="3355"/>
        <item m="1" x="1337"/>
        <item m="1" x="3889"/>
        <item m="1" x="1883"/>
        <item m="1" x="7735"/>
        <item m="1" x="5713"/>
        <item m="1" x="3717"/>
        <item m="1" x="1710"/>
        <item m="1" x="7557"/>
        <item m="1" x="5568"/>
        <item m="1" x="3561"/>
        <item m="1" x="1521"/>
        <item m="1" x="4073"/>
        <item m="1" x="2074"/>
        <item m="1" x="7914"/>
        <item m="1" x="5865"/>
        <item m="1" x="2989"/>
        <item m="1" x="1005"/>
        <item m="1" x="6811"/>
        <item m="1" x="4831"/>
        <item m="1" x="2839"/>
        <item m="1" x="814"/>
        <item m="1" x="6617"/>
        <item m="1" x="4661"/>
        <item m="1" x="2684"/>
        <item m="1" x="632"/>
        <item m="1" x="3169"/>
        <item m="1" x="1203"/>
        <item m="1" x="6994"/>
        <item m="1" x="5032"/>
        <item m="1" x="3004"/>
        <item m="1" x="1020"/>
        <item m="1" x="6822"/>
        <item m="1" x="4846"/>
        <item m="1" x="2850"/>
        <item m="1" x="827"/>
        <item m="1" x="3380"/>
        <item m="1" x="1366"/>
        <item m="1" x="7171"/>
        <item m="1" x="5224"/>
        <item m="1" x="2335"/>
        <item m="1" x="227"/>
        <item m="1" x="6147"/>
        <item m="1" x="4158"/>
        <item m="1" x="2151"/>
        <item m="1" x="11"/>
        <item m="1" x="5974"/>
        <item m="1" x="3989"/>
        <item m="1" x="2000"/>
        <item m="1" x="7845"/>
        <item m="1" x="2545"/>
        <item m="1" x="440"/>
        <item m="1" x="6319"/>
        <item m="1" x="4324"/>
        <item m="1" x="2356"/>
        <item m="1" x="250"/>
        <item m="1" x="6165"/>
        <item m="1" x="4172"/>
        <item m="1" x="2169"/>
        <item m="1" x="23"/>
        <item m="1" x="2706"/>
        <item m="1" x="654"/>
        <item m="1" x="6477"/>
        <item m="1" x="4506"/>
        <item m="1" x="1616"/>
        <item m="1" x="7462"/>
        <item m="1" x="5492"/>
        <item m="1" x="3461"/>
        <item m="1" x="1452"/>
        <item m="1" x="7274"/>
        <item m="1" x="5309"/>
        <item m="1" x="3284"/>
        <item m="1" x="1288"/>
        <item m="1" x="7120"/>
        <item m="1" x="1815"/>
        <item m="1" x="7669"/>
        <item m="1" x="5652"/>
        <item m="1" x="3668"/>
        <item m="1" x="1641"/>
        <item m="1" x="7488"/>
        <item m="1" x="5513"/>
        <item m="1" x="3484"/>
        <item m="1" x="1464"/>
        <item m="1" x="7289"/>
        <item m="1" x="2016"/>
        <item m="1" x="7859"/>
        <item m="1" x="5813"/>
        <item m="1" x="3834"/>
        <item m="1" x="1510"/>
        <item m="1" x="7336"/>
        <item sd="0" m="1" x="1559"/>
        <item sd="0" m="1" x="0"/>
        <item t="default" sd="0"/>
      </items>
    </pivotField>
    <pivotField showAll="0">
      <items count="11">
        <item m="1" x="0"/>
        <item m="1" x="8"/>
        <item m="1" x="6"/>
        <item m="1" x="2"/>
        <item m="1" x="5"/>
        <item m="1" x="9"/>
        <item m="1" x="1"/>
        <item m="1" x="3"/>
        <item m="1" x="4"/>
        <item m="1" x="7"/>
        <item t="default"/>
      </items>
    </pivotField>
    <pivotField showAll="0" defaultSubtotal="0"/>
    <pivotField dataField="1" showAll="0"/>
    <pivotField dataField="1"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2">
    <field x="9"/>
    <field x="8"/>
  </rowFields>
  <colFields count="1">
    <field x="-2"/>
  </colFields>
  <dataFields count="3">
    <dataField name="Average of ACTUALTRS" fld="12" subtotal="average" baseField="9" baseItem="15109" numFmtId="164"/>
    <dataField name="Average of PREDICTEDTRS" fld="13" subtotal="average" baseField="9" baseItem="15109" numFmtId="164"/>
    <dataField name="Average of ERRORTRS" fld="14" subtotal="average" baseField="9" baseItem="15109" numFmtId="164"/>
  </dataFields>
  <chartFormats count="3">
    <chartFormat chart="14" format="18" series="1">
      <pivotArea type="data" outline="0" fieldPosition="0">
        <references count="1">
          <reference field="4294967294" count="1" selected="0">
            <x v="0"/>
          </reference>
        </references>
      </pivotArea>
    </chartFormat>
    <chartFormat chart="14" format="19" series="1">
      <pivotArea type="data" outline="0" fieldPosition="0">
        <references count="1">
          <reference field="4294967294" count="1" selected="0">
            <x v="1"/>
          </reference>
        </references>
      </pivotArea>
    </chartFormat>
    <chartFormat chart="14" format="2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fieldListSortAscending="1">
  <location ref="A1:B1" firstHeaderRow="0" firstDataRow="1" firstDataCol="1"/>
  <pivotFields count="21">
    <pivotField showAll="0">
      <items count="403">
        <item m="1" x="167"/>
        <item m="1" x="227"/>
        <item m="1" x="124"/>
        <item m="1" x="248"/>
        <item m="1" x="308"/>
        <item m="1" x="176"/>
        <item m="1" x="64"/>
        <item m="1" x="187"/>
        <item m="1" x="287"/>
        <item m="1" x="279"/>
        <item m="1" x="49"/>
        <item m="1" x="129"/>
        <item m="1" x="182"/>
        <item m="1" x="208"/>
        <item m="1" x="256"/>
        <item m="1" x="304"/>
        <item m="1" x="350"/>
        <item m="1" x="236"/>
        <item m="1" x="97"/>
        <item m="1" x="138"/>
        <item m="1" x="90"/>
        <item m="1" x="104"/>
        <item m="1" x="252"/>
        <item m="1" x="24"/>
        <item m="1" x="151"/>
        <item m="1" x="56"/>
        <item m="1" x="117"/>
        <item m="1" x="309"/>
        <item m="1" x="368"/>
        <item m="1" x="65"/>
        <item m="1" x="300"/>
        <item m="1" x="121"/>
        <item m="1" x="263"/>
        <item m="1" x="313"/>
        <item m="1" x="155"/>
        <item m="1" x="388"/>
        <item m="1" x="351"/>
        <item m="1" x="260"/>
        <item m="1" x="112"/>
        <item m="1" x="125"/>
        <item m="1" x="45"/>
        <item m="1" x="135"/>
        <item m="1" x="212"/>
        <item m="1" x="357"/>
        <item m="1" x="99"/>
        <item m="1" x="324"/>
        <item m="1" x="230"/>
        <item m="1" x="40"/>
        <item m="1" x="52"/>
        <item m="1" x="107"/>
        <item m="1" x="119"/>
        <item m="1" x="174"/>
        <item m="1" x="393"/>
        <item m="1" x="28"/>
        <item m="1" x="75"/>
        <item m="1" x="336"/>
        <item m="1" x="27"/>
        <item m="1" x="74"/>
        <item m="1" x="83"/>
        <item m="1" x="140"/>
        <item m="1" x="18"/>
        <item m="1" x="365"/>
        <item m="1" x="379"/>
        <item m="1" x="50"/>
        <item m="1" x="80"/>
        <item m="1" x="321"/>
        <item m="1" x="343"/>
        <item m="1" x="17"/>
        <item m="1" x="25"/>
        <item m="1" x="226"/>
        <item m="1" x="93"/>
        <item m="1" x="385"/>
        <item m="1" x="400"/>
        <item m="1" x="37"/>
        <item m="1" x="133"/>
        <item m="1" x="173"/>
        <item m="1" x="109"/>
        <item m="1" x="114"/>
        <item m="1" x="147"/>
        <item m="1" x="172"/>
        <item m="1" x="181"/>
        <item m="1" x="192"/>
        <item m="1" x="199"/>
        <item m="1" x="242"/>
        <item m="1" x="78"/>
        <item m="1" x="378"/>
        <item m="1" x="156"/>
        <item m="1" x="198"/>
        <item m="1" x="224"/>
        <item m="1" x="42"/>
        <item m="1" x="318"/>
        <item m="1" x="377"/>
        <item m="1" x="191"/>
        <item m="1" x="118"/>
        <item m="1" x="36"/>
        <item m="1" x="246"/>
        <item m="1" x="102"/>
        <item m="1" x="48"/>
        <item m="1" x="66"/>
        <item m="1" x="273"/>
        <item m="1" x="295"/>
        <item m="1" x="301"/>
        <item m="1" x="362"/>
        <item m="1" x="375"/>
        <item m="1" x="190"/>
        <item m="1" x="12"/>
        <item m="1" x="35"/>
        <item m="1" x="47"/>
        <item m="1" x="251"/>
        <item m="1" x="361"/>
        <item m="1" x="312"/>
        <item m="1" x="374"/>
        <item m="1" x="4"/>
        <item m="1" x="23"/>
        <item m="1" x="215"/>
        <item m="1" x="373"/>
        <item m="1" x="1"/>
        <item m="1" x="204"/>
        <item m="1" x="22"/>
        <item m="1" x="196"/>
        <item m="1" x="95"/>
        <item m="1" x="315"/>
        <item m="1" x="383"/>
        <item m="1" x="11"/>
        <item m="1" x="220"/>
        <item m="1" x="55"/>
        <item m="1" x="255"/>
        <item m="1" x="326"/>
        <item m="1" x="353"/>
        <item m="1" x="21"/>
        <item m="1" x="77"/>
        <item m="1" x="94"/>
        <item m="1" x="272"/>
        <item m="1" x="277"/>
        <item m="1" x="307"/>
        <item m="1" x="314"/>
        <item m="1" x="340"/>
        <item m="1" x="254"/>
        <item m="1" x="82"/>
        <item m="1" x="166"/>
        <item m="1" x="271"/>
        <item m="1" x="177"/>
        <item m="1" x="286"/>
        <item m="1" x="9"/>
        <item m="1" x="214"/>
        <item m="1" x="322"/>
        <item m="1" x="395"/>
        <item m="1" x="139"/>
        <item m="1" x="149"/>
        <item m="1" x="352"/>
        <item m="1" x="262"/>
        <item m="1" x="168"/>
        <item m="1" x="108"/>
        <item m="1" x="282"/>
        <item m="1" x="291"/>
        <item m="1" x="14"/>
        <item m="1" x="160"/>
        <item m="1" x="81"/>
        <item m="1" x="170"/>
        <item m="1" x="285"/>
        <item m="1" x="41"/>
        <item m="1" x="54"/>
        <item m="1" x="392"/>
        <item m="1" x="116"/>
        <item m="1" x="243"/>
        <item m="1" x="253"/>
        <item m="1" x="382"/>
        <item m="1" x="397"/>
        <item m="1" x="148"/>
        <item m="1" x="387"/>
        <item m="1" x="7"/>
        <item m="1" x="200"/>
        <item m="1" x="209"/>
        <item m="1" x="26"/>
        <item m="1" x="347"/>
        <item m="1" x="159"/>
        <item m="1" x="106"/>
        <item m="1" x="396"/>
        <item m="1" x="284"/>
        <item m="1" x="203"/>
        <item m="1" x="228"/>
        <item m="1" x="334"/>
        <item m="1" x="261"/>
        <item m="1" x="386"/>
        <item m="1" x="281"/>
        <item m="1" x="120"/>
        <item m="1" x="346"/>
        <item m="1" x="360"/>
        <item m="1" x="339"/>
        <item m="1" x="79"/>
        <item m="1" x="163"/>
        <item m="1" x="265"/>
        <item m="1" x="276"/>
        <item m="1" x="278"/>
        <item m="1" x="183"/>
        <item m="1" x="16"/>
        <item m="1" x="288"/>
        <item m="1" x="320"/>
        <item m="1" x="329"/>
        <item m="1" x="233"/>
        <item m="1" x="46"/>
        <item m="1" x="76"/>
        <item m="1" x="88"/>
        <item m="1" x="384"/>
        <item m="1" x="126"/>
        <item m="1" x="332"/>
        <item m="1" x="345"/>
        <item m="1" x="381"/>
        <item m="1" x="202"/>
        <item m="1" x="328"/>
        <item m="1" x="132"/>
        <item m="1" x="239"/>
        <item m="1" x="349"/>
        <item m="1" x="6"/>
        <item m="1" x="299"/>
        <item m="1" x="207"/>
        <item m="1" x="43"/>
        <item m="1" x="142"/>
        <item m="1" x="98"/>
        <item m="1" x="154"/>
        <item m="1" x="275"/>
        <item m="1" x="269"/>
        <item m="1" x="290"/>
        <item m="1" x="297"/>
        <item m="1" x="15"/>
        <item m="1" x="303"/>
        <item m="1" x="20"/>
        <item m="1" x="123"/>
        <item m="1" x="72"/>
        <item m="1" x="165"/>
        <item m="1" x="391"/>
        <item m="1" x="13"/>
        <item m="1" x="115"/>
        <item m="1" x="180"/>
        <item m="1" x="225"/>
        <item m="1" x="231"/>
        <item m="1" x="235"/>
        <item m="1" x="241"/>
        <item m="1" x="311"/>
        <item m="1" x="344"/>
        <item m="1" x="359"/>
        <item m="1" x="92"/>
        <item m="1" x="274"/>
        <item m="1" x="105"/>
        <item m="1" x="175"/>
        <item m="1" x="113"/>
        <item m="1" x="319"/>
        <item m="1" x="34"/>
        <item m="1" x="232"/>
        <item m="1" x="44"/>
        <item m="1" x="342"/>
        <item m="1" x="53"/>
        <item m="1" x="244"/>
        <item m="1" x="71"/>
        <item m="1" x="131"/>
        <item m="1" x="157"/>
        <item m="1" x="87"/>
        <item m="1" x="216"/>
        <item m="1" x="223"/>
        <item m="1" x="58"/>
        <item m="1" x="358"/>
        <item m="1" x="91"/>
        <item m="1" x="270"/>
        <item m="1" x="268"/>
        <item m="1" x="289"/>
        <item m="1" x="8"/>
        <item m="1" x="296"/>
        <item m="1" x="302"/>
        <item m="1" x="317"/>
        <item m="1" x="238"/>
        <item m="1" x="146"/>
        <item m="1" x="70"/>
        <item m="1" x="162"/>
        <item m="1" x="371"/>
        <item m="1" x="143"/>
        <item m="1" x="399"/>
        <item m="1" x="5"/>
        <item m="1" x="2"/>
        <item m="1" x="32"/>
        <item m="1" x="222"/>
        <item m="1" x="325"/>
        <item m="1" x="331"/>
        <item m="1" x="234"/>
        <item m="1" x="338"/>
        <item m="1" x="247"/>
        <item m="1" x="356"/>
        <item m="1" x="103"/>
        <item m="1" x="195"/>
        <item m="1" x="327"/>
        <item m="1" x="341"/>
        <item m="1" x="145"/>
        <item m="1" x="152"/>
        <item m="1" x="250"/>
        <item m="1" x="354"/>
        <item m="1" x="69"/>
        <item m="1" x="364"/>
        <item m="1" x="164"/>
        <item m="1" x="266"/>
        <item m="1" x="376"/>
        <item m="1" x="390"/>
        <item m="1" x="111"/>
        <item m="1" x="206"/>
        <item m="1" x="0"/>
        <item m="1" x="31"/>
        <item m="1" x="330"/>
        <item m="1" x="141"/>
        <item m="1" x="213"/>
        <item m="1" x="96"/>
        <item m="1" x="19"/>
        <item m="1" x="122"/>
        <item m="1" x="29"/>
        <item m="1" x="219"/>
        <item m="1" x="193"/>
        <item m="1" x="210"/>
        <item m="1" x="237"/>
        <item m="1" x="63"/>
        <item m="1" x="249"/>
        <item m="1" x="363"/>
        <item m="1" x="259"/>
        <item m="1" x="370"/>
        <item m="1" x="86"/>
        <item m="1" x="280"/>
        <item m="1" x="84"/>
        <item m="1" x="221"/>
        <item m="1" x="229"/>
        <item m="1" x="337"/>
        <item m="1" x="57"/>
        <item m="1" x="153"/>
        <item m="1" x="73"/>
        <item m="1" x="158"/>
        <item m="1" x="89"/>
        <item m="1" x="380"/>
        <item m="1" x="169"/>
        <item m="1" x="101"/>
        <item m="1" x="194"/>
        <item m="1" x="294"/>
        <item m="1" x="211"/>
        <item m="1" x="316"/>
        <item m="1" x="33"/>
        <item m="1" x="292"/>
        <item m="1" x="137"/>
        <item m="1" x="51"/>
        <item m="1" x="144"/>
        <item m="1" x="348"/>
        <item m="1" x="62"/>
        <item m="1" x="258"/>
        <item m="1" x="85"/>
        <item m="1" x="67"/>
        <item m="1" x="389"/>
        <item m="1" x="179"/>
        <item m="1" x="110"/>
        <item m="1" x="185"/>
        <item m="1" x="189"/>
        <item m="1" x="197"/>
        <item m="1" x="298"/>
        <item m="1" x="306"/>
        <item m="1" x="310"/>
        <item m="1" x="323"/>
        <item m="1" x="130"/>
        <item m="1" x="366"/>
        <item m="1" x="245"/>
        <item m="1" x="394"/>
        <item m="1" x="401"/>
        <item m="1" x="293"/>
        <item m="1" x="128"/>
        <item m="1" x="39"/>
        <item m="1" x="150"/>
        <item m="1" x="3"/>
        <item m="1" x="188"/>
        <item m="1" x="205"/>
        <item m="1" x="305"/>
        <item m="1" x="398"/>
        <item m="1" x="30"/>
        <item m="1" x="240"/>
        <item m="1" x="267"/>
        <item m="1" x="283"/>
        <item m="1" x="186"/>
        <item m="1" x="127"/>
        <item m="1" x="136"/>
        <item m="1" x="61"/>
        <item m="1" x="369"/>
        <item m="1" x="171"/>
        <item m="1" x="178"/>
        <item m="1" x="355"/>
        <item m="1" x="100"/>
        <item m="1" x="218"/>
        <item m="1" x="60"/>
        <item m="1" x="68"/>
        <item m="1" x="161"/>
        <item m="1" x="367"/>
        <item m="1" x="184"/>
        <item m="1" x="134"/>
        <item m="1" x="335"/>
        <item m="1" x="264"/>
        <item m="1" x="372"/>
        <item m="1" x="201"/>
        <item m="1" x="217"/>
        <item m="1" x="38"/>
        <item m="1" x="333"/>
        <item m="1" x="59"/>
        <item m="1" x="257"/>
        <item m="1" x="10"/>
        <item t="default"/>
      </items>
    </pivotField>
    <pivotField showAll="0">
      <items count="989">
        <item m="1" x="245"/>
        <item m="1" x="724"/>
        <item m="1" x="91"/>
        <item m="1" x="314"/>
        <item m="1" x="68"/>
        <item m="1" x="298"/>
        <item m="1" x="539"/>
        <item m="1" x="791"/>
        <item m="1" x="175"/>
        <item m="1" x="744"/>
        <item m="1" x="461"/>
        <item m="1" x="97"/>
        <item m="1" x="563"/>
        <item m="1" x="815"/>
        <item m="1" x="930"/>
        <item m="1" x="393"/>
        <item m="1" x="150"/>
        <item m="1" x="621"/>
        <item m="1" x="489"/>
        <item m="1" x="864"/>
        <item m="1" x="776"/>
        <item m="1" x="912"/>
        <item m="1" x="697"/>
        <item m="1" x="369"/>
        <item m="1" x="541"/>
        <item m="1" x="347"/>
        <item m="1" x="465"/>
        <item m="1" x="591"/>
        <item m="1" x="840"/>
        <item m="1" x="936"/>
        <item m="1" x="10"/>
        <item m="1" x="626"/>
        <item m="1" x="825"/>
        <item m="1" x="856"/>
        <item m="1" x="113"/>
        <item m="1" x="400"/>
        <item m="1" x="432"/>
        <item m="1" x="498"/>
        <item m="1" x="522"/>
        <item m="1" x="805"/>
        <item m="1" x="903"/>
        <item m="1" x="99"/>
        <item m="1" x="325"/>
        <item m="1" x="358"/>
        <item m="1" x="416"/>
        <item m="1" x="689"/>
        <item m="1" x="950"/>
        <item m="1" x="980"/>
        <item m="1" x="111"/>
        <item m="1" x="169"/>
        <item m="1" x="364"/>
        <item m="1" x="703"/>
        <item m="1" x="900"/>
        <item m="1" x="4"/>
        <item m="1" x="98"/>
        <item m="1" x="210"/>
        <item m="1" x="507"/>
        <item m="1" x="721"/>
        <item m="1" x="818"/>
        <item m="1" x="922"/>
        <item m="1" x="43"/>
        <item m="1" x="278"/>
        <item m="1" x="339"/>
        <item m="1" x="395"/>
        <item m="1" x="739"/>
        <item m="1" x="963"/>
        <item m="1" x="208"/>
        <item m="1" x="238"/>
        <item m="1" x="414"/>
        <item m="1" x="560"/>
        <item m="1" x="683"/>
        <item m="1" x="784"/>
        <item m="1" x="850"/>
        <item m="1" x="915"/>
        <item m="1" x="946"/>
        <item m="1" x="975"/>
        <item m="1" x="108"/>
        <item m="1" x="275"/>
        <item m="1" x="303"/>
        <item m="1" x="763"/>
        <item m="1" x="797"/>
        <item m="1" x="106"/>
        <item m="1" x="151"/>
        <item m="1" x="272"/>
        <item m="1" x="290"/>
        <item m="1" x="360"/>
        <item m="1" x="411"/>
        <item m="1" x="427"/>
        <item m="1" x="660"/>
        <item m="1" x="737"/>
        <item m="1" x="846"/>
        <item m="1" x="960"/>
        <item m="1" x="972"/>
        <item m="1" x="13"/>
        <item m="1" x="78"/>
        <item m="1" x="220"/>
        <item m="1" x="315"/>
        <item m="1" x="350"/>
        <item m="1" x="424"/>
        <item m="1" x="503"/>
        <item m="1" x="528"/>
        <item m="1" x="659"/>
        <item m="1" x="778"/>
        <item m="1" x="121"/>
        <item m="1" x="235"/>
        <item m="1" x="250"/>
        <item m="1" x="333"/>
        <item m="1" x="408"/>
        <item m="1" x="542"/>
        <item m="1" x="681"/>
        <item m="1" x="713"/>
        <item m="1" x="830"/>
        <item m="1" x="940"/>
        <item m="1" x="39"/>
        <item m="1" x="75"/>
        <item m="1" x="268"/>
        <item m="1" x="287"/>
        <item m="1" x="331"/>
        <item m="1" x="617"/>
        <item m="1" x="760"/>
        <item m="1" x="775"/>
        <item m="1" x="829"/>
        <item m="1" x="842"/>
        <item m="1" x="93"/>
        <item m="1" x="132"/>
        <item m="1" x="162"/>
        <item m="1" x="179"/>
        <item m="1" x="203"/>
        <item m="1" x="285"/>
        <item m="1" x="329"/>
        <item m="1" x="615"/>
        <item m="1" x="696"/>
        <item m="1" x="793"/>
        <item m="1" x="909"/>
        <item m="1" x="957"/>
        <item m="1" x="71"/>
        <item m="1" x="201"/>
        <item m="1" x="218"/>
        <item m="1" x="232"/>
        <item m="1" x="248"/>
        <item m="1" x="267"/>
        <item m="1" x="328"/>
        <item m="1" x="368"/>
        <item m="1" x="571"/>
        <item m="1" x="628"/>
        <item m="1" x="709"/>
        <item m="1" x="730"/>
        <item m="1" x="772"/>
        <item m="1" x="807"/>
        <item m="1" x="907"/>
        <item m="1" x="926"/>
        <item m="1" x="89"/>
        <item m="1" x="104"/>
        <item m="1" x="119"/>
        <item m="1" x="144"/>
        <item m="1" x="187"/>
        <item m="1" x="217"/>
        <item m="1" x="327"/>
        <item m="1" x="403"/>
        <item m="1" x="466"/>
        <item m="1" x="540"/>
        <item m="1" x="604"/>
        <item m="1" x="612"/>
        <item m="1" x="675"/>
        <item m="1" x="749"/>
        <item m="1" x="806"/>
        <item m="1" x="841"/>
        <item m="1" x="876"/>
        <item m="1" x="937"/>
        <item m="1" x="969"/>
        <item m="1" x="116"/>
        <item m="1" x="199"/>
        <item m="1" x="215"/>
        <item m="1" x="483"/>
        <item m="1" x="500"/>
        <item m="1" x="102"/>
        <item m="1" x="590"/>
        <item m="1" x="115"/>
        <item m="1" x="603"/>
        <item m="1" x="143"/>
        <item m="1" x="638"/>
        <item m="1" x="654"/>
        <item m="1" x="186"/>
        <item m="1" x="673"/>
        <item m="1" x="694"/>
        <item m="1" x="401"/>
        <item m="1" x="482"/>
        <item m="1" x="499"/>
        <item m="1" x="524"/>
        <item m="1" x="536"/>
        <item m="1" x="67"/>
        <item m="1" x="555"/>
        <item m="1" x="569"/>
        <item m="1" x="588"/>
        <item m="1" x="173"/>
        <item m="1" x="653"/>
        <item m="1" x="747"/>
        <item m="1" x="346"/>
        <item m="1" x="887"/>
        <item m="1" x="953"/>
        <item m="1" x="448"/>
        <item m="1" x="968"/>
        <item m="1" x="36"/>
        <item m="1" x="553"/>
        <item m="1" x="114"/>
        <item m="1" x="601"/>
        <item m="1" x="198"/>
        <item m="1" x="214"/>
        <item m="1" x="728"/>
        <item m="1" x="282"/>
        <item m="1" x="789"/>
        <item m="1" x="905"/>
        <item m="1" x="418"/>
        <item m="1" x="447"/>
        <item m="1" x="983"/>
        <item m="1" x="481"/>
        <item m="1" x="86"/>
        <item m="1" x="600"/>
        <item m="1" x="652"/>
        <item m="1" x="727"/>
        <item m="1" x="788"/>
        <item m="1" x="296"/>
        <item m="1" x="311"/>
        <item m="1" x="823"/>
        <item m="1" x="904"/>
        <item m="1" x="8"/>
        <item m="1" x="51"/>
        <item m="1" x="552"/>
        <item m="1" x="84"/>
        <item m="1" x="599"/>
        <item m="1" x="141"/>
        <item m="1" x="171"/>
        <item m="1" x="257"/>
        <item m="1" x="769"/>
        <item m="1" x="281"/>
        <item m="1" x="981"/>
        <item m="1" x="7"/>
        <item m="1" x="509"/>
        <item m="1" x="32"/>
        <item m="1" x="64"/>
        <item m="1" x="651"/>
        <item m="1" x="212"/>
        <item m="1" x="743"/>
        <item m="1" x="756"/>
        <item m="1" x="822"/>
        <item m="1" x="838"/>
        <item m="1" x="342"/>
        <item m="1" x="854"/>
        <item m="1" x="357"/>
        <item m="1" x="462"/>
        <item m="1" x="6"/>
        <item m="1" x="49"/>
        <item m="1" x="128"/>
        <item m="1" x="140"/>
        <item m="1" x="688"/>
        <item m="1" x="820"/>
        <item m="1" x="365"/>
        <item m="1" x="397"/>
        <item m="1" x="935"/>
        <item m="1" x="444"/>
        <item m="1" x="508"/>
        <item m="1" x="30"/>
        <item m="1" x="47"/>
        <item m="1" x="598"/>
        <item m="1" x="154"/>
        <item m="1" x="649"/>
        <item m="1" x="230"/>
        <item m="1" x="244"/>
        <item m="1" x="742"/>
        <item m="1" x="255"/>
        <item m="1" x="801"/>
        <item m="1" x="308"/>
        <item m="1" x="323"/>
        <item m="1" x="837"/>
        <item m="1" x="872"/>
        <item m="1" x="381"/>
        <item m="1" x="948"/>
        <item m="1" x="533"/>
        <item m="1" x="63"/>
        <item m="1" x="127"/>
        <item m="1" x="609"/>
        <item m="1" x="624"/>
        <item m="1" x="648"/>
        <item m="1" x="668"/>
        <item m="1" x="195"/>
        <item m="1" x="754"/>
        <item m="1" x="800"/>
        <item m="1" x="924"/>
        <item m="1" x="415"/>
        <item m="1" x="934"/>
        <item m="1" x="520"/>
        <item m="1" x="82"/>
        <item m="1" x="126"/>
        <item m="1" x="634"/>
        <item m="1" x="167"/>
        <item m="1" x="686"/>
        <item m="1" x="722"/>
        <item m="1" x="293"/>
        <item m="1" x="306"/>
        <item m="1" x="354"/>
        <item m="1" x="379"/>
        <item m="1" x="923"/>
        <item m="1" x="965"/>
        <item m="1" x="476"/>
        <item m="1" x="2"/>
        <item m="1" x="18"/>
        <item m="1" x="518"/>
        <item m="1" x="564"/>
        <item m="1" x="597"/>
        <item m="1" x="607"/>
        <item m="1" x="666"/>
        <item m="1" x="685"/>
        <item m="1" x="701"/>
        <item m="1" x="766"/>
        <item m="1" x="279"/>
        <item m="1" x="799"/>
        <item m="1" x="816"/>
        <item m="1" x="377"/>
        <item m="1" x="494"/>
        <item m="1" x="60"/>
        <item m="1" x="580"/>
        <item m="1" x="632"/>
        <item m="1" x="240"/>
        <item m="1" x="253"/>
        <item m="1" x="292"/>
        <item m="1" x="321"/>
        <item m="1" x="361"/>
        <item m="1" x="376"/>
        <item m="1" x="459"/>
        <item m="1" x="977"/>
        <item m="1" x="125"/>
        <item m="1" x="136"/>
        <item m="1" x="622"/>
        <item m="1" x="239"/>
        <item m="1" x="765"/>
        <item m="1" x="277"/>
        <item m="1" x="813"/>
        <item m="1" x="319"/>
        <item m="1" x="337"/>
        <item m="1" x="918"/>
        <item m="1" x="931"/>
        <item m="1" x="962"/>
        <item m="1" x="28"/>
        <item m="1" x="579"/>
        <item m="1" x="165"/>
        <item m="1" x="262"/>
        <item m="1" x="304"/>
        <item m="1" x="317"/>
        <item m="1" x="851"/>
        <item m="1" x="916"/>
        <item m="1" x="413"/>
        <item m="1" x="440"/>
        <item m="1" x="457"/>
        <item m="1" x="474"/>
        <item m="1" x="504"/>
        <item m="1" x="41"/>
        <item m="1" x="578"/>
        <item m="1" x="124"/>
        <item m="1" x="605"/>
        <item m="1" x="182"/>
        <item m="1" x="665"/>
        <item m="1" x="192"/>
        <item m="1" x="206"/>
        <item m="1" x="782"/>
        <item m="1" x="849"/>
        <item m="1" x="867"/>
        <item m="1" x="412"/>
        <item m="1" x="14"/>
        <item m="1" x="27"/>
        <item m="1" x="40"/>
        <item m="1" x="530"/>
        <item m="1" x="546"/>
        <item m="1" x="577"/>
        <item m="1" x="107"/>
        <item m="1" x="123"/>
        <item m="1" x="644"/>
        <item m="1" x="663"/>
        <item m="1" x="717"/>
        <item m="1" x="273"/>
        <item m="1" x="291"/>
        <item m="1" x="302"/>
        <item m="1" x="848"/>
        <item m="1" x="160"/>
        <item m="1" x="439"/>
        <item m="1" x="456"/>
        <item m="1" x="529"/>
        <item m="1" x="826"/>
        <item m="1" x="576"/>
        <item m="1" x="596"/>
        <item m="1" x="857"/>
        <item m="1" x="889"/>
        <item m="1" x="383"/>
        <item m="1" x="402"/>
        <item m="1" x="662"/>
        <item m="1" x="190"/>
        <item m="1" x="955"/>
        <item m="1" x="449"/>
        <item m="1" x="223"/>
        <item m="1" x="464"/>
        <item m="1" x="236"/>
        <item m="1" x="738"/>
        <item m="1" x="9"/>
        <item m="1" x="23"/>
        <item m="1" x="510"/>
        <item m="1" x="537"/>
        <item m="1" x="796"/>
        <item m="1" x="811"/>
        <item m="1" x="833"/>
        <item m="1" x="101"/>
        <item m="1" x="589"/>
        <item m="1" x="159"/>
        <item m="1" x="392"/>
        <item m="1" x="943"/>
        <item m="1" x="438"/>
        <item m="1" x="693"/>
        <item m="1" x="973"/>
        <item m="1" x="473"/>
        <item m="1" x="283"/>
        <item m="1" x="58"/>
        <item m="1" x="79"/>
        <item m="1" x="575"/>
        <item m="1" x="839"/>
        <item m="1" x="595"/>
        <item m="1" x="888"/>
        <item m="1" x="420"/>
        <item m="1" x="661"/>
        <item m="1" x="189"/>
        <item m="1" x="954"/>
        <item m="1" x="222"/>
        <item m="1" x="716"/>
        <item m="1" x="22"/>
        <item m="1" x="523"/>
        <item m="1" x="780"/>
        <item m="1" x="289"/>
        <item m="1" x="535"/>
        <item m="1" x="66"/>
        <item m="1" x="554"/>
        <item m="1" x="316"/>
        <item m="1" x="587"/>
        <item m="1" x="847"/>
        <item m="1" x="351"/>
        <item m="1" x="602"/>
        <item m="1" x="374"/>
        <item m="1" x="625"/>
        <item m="1" x="895"/>
        <item m="1" x="172"/>
        <item m="1" x="426"/>
        <item m="1" x="672"/>
        <item m="1" x="942"/>
        <item m="1" x="692"/>
        <item m="1" x="961"/>
        <item m="1" x="491"/>
        <item m="1" x="746"/>
        <item m="1" x="545"/>
        <item m="1" x="312"/>
        <item m="1" x="559"/>
        <item m="1" x="824"/>
        <item m="1" x="326"/>
        <item m="1" x="345"/>
        <item m="1" x="874"/>
        <item m="1" x="135"/>
        <item m="1" x="886"/>
        <item m="1" x="631"/>
        <item m="1" x="906"/>
        <item m="1" x="164"/>
        <item m="1" x="643"/>
        <item m="1" x="419"/>
        <item m="1" x="952"/>
        <item m="1" x="204"/>
        <item m="1" x="221"/>
        <item m="1" x="715"/>
        <item m="1" x="21"/>
        <item m="1" x="35"/>
        <item m="1" x="795"/>
        <item m="1" x="301"/>
        <item m="1" x="87"/>
        <item m="1" x="568"/>
        <item m="1" x="832"/>
        <item m="1" x="100"/>
        <item m="1" x="335"/>
        <item m="1" x="610"/>
        <item m="1" x="373"/>
        <item m="1" x="391"/>
        <item m="1" x="929"/>
        <item m="1" x="185"/>
        <item m="1" x="425"/>
        <item m="1" x="941"/>
        <item m="1" x="437"/>
        <item m="1" x="959"/>
        <item m="1" x="472"/>
        <item m="1" x="490"/>
        <item m="1" x="745"/>
        <item m="1" x="26"/>
        <item m="1" x="544"/>
        <item m="1" x="344"/>
        <item m="1" x="855"/>
        <item m="1" x="122"/>
        <item m="1" x="873"/>
        <item m="1" x="620"/>
        <item m="1" x="885"/>
        <item m="1" x="149"/>
        <item m="1" x="417"/>
        <item m="1" x="188"/>
        <item m="1" x="480"/>
        <item m="1" x="736"/>
        <item m="1" x="762"/>
        <item m="1" x="34"/>
        <item m="1" x="271"/>
        <item m="1" x="779"/>
        <item m="1" x="52"/>
        <item m="1" x="65"/>
        <item m="1" x="85"/>
        <item m="1" x="567"/>
        <item m="1" x="831"/>
        <item m="1" x="586"/>
        <item m="1" x="866"/>
        <item m="1" x="142"/>
        <item m="1" x="372"/>
        <item m="1" x="158"/>
        <item m="1" x="390"/>
        <item m="1" x="410"/>
        <item m="1" x="928"/>
        <item m="1" x="671"/>
        <item m="1" x="691"/>
        <item m="1" x="706"/>
        <item m="1" x="231"/>
        <item m="1" x="516"/>
        <item m="1" x="770"/>
        <item m="1" x="57"/>
        <item m="1" x="295"/>
        <item m="1" x="543"/>
        <item m="1" x="804"/>
        <item m="1" x="77"/>
        <item m="1" x="558"/>
        <item m="1" x="96"/>
        <item m="1" x="343"/>
        <item m="1" x="594"/>
        <item m="1" x="884"/>
        <item m="1" x="148"/>
        <item m="1" x="382"/>
        <item m="1" x="630"/>
        <item m="1" x="902"/>
        <item m="1" x="642"/>
        <item m="1" x="925"/>
        <item m="1" x="181"/>
        <item m="1" x="699"/>
        <item m="1" x="463"/>
        <item m="1" x="982"/>
        <item m="1" x="479"/>
        <item m="1" x="251"/>
        <item m="1" x="20"/>
        <item m="1" x="261"/>
        <item m="1" x="33"/>
        <item m="1" x="270"/>
        <item m="1" x="288"/>
        <item m="1" x="83"/>
        <item m="1" x="334"/>
        <item m="1" x="585"/>
        <item m="1" x="845"/>
        <item m="1" x="865"/>
        <item m="1" x="359"/>
        <item m="1" x="157"/>
        <item m="1" x="914"/>
        <item m="1" x="170"/>
        <item m="1" x="409"/>
        <item m="1" x="423"/>
        <item m="1" x="197"/>
        <item m="1" x="436"/>
        <item m="1" x="690"/>
        <item m="1" x="958"/>
        <item m="1" x="213"/>
        <item m="1" x="455"/>
        <item m="1" x="705"/>
        <item m="1" x="971"/>
        <item m="1" x="726"/>
        <item m="1" x="987"/>
        <item m="1" x="488"/>
        <item m="1" x="515"/>
        <item m="1" x="56"/>
        <item m="1" x="310"/>
        <item m="1" x="95"/>
        <item m="1" x="134"/>
        <item m="1" x="883"/>
        <item m="1" x="163"/>
        <item m="1" x="399"/>
        <item m="1" x="431"/>
        <item m="1" x="951"/>
        <item m="1" x="446"/>
        <item m="1" x="698"/>
        <item m="1" x="967"/>
        <item m="1" x="714"/>
        <item m="1" x="234"/>
        <item m="1" x="735"/>
        <item m="1" x="497"/>
        <item m="1" x="269"/>
        <item m="1" x="50"/>
        <item m="1" x="584"/>
        <item m="1" x="112"/>
        <item m="1" x="863"/>
        <item m="1" x="894"/>
        <item m="1" x="156"/>
        <item m="1" x="389"/>
        <item m="1" x="637"/>
        <item m="1" x="422"/>
        <item m="1" x="435"/>
        <item m="1" x="211"/>
        <item m="1" x="454"/>
        <item m="1" x="704"/>
        <item m="1" x="725"/>
        <item m="1" x="246"/>
        <item m="1" x="487"/>
        <item m="1" x="755"/>
        <item m="1" x="25"/>
        <item m="1" x="266"/>
        <item m="1" x="768"/>
        <item m="1" x="803"/>
        <item m="1" x="76"/>
        <item m="1" x="309"/>
        <item m="1" x="821"/>
        <item m="1" x="94"/>
        <item m="1" x="574"/>
        <item m="1" x="341"/>
        <item m="1" x="356"/>
        <item m="1" x="366"/>
        <item m="1" x="619"/>
        <item m="1" x="882"/>
        <item m="1" x="901"/>
        <item m="1" x="398"/>
        <item m="1" x="430"/>
        <item m="1" x="445"/>
        <item m="1" x="233"/>
        <item m="1" x="478"/>
        <item m="1" x="734"/>
        <item m="1" x="496"/>
        <item m="1" x="761"/>
        <item m="1" x="31"/>
        <item m="1" x="777"/>
        <item m="1" x="48"/>
        <item m="1" x="534"/>
        <item m="1" x="810"/>
        <item m="1" x="332"/>
        <item m="1" x="583"/>
        <item m="1" x="844"/>
        <item m="1" x="862"/>
        <item m="1" x="893"/>
        <item m="1" x="155"/>
        <item m="1" x="388"/>
        <item m="1" x="636"/>
        <item m="1" x="913"/>
        <item m="1" x="168"/>
        <item m="1" x="650"/>
        <item m="1" x="184"/>
        <item m="1" x="670"/>
        <item m="1" x="196"/>
        <item m="1" x="453"/>
        <item m="1" x="471"/>
        <item m="1" x="986"/>
        <item m="1" x="256"/>
        <item m="1" x="265"/>
        <item m="1" x="294"/>
        <item m="1" x="802"/>
        <item m="1" x="74"/>
        <item m="1" x="324"/>
        <item m="1" x="593"/>
        <item m="1" x="355"/>
        <item m="1" x="133"/>
        <item m="1" x="363"/>
        <item m="1" x="618"/>
        <item m="1" x="881"/>
        <item m="1" x="658"/>
        <item m="1" x="680"/>
        <item m="1" x="949"/>
        <item m="1" x="712"/>
        <item m="1" x="5"/>
        <item m="1" x="249"/>
        <item m="1" x="521"/>
        <item m="1" x="46"/>
        <item m="1" x="300"/>
        <item m="1" x="551"/>
        <item m="1" x="566"/>
        <item m="1" x="843"/>
        <item m="1" x="349"/>
        <item m="1" x="861"/>
        <item m="1" x="371"/>
        <item m="1" x="635"/>
        <item m="1" x="407"/>
        <item m="1" x="669"/>
        <item m="1" x="434"/>
        <item m="1" x="687"/>
        <item m="1" x="229"/>
        <item m="1" x="243"/>
        <item m="1" x="502"/>
        <item m="1" x="264"/>
        <item m="1" x="514"/>
        <item m="1" x="767"/>
        <item m="1" x="527"/>
        <item m="1" x="55"/>
        <item m="1" x="73"/>
        <item m="1" x="819"/>
        <item m="1" x="573"/>
        <item m="1" x="836"/>
        <item m="1" x="105"/>
        <item m="1" x="340"/>
        <item m="1" x="147"/>
        <item m="1" x="396"/>
        <item m="1" x="180"/>
        <item m="1" x="657"/>
        <item m="1" x="679"/>
        <item m="1" x="443"/>
        <item m="1" x="966"/>
        <item m="1" x="219"/>
        <item m="1" x="460"/>
        <item m="1" x="711"/>
        <item m="1" x="19"/>
        <item m="1" x="260"/>
        <item m="1" x="45"/>
        <item m="1" x="286"/>
        <item m="1" x="794"/>
        <item m="1" x="62"/>
        <item m="1" x="550"/>
        <item m="1" x="828"/>
        <item m="1" x="330"/>
        <item m="1" x="582"/>
        <item m="1" x="110"/>
        <item m="1" x="348"/>
        <item m="1" x="879"/>
        <item m="1" x="153"/>
        <item m="1" x="387"/>
        <item m="1" x="911"/>
        <item m="1" x="647"/>
        <item m="1" x="939"/>
        <item m="1" x="194"/>
        <item m="1" x="433"/>
        <item m="1" x="209"/>
        <item m="1" x="702"/>
        <item m="1" x="723"/>
        <item m="1" x="985"/>
        <item m="1" x="741"/>
        <item m="1" x="12"/>
        <item m="1" x="263"/>
        <item m="1" x="513"/>
        <item m="1" x="526"/>
        <item m="1" x="307"/>
        <item m="1" x="92"/>
        <item m="1" x="853"/>
        <item m="1" x="131"/>
        <item m="1" x="362"/>
        <item m="1" x="616"/>
        <item m="1" x="380"/>
        <item m="1" x="629"/>
        <item m="1" x="899"/>
        <item m="1" x="178"/>
        <item m="1" x="656"/>
        <item m="1" x="678"/>
        <item m="1" x="947"/>
        <item m="1" x="710"/>
        <item m="1" x="979"/>
        <item m="1" x="477"/>
        <item m="1" x="733"/>
        <item m="1" x="3"/>
        <item m="1" x="495"/>
        <item m="1" x="752"/>
        <item m="1" x="519"/>
        <item m="1" x="774"/>
        <item m="1" x="44"/>
        <item m="1" x="284"/>
        <item m="1" x="809"/>
        <item m="1" x="565"/>
        <item m="1" x="827"/>
        <item m="1" x="860"/>
        <item m="1" x="608"/>
        <item m="1" x="878"/>
        <item m="1" x="139"/>
        <item m="1" x="370"/>
        <item m="1" x="892"/>
        <item m="1" x="633"/>
        <item m="1" x="910"/>
        <item m="1" x="166"/>
        <item m="1" x="406"/>
        <item m="1" x="183"/>
        <item m="1" x="667"/>
        <item m="1" x="228"/>
        <item m="1" x="470"/>
        <item m="1" x="720"/>
        <item m="1" x="242"/>
        <item m="1" x="740"/>
        <item m="1" x="11"/>
        <item m="1" x="280"/>
        <item m="1" x="787"/>
        <item m="1" x="54"/>
        <item m="1" x="72"/>
        <item m="1" x="305"/>
        <item m="1" x="557"/>
        <item m="1" x="817"/>
        <item m="1" x="322"/>
        <item m="1" x="835"/>
        <item m="1" x="120"/>
        <item m="1" x="871"/>
        <item m="1" x="880"/>
        <item m="1" x="378"/>
        <item m="1" x="898"/>
        <item m="1" x="921"/>
        <item m="1" x="933"/>
        <item m="1" x="429"/>
        <item m="1" x="677"/>
        <item m="1" x="202"/>
        <item m="1" x="964"/>
        <item m="1" x="732"/>
        <item m="1" x="751"/>
        <item m="1" x="17"/>
        <item m="1" x="259"/>
        <item m="1" x="773"/>
        <item m="1" x="42"/>
        <item m="1" x="532"/>
        <item m="1" x="61"/>
        <item m="1" x="549"/>
        <item m="1" x="808"/>
        <item m="1" x="81"/>
        <item m="1" x="581"/>
        <item m="1" x="138"/>
        <item m="1" x="891"/>
        <item m="1" x="386"/>
        <item m="1" x="405"/>
        <item m="1" x="646"/>
        <item m="1" x="938"/>
        <item m="1" x="684"/>
        <item m="1" x="452"/>
        <item m="1" x="227"/>
        <item m="1" x="469"/>
        <item m="1" x="984"/>
        <item m="1" x="241"/>
        <item m="1" x="254"/>
        <item m="1" x="753"/>
        <item m="1" x="786"/>
        <item m="1" x="53"/>
        <item m="1" x="798"/>
        <item m="1" x="70"/>
        <item m="1" x="556"/>
        <item m="1" x="814"/>
        <item m="1" x="90"/>
        <item m="1" x="572"/>
        <item m="1" x="834"/>
        <item m="1" x="852"/>
        <item m="1" x="353"/>
        <item m="1" x="870"/>
        <item m="1" x="130"/>
        <item m="1" x="146"/>
        <item m="1" x="897"/>
        <item m="1" x="161"/>
        <item m="1" x="394"/>
        <item m="1" x="641"/>
        <item m="1" x="920"/>
        <item m="1" x="177"/>
        <item m="1" x="655"/>
        <item m="1" x="932"/>
        <item m="1" x="428"/>
        <item m="1" x="200"/>
        <item m="1" x="442"/>
        <item m="1" x="978"/>
        <item m="1" x="475"/>
        <item m="1" x="731"/>
        <item m="1" x="1"/>
        <item m="1" x="16"/>
        <item m="1" x="258"/>
        <item m="1" x="759"/>
        <item m="1" x="29"/>
        <item m="1" x="299"/>
        <item m="1" x="313"/>
        <item m="1" x="562"/>
        <item m="1" x="109"/>
        <item m="1" x="859"/>
        <item m="1" x="606"/>
        <item m="1" x="137"/>
        <item m="1" x="623"/>
        <item m="1" x="908"/>
        <item m="1" x="927"/>
        <item m="1" x="193"/>
        <item m="1" x="700"/>
        <item m="1" x="468"/>
        <item m="1" x="486"/>
        <item m="1" x="501"/>
        <item m="1" x="512"/>
        <item m="1" x="38"/>
        <item m="1" x="525"/>
        <item m="1" x="785"/>
        <item m="1" x="69"/>
        <item m="1" x="320"/>
        <item m="1" x="338"/>
        <item m="1" x="869"/>
        <item m="1" x="129"/>
        <item m="1" x="614"/>
        <item m="1" x="145"/>
        <item m="1" x="375"/>
        <item m="1" x="896"/>
        <item m="1" x="919"/>
        <item m="1" x="176"/>
        <item m="1" x="676"/>
        <item m="1" x="750"/>
        <item m="1" x="506"/>
        <item m="1" x="792"/>
        <item m="1" x="59"/>
        <item m="1" x="80"/>
        <item m="1" x="561"/>
        <item m="1" x="367"/>
        <item m="1" x="890"/>
        <item m="1" x="152"/>
        <item m="1" x="385"/>
        <item m="1" x="404"/>
        <item m="1" x="421"/>
        <item m="1" x="207"/>
        <item m="1" x="970"/>
        <item m="1" x="226"/>
        <item m="1" x="467"/>
        <item m="1" x="719"/>
        <item m="1" x="485"/>
        <item m="1" x="252"/>
        <item m="1" x="24"/>
        <item m="1" x="764"/>
        <item m="1" x="812"/>
        <item m="1" x="318"/>
        <item m="1" x="103"/>
        <item m="1" x="592"/>
        <item m="1" x="118"/>
        <item m="1" x="868"/>
        <item m="1" x="613"/>
        <item m="1" x="640"/>
        <item m="1" x="917"/>
        <item m="1" x="441"/>
        <item m="1" x="216"/>
        <item m="1" x="458"/>
        <item m="1" x="708"/>
        <item m="1" x="976"/>
        <item m="1" x="247"/>
        <item m="1" x="493"/>
        <item m="1" x="505"/>
        <item m="1" x="758"/>
        <item m="1" x="517"/>
        <item m="1" x="548"/>
        <item m="1" x="877"/>
        <item m="1" x="384"/>
        <item m="1" x="451"/>
        <item m="1" x="225"/>
        <item m="1" x="718"/>
        <item m="1" x="484"/>
        <item m="1" x="511"/>
        <item m="1" x="37"/>
        <item m="1" x="276"/>
        <item m="1" x="783"/>
        <item m="1" x="88"/>
        <item m="1" x="570"/>
        <item m="1" x="117"/>
        <item m="1" x="352"/>
        <item m="1" x="611"/>
        <item m="1" x="945"/>
        <item m="1" x="695"/>
        <item m="1" x="974"/>
        <item m="1" x="0"/>
        <item m="1" x="492"/>
        <item m="1" x="748"/>
        <item m="1" x="15"/>
        <item m="1" x="757"/>
        <item m="1" x="771"/>
        <item m="1" x="531"/>
        <item m="1" x="790"/>
        <item m="1" x="297"/>
        <item m="1" x="547"/>
        <item m="1" x="858"/>
        <item m="1" x="875"/>
        <item m="1" x="645"/>
        <item m="1" x="664"/>
        <item m="1" x="191"/>
        <item m="1" x="682"/>
        <item m="1" x="956"/>
        <item m="1" x="205"/>
        <item m="1" x="450"/>
        <item m="1" x="224"/>
        <item m="1" x="274"/>
        <item m="1" x="781"/>
        <item m="1" x="538"/>
        <item m="1" x="336"/>
        <item m="1" x="627"/>
        <item m="1" x="639"/>
        <item m="1" x="174"/>
        <item m="1" x="674"/>
        <item m="1" x="944"/>
        <item m="1" x="707"/>
        <item m="1" x="729"/>
        <item m="1" x="237"/>
        <item t="default"/>
      </items>
    </pivotField>
    <pivotField showAll="0" defaultSubtotal="0">
      <items count="49">
        <item m="1" x="0"/>
        <item m="1" x="26"/>
        <item m="1" x="11"/>
        <item m="1" x="28"/>
        <item m="1" x="46"/>
        <item m="1" x="5"/>
        <item m="1" x="13"/>
        <item m="1" x="19"/>
        <item m="1" x="29"/>
        <item m="1" x="34"/>
        <item m="1" x="39"/>
        <item m="1" x="43"/>
        <item m="1" x="47"/>
        <item m="1" x="2"/>
        <item m="1" x="6"/>
        <item m="1" x="9"/>
        <item m="1" x="14"/>
        <item m="1" x="16"/>
        <item m="1" x="17"/>
        <item m="1" x="18"/>
        <item m="1" x="20"/>
        <item m="1" x="22"/>
        <item m="1" x="24"/>
        <item m="1" x="27"/>
        <item m="1" x="31"/>
        <item m="1" x="33"/>
        <item m="1" x="36"/>
        <item m="1" x="38"/>
        <item m="1" x="41"/>
        <item m="1" x="42"/>
        <item m="1" x="44"/>
        <item m="1" x="45"/>
        <item m="1" x="48"/>
        <item m="1" x="21"/>
        <item m="1" x="1"/>
        <item m="1" x="23"/>
        <item m="1" x="3"/>
        <item m="1" x="25"/>
        <item m="1" x="4"/>
        <item m="1" x="30"/>
        <item m="1" x="7"/>
        <item m="1" x="32"/>
        <item m="1" x="8"/>
        <item m="1" x="35"/>
        <item m="1" x="10"/>
        <item m="1" x="37"/>
        <item m="1" x="12"/>
        <item m="1" x="40"/>
        <item m="1" x="15"/>
      </items>
    </pivotField>
    <pivotField showAll="0"/>
    <pivotField showAll="0"/>
    <pivotField showAll="0" defaultSubtotal="0">
      <items count="6">
        <item m="1" x="0"/>
        <item m="1" x="4"/>
        <item m="1" x="3"/>
        <item m="1" x="1"/>
        <item m="1" x="2"/>
        <item m="1" x="5"/>
      </items>
    </pivotField>
    <pivotField showAll="0" defaultSubtotal="0">
      <items count="2">
        <item m="1" x="0"/>
        <item m="1" x="1"/>
      </items>
    </pivotField>
    <pivotField showAll="0">
      <items count="741">
        <item m="1" x="71"/>
        <item m="1" x="299"/>
        <item m="1" x="411"/>
        <item m="1" x="280"/>
        <item m="1" x="674"/>
        <item m="1" x="248"/>
        <item m="1" x="700"/>
        <item m="1" x="738"/>
        <item m="1" x="652"/>
        <item m="1" x="661"/>
        <item m="1" x="540"/>
        <item m="1" x="271"/>
        <item m="1" x="731"/>
        <item m="1" x="14"/>
        <item m="1" x="416"/>
        <item m="1" x="712"/>
        <item m="1" x="585"/>
        <item m="1" x="596"/>
        <item m="1" x="0"/>
        <item m="1" x="485"/>
        <item m="1" x="255"/>
        <item m="1" x="600"/>
        <item m="1" x="127"/>
        <item m="1" x="649"/>
        <item m="1" x="112"/>
        <item m="1" x="171"/>
        <item m="1" x="429"/>
        <item m="1" x="541"/>
        <item m="1" x="168"/>
        <item m="1" x="142"/>
        <item m="1" x="289"/>
        <item m="1" x="602"/>
        <item m="1" x="627"/>
        <item m="1" x="38"/>
        <item m="1" x="604"/>
        <item m="1" x="190"/>
        <item m="1" x="215"/>
        <item m="1" x="395"/>
        <item m="1" x="121"/>
        <item m="1" x="339"/>
        <item m="1" x="166"/>
        <item m="1" x="81"/>
        <item m="1" x="506"/>
        <item m="1" x="470"/>
        <item m="1" x="632"/>
        <item m="1" x="150"/>
        <item m="1" x="209"/>
        <item m="1" x="394"/>
        <item m="1" x="308"/>
        <item m="1" x="290"/>
        <item m="1" x="159"/>
        <item m="1" x="75"/>
        <item m="1" x="633"/>
        <item m="1" x="530"/>
        <item m="1" x="362"/>
        <item m="1" x="98"/>
        <item m="1" x="179"/>
        <item m="1" x="438"/>
        <item m="1" x="579"/>
        <item m="1" x="167"/>
        <item m="1" x="247"/>
        <item m="1" x="208"/>
        <item m="1" x="6"/>
        <item m="1" x="263"/>
        <item m="1" x="286"/>
        <item m="1" x="684"/>
        <item m="1" x="523"/>
        <item m="1" x="644"/>
        <item m="1" x="276"/>
        <item m="1" x="63"/>
        <item m="1" x="551"/>
        <item m="1" x="570"/>
        <item m="1" x="693"/>
        <item m="1" x="86"/>
        <item m="1" x="373"/>
        <item m="1" x="30"/>
        <item m="1" x="371"/>
        <item m="1" x="664"/>
        <item m="1" x="708"/>
        <item m="1" x="706"/>
        <item m="1" x="695"/>
        <item m="1" x="110"/>
        <item m="1" x="104"/>
        <item m="1" x="327"/>
        <item m="1" x="702"/>
        <item m="1" x="139"/>
        <item m="1" x="686"/>
        <item m="1" x="481"/>
        <item m="1" x="654"/>
        <item m="1" x="194"/>
        <item m="1" x="733"/>
        <item m="1" x="431"/>
        <item m="1" x="132"/>
        <item m="1" x="72"/>
        <item m="1" x="611"/>
        <item m="1" x="191"/>
        <item m="1" x="593"/>
        <item m="1" x="349"/>
        <item m="1" x="673"/>
        <item m="1" x="12"/>
        <item m="1" x="101"/>
        <item m="1" x="603"/>
        <item m="1" x="504"/>
        <item m="1" x="355"/>
        <item m="1" x="608"/>
        <item m="1" x="561"/>
        <item m="1" x="707"/>
        <item m="1" x="181"/>
        <item m="1" x="254"/>
        <item m="1" x="342"/>
        <item m="1" x="723"/>
        <item m="1" x="317"/>
        <item m="1" x="3"/>
        <item m="1" x="480"/>
        <item m="1" x="245"/>
        <item m="1" x="227"/>
        <item m="1" x="165"/>
        <item m="1" x="736"/>
        <item m="1" x="109"/>
        <item m="1" x="116"/>
        <item m="1" x="287"/>
        <item m="1" x="281"/>
        <item m="1" x="467"/>
        <item m="1" x="464"/>
        <item m="1" x="231"/>
        <item m="1" x="623"/>
        <item m="1" x="594"/>
        <item m="1" x="329"/>
        <item m="1" x="719"/>
        <item m="1" x="99"/>
        <item m="1" x="207"/>
        <item m="1" x="326"/>
        <item m="1" x="124"/>
        <item m="1" x="582"/>
        <item m="1" x="419"/>
        <item m="1" x="427"/>
        <item m="1" x="490"/>
        <item m="1" x="7"/>
        <item m="1" x="393"/>
        <item m="1" x="225"/>
        <item m="1" x="304"/>
        <item m="1" x="542"/>
        <item m="1" x="526"/>
        <item m="1" x="361"/>
        <item m="1" x="113"/>
        <item m="1" x="689"/>
        <item m="1" x="345"/>
        <item m="1" x="637"/>
        <item m="1" x="703"/>
        <item m="1" x="252"/>
        <item m="1" x="536"/>
        <item m="1" x="288"/>
        <item m="1" x="359"/>
        <item m="1" x="149"/>
        <item m="1" x="357"/>
        <item m="1" x="128"/>
        <item m="1" x="352"/>
        <item m="1" x="473"/>
        <item m="1" x="610"/>
        <item m="1" x="187"/>
        <item m="1" x="472"/>
        <item m="1" x="193"/>
        <item m="1" x="665"/>
        <item m="1" x="564"/>
        <item m="1" x="154"/>
        <item m="1" x="663"/>
        <item m="1" x="222"/>
        <item m="1" x="392"/>
        <item m="1" x="727"/>
        <item m="1" x="131"/>
        <item m="1" x="301"/>
        <item m="1" x="91"/>
        <item m="1" x="309"/>
        <item m="1" x="380"/>
        <item m="1" x="404"/>
        <item m="1" x="656"/>
        <item m="1" x="446"/>
        <item m="1" x="634"/>
        <item m="1" x="52"/>
        <item m="1" x="324"/>
        <item m="1" x="607"/>
        <item m="1" x="189"/>
        <item m="1" x="158"/>
        <item m="1" x="284"/>
        <item m="1" x="335"/>
        <item m="1" x="435"/>
        <item m="1" x="285"/>
        <item m="1" x="60"/>
        <item m="1" x="737"/>
        <item m="1" x="107"/>
        <item m="1" x="549"/>
        <item m="1" x="198"/>
        <item m="1" x="196"/>
        <item m="1" x="699"/>
        <item m="1" x="676"/>
        <item m="1" x="353"/>
        <item m="1" x="333"/>
        <item m="1" x="22"/>
        <item m="1" x="73"/>
        <item m="1" x="123"/>
        <item m="1" x="638"/>
        <item m="1" x="307"/>
        <item m="1" x="595"/>
        <item m="1" x="256"/>
        <item m="1" x="195"/>
        <item m="1" x="396"/>
        <item m="1" x="125"/>
        <item m="1" x="720"/>
        <item m="1" x="354"/>
        <item m="1" x="170"/>
        <item m="1" x="140"/>
        <item m="1" x="628"/>
        <item m="1" x="616"/>
        <item m="1" x="291"/>
        <item m="1" x="322"/>
        <item m="1" x="696"/>
        <item m="1" x="129"/>
        <item m="1" x="148"/>
        <item m="1" x="68"/>
        <item m="1" x="584"/>
        <item m="1" x="667"/>
        <item m="1" x="230"/>
        <item m="1" x="213"/>
        <item m="1" x="347"/>
        <item m="1" x="739"/>
        <item m="1" x="622"/>
        <item m="1" x="705"/>
        <item m="1" x="351"/>
        <item m="1" x="45"/>
        <item m="1" x="152"/>
        <item m="1" x="246"/>
        <item m="1" x="311"/>
        <item m="1" x="642"/>
        <item m="1" x="518"/>
        <item m="1" x="588"/>
        <item m="1" x="575"/>
        <item m="1" x="407"/>
        <item m="1" x="672"/>
        <item m="1" x="47"/>
        <item m="1" x="681"/>
        <item m="1" x="314"/>
        <item m="1" x="331"/>
        <item m="1" x="341"/>
        <item m="1" x="257"/>
        <item m="1" x="491"/>
        <item m="1" x="477"/>
        <item m="1" x="447"/>
        <item m="1" x="37"/>
        <item m="1" x="647"/>
        <item m="1" x="670"/>
        <item m="1" x="232"/>
        <item m="1" x="482"/>
        <item m="1" x="550"/>
        <item m="1" x="96"/>
        <item m="1" x="17"/>
        <item m="1" x="78"/>
        <item m="1" x="23"/>
        <item m="1" x="726"/>
        <item m="1" x="54"/>
        <item m="1" x="569"/>
        <item m="1" x="714"/>
        <item m="1" x="84"/>
        <item m="1" x="520"/>
        <item m="1" x="29"/>
        <item m="1" x="214"/>
        <item m="1" x="4"/>
        <item m="1" x="58"/>
        <item m="1" x="228"/>
        <item m="1" x="323"/>
        <item m="1" x="417"/>
        <item m="1" x="524"/>
        <item m="1" x="49"/>
        <item m="1" x="258"/>
        <item m="1" x="572"/>
        <item m="1" x="48"/>
        <item m="1" x="513"/>
        <item m="1" x="67"/>
        <item m="1" x="259"/>
        <item m="1" x="348"/>
        <item m="1" x="479"/>
        <item m="1" x="641"/>
        <item m="1" x="655"/>
        <item m="1" x="389"/>
        <item m="1" x="203"/>
        <item m="1" x="552"/>
        <item m="1" x="25"/>
        <item m="1" x="223"/>
        <item m="1" x="612"/>
        <item m="1" x="66"/>
        <item m="1" x="466"/>
        <item m="1" x="583"/>
        <item m="1" x="586"/>
        <item m="1" x="677"/>
        <item m="1" x="315"/>
        <item m="1" x="79"/>
        <item m="1" x="591"/>
        <item m="1" x="1"/>
        <item m="1" x="537"/>
        <item m="1" x="532"/>
        <item m="1" x="545"/>
        <item m="1" x="108"/>
        <item m="1" x="278"/>
        <item m="1" x="459"/>
        <item m="1" x="62"/>
        <item m="1" x="94"/>
        <item m="1" x="546"/>
        <item m="1" x="666"/>
        <item m="1" x="344"/>
        <item m="1" x="321"/>
        <item m="1" x="577"/>
        <item m="1" x="340"/>
        <item m="1" x="57"/>
        <item m="1" x="130"/>
        <item m="1" x="553"/>
        <item m="1" x="143"/>
        <item m="1" x="138"/>
        <item m="1" x="613"/>
        <item m="1" x="580"/>
        <item m="1" x="653"/>
        <item m="1" x="77"/>
        <item m="1" x="454"/>
        <item m="1" x="188"/>
        <item m="1" x="251"/>
        <item m="1" x="43"/>
        <item m="1" x="398"/>
        <item m="1" x="363"/>
        <item m="1" x="568"/>
        <item m="1" x="122"/>
        <item m="1" x="27"/>
        <item m="1" x="535"/>
        <item m="1" x="184"/>
        <item m="1" x="15"/>
        <item m="1" x="157"/>
        <item m="1" x="210"/>
        <item m="1" x="619"/>
        <item m="1" x="199"/>
        <item m="1" x="253"/>
        <item m="1" x="625"/>
        <item m="1" x="458"/>
        <item m="1" x="717"/>
        <item m="1" x="87"/>
        <item m="1" x="69"/>
        <item m="1" x="378"/>
        <item m="1" x="635"/>
        <item m="1" x="85"/>
        <item m="1" x="224"/>
        <item m="1" x="10"/>
        <item m="1" x="687"/>
        <item m="1" x="698"/>
        <item m="1" x="59"/>
        <item m="1" x="539"/>
        <item m="1" x="204"/>
        <item m="1" x="13"/>
        <item m="1" x="527"/>
        <item m="1" x="76"/>
        <item m="1" x="422"/>
        <item m="1" x="444"/>
        <item m="1" x="93"/>
        <item m="1" x="478"/>
        <item m="1" x="273"/>
        <item m="1" x="709"/>
        <item m="1" x="65"/>
        <item m="1" x="102"/>
        <item m="1" x="292"/>
        <item m="1" x="710"/>
        <item m="1" x="19"/>
        <item m="1" x="651"/>
        <item m="1" x="474"/>
        <item m="1" x="493"/>
        <item m="1" x="376"/>
        <item m="1" x="53"/>
        <item m="1" x="82"/>
        <item m="1" x="313"/>
        <item m="1" x="100"/>
        <item m="1" x="685"/>
        <item m="1" x="675"/>
        <item m="1" x="135"/>
        <item m="1" x="624"/>
        <item m="1" x="114"/>
        <item m="1" x="581"/>
        <item m="1" x="34"/>
        <item m="1" x="592"/>
        <item m="1" x="133"/>
        <item m="1" x="330"/>
        <item m="1" x="264"/>
        <item m="1" x="16"/>
        <item m="1" x="89"/>
        <item m="1" x="680"/>
        <item m="1" x="601"/>
        <item m="1" x="413"/>
        <item m="1" x="118"/>
        <item m="1" x="668"/>
        <item m="1" x="334"/>
        <item m="1" x="721"/>
        <item m="1" x="318"/>
        <item m="1" x="531"/>
        <item m="1" x="559"/>
        <item m="1" x="408"/>
        <item m="1" x="153"/>
        <item m="1" x="682"/>
        <item m="1" x="679"/>
        <item m="1" x="554"/>
        <item m="1" x="31"/>
        <item m="1" x="382"/>
        <item m="1" x="137"/>
        <item m="1" x="691"/>
        <item m="1" x="169"/>
        <item m="1" x="20"/>
        <item m="1" x="578"/>
        <item m="1" x="688"/>
        <item m="1" x="119"/>
        <item m="1" x="701"/>
        <item m="1" x="390"/>
        <item m="1" x="178"/>
        <item m="1" x="105"/>
        <item m="1" x="704"/>
        <item m="1" x="319"/>
        <item m="1" x="534"/>
        <item m="1" x="70"/>
        <item m="1" x="312"/>
        <item m="1" x="229"/>
        <item m="1" x="295"/>
        <item m="1" x="606"/>
        <item m="1" x="83"/>
        <item m="1" x="360"/>
        <item m="1" x="92"/>
        <item m="1" x="562"/>
        <item m="1" x="144"/>
        <item m="1" x="28"/>
        <item m="1" x="597"/>
        <item m="1" x="621"/>
        <item m="1" x="615"/>
        <item m="1" x="476"/>
        <item m="1" x="598"/>
        <item m="1" x="544"/>
        <item m="1" x="521"/>
        <item m="1" x="55"/>
        <item m="1" x="41"/>
        <item m="1" x="599"/>
        <item m="1" x="356"/>
        <item m="1" x="418"/>
        <item m="1" x="103"/>
        <item m="1" x="42"/>
        <item m="1" x="332"/>
        <item m="1" x="713"/>
        <item m="1" x="239"/>
        <item m="1" x="658"/>
        <item m="1" x="529"/>
        <item m="1" x="233"/>
        <item m="1" x="711"/>
        <item m="1" x="678"/>
        <item m="1" x="648"/>
        <item m="1" x="558"/>
        <item m="1" x="36"/>
        <item m="1" x="697"/>
        <item m="1" x="211"/>
        <item m="1" x="346"/>
        <item m="1" x="626"/>
        <item m="1" x="141"/>
        <item m="1" x="274"/>
        <item m="1" x="328"/>
        <item m="1" x="379"/>
        <item m="1" x="503"/>
        <item m="1" x="528"/>
        <item m="1" x="609"/>
        <item m="1" x="21"/>
        <item m="1" x="502"/>
        <item m="1" x="533"/>
        <item m="1" x="439"/>
        <item m="1" x="515"/>
        <item m="1" x="630"/>
        <item m="1" x="74"/>
        <item m="1" x="555"/>
        <item m="1" x="618"/>
        <item m="1" x="325"/>
        <item m="1" x="151"/>
        <item m="1" x="465"/>
        <item m="1" x="566"/>
        <item m="1" x="176"/>
        <item m="1" x="275"/>
        <item m="1" x="305"/>
        <item m="1" x="50"/>
        <item m="1" x="269"/>
        <item m="1" x="64"/>
        <item m="1" x="543"/>
        <item m="1" x="510"/>
        <item m="1" x="560"/>
        <item m="1" x="182"/>
        <item m="1" x="671"/>
        <item m="1" x="567"/>
        <item m="1" x="495"/>
        <item m="1" x="500"/>
        <item m="1" x="636"/>
        <item m="1" x="174"/>
        <item m="1" x="277"/>
        <item m="1" x="437"/>
        <item m="1" x="155"/>
        <item m="1" x="338"/>
        <item m="1" x="40"/>
        <item m="1" x="548"/>
        <item m="1" x="573"/>
        <item m="1" x="316"/>
        <item m="1" x="629"/>
        <item m="1" x="202"/>
        <item m="1" x="724"/>
        <item m="1" x="483"/>
        <item m="1" x="120"/>
        <item m="1" x="97"/>
        <item m="1" x="718"/>
        <item m="1" x="302"/>
        <item m="1" x="320"/>
        <item m="1" x="306"/>
        <item m="1" x="282"/>
        <item m="1" x="690"/>
        <item m="1" x="728"/>
        <item m="1" x="243"/>
        <item m="1" x="730"/>
        <item m="1" x="374"/>
        <item m="1" x="386"/>
        <item m="1" x="522"/>
        <item m="1" x="32"/>
        <item m="1" x="61"/>
        <item m="1" x="441"/>
        <item m="1" x="8"/>
        <item m="1" x="44"/>
        <item m="1" x="620"/>
        <item m="1" x="267"/>
        <item m="1" x="734"/>
        <item m="1" x="56"/>
        <item m="1" x="614"/>
        <item m="1" x="556"/>
        <item m="1" x="51"/>
        <item m="1" x="436"/>
        <item m="1" x="399"/>
        <item m="1" x="186"/>
        <item m="1" x="226"/>
        <item m="1" x="725"/>
        <item m="1" x="643"/>
        <item m="1" x="134"/>
        <item m="1" x="145"/>
        <item m="1" x="576"/>
        <item m="1" x="106"/>
        <item m="1" x="565"/>
        <item m="1" x="571"/>
        <item m="1" x="33"/>
        <item m="1" x="310"/>
        <item m="1" x="462"/>
        <item m="1" x="9"/>
        <item m="1" x="221"/>
        <item m="1" x="631"/>
        <item m="1" x="95"/>
        <item m="1" x="146"/>
        <item m="1" x="715"/>
        <item m="1" x="722"/>
        <item m="1" x="279"/>
        <item m="1" x="525"/>
        <item m="1" x="192"/>
        <item m="1" x="574"/>
        <item m="1" x="111"/>
        <item m="1" x="645"/>
        <item m="1" x="587"/>
        <item m="1" x="268"/>
        <item m="1" x="147"/>
        <item m="1" x="732"/>
        <item m="1" x="350"/>
        <item m="1" x="39"/>
        <item m="1" x="5"/>
        <item m="1" x="26"/>
        <item m="1" x="156"/>
        <item m="1" x="659"/>
        <item m="1" x="735"/>
        <item m="1" x="589"/>
        <item m="1" x="617"/>
        <item m="1" x="88"/>
        <item m="1" x="729"/>
        <item m="1" x="261"/>
        <item m="1" x="18"/>
        <item m="1" x="640"/>
        <item m="1" x="547"/>
        <item m="1" x="692"/>
        <item m="1" x="272"/>
        <item m="1" x="336"/>
        <item m="1" x="161"/>
        <item m="1" x="343"/>
        <item m="1" x="660"/>
        <item m="1" x="657"/>
        <item m="1" x="605"/>
        <item m="1" x="414"/>
        <item m="1" x="197"/>
        <item m="1" x="639"/>
        <item m="1" x="35"/>
        <item m="1" x="508"/>
        <item m="1" x="463"/>
        <item m="1" x="80"/>
        <item m="1" x="300"/>
        <item m="1" x="90"/>
        <item m="1" x="46"/>
        <item m="1" x="694"/>
        <item m="1" x="358"/>
        <item m="1" x="337"/>
        <item m="1" x="683"/>
        <item m="1" x="212"/>
        <item m="1" x="2"/>
        <item m="1" x="126"/>
        <item m="1" x="669"/>
        <item m="1" x="201"/>
        <item m="1" x="650"/>
        <item m="1" x="24"/>
        <item m="1" x="716"/>
        <item m="1" x="220"/>
        <item m="1" x="372"/>
        <item m="1" x="538"/>
        <item m="1" x="590"/>
        <item m="1" x="136"/>
        <item m="1" x="117"/>
        <item m="1" x="563"/>
        <item m="1" x="662"/>
        <item m="1" x="557"/>
        <item m="1" x="115"/>
        <item m="1" x="646"/>
        <item m="1" x="293"/>
        <item m="1" x="249"/>
        <item m="1" x="294"/>
        <item m="1" x="260"/>
        <item m="1" x="250"/>
        <item m="1" x="262"/>
        <item m="1" x="238"/>
        <item m="1" x="296"/>
        <item m="1" x="283"/>
        <item m="1" x="303"/>
        <item m="1" x="240"/>
        <item m="1" x="297"/>
        <item m="1" x="241"/>
        <item m="1" x="298"/>
        <item m="1" x="265"/>
        <item m="1" x="242"/>
        <item m="1" x="266"/>
        <item m="1" x="244"/>
        <item m="1" x="270"/>
        <item m="1" x="11"/>
        <item m="1" x="415"/>
        <item m="1" x="375"/>
        <item m="1" x="440"/>
        <item m="1" x="442"/>
        <item m="1" x="486"/>
        <item m="1" x="445"/>
        <item m="1" x="397"/>
        <item m="1" x="487"/>
        <item m="1" x="420"/>
        <item m="1" x="488"/>
        <item m="1" x="468"/>
        <item m="1" x="421"/>
        <item m="1" x="377"/>
        <item m="1" x="489"/>
        <item m="1" x="471"/>
        <item m="1" x="449"/>
        <item m="1" x="400"/>
        <item m="1" x="423"/>
        <item m="1" x="381"/>
        <item m="1" x="505"/>
        <item m="1" x="450"/>
        <item m="1" x="424"/>
        <item m="1" x="383"/>
        <item m="1" x="507"/>
        <item m="1" x="451"/>
        <item m="1" x="425"/>
        <item m="1" x="401"/>
        <item m="1" x="364"/>
        <item m="1" x="509"/>
        <item m="1" x="492"/>
        <item m="1" x="452"/>
        <item m="1" x="426"/>
        <item m="1" x="402"/>
        <item m="1" x="365"/>
        <item m="1" x="453"/>
        <item m="1" x="428"/>
        <item m="1" x="403"/>
        <item m="1" x="384"/>
        <item m="1" x="475"/>
        <item m="1" x="430"/>
        <item m="1" x="385"/>
        <item m="1" x="494"/>
        <item m="1" x="455"/>
        <item m="1" x="405"/>
        <item m="1" x="366"/>
        <item m="1" x="511"/>
        <item m="1" x="496"/>
        <item m="1" x="456"/>
        <item m="1" x="367"/>
        <item m="1" x="512"/>
        <item m="1" x="497"/>
        <item m="1" x="457"/>
        <item m="1" x="432"/>
        <item m="1" x="406"/>
        <item m="1" x="514"/>
        <item m="1" x="498"/>
        <item m="1" x="433"/>
        <item m="1" x="387"/>
        <item m="1" x="368"/>
        <item m="1" x="499"/>
        <item m="1" x="434"/>
        <item m="1" x="409"/>
        <item m="1" x="388"/>
        <item m="1" x="369"/>
        <item m="1" x="410"/>
        <item m="1" x="370"/>
        <item m="1" x="460"/>
        <item m="1" x="516"/>
        <item m="1" x="461"/>
        <item m="1" x="412"/>
        <item m="1" x="391"/>
        <item m="1" x="501"/>
        <item m="1" x="517"/>
        <item m="1" x="519"/>
        <item m="1" x="443"/>
        <item m="1" x="448"/>
        <item m="1" x="484"/>
        <item m="1" x="469"/>
        <item m="1" x="216"/>
        <item m="1" x="217"/>
        <item m="1" x="180"/>
        <item m="1" x="172"/>
        <item m="1" x="234"/>
        <item m="1" x="218"/>
        <item m="1" x="235"/>
        <item m="1" x="205"/>
        <item m="1" x="160"/>
        <item m="1" x="236"/>
        <item m="1" x="219"/>
        <item m="1" x="183"/>
        <item m="1" x="173"/>
        <item m="1" x="162"/>
        <item m="1" x="237"/>
        <item m="1" x="206"/>
        <item m="1" x="185"/>
        <item m="1" x="163"/>
        <item m="1" x="175"/>
        <item m="1" x="164"/>
        <item m="1" x="177"/>
        <item m="1" x="200"/>
        <item t="default"/>
      </items>
    </pivotField>
    <pivotField axis="axisRow" showAll="0" sortType="ascending">
      <items count="8001">
        <item m="1" x="0"/>
        <item m="1" x="7835"/>
        <item m="1" x="2245"/>
        <item m="1" x="7426"/>
        <item m="1" x="4623"/>
        <item m="1" x="3224"/>
        <item m="1" x="1825"/>
        <item m="1" x="419"/>
        <item m="1" x="7010"/>
        <item m="1" x="6320"/>
        <item m="1" x="5617"/>
        <item m="1" x="4917"/>
        <item m="1" x="4208"/>
        <item m="1" x="3511"/>
        <item m="1" x="2817"/>
        <item m="1" x="2130"/>
        <item m="1" x="1421"/>
        <item m="1" x="1066"/>
        <item m="1" x="713"/>
        <item m="1" x="356"/>
        <item m="1" x="10"/>
        <item m="1" x="7659"/>
        <item m="1" x="7303"/>
        <item m="1" x="6951"/>
        <item m="1" x="6605"/>
        <item m="1" x="6255"/>
        <item m="1" x="5903"/>
        <item m="1" x="5555"/>
        <item m="1" x="5212"/>
        <item m="1" x="4853"/>
        <item m="1" x="4502"/>
        <item m="1" x="4151"/>
        <item m="1" x="3805"/>
        <item m="1" x="3624"/>
        <item m="1" x="3449"/>
        <item m="1" x="3277"/>
        <item m="1" x="3101"/>
        <item m="1" x="2928"/>
        <item m="1" x="2758"/>
        <item m="1" x="2584"/>
        <item m="1" x="2413"/>
        <item m="1" x="2240"/>
        <item m="1" x="2065"/>
        <item m="1" x="1886"/>
        <item m="1" x="1710"/>
        <item m="1" x="1540"/>
        <item m="1" x="1365"/>
        <item m="1" x="1186"/>
        <item m="1" x="1011"/>
        <item m="1" x="833"/>
        <item m="1" x="650"/>
        <item m="1" x="475"/>
        <item m="1" x="295"/>
        <item m="1" x="120"/>
        <item m="1" x="7944"/>
        <item m="1" x="7767"/>
        <item m="1" x="7594"/>
        <item m="1" x="7421"/>
        <item m="1" x="7240"/>
        <item m="1" x="7069"/>
        <item m="1" x="6892"/>
        <item m="1" x="6718"/>
        <item m="1" x="6547"/>
        <item m="1" x="6374"/>
        <item m="1" x="6196"/>
        <item m="1" x="2126"/>
        <item m="1" x="6022"/>
        <item m="1" x="1945"/>
        <item m="1" x="5848"/>
        <item m="1" x="1765"/>
        <item m="1" x="5672"/>
        <item m="1" x="1595"/>
        <item m="1" x="5496"/>
        <item m="1" x="1418"/>
        <item m="1" x="5319"/>
        <item m="1" x="1242"/>
        <item m="1" x="5150"/>
        <item m="1" x="1063"/>
        <item m="1" x="4969"/>
        <item m="1" x="888"/>
        <item m="1" x="4785"/>
        <item m="1" x="709"/>
        <item m="1" x="4614"/>
        <item m="1" x="531"/>
        <item m="1" x="4439"/>
        <item m="1" x="353"/>
        <item m="1" x="4265"/>
        <item m="1" x="181"/>
        <item m="1" x="4091"/>
        <item m="1" x="6"/>
        <item m="1" x="3916"/>
        <item m="1" x="7827"/>
        <item m="1" x="3744"/>
        <item m="1" x="7655"/>
        <item m="1" x="3566"/>
        <item m="1" x="7478"/>
        <item m="1" x="3390"/>
        <item m="1" x="7299"/>
        <item m="1" x="3218"/>
        <item m="1" x="7126"/>
        <item m="1" x="3045"/>
        <item m="1" x="6948"/>
        <item m="1" x="2871"/>
        <item m="1" x="6777"/>
        <item m="1" x="2699"/>
        <item m="1" x="6602"/>
        <item m="1" x="2523"/>
        <item m="1" x="6428"/>
        <item m="1" x="2350"/>
        <item m="1" x="6251"/>
        <item m="1" x="2180"/>
        <item m="1" x="6077"/>
        <item m="1" x="1999"/>
        <item m="1" x="5899"/>
        <item m="1" x="1820"/>
        <item m="1" x="5728"/>
        <item m="1" x="1650"/>
        <item m="1" x="5549"/>
        <item m="1" x="1476"/>
        <item m="1" x="5379"/>
        <item m="1" x="1303"/>
        <item m="1" x="5208"/>
        <item m="1" x="1123"/>
        <item m="1" x="5029"/>
        <item m="1" x="948"/>
        <item m="1" x="4849"/>
        <item m="1" x="771"/>
        <item m="1" x="4675"/>
        <item m="1" x="589"/>
        <item m="1" x="6544"/>
        <item m="1" x="4498"/>
        <item m="1" x="2469"/>
        <item m="1" x="413"/>
        <item m="1" x="6371"/>
        <item m="1" x="4324"/>
        <item m="1" x="2293"/>
        <item m="1" x="239"/>
        <item m="1" x="6193"/>
        <item m="1" x="4146"/>
        <item m="1" x="2124"/>
        <item m="1" x="63"/>
        <item m="1" x="6019"/>
        <item m="1" x="3975"/>
        <item m="1" x="1942"/>
        <item m="1" x="7887"/>
        <item m="1" x="5844"/>
        <item m="1" x="3801"/>
        <item m="1" x="1763"/>
        <item m="1" x="7712"/>
        <item m="1" x="5670"/>
        <item m="1" x="3620"/>
        <item m="1" x="1592"/>
        <item m="1" x="7534"/>
        <item m="1" x="5493"/>
        <item m="1" x="3446"/>
        <item m="1" x="1416"/>
        <item m="1" x="7357"/>
        <item m="1" x="5317"/>
        <item m="1" x="3272"/>
        <item m="1" x="1239"/>
        <item m="1" x="7177"/>
        <item m="1" x="5148"/>
        <item m="1" x="3098"/>
        <item m="1" x="1061"/>
        <item m="1" x="7004"/>
        <item m="1" x="4966"/>
        <item m="1" x="2923"/>
        <item m="1" x="884"/>
        <item m="1" x="6829"/>
        <item m="1" x="4783"/>
        <item m="1" x="2755"/>
        <item m="1" x="707"/>
        <item m="1" x="6655"/>
        <item m="1" x="4611"/>
        <item m="1" x="2578"/>
        <item m="1" x="528"/>
        <item m="1" x="6486"/>
        <item m="1" x="4437"/>
        <item m="1" x="2411"/>
        <item m="1" x="351"/>
        <item m="1" x="6312"/>
        <item m="1" x="4262"/>
        <item m="1" x="2234"/>
        <item m="1" x="179"/>
        <item m="1" x="6134"/>
        <item m="1" x="4089"/>
        <item m="1" x="2062"/>
        <item m="1" x="3"/>
        <item m="1" x="5960"/>
        <item m="1" x="3912"/>
        <item m="1" x="1881"/>
        <item m="1" x="7825"/>
        <item m="1" x="5789"/>
        <item m="1" x="3742"/>
        <item m="1" x="1705"/>
        <item m="1" x="7652"/>
        <item m="1" x="5439"/>
        <item m="1" x="3388"/>
        <item m="1" x="1360"/>
        <item m="1" x="7124"/>
        <item m="1" x="5090"/>
        <item m="1" x="3042"/>
        <item m="1" x="1007"/>
        <item m="1" x="830"/>
        <item m="1" x="6776"/>
        <item m="1" x="4728"/>
        <item m="1" x="2697"/>
        <item m="1" x="473"/>
        <item m="1" x="6427"/>
        <item m="1" x="4378"/>
        <item m="1" x="2178"/>
        <item m="1" x="118"/>
        <item m="1" x="6075"/>
        <item m="1" x="4030"/>
        <item m="1" x="3854"/>
        <item m="1" x="1819"/>
        <item m="1" x="7763"/>
        <item m="1" x="5726"/>
        <item m="1" x="3504"/>
        <item m="1" x="1475"/>
        <item m="1" x="7417"/>
        <item m="1" x="5206"/>
        <item m="1" x="3157"/>
        <item m="1" x="1121"/>
        <item m="1" x="7066"/>
        <item m="1" x="6888"/>
        <item m="1" x="1880"/>
        <item m="1" x="4847"/>
        <item m="1" x="7824"/>
        <item m="1" x="2811"/>
        <item m="1" x="5787"/>
        <item m="1" x="769"/>
        <item m="1" x="3740"/>
        <item m="1" x="3563"/>
        <item m="1" x="6543"/>
        <item m="1" x="1537"/>
        <item m="1" x="4497"/>
        <item m="1" x="7475"/>
        <item m="1" x="2467"/>
        <item m="1" x="5437"/>
        <item m="1" x="411"/>
        <item m="1" x="237"/>
        <item m="1" x="3216"/>
        <item m="1" x="6192"/>
        <item m="1" x="1181"/>
        <item m="1" x="4144"/>
        <item m="1" x="7122"/>
        <item m="1" x="2122"/>
        <item m="1" x="1940"/>
        <item m="1" x="4909"/>
        <item m="1" x="7886"/>
        <item m="1" x="2869"/>
        <item m="1" x="5842"/>
        <item m="1" x="828"/>
        <item m="1" x="3799"/>
        <item m="1" x="6774"/>
        <item m="1" x="6599"/>
        <item m="1" x="1591"/>
        <item m="1" x="4557"/>
        <item m="1" x="7533"/>
        <item m="1" x="2520"/>
        <item m="1" x="5491"/>
        <item m="1" x="471"/>
        <item m="1" x="3444"/>
        <item m="1" x="3270"/>
        <item m="1" x="6249"/>
        <item m="1" x="1238"/>
        <item m="1" x="4200"/>
        <item m="1" x="7175"/>
        <item m="1" x="2176"/>
        <item m="1" x="5146"/>
        <item m="1" x="4964"/>
        <item m="1" x="7939"/>
        <item m="1" x="2922"/>
        <item m="1" x="5897"/>
        <item m="1" x="882"/>
        <item m="1" x="3852"/>
        <item m="1" x="6827"/>
        <item m="1" x="1817"/>
        <item m="1" x="1647"/>
        <item m="1" x="4610"/>
        <item m="1" x="7590"/>
        <item m="1" x="2577"/>
        <item m="1" x="5546"/>
        <item m="1" x="526"/>
        <item m="1" x="3502"/>
        <item m="1" x="6484"/>
        <item m="1" x="6310"/>
        <item m="1" x="1301"/>
        <item m="1" x="4261"/>
        <item m="1" x="7235"/>
        <item m="1" x="2233"/>
        <item m="1" x="5205"/>
        <item m="1" x="178"/>
        <item m="1" x="1"/>
        <item m="1" x="2983"/>
        <item m="1" x="5959"/>
        <item m="1" x="946"/>
        <item m="1" x="3911"/>
        <item m="1" x="6887"/>
        <item m="1" x="1879"/>
        <item m="1" x="4846"/>
        <item m="1" x="4672"/>
        <item m="1" x="7650"/>
        <item m="1" x="2641"/>
        <item m="1" x="5609"/>
        <item m="1" x="587"/>
        <item m="1" x="3562"/>
        <item m="1" x="6542"/>
        <item m="1" x="1536"/>
        <item m="1" x="1358"/>
        <item m="1" x="4322"/>
        <item m="1" x="7296"/>
        <item m="1" x="2291"/>
        <item m="1" x="5262"/>
        <item m="1" x="236"/>
        <item m="1" x="3215"/>
        <item m="1" x="3040"/>
        <item m="1" x="6016"/>
        <item m="1" x="1006"/>
        <item m="1" x="3973"/>
        <item m="1" x="6944"/>
        <item m="1" x="1939"/>
        <item m="1" x="4908"/>
        <item m="1" x="7885"/>
        <item m="1" x="7709"/>
        <item m="1" x="2695"/>
        <item m="1" x="5668"/>
        <item m="1" x="646"/>
        <item m="1" x="3618"/>
        <item m="1" x="6598"/>
        <item m="1" x="1590"/>
        <item m="1" x="4556"/>
        <item m="1" x="4376"/>
        <item m="1" x="7355"/>
        <item m="1" x="2348"/>
        <item m="1" x="5315"/>
        <item m="1" x="290"/>
        <item m="1" x="3269"/>
        <item m="1" x="6248"/>
        <item m="1" x="6073"/>
        <item m="1" x="1058"/>
        <item m="1" x="4029"/>
        <item m="1" x="7002"/>
        <item m="1" x="1996"/>
        <item m="1" x="4963"/>
        <item m="1" x="7938"/>
        <item m="1" x="2921"/>
        <item m="1" x="2752"/>
        <item m="1" x="5724"/>
        <item m="1" x="705"/>
        <item m="1" x="3677"/>
        <item m="1" x="6653"/>
        <item m="1" x="1646"/>
        <item m="1" x="4609"/>
        <item m="1" x="7589"/>
        <item m="1" x="7414"/>
        <item m="1" x="2408"/>
        <item m="1" x="5376"/>
        <item m="1" x="6858"/>
        <item m="1" x="349"/>
        <item m="1" x="1848"/>
        <item m="1" x="3330"/>
        <item m="1" x="4815"/>
        <item m="1" x="6309"/>
        <item m="1" x="7794"/>
        <item m="1" x="1300"/>
        <item m="1" x="2786"/>
        <item m="1" x="1119"/>
        <item m="1" x="2610"/>
        <item m="1" x="4086"/>
        <item m="1" x="5583"/>
        <item m="1" x="7064"/>
        <item m="1" x="560"/>
        <item m="1" x="2059"/>
        <item m="1" x="3531"/>
        <item m="1" x="5026"/>
        <item m="1" x="6512"/>
        <item m="1" x="7999"/>
        <item m="1" x="1505"/>
        <item m="1" x="2982"/>
        <item m="1" x="4467"/>
        <item m="1" x="5958"/>
        <item m="1" x="4290"/>
        <item m="1" x="5785"/>
        <item m="1" x="7266"/>
        <item m="1" x="767"/>
        <item m="1" x="2267"/>
        <item m="1" x="3738"/>
        <item m="1" x="5235"/>
        <item m="1" x="6714"/>
        <item m="1" x="205"/>
        <item m="1" x="1703"/>
        <item m="1" x="3183"/>
        <item m="1" x="4671"/>
        <item m="1" x="6161"/>
        <item m="1" x="7649"/>
        <item m="1" x="1153"/>
        <item m="1" x="2640"/>
        <item m="1" x="975"/>
        <item m="1" x="2465"/>
        <item m="1" x="3944"/>
        <item m="1" x="5435"/>
        <item m="1" x="6919"/>
        <item m="1" x="409"/>
        <item m="1" x="1909"/>
        <item m="1" x="3386"/>
        <item m="1" x="4876"/>
        <item m="1" x="6368"/>
        <item m="1" x="7854"/>
        <item m="1" x="1357"/>
        <item m="1" x="2840"/>
        <item m="1" x="4321"/>
        <item m="1" x="5817"/>
        <item m="1" x="4142"/>
        <item m="1" x="5639"/>
        <item m="1" x="7120"/>
        <item m="1" x="621"/>
        <item m="1" x="2120"/>
        <item m="1" x="3593"/>
        <item m="1" x="5087"/>
        <item m="1" x="6570"/>
        <item m="1" x="60"/>
        <item m="1" x="1563"/>
        <item m="1" x="3039"/>
        <item m="1" x="4528"/>
        <item m="1" x="6015"/>
        <item m="1" x="7506"/>
        <item m="1" x="1005"/>
        <item m="1" x="7326"/>
        <item m="1" x="826"/>
        <item m="1" x="2321"/>
        <item m="1" x="3797"/>
        <item m="1" x="5293"/>
        <item m="1" x="6772"/>
        <item m="1" x="265"/>
        <item m="1" x="1761"/>
        <item m="1" x="3243"/>
        <item m="1" x="4726"/>
        <item m="1" x="6220"/>
        <item m="1" x="7708"/>
        <item m="1" x="1209"/>
        <item m="1" x="2694"/>
        <item m="1" x="4176"/>
        <item m="1" x="5667"/>
        <item m="1" x="3999"/>
        <item m="1" x="5489"/>
        <item m="1" x="6974"/>
        <item m="1" x="468"/>
        <item m="1" x="1970"/>
        <item m="1" x="3441"/>
        <item m="1" x="4934"/>
        <item m="1" x="6424"/>
        <item m="1" x="7910"/>
        <item m="1" x="1412"/>
        <item m="1" x="2892"/>
        <item m="1" x="4374"/>
        <item m="1" x="5869"/>
        <item m="1" x="7353"/>
        <item m="1" x="857"/>
        <item m="1" x="7173"/>
        <item m="1" x="673"/>
        <item m="1" x="2174"/>
        <item m="1" x="3650"/>
        <item m="1" x="5143"/>
        <item m="1" x="6627"/>
        <item m="1" x="115"/>
        <item m="1" x="1618"/>
        <item m="1" x="3094"/>
        <item m="1" x="4581"/>
        <item m="1" x="6071"/>
        <item m="1" x="7560"/>
        <item m="1" x="1056"/>
        <item m="1" x="2550"/>
        <item m="1" x="4027"/>
        <item m="1" x="3850"/>
        <item m="1" x="5344"/>
        <item m="1" x="6825"/>
        <item m="1" x="319"/>
        <item m="1" x="1814"/>
        <item m="1" x="3298"/>
        <item m="1" x="4780"/>
        <item m="1" x="6277"/>
        <item m="1" x="7760"/>
        <item m="1" x="1266"/>
        <item m="1" x="2750"/>
        <item m="1" x="4228"/>
        <item m="1" x="5722"/>
        <item m="1" x="7206"/>
        <item m="1" x="703"/>
        <item m="1" x="7029"/>
        <item m="1" x="523"/>
        <item m="1" x="2027"/>
        <item m="1" x="3499"/>
        <item m="1" x="4996"/>
        <item m="1" x="6480"/>
        <item m="1" x="7968"/>
        <item m="1" x="1471"/>
        <item m="1" x="2951"/>
        <item m="1" x="4432"/>
        <item m="1" x="5926"/>
        <item m="1" x="7412"/>
        <item m="1" x="915"/>
        <item m="1" x="2406"/>
        <item m="1" x="3885"/>
        <item m="1" x="2231"/>
        <item m="1" x="3706"/>
        <item m="1" x="5202"/>
        <item m="1" x="6686"/>
        <item m="1" x="174"/>
        <item m="1" x="1676"/>
        <item m="1" x="3154"/>
        <item m="1" x="4642"/>
        <item m="1" x="6130"/>
        <item m="1" x="7619"/>
        <item m="1" x="1117"/>
        <item m="1" x="2608"/>
        <item m="1" x="4084"/>
        <item m="1" x="5581"/>
        <item m="1" x="7062"/>
        <item m="1" x="6884"/>
        <item m="1" x="379"/>
        <item m="1" x="1876"/>
        <item m="1" x="3358"/>
        <item m="1" x="4842"/>
        <item m="1" x="6338"/>
        <item m="1" x="7821"/>
        <item m="1" x="1327"/>
        <item m="1" x="2808"/>
        <item m="1" x="4288"/>
        <item m="1" x="5783"/>
        <item m="1" x="7264"/>
        <item m="1" x="765"/>
        <item m="1" x="2265"/>
        <item m="1" x="3736"/>
        <item m="1" x="2088"/>
        <item m="1" x="3559"/>
        <item m="1" x="5057"/>
        <item m="1" x="6539"/>
        <item m="1" x="32"/>
        <item m="1" x="1532"/>
        <item m="1" x="3010"/>
        <item m="1" x="4494"/>
        <item m="1" x="5985"/>
        <item m="1" x="7472"/>
        <item m="1" x="973"/>
        <item m="1" x="2463"/>
        <item m="1" x="3942"/>
        <item m="1" x="5433"/>
        <item m="1" x="6917"/>
        <item m="1" x="5260"/>
        <item m="1" x="6741"/>
        <item m="1" x="233"/>
        <item m="1" x="1733"/>
        <item m="1" x="3211"/>
        <item m="1" x="4699"/>
        <item m="1" x="6189"/>
        <item m="1" x="7680"/>
        <item m="1" x="1178"/>
        <item m="1" x="2665"/>
        <item m="1" x="4140"/>
        <item m="1" x="5637"/>
        <item m="1" x="7118"/>
        <item m="1" x="619"/>
        <item m="1" x="2118"/>
        <item m="1" x="1936"/>
        <item m="1" x="3415"/>
        <item m="1" x="4905"/>
        <item m="1" x="6398"/>
        <item m="1" x="7881"/>
        <item m="1" x="1386"/>
        <item m="1" x="2866"/>
        <item m="1" x="4348"/>
        <item m="1" x="5839"/>
        <item m="1" x="7324"/>
        <item m="1" x="824"/>
        <item m="1" x="2319"/>
        <item m="1" x="3795"/>
        <item m="1" x="5291"/>
        <item m="1" x="6770"/>
        <item m="1" x="5114"/>
        <item m="1" x="6596"/>
        <item m="1" x="88"/>
        <item m="1" x="1588"/>
        <item m="1" x="3068"/>
        <item m="1" x="4553"/>
        <item m="1" x="6043"/>
        <item m="1" x="7530"/>
        <item m="1" x="1029"/>
        <item m="1" x="2517"/>
        <item m="1" x="3997"/>
        <item m="1" x="5487"/>
        <item m="1" x="6972"/>
        <item m="1" x="466"/>
        <item m="1" x="1968"/>
        <item m="1" x="289"/>
        <item m="1" x="1786"/>
        <item m="1" x="3267"/>
        <item m="1" x="4752"/>
        <item m="1" x="6245"/>
        <item m="1" x="7734"/>
        <item m="1" x="1235"/>
        <item m="1" x="2721"/>
        <item m="1" x="4197"/>
        <item m="1" x="5692"/>
        <item m="1" x="7171"/>
        <item m="1" x="671"/>
        <item m="1" x="2172"/>
        <item m="1" x="3648"/>
        <item m="1" x="5141"/>
        <item m="1" x="4961"/>
        <item m="1" x="6452"/>
        <item m="1" x="7936"/>
        <item m="1" x="1442"/>
        <item m="1" x="2918"/>
        <item m="1" x="4402"/>
        <item m="1" x="5894"/>
        <item m="1" x="7379"/>
        <item m="1" x="879"/>
        <item m="1" x="2372"/>
        <item m="1" x="3848"/>
        <item m="1" x="5342"/>
        <item m="1" x="6823"/>
        <item m="1" x="317"/>
        <item m="1" x="1812"/>
        <item m="1" x="7395"/>
        <item m="1" x="143"/>
        <item m="1" x="898"/>
        <item m="1" x="1644"/>
        <item m="1" x="2388"/>
        <item m="1" x="3123"/>
        <item m="1" x="3866"/>
        <item m="1" x="4607"/>
        <item m="1" x="5358"/>
        <item m="1" x="6101"/>
        <item m="1" x="6840"/>
        <item m="1" x="7586"/>
        <item m="1" x="331"/>
        <item m="1" x="1086"/>
        <item m="1" x="1830"/>
        <item m="1" x="2574"/>
        <item m="1" x="3310"/>
        <item m="1" x="4051"/>
        <item m="1" x="4793"/>
        <item m="1" x="5543"/>
        <item m="1" x="6289"/>
        <item m="1" x="7027"/>
        <item m="1" x="7774"/>
        <item m="1" x="521"/>
        <item m="1" x="1279"/>
        <item m="1" x="2025"/>
        <item m="1" x="2766"/>
        <item m="1" x="3497"/>
        <item m="1" x="4242"/>
        <item m="1" x="4994"/>
        <item m="1" x="5738"/>
        <item m="1" x="3329"/>
        <item m="1" x="4070"/>
        <item m="1" x="4813"/>
        <item m="1" x="5565"/>
        <item m="1" x="6307"/>
        <item m="1" x="7046"/>
        <item m="1" x="7792"/>
        <item m="1" x="543"/>
        <item m="1" x="1297"/>
        <item m="1" x="2044"/>
        <item m="1" x="2783"/>
        <item m="1" x="3516"/>
        <item m="1" x="4258"/>
        <item m="1" x="5011"/>
        <item m="1" x="5754"/>
        <item m="1" x="6496"/>
        <item m="1" x="7232"/>
        <item m="1" x="7981"/>
        <item m="1" x="733"/>
        <item m="1" x="1487"/>
        <item m="1" x="2229"/>
        <item m="1" x="2965"/>
        <item m="1" x="3704"/>
        <item m="1" x="4449"/>
        <item m="1" x="5200"/>
        <item m="1" x="5940"/>
        <item m="1" x="6684"/>
        <item m="1" x="7430"/>
        <item m="1" x="172"/>
        <item m="1" x="929"/>
        <item m="1" x="7250"/>
        <item m="1" x="7997"/>
        <item m="1" x="750"/>
        <item m="1" x="1503"/>
        <item m="1" x="2249"/>
        <item m="1" x="2980"/>
        <item m="1" x="3721"/>
        <item m="1" x="4464"/>
        <item m="1" x="5220"/>
        <item m="1" x="5955"/>
        <item m="1" x="6699"/>
        <item m="1" x="7444"/>
        <item m="1" x="190"/>
        <item m="1" x="943"/>
        <item m="1" x="1688"/>
        <item m="1" x="2432"/>
        <item m="1" x="3166"/>
        <item m="1" x="3908"/>
        <item m="1" x="4653"/>
        <item m="1" x="5402"/>
        <item m="1" x="6144"/>
        <item m="1" x="6882"/>
        <item m="1" x="7632"/>
        <item m="1" x="377"/>
        <item m="1" x="1134"/>
        <item m="1" x="1874"/>
        <item m="1" x="2623"/>
        <item m="1" x="3356"/>
        <item m="1" x="4099"/>
        <item m="1" x="4840"/>
        <item m="1" x="2449"/>
        <item m="1" x="3182"/>
        <item m="1" x="3927"/>
        <item m="1" x="4669"/>
        <item m="1" x="5417"/>
        <item m="1" x="6159"/>
        <item m="1" x="6901"/>
        <item m="1" x="7647"/>
        <item m="1" x="393"/>
        <item m="1" x="1150"/>
        <item m="1" x="1894"/>
        <item m="1" x="2637"/>
        <item m="1" x="3371"/>
        <item m="1" x="4113"/>
        <item m="1" x="4860"/>
        <item m="1" x="5606"/>
        <item m="1" x="6350"/>
        <item m="1" x="7088"/>
        <item m="1" x="7836"/>
        <item m="1" x="584"/>
        <item m="1" x="1340"/>
        <item m="1" x="2086"/>
        <item m="1" x="2823"/>
        <item m="1" x="3557"/>
        <item m="1" x="4303"/>
        <item m="1" x="5055"/>
        <item m="1" x="5799"/>
        <item m="1" x="6537"/>
        <item m="1" x="7279"/>
        <item m="1" x="30"/>
        <item m="1" x="780"/>
        <item m="1" x="6367"/>
        <item m="1" x="7104"/>
        <item m="1" x="7852"/>
        <item m="1" x="603"/>
        <item m="1" x="1355"/>
        <item m="1" x="2102"/>
        <item m="1" x="2838"/>
        <item m="1" x="3576"/>
        <item m="1" x="4318"/>
        <item m="1" x="5072"/>
        <item m="1" x="5814"/>
        <item m="1" x="6555"/>
        <item m="1" x="7293"/>
        <item m="1" x="45"/>
        <item m="1" x="795"/>
        <item m="1" x="1547"/>
        <item m="1" x="2288"/>
        <item m="1" x="3021"/>
        <item m="1" x="3764"/>
        <item m="1" x="4509"/>
        <item m="1" x="5258"/>
        <item m="1" x="5998"/>
        <item m="1" x="6739"/>
        <item m="1" x="7488"/>
        <item m="1" x="231"/>
        <item m="1" x="987"/>
        <item m="1" x="1731"/>
        <item m="1" x="2479"/>
        <item m="1" x="3209"/>
        <item m="1" x="3956"/>
        <item m="1" x="2305"/>
        <item m="1" x="3037"/>
        <item m="1" x="3780"/>
        <item m="1" x="4526"/>
        <item m="1" x="5275"/>
        <item m="1" x="6013"/>
        <item m="1" x="6755"/>
        <item m="1" x="7503"/>
        <item m="1" x="250"/>
        <item m="1" x="1002"/>
        <item m="1" x="1746"/>
        <item m="1" x="2493"/>
        <item m="1" x="3228"/>
        <item m="1" x="3970"/>
        <item m="1" x="4711"/>
        <item m="1" x="5459"/>
        <item m="1" x="6203"/>
        <item m="1" x="6941"/>
        <item m="1" x="7691"/>
        <item m="1" x="437"/>
        <item m="1" x="1193"/>
        <item m="1" x="1934"/>
        <item m="1" x="2678"/>
        <item m="1" x="3413"/>
        <item m="1" x="4158"/>
        <item m="1" x="4903"/>
        <item m="1" x="5651"/>
        <item m="1" x="6396"/>
        <item m="1" x="7134"/>
        <item m="1" x="7879"/>
        <item m="1" x="5475"/>
        <item m="1" x="6219"/>
        <item m="1" x="6960"/>
        <item m="1" x="7707"/>
        <item m="1" x="453"/>
        <item m="1" x="1208"/>
        <item m="1" x="1954"/>
        <item m="1" x="2693"/>
        <item m="1" x="3429"/>
        <item m="1" x="4174"/>
        <item m="1" x="4922"/>
        <item m="1" x="5665"/>
        <item m="1" x="6411"/>
        <item m="1" x="7147"/>
        <item m="1" x="7896"/>
        <item m="1" x="644"/>
        <item m="1" x="1397"/>
        <item m="1" x="2145"/>
        <item m="1" x="2877"/>
        <item m="1" x="3616"/>
        <item m="1" x="4360"/>
        <item m="1" x="5112"/>
        <item m="1" x="5854"/>
        <item m="1" x="6594"/>
        <item m="1" x="7337"/>
        <item m="1" x="86"/>
        <item m="1" x="840"/>
        <item m="1" x="1586"/>
        <item m="1" x="2331"/>
        <item m="1" x="3066"/>
        <item m="1" x="3809"/>
        <item m="1" x="1411"/>
        <item m="1" x="2159"/>
        <item m="1" x="2891"/>
        <item m="1" x="3634"/>
        <item m="1" x="4373"/>
        <item m="1" x="5126"/>
        <item m="1" x="5868"/>
        <item m="1" x="6613"/>
        <item m="1" x="7351"/>
        <item m="1" x="102"/>
        <item m="1" x="855"/>
        <item m="1" x="1604"/>
        <item m="1" x="2345"/>
        <item m="1" x="3080"/>
        <item m="1" x="3822"/>
        <item m="1" x="4566"/>
        <item m="1" x="5312"/>
        <item m="1" x="6054"/>
        <item m="1" x="6795"/>
        <item m="1" x="7544"/>
        <item m="1" x="287"/>
        <item m="1" x="1042"/>
        <item m="1" x="1784"/>
        <item m="1" x="2533"/>
        <item m="1" x="3265"/>
        <item m="1" x="4010"/>
        <item m="1" x="4750"/>
        <item m="1" x="5503"/>
        <item m="1" x="6243"/>
        <item m="1" x="6985"/>
        <item m="1" x="7732"/>
        <item m="1" x="5329"/>
        <item m="1" x="6069"/>
        <item m="1" x="6810"/>
        <item m="1" x="7559"/>
        <item m="1" x="303"/>
        <item m="1" x="1055"/>
        <item m="1" x="1799"/>
        <item m="1" x="2548"/>
        <item m="1" x="3285"/>
        <item m="1" x="4025"/>
        <item m="1" x="4766"/>
        <item m="1" x="5518"/>
        <item m="1" x="6263"/>
        <item m="1" x="6999"/>
        <item m="1" x="7746"/>
        <item m="1" x="493"/>
        <item m="1" x="1250"/>
        <item m="1" x="1993"/>
        <item m="1" x="2733"/>
        <item m="1" x="3468"/>
        <item m="1" x="4213"/>
        <item m="1" x="4959"/>
        <item m="1" x="5706"/>
        <item m="1" x="6450"/>
        <item m="1" x="7188"/>
        <item m="1" x="7934"/>
        <item m="1" x="686"/>
        <item m="1" x="1440"/>
        <item m="1" x="2188"/>
        <item m="1" x="2916"/>
        <item m="1" x="1265"/>
        <item m="1" x="2011"/>
        <item m="1" x="2749"/>
        <item m="1" x="3483"/>
        <item m="1" x="4227"/>
        <item m="1" x="4979"/>
        <item m="1" x="5721"/>
        <item m="1" x="6466"/>
        <item m="1" x="7204"/>
        <item m="1" x="7954"/>
        <item m="1" x="701"/>
        <item m="1" x="1456"/>
        <item m="1" x="2202"/>
        <item m="1" x="2935"/>
        <item m="1" x="3674"/>
        <item m="1" x="4414"/>
        <item m="1" x="5169"/>
        <item m="1" x="5908"/>
        <item m="1" x="6651"/>
        <item m="1" x="7393"/>
        <item m="1" x="141"/>
        <item m="1" x="896"/>
        <item m="1" x="1642"/>
        <item m="1" x="2386"/>
        <item m="1" x="3121"/>
        <item m="1" x="3864"/>
        <item m="1" x="4605"/>
        <item m="1" x="5356"/>
        <item m="1" x="6099"/>
        <item m="1" x="6838"/>
        <item m="1" x="4431"/>
        <item m="1" x="5185"/>
        <item m="1" x="5925"/>
        <item m="1" x="6669"/>
        <item m="1" x="7411"/>
        <item m="1" x="158"/>
        <item m="1" x="914"/>
        <item m="1" x="1663"/>
        <item m="1" x="2404"/>
        <item m="1" x="3140"/>
        <item m="1" x="3883"/>
        <item m="1" x="4627"/>
        <item m="1" x="5373"/>
        <item m="1" x="6116"/>
        <item m="1" x="6855"/>
        <item m="1" x="7605"/>
        <item m="1" x="346"/>
        <item m="1" x="1101"/>
        <item m="1" x="1845"/>
        <item m="1" x="2593"/>
        <item m="1" x="3327"/>
        <item m="1" x="4068"/>
        <item m="1" x="4811"/>
        <item m="1" x="5563"/>
        <item m="1" x="6305"/>
        <item m="1" x="7044"/>
        <item m="1" x="7790"/>
        <item m="1" x="541"/>
        <item m="1" x="1295"/>
        <item m="1" x="2042"/>
        <item m="1" x="2781"/>
        <item m="1" x="363"/>
        <item m="1" x="1115"/>
        <item m="1" x="1861"/>
        <item m="1" x="2607"/>
        <item m="1" x="3343"/>
        <item m="1" x="4083"/>
        <item m="1" x="4828"/>
        <item m="1" x="5579"/>
        <item m="1" x="6325"/>
        <item m="1" x="7060"/>
        <item m="1" x="7806"/>
        <item m="1" x="557"/>
        <item m="1" x="1312"/>
        <item m="1" x="2056"/>
        <item m="1" x="2795"/>
        <item m="1" x="3528"/>
        <item m="1" x="4273"/>
        <item m="1" x="5023"/>
        <item m="1" x="5767"/>
        <item m="1" x="6510"/>
        <item m="1" x="7248"/>
        <item m="1" x="7995"/>
        <item m="1" x="748"/>
        <item m="1" x="1501"/>
        <item m="1" x="2247"/>
        <item m="1" x="2978"/>
        <item m="1" x="3719"/>
        <item m="1" x="4462"/>
        <item m="1" x="5218"/>
        <item m="1" x="5953"/>
        <item m="1" x="4287"/>
        <item m="1" x="5040"/>
        <item m="1" x="5782"/>
        <item m="1" x="6524"/>
        <item m="1" x="7263"/>
        <item m="1" x="17"/>
        <item m="1" x="764"/>
        <item m="1" x="1518"/>
        <item m="1" x="2263"/>
        <item m="1" x="2996"/>
        <item m="1" x="3734"/>
        <item m="1" x="4479"/>
        <item m="1" x="5232"/>
        <item m="1" x="5970"/>
        <item m="1" x="6711"/>
        <item m="1" x="7456"/>
        <item m="1" x="202"/>
        <item m="1" x="957"/>
        <item m="1" x="1701"/>
        <item m="1" x="2447"/>
        <item m="1" x="3180"/>
        <item m="1" x="3925"/>
        <item m="1" x="4667"/>
        <item m="1" x="5415"/>
        <item m="1" x="6157"/>
        <item m="1" x="6899"/>
        <item m="1" x="7645"/>
        <item m="1" x="391"/>
        <item m="1" x="1148"/>
        <item m="1" x="1892"/>
        <item m="1" x="7471"/>
        <item m="1" x="217"/>
        <item m="1" x="972"/>
        <item m="1" x="1718"/>
        <item m="1" x="2462"/>
        <item m="1" x="3196"/>
        <item m="1" x="3941"/>
        <item m="1" x="4686"/>
        <item m="1" x="5431"/>
        <item m="1" x="6175"/>
        <item m="1" x="6915"/>
        <item m="1" x="7665"/>
        <item m="1" x="406"/>
        <item m="1" x="1163"/>
        <item m="1" x="1906"/>
        <item m="1" x="2651"/>
        <item m="1" x="3383"/>
        <item m="1" x="4125"/>
        <item m="1" x="4873"/>
        <item m="1" x="5622"/>
        <item m="1" x="6365"/>
        <item m="1" x="7102"/>
        <item m="1" x="7850"/>
        <item m="1" x="601"/>
        <item m="1" x="1353"/>
        <item m="1" x="2100"/>
        <item m="1" x="2836"/>
        <item m="1" x="3574"/>
        <item m="1" x="4316"/>
        <item m="1" x="5070"/>
        <item m="1" x="5812"/>
        <item m="1" x="3399"/>
        <item m="1" x="4139"/>
        <item m="1" x="4889"/>
        <item m="1" x="5636"/>
        <item m="1" x="6383"/>
        <item m="1" x="7117"/>
        <item m="1" x="7867"/>
        <item m="1" x="617"/>
        <item m="1" x="1373"/>
        <item m="1" x="2116"/>
        <item m="1" x="2852"/>
        <item m="1" x="3590"/>
        <item m="1" x="4333"/>
        <item m="1" x="5084"/>
        <item m="1" x="5826"/>
        <item m="1" x="6567"/>
        <item m="1" x="7308"/>
        <item m="1" x="57"/>
        <item m="1" x="808"/>
        <item m="1" x="1561"/>
        <item m="1" x="2303"/>
        <item m="1" x="3035"/>
        <item m="1" x="3778"/>
        <item m="1" x="4524"/>
        <item m="1" x="5273"/>
        <item m="1" x="6011"/>
        <item m="1" x="6753"/>
        <item m="1" x="7501"/>
        <item m="1" x="248"/>
        <item m="1" x="1000"/>
        <item m="1" x="7323"/>
        <item m="1" x="74"/>
        <item m="1" x="823"/>
        <item m="1" x="1575"/>
        <item m="1" x="2318"/>
        <item m="1" x="3055"/>
        <item m="1" x="3794"/>
        <item m="1" x="4541"/>
        <item m="1" x="5289"/>
        <item m="1" x="6031"/>
        <item m="1" x="6768"/>
        <item m="1" x="7518"/>
        <item m="1" x="262"/>
        <item m="1" x="1018"/>
        <item m="1" x="1758"/>
        <item m="1" x="2505"/>
        <item m="1" x="3240"/>
        <item m="1" x="3984"/>
        <item m="1" x="4724"/>
        <item m="1" x="5473"/>
        <item m="1" x="6217"/>
        <item m="1" x="6958"/>
        <item m="1" x="7705"/>
        <item m="1" x="450"/>
        <item m="1" x="1206"/>
        <item m="1" x="1952"/>
        <item m="1" x="2691"/>
        <item m="1" x="3427"/>
        <item m="1" x="4172"/>
        <item m="1" x="4920"/>
        <item m="1" x="2516"/>
        <item m="1" x="3252"/>
        <item m="1" x="3996"/>
        <item m="1" x="4737"/>
        <item m="1" x="5486"/>
        <item m="1" x="6231"/>
        <item m="1" x="6971"/>
        <item m="1" x="7721"/>
        <item m="1" x="464"/>
        <item m="1" x="1221"/>
        <item m="1" x="1966"/>
        <item m="1" x="2707"/>
        <item m="1" x="3438"/>
        <item m="1" x="4184"/>
        <item m="1" x="4931"/>
        <item m="1" x="5679"/>
        <item m="1" x="6421"/>
        <item m="1" x="7157"/>
        <item m="1" x="7907"/>
        <item m="1" x="658"/>
        <item m="1" x="1409"/>
        <item m="1" x="2157"/>
        <item m="1" x="2889"/>
        <item m="1" x="3632"/>
        <item m="1" x="4371"/>
        <item m="1" x="5124"/>
        <item m="1" x="5866"/>
        <item m="1" x="6611"/>
        <item m="1" x="7349"/>
        <item m="1" x="100"/>
        <item m="1" x="853"/>
        <item m="1" x="6436"/>
        <item m="1" x="7169"/>
        <item m="1" x="7921"/>
        <item m="1" x="670"/>
        <item m="1" x="1427"/>
        <item m="1" x="2171"/>
        <item m="1" x="2540"/>
        <item m="1" x="2904"/>
        <item m="1" x="3276"/>
        <item m="1" x="3646"/>
        <item m="1" x="4017"/>
        <item m="1" x="4388"/>
        <item m="1" x="4758"/>
        <item m="1" x="5139"/>
        <item m="1" x="5510"/>
        <item m="1" x="5880"/>
        <item m="1" x="6253"/>
        <item m="1" x="6624"/>
        <item m="1" x="6991"/>
        <item m="1" x="7365"/>
        <item m="1" x="7739"/>
        <item m="1" x="112"/>
        <item m="1" x="486"/>
        <item m="1" x="866"/>
        <item m="1" x="1243"/>
        <item m="1" x="1615"/>
        <item m="1" x="1986"/>
        <item m="1" x="2358"/>
        <item m="1" x="2726"/>
        <item m="1" x="3091"/>
        <item m="1" x="3460"/>
        <item m="1" x="3834"/>
        <item m="1" x="4205"/>
        <item m="1" x="4579"/>
        <item m="1" x="4952"/>
        <item m="1" x="5327"/>
        <item m="1" x="5699"/>
        <item m="1" x="6067"/>
        <item m="1" x="6443"/>
        <item m="1" x="6808"/>
        <item m="1" x="7181"/>
        <item m="1" x="7557"/>
        <item m="1" x="7927"/>
        <item m="1" x="301"/>
        <item m="1" x="678"/>
        <item m="1" x="1053"/>
        <item m="1" x="1433"/>
        <item m="1" x="1797"/>
        <item m="1" x="2182"/>
        <item m="1" x="2546"/>
        <item m="1" x="2910"/>
        <item m="1" x="3283"/>
        <item m="1" x="3655"/>
        <item m="1" x="4023"/>
        <item m="1" x="4395"/>
        <item m="1" x="2002"/>
        <item m="1" x="2371"/>
        <item m="1" x="2740"/>
        <item m="1" x="3107"/>
        <item m="1" x="3474"/>
        <item m="1" x="3847"/>
        <item m="1" x="4219"/>
        <item m="1" x="4592"/>
        <item m="1" x="4971"/>
        <item m="1" x="5341"/>
        <item m="1" x="5713"/>
        <item m="1" x="6086"/>
        <item m="1" x="6458"/>
        <item m="1" x="6822"/>
        <item m="1" x="7195"/>
        <item m="1" x="7572"/>
        <item m="1" x="7945"/>
        <item m="1" x="315"/>
        <item m="1" x="693"/>
        <item m="1" x="1072"/>
        <item m="1" x="1448"/>
        <item m="1" x="1810"/>
        <item m="1" x="2194"/>
        <item m="1" x="2560"/>
        <item m="1" x="2926"/>
        <item m="1" x="3295"/>
        <item m="1" x="3666"/>
        <item m="1" x="4038"/>
        <item m="1" x="4407"/>
        <item m="1" x="4777"/>
        <item m="1" x="5162"/>
        <item m="1" x="5529"/>
        <item m="1" x="5901"/>
        <item m="1" x="6274"/>
        <item m="1" x="6643"/>
        <item m="1" x="7013"/>
        <item m="1" x="7385"/>
        <item m="1" x="7758"/>
        <item m="1" x="134"/>
        <item m="1" x="507"/>
        <item m="1" x="889"/>
        <item m="1" x="1263"/>
        <item m="1" x="1635"/>
        <item m="1" x="2009"/>
        <item m="1" x="2379"/>
        <item m="1" x="2747"/>
        <item m="1" x="3114"/>
        <item m="1" x="3480"/>
        <item m="1" x="3857"/>
        <item m="1" x="4225"/>
        <item m="1" x="4598"/>
        <item m="1" x="4977"/>
        <item m="1" x="5349"/>
        <item m="1" x="5719"/>
        <item m="1" x="6092"/>
        <item m="1" x="6464"/>
        <item m="1" x="6832"/>
        <item m="1" x="7202"/>
        <item m="1" x="7579"/>
        <item m="1" x="7952"/>
        <item m="1" x="324"/>
        <item m="1" x="5542"/>
        <item m="1" x="5915"/>
        <item m="1" x="6288"/>
        <item m="1" x="6659"/>
        <item m="1" x="7026"/>
        <item m="1" x="7400"/>
        <item m="1" x="7773"/>
        <item m="1" x="148"/>
        <item m="1" x="520"/>
        <item m="1" x="904"/>
        <item m="1" x="1278"/>
        <item m="1" x="1653"/>
        <item m="1" x="2024"/>
        <item m="1" x="2394"/>
        <item m="1" x="2765"/>
        <item m="1" x="3129"/>
        <item m="1" x="3495"/>
        <item m="1" x="3872"/>
        <item m="1" x="4240"/>
        <item m="1" x="4616"/>
        <item m="1" x="4992"/>
        <item m="1" x="5363"/>
        <item m="1" x="5736"/>
        <item m="1" x="6106"/>
        <item m="1" x="6477"/>
        <item m="1" x="6845"/>
        <item m="1" x="7216"/>
        <item m="1" x="7595"/>
        <item m="1" x="7965"/>
        <item m="1" x="337"/>
        <item m="1" x="718"/>
        <item m="1" x="1092"/>
        <item m="1" x="1468"/>
        <item m="1" x="1836"/>
        <item m="1" x="2214"/>
        <item m="1" x="2582"/>
        <item m="1" x="2948"/>
        <item m="1" x="3317"/>
        <item m="1" x="3689"/>
        <item m="1" x="4059"/>
        <item m="1" x="4429"/>
        <item m="1" x="4802"/>
        <item m="1" x="5183"/>
        <item m="1" x="5553"/>
        <item m="1" x="5923"/>
        <item m="1" x="6297"/>
        <item m="1" x="6667"/>
        <item m="1" x="7036"/>
        <item m="1" x="7408"/>
        <item m="1" x="7782"/>
        <item m="1" x="156"/>
        <item m="1" x="533"/>
        <item m="1" x="912"/>
        <item m="1" x="1287"/>
        <item m="1" x="1661"/>
        <item m="1" x="2034"/>
        <item m="1" x="2402"/>
        <item m="1" x="2774"/>
        <item m="1" x="3138"/>
        <item m="1" x="3507"/>
        <item m="1" x="3881"/>
        <item m="1" x="1486"/>
        <item m="1" x="1853"/>
        <item m="1" x="2228"/>
        <item m="1" x="2599"/>
        <item m="1" x="2964"/>
        <item m="1" x="3335"/>
        <item m="1" x="3703"/>
        <item m="1" x="4075"/>
        <item m="1" x="4448"/>
        <item m="1" x="4820"/>
        <item m="1" x="5199"/>
        <item m="1" x="5571"/>
        <item m="1" x="5939"/>
        <item m="1" x="6316"/>
        <item m="1" x="6682"/>
        <item m="1" x="7052"/>
        <item m="1" x="7429"/>
        <item m="1" x="7799"/>
        <item m="1" x="171"/>
        <item m="1" x="550"/>
        <item m="1" x="928"/>
        <item m="1" x="1305"/>
        <item m="1" x="1674"/>
        <item m="1" x="2049"/>
        <item m="1" x="2419"/>
        <item m="1" x="2789"/>
        <item m="1" x="3152"/>
        <item m="1" x="3522"/>
        <item m="1" x="3896"/>
        <item m="1" x="4267"/>
        <item m="1" x="4640"/>
        <item m="1" x="5017"/>
        <item m="1" x="5388"/>
        <item m="1" x="5760"/>
        <item m="1" x="6128"/>
        <item m="1" x="6502"/>
        <item m="1" x="6868"/>
        <item m="1" x="7241"/>
        <item m="1" x="7618"/>
        <item m="1" x="7988"/>
        <item m="1" x="362"/>
        <item m="1" x="741"/>
        <item m="1" x="1114"/>
        <item m="1" x="1494"/>
        <item m="1" x="1860"/>
        <item m="1" x="2239"/>
        <item m="1" x="2606"/>
        <item m="1" x="2972"/>
        <item m="1" x="3342"/>
        <item m="1" x="3712"/>
        <item m="1" x="4082"/>
        <item m="1" x="4456"/>
        <item m="1" x="4827"/>
        <item m="1" x="5211"/>
        <item m="1" x="5578"/>
        <item m="1" x="5947"/>
        <item m="1" x="6324"/>
        <item m="1" x="6692"/>
        <item m="1" x="7059"/>
        <item m="1" x="7437"/>
        <item m="1" x="5032"/>
        <item m="1" x="5401"/>
        <item m="1" x="5774"/>
        <item m="1" x="6143"/>
        <item m="1" x="6517"/>
        <item m="1" x="6881"/>
        <item m="1" x="7255"/>
        <item m="1" x="7631"/>
        <item m="1" x="8"/>
        <item m="1" x="376"/>
        <item m="1" x="756"/>
        <item m="1" x="1133"/>
        <item m="1" x="1510"/>
        <item m="1" x="1873"/>
        <item m="1" x="2255"/>
        <item m="1" x="2621"/>
        <item m="1" x="2988"/>
        <item m="1" x="3355"/>
        <item m="1" x="3727"/>
        <item m="1" x="4098"/>
        <item m="1" x="4472"/>
        <item m="1" x="4839"/>
        <item m="1" x="5225"/>
        <item m="1" x="5593"/>
        <item m="1" x="5963"/>
        <item m="1" x="6336"/>
        <item m="1" x="6705"/>
        <item m="1" x="7076"/>
        <item m="1" x="7450"/>
        <item m="1" x="7819"/>
        <item m="1" x="196"/>
        <item m="1" x="571"/>
        <item m="1" x="951"/>
        <item m="1" x="1325"/>
        <item m="1" x="1694"/>
        <item m="1" x="2072"/>
        <item m="1" x="2439"/>
        <item m="1" x="2807"/>
        <item m="1" x="3173"/>
        <item m="1" x="3543"/>
        <item m="1" x="3918"/>
        <item m="1" x="4286"/>
        <item m="1" x="4660"/>
        <item m="1" x="5039"/>
        <item m="1" x="5409"/>
        <item m="1" x="5781"/>
        <item m="1" x="6151"/>
        <item m="1" x="6523"/>
        <item m="1" x="6893"/>
        <item m="1" x="7262"/>
        <item m="1" x="7639"/>
        <item m="1" x="16"/>
        <item m="1" x="385"/>
        <item m="1" x="763"/>
        <item m="1" x="1141"/>
        <item m="1" x="1517"/>
        <item m="1" x="1885"/>
        <item m="1" x="2262"/>
        <item m="1" x="2630"/>
        <item m="1" x="2995"/>
        <item m="1" x="3364"/>
        <item m="1" x="583"/>
        <item m="1" x="964"/>
        <item m="1" x="1339"/>
        <item m="1" x="1709"/>
        <item m="1" x="2085"/>
        <item m="1" x="2454"/>
        <item m="1" x="2822"/>
        <item m="1" x="3188"/>
        <item m="1" x="3556"/>
        <item m="1" x="3933"/>
        <item m="1" x="4302"/>
        <item m="1" x="4678"/>
        <item m="1" x="5054"/>
        <item m="1" x="5423"/>
        <item m="1" x="5798"/>
        <item m="1" x="6166"/>
        <item m="1" x="6536"/>
        <item m="1" x="6907"/>
        <item m="1" x="7278"/>
        <item m="1" x="7657"/>
        <item m="1" x="29"/>
        <item m="1" x="398"/>
        <item m="1" x="779"/>
        <item m="1" x="1156"/>
        <item m="1" x="1530"/>
        <item m="1" x="1899"/>
        <item m="1" x="2276"/>
        <item m="1" x="2645"/>
        <item m="1" x="3008"/>
        <item m="1" x="3377"/>
        <item m="1" x="3752"/>
        <item m="1" x="4119"/>
        <item m="1" x="4492"/>
        <item m="1" x="4866"/>
        <item m="1" x="5245"/>
        <item m="1" x="5613"/>
        <item m="1" x="5983"/>
        <item m="1" x="6357"/>
        <item m="1" x="6726"/>
        <item m="1" x="7095"/>
        <item m="1" x="7470"/>
        <item m="1" x="7843"/>
        <item m="1" x="216"/>
        <item m="1" x="593"/>
        <item m="1" x="971"/>
        <item m="1" x="1347"/>
        <item m="1" x="1717"/>
        <item m="1" x="2094"/>
        <item m="1" x="2461"/>
        <item m="1" x="2830"/>
        <item m="1" x="3195"/>
        <item m="1" x="3568"/>
        <item m="1" x="3940"/>
        <item m="1" x="4310"/>
        <item m="1" x="4685"/>
        <item m="1" x="5063"/>
        <item m="1" x="5430"/>
        <item m="1" x="5806"/>
        <item m="1" x="6174"/>
        <item m="1" x="6548"/>
        <item m="1" x="6914"/>
        <item m="1" x="4508"/>
        <item m="1" x="4881"/>
        <item m="1" x="5257"/>
        <item m="1" x="5628"/>
        <item m="1" x="5997"/>
        <item m="1" x="6375"/>
        <item m="1" x="6738"/>
        <item m="1" x="7109"/>
        <item m="1" x="7487"/>
        <item m="1" x="7859"/>
        <item m="1" x="230"/>
        <item m="1" x="609"/>
        <item m="1" x="986"/>
        <item m="1" x="1364"/>
        <item m="1" x="1730"/>
        <item m="1" x="2108"/>
        <item m="1" x="2478"/>
        <item m="1" x="2845"/>
        <item m="1" x="3208"/>
        <item m="1" x="3583"/>
        <item m="1" x="3955"/>
        <item m="1" x="4326"/>
        <item m="1" x="4697"/>
        <item m="1" x="5077"/>
        <item m="1" x="5446"/>
        <item m="1" x="5820"/>
        <item m="1" x="6187"/>
        <item m="1" x="6561"/>
        <item m="1" x="6929"/>
        <item m="1" x="7301"/>
        <item m="1" x="7678"/>
        <item m="1" x="51"/>
        <item m="1" x="423"/>
        <item m="1" x="801"/>
        <item m="1" x="1176"/>
        <item m="1" x="1553"/>
        <item m="1" x="1920"/>
        <item m="1" x="2296"/>
        <item m="1" x="2664"/>
        <item m="1" x="3028"/>
        <item m="1" x="3398"/>
        <item m="1" x="3771"/>
        <item m="1" x="4138"/>
        <item m="1" x="4516"/>
        <item m="1" x="4888"/>
        <item m="1" x="5267"/>
        <item m="1" x="5635"/>
        <item m="1" x="6005"/>
        <item m="1" x="6382"/>
        <item m="1" x="6747"/>
        <item m="1" x="7116"/>
        <item m="1" x="7495"/>
        <item m="1" x="7866"/>
        <item m="1" x="242"/>
        <item m="1" x="616"/>
        <item m="1" x="994"/>
        <item m="1" x="1372"/>
        <item m="1" x="1739"/>
        <item m="1" x="2115"/>
        <item m="1" x="2486"/>
        <item m="1" x="66"/>
        <item m="1" x="436"/>
        <item m="1" x="815"/>
        <item m="1" x="1192"/>
        <item m="1" x="1568"/>
        <item m="1" x="1933"/>
        <item m="1" x="2310"/>
        <item m="1" x="2677"/>
        <item m="1" x="3047"/>
        <item m="1" x="3412"/>
        <item m="1" x="3786"/>
        <item m="1" x="4157"/>
        <item m="1" x="4533"/>
        <item m="1" x="4902"/>
        <item m="1" x="5281"/>
        <item m="1" x="5650"/>
        <item m="1" x="6023"/>
        <item m="1" x="6395"/>
        <item m="1" x="6761"/>
        <item m="1" x="7133"/>
        <item m="1" x="7511"/>
        <item m="1" x="7878"/>
        <item m="1" x="255"/>
        <item m="1" x="631"/>
        <item m="1" x="1010"/>
        <item m="1" x="1384"/>
        <item m="1" x="1752"/>
        <item m="1" x="2134"/>
        <item m="1" x="2499"/>
        <item m="1" x="2864"/>
        <item m="1" x="3234"/>
        <item m="1" x="3604"/>
        <item m="1" x="3978"/>
        <item m="1" x="4346"/>
        <item m="1" x="4717"/>
        <item m="1" x="5099"/>
        <item m="1" x="5465"/>
        <item m="1" x="5838"/>
        <item m="1" x="6210"/>
        <item m="1" x="6581"/>
        <item m="1" x="6950"/>
        <item m="1" x="7322"/>
        <item m="1" x="7698"/>
        <item m="1" x="73"/>
        <item m="1" x="444"/>
        <item m="1" x="822"/>
        <item m="1" x="1200"/>
        <item m="1" x="1574"/>
        <item m="1" x="1946"/>
        <item m="1" x="2317"/>
        <item m="1" x="2685"/>
        <item m="1" x="3054"/>
        <item m="1" x="3421"/>
        <item m="1" x="3793"/>
        <item m="1" x="4165"/>
        <item m="1" x="4540"/>
        <item m="1" x="4913"/>
        <item m="1" x="5288"/>
        <item m="1" x="5658"/>
        <item m="1" x="6030"/>
        <item m="1" x="6404"/>
        <item m="1" x="3615"/>
        <item m="1" x="3990"/>
        <item m="1" x="4359"/>
        <item m="1" x="4731"/>
        <item m="1" x="5111"/>
        <item m="1" x="5479"/>
        <item m="1" x="5853"/>
        <item m="1" x="6224"/>
        <item m="1" x="6593"/>
        <item m="1" x="6964"/>
        <item m="1" x="7336"/>
        <item m="1" x="7714"/>
        <item m="1" x="85"/>
        <item m="1" x="457"/>
        <item m="1" x="839"/>
        <item m="1" x="1213"/>
        <item m="1" x="1585"/>
        <item m="1" x="1958"/>
        <item m="1" x="2330"/>
        <item m="1" x="2701"/>
        <item m="1" x="3065"/>
        <item m="1" x="3432"/>
        <item m="1" x="3808"/>
        <item m="1" x="4178"/>
        <item m="1" x="4551"/>
        <item m="1" x="4925"/>
        <item m="1" x="5300"/>
        <item m="1" x="5673"/>
        <item m="1" x="6041"/>
        <item m="1" x="6415"/>
        <item m="1" x="6783"/>
        <item m="1" x="7151"/>
        <item m="1" x="7528"/>
        <item m="1" x="7900"/>
        <item m="1" x="273"/>
        <item m="1" x="649"/>
        <item m="1" x="1027"/>
        <item m="1" x="1401"/>
        <item m="1" x="1771"/>
        <item m="1" x="2150"/>
        <item m="1" x="2515"/>
        <item m="1" x="2882"/>
        <item m="1" x="3251"/>
        <item m="1" x="3623"/>
        <item m="1" x="3995"/>
        <item m="1" x="4365"/>
        <item m="1" x="4736"/>
        <item m="1" x="5118"/>
        <item m="1" x="5485"/>
        <item m="1" x="5860"/>
        <item m="1" x="6230"/>
        <item m="1" x="6604"/>
        <item m="1" x="6970"/>
        <item m="1" x="7343"/>
        <item m="1" x="7720"/>
        <item m="1" x="93"/>
        <item m="1" x="463"/>
        <item m="1" x="846"/>
        <item m="1" x="1220"/>
        <item m="1" x="1596"/>
        <item m="1" x="1965"/>
        <item m="1" x="7543"/>
        <item m="1" x="7915"/>
        <item m="1" x="286"/>
        <item m="1" x="664"/>
        <item m="1" x="1041"/>
        <item m="1" x="1419"/>
        <item m="1" x="1783"/>
        <item m="1" x="2164"/>
        <item m="1" x="2532"/>
        <item m="1" x="2897"/>
        <item m="1" x="3264"/>
        <item m="1" x="3639"/>
        <item m="1" x="4009"/>
        <item m="1" x="4381"/>
        <item m="1" x="4748"/>
        <item m="1" x="5131"/>
        <item m="1" x="5502"/>
        <item m="1" x="5874"/>
        <item m="1" x="6242"/>
        <item m="1" x="6618"/>
        <item m="1" x="6984"/>
        <item m="1" x="7358"/>
        <item m="1" x="7731"/>
        <item m="1" x="106"/>
        <item m="1" x="480"/>
        <item m="1" x="860"/>
        <item m="1" x="1233"/>
        <item m="1" x="1609"/>
        <item m="1" x="1980"/>
        <item m="1" x="2352"/>
        <item m="1" x="2719"/>
        <item m="1" x="3085"/>
        <item m="1" x="3454"/>
        <item m="1" x="3827"/>
        <item m="1" x="4195"/>
        <item m="1" x="4571"/>
        <item m="1" x="4944"/>
        <item m="1" x="5320"/>
        <item m="1" x="5691"/>
        <item m="1" x="6060"/>
        <item m="1" x="6435"/>
        <item m="1" x="6801"/>
        <item m="1" x="7168"/>
        <item m="1" x="7549"/>
        <item m="1" x="7920"/>
        <item m="1" x="294"/>
        <item m="1" x="669"/>
        <item m="1" x="1047"/>
        <item m="1" x="1426"/>
        <item m="1" x="1791"/>
        <item m="1" x="2170"/>
        <item m="1" x="2539"/>
        <item m="1" x="2903"/>
        <item m="1" x="3275"/>
        <item m="1" x="3645"/>
        <item m="1" x="4016"/>
        <item m="1" x="4387"/>
        <item m="1" x="4757"/>
        <item m="1" x="5138"/>
        <item m="1" x="5509"/>
        <item m="1" x="3100"/>
        <item m="1" x="3467"/>
        <item m="1" x="3841"/>
        <item m="1" x="4212"/>
        <item m="1" x="4586"/>
        <item m="1" x="4958"/>
        <item m="1" x="5334"/>
        <item m="1" x="5705"/>
        <item m="1" x="6079"/>
        <item m="1" x="6449"/>
        <item m="1" x="6815"/>
        <item m="1" x="7187"/>
        <item m="1" x="7565"/>
        <item m="1" x="7933"/>
        <item m="1" x="308"/>
        <item m="1" x="684"/>
        <item m="1" x="1064"/>
        <item m="1" x="1439"/>
        <item m="1" x="1804"/>
        <item m="1" x="2187"/>
        <item m="1" x="2554"/>
        <item m="1" x="2915"/>
        <item m="1" x="3289"/>
        <item m="1" x="3660"/>
        <item m="1" x="4032"/>
        <item m="1" x="4400"/>
        <item m="1" x="4771"/>
        <item m="1" x="5156"/>
        <item m="1" x="5523"/>
        <item m="1" x="5892"/>
        <item m="1" x="6268"/>
        <item m="1" x="6637"/>
        <item m="1" x="7006"/>
        <item m="1" x="7377"/>
        <item m="1" x="7751"/>
        <item m="1" x="126"/>
        <item m="1" x="499"/>
        <item m="1" x="877"/>
        <item m="1" x="1256"/>
        <item m="1" x="1628"/>
        <item m="1" x="2001"/>
        <item m="1" x="2370"/>
        <item m="1" x="2739"/>
        <item m="1" x="3106"/>
        <item m="1" x="3473"/>
        <item m="1" x="3846"/>
        <item m="1" x="4218"/>
        <item m="1" x="4591"/>
        <item m="1" x="4970"/>
        <item m="1" x="5340"/>
        <item m="1" x="5712"/>
        <item m="1" x="6085"/>
        <item m="1" x="6457"/>
        <item m="1" x="6821"/>
        <item m="1" x="7194"/>
        <item m="1" x="7571"/>
        <item m="1" x="7943"/>
        <item m="1" x="314"/>
        <item m="1" x="692"/>
        <item m="1" x="1071"/>
        <item m="1" x="1447"/>
        <item m="1" x="6650"/>
        <item m="1" x="7020"/>
        <item m="1" x="7392"/>
        <item m="1" x="7766"/>
        <item m="1" x="140"/>
        <item m="1" x="513"/>
        <item m="1" x="895"/>
        <item m="1" x="1271"/>
        <item m="1" x="1641"/>
        <item m="1" x="2017"/>
        <item m="1" x="2385"/>
        <item m="1" x="2757"/>
        <item m="1" x="3120"/>
        <item m="1" x="3488"/>
        <item m="1" x="3863"/>
        <item m="1" x="4233"/>
        <item m="1" x="4604"/>
        <item m="1" x="4984"/>
        <item m="1" x="5355"/>
        <item m="1" x="5730"/>
        <item m="1" x="6098"/>
        <item m="1" x="6471"/>
        <item m="1" x="6837"/>
        <item m="1" x="7209"/>
        <item m="1" x="7584"/>
        <item m="1" x="7958"/>
        <item m="1" x="329"/>
        <item m="1" x="710"/>
        <item m="1" x="1084"/>
        <item m="1" x="1461"/>
        <item m="1" x="1828"/>
        <item m="1" x="2207"/>
        <item m="1" x="2572"/>
        <item m="1" x="2940"/>
        <item m="1" x="3308"/>
        <item m="1" x="3680"/>
        <item m="1" x="4049"/>
        <item m="1" x="4420"/>
        <item m="1" x="4792"/>
        <item m="1" x="5175"/>
        <item m="1" x="5541"/>
        <item m="1" x="5914"/>
        <item m="1" x="6287"/>
        <item m="1" x="6658"/>
        <item m="1" x="7025"/>
        <item m="1" x="7399"/>
        <item m="1" x="7772"/>
        <item m="1" x="147"/>
        <item m="1" x="519"/>
        <item m="1" x="903"/>
        <item m="1" x="1277"/>
        <item m="1" x="1652"/>
        <item m="1" x="2023"/>
        <item m="1" x="2393"/>
        <item m="1" x="2764"/>
        <item m="1" x="3128"/>
        <item m="1" x="3494"/>
        <item m="1" x="3871"/>
        <item m="1" x="4239"/>
        <item m="1" x="4615"/>
        <item m="1" x="4991"/>
        <item m="1" x="2591"/>
        <item m="1" x="2957"/>
        <item m="1" x="3325"/>
        <item m="1" x="3696"/>
        <item m="1" x="4066"/>
        <item m="1" x="4440"/>
        <item m="1" x="4809"/>
        <item m="1" x="5191"/>
        <item m="1" x="5561"/>
        <item m="1" x="5932"/>
        <item m="1" x="6304"/>
        <item m="1" x="6675"/>
        <item m="1" x="7043"/>
        <item m="1" x="7420"/>
        <item m="1" x="7789"/>
        <item m="1" x="164"/>
        <item m="1" x="540"/>
        <item m="1" x="921"/>
        <item m="1" x="1294"/>
        <item m="1" x="1668"/>
        <item m="1" x="2041"/>
        <item m="1" x="2412"/>
        <item m="1" x="2780"/>
        <item m="1" x="3145"/>
        <item m="1" x="3514"/>
        <item m="1" x="3889"/>
        <item m="1" x="4256"/>
        <item m="1" x="4633"/>
        <item m="1" x="5009"/>
        <item m="1" x="5381"/>
        <item m="1" x="5752"/>
        <item m="1" x="6121"/>
        <item m="1" x="6494"/>
        <item m="1" x="6861"/>
        <item m="1" x="7230"/>
        <item m="1" x="7610"/>
        <item m="1" x="7979"/>
        <item m="1" x="354"/>
        <item m="1" x="732"/>
        <item m="1" x="1107"/>
        <item m="1" x="1485"/>
        <item m="1" x="1852"/>
        <item m="1" x="2227"/>
        <item m="1" x="2598"/>
        <item m="1" x="2963"/>
        <item m="1" x="3334"/>
        <item m="1" x="3702"/>
        <item m="1" x="4074"/>
        <item m="1" x="4447"/>
        <item m="1" x="4819"/>
        <item m="1" x="5198"/>
        <item m="1" x="5570"/>
        <item m="1" x="5938"/>
        <item m="1" x="6315"/>
        <item m="1" x="6681"/>
        <item m="1" x="7051"/>
        <item m="1" x="7428"/>
        <item m="1" x="7798"/>
        <item m="1" x="170"/>
        <item m="1" x="549"/>
        <item m="1" x="927"/>
        <item m="1" x="6136"/>
        <item m="1" x="6508"/>
        <item m="1" x="6874"/>
        <item m="1" x="7246"/>
        <item m="1" x="7624"/>
        <item m="1" x="7993"/>
        <item m="1" x="368"/>
        <item m="1" x="746"/>
        <item m="1" x="1125"/>
        <item m="1" x="1499"/>
        <item m="1" x="1866"/>
        <item m="1" x="2246"/>
        <item m="1" x="2614"/>
        <item m="1" x="2977"/>
        <item m="1" x="3348"/>
        <item m="1" x="3717"/>
        <item m="1" x="4092"/>
        <item m="1" x="4461"/>
        <item m="1" x="4833"/>
        <item m="1" x="5217"/>
        <item m="1" x="5587"/>
        <item m="1" x="5952"/>
        <item m="1" x="6330"/>
        <item m="1" x="6697"/>
        <item m="1" x="7068"/>
        <item m="1" x="7442"/>
        <item m="1" x="7812"/>
        <item m="1" x="188"/>
        <item m="1" x="564"/>
        <item m="1" x="941"/>
        <item m="1" x="1318"/>
        <item m="1" x="1686"/>
        <item m="1" x="2064"/>
        <item m="1" x="2430"/>
        <item m="1" x="2800"/>
        <item m="1" x="3164"/>
        <item m="1" x="3535"/>
        <item m="1" x="3906"/>
        <item m="1" x="4279"/>
        <item m="1" x="4652"/>
        <item m="1" x="5031"/>
        <item m="1" x="5400"/>
        <item m="1" x="5773"/>
        <item m="1" x="6142"/>
        <item m="1" x="6516"/>
        <item m="1" x="6880"/>
        <item m="1" x="7254"/>
        <item m="1" x="7630"/>
        <item m="1" x="7"/>
        <item m="1" x="375"/>
        <item m="1" x="755"/>
        <item m="1" x="1132"/>
        <item m="1" x="1509"/>
        <item m="1" x="1872"/>
        <item m="1" x="2254"/>
        <item m="1" x="2620"/>
        <item m="1" x="2987"/>
        <item m="1" x="3354"/>
        <item m="1" x="3726"/>
        <item m="1" x="4097"/>
        <item m="1" x="4471"/>
        <item m="1" x="2078"/>
        <item m="1" x="2445"/>
        <item m="1" x="2814"/>
        <item m="1" x="3178"/>
        <item m="1" x="3548"/>
        <item m="1" x="3923"/>
        <item m="1" x="4294"/>
        <item m="1" x="4665"/>
        <item m="1" x="5046"/>
        <item m="1" x="5414"/>
        <item m="1" x="5791"/>
        <item m="1" x="6156"/>
        <item m="1" x="6529"/>
        <item m="1" x="6898"/>
        <item m="1" x="7270"/>
        <item m="1" x="7644"/>
        <item m="1" x="22"/>
        <item m="1" x="390"/>
        <item m="1" x="773"/>
        <item m="1" x="1147"/>
        <item m="1" x="1524"/>
        <item m="1" x="1891"/>
        <item m="1" x="2270"/>
        <item m="1" x="2635"/>
        <item m="1" x="3001"/>
        <item m="1" x="3369"/>
        <item m="1" x="3745"/>
        <item m="1" x="4111"/>
        <item m="1" x="4485"/>
        <item m="1" x="4858"/>
        <item m="1" x="5238"/>
        <item m="1" x="5604"/>
        <item m="1" x="5975"/>
        <item m="1" x="6348"/>
        <item m="1" x="6717"/>
        <item m="1" x="7086"/>
        <item m="1" x="7462"/>
        <item m="1" x="7834"/>
        <item m="1" x="209"/>
        <item m="1" x="582"/>
        <item m="1" x="963"/>
        <item m="1" x="1338"/>
        <item m="1" x="1708"/>
        <item m="1" x="2084"/>
        <item m="1" x="2453"/>
        <item m="1" x="2821"/>
        <item m="1" x="3187"/>
        <item m="1" x="3555"/>
        <item m="1" x="3932"/>
        <item m="1" x="4301"/>
        <item m="1" x="4677"/>
        <item m="1" x="5053"/>
        <item m="1" x="5422"/>
        <item m="1" x="5797"/>
        <item m="1" x="6165"/>
        <item m="1" x="6535"/>
        <item m="1" x="6906"/>
        <item m="1" x="7277"/>
        <item m="1" x="7656"/>
        <item m="1" x="28"/>
        <item m="1" x="5620"/>
        <item m="1" x="5990"/>
        <item m="1" x="6363"/>
        <item m="1" x="6731"/>
        <item m="1" x="7100"/>
        <item m="1" x="7479"/>
        <item m="1" x="7848"/>
        <item m="1" x="222"/>
        <item m="1" x="599"/>
        <item m="1" x="979"/>
        <item m="1" x="1352"/>
        <item m="1" x="1723"/>
        <item m="1" x="2099"/>
        <item m="1" x="2471"/>
        <item m="1" x="2835"/>
        <item m="1" x="3201"/>
        <item m="1" x="3573"/>
        <item m="1" x="3948"/>
        <item m="1" x="4315"/>
        <item m="1" x="4691"/>
        <item m="1" x="5069"/>
        <item m="1" x="5440"/>
        <item m="1" x="5811"/>
        <item m="1" x="6180"/>
        <item m="1" x="6553"/>
        <item m="1" x="6922"/>
        <item m="1" x="7291"/>
        <item m="1" x="7671"/>
        <item m="1" x="43"/>
        <item m="1" x="415"/>
        <item m="1" x="793"/>
        <item m="1" x="1169"/>
        <item m="1" x="1545"/>
        <item m="1" x="1912"/>
        <item m="1" x="2286"/>
        <item m="1" x="2656"/>
        <item m="1" x="3019"/>
        <item m="1" x="3391"/>
        <item m="1" x="3763"/>
        <item m="1" x="4131"/>
        <item m="1" x="4507"/>
        <item m="1" x="4880"/>
        <item m="1" x="5256"/>
        <item m="1" x="5627"/>
        <item m="1" x="5996"/>
        <item m="1" x="6373"/>
        <item m="1" x="6737"/>
        <item m="1" x="7108"/>
        <item m="1" x="7486"/>
        <item m="1" x="7858"/>
        <item m="1" x="229"/>
        <item m="1" x="608"/>
        <item m="1" x="985"/>
        <item m="1" x="1363"/>
        <item m="1" x="1729"/>
        <item m="1" x="2107"/>
        <item m="1" x="2477"/>
        <item m="1" x="2844"/>
        <item m="1" x="3207"/>
        <item m="1" x="3582"/>
        <item m="1" x="3954"/>
        <item m="1" x="1184"/>
        <item m="1" x="1559"/>
        <item m="1" x="1926"/>
        <item m="1" x="2301"/>
        <item m="1" x="2670"/>
        <item m="1" x="3033"/>
        <item m="1" x="3404"/>
        <item m="1" x="3776"/>
        <item m="1" x="4148"/>
        <item m="1" x="4522"/>
        <item m="1" x="4894"/>
        <item m="1" x="5272"/>
        <item m="1" x="5643"/>
        <item m="1" x="6010"/>
        <item m="1" x="6388"/>
        <item m="1" x="6752"/>
        <item m="1" x="7127"/>
        <item m="1" x="7500"/>
        <item m="1" x="7872"/>
        <item m="1" x="247"/>
        <item m="1" x="625"/>
        <item m="1" x="999"/>
        <item m="1" x="1378"/>
        <item m="1" x="1744"/>
        <item m="1" x="2125"/>
        <item m="1" x="2491"/>
        <item m="1" x="2857"/>
        <item m="1" x="3226"/>
        <item m="1" x="3597"/>
        <item m="1" x="3968"/>
        <item m="1" x="4339"/>
        <item m="1" x="4709"/>
        <item m="1" x="5092"/>
        <item m="1" x="5457"/>
        <item m="1" x="5831"/>
        <item m="1" x="6201"/>
        <item m="1" x="6573"/>
        <item m="1" x="6939"/>
        <item m="1" x="7314"/>
        <item m="1" x="7690"/>
        <item m="1" x="65"/>
        <item m="1" x="435"/>
        <item m="1" x="814"/>
        <item m="1" x="1191"/>
        <item m="1" x="1567"/>
        <item m="1" x="1932"/>
        <item m="1" x="2309"/>
        <item m="1" x="2676"/>
        <item m="1" x="3046"/>
        <item m="1" x="3411"/>
        <item m="1" x="3785"/>
        <item m="1" x="4156"/>
        <item m="1" x="4532"/>
        <item m="1" x="4901"/>
        <item m="1" x="5280"/>
        <item m="1" x="5649"/>
        <item m="1" x="6021"/>
        <item m="1" x="6394"/>
        <item m="1" x="6760"/>
        <item m="1" x="7132"/>
        <item m="1" x="7510"/>
        <item m="1" x="5105"/>
        <item m="1" x="5471"/>
        <item m="1" x="5846"/>
        <item m="1" x="6215"/>
        <item m="1" x="6586"/>
        <item m="1" x="6956"/>
        <item m="1" x="7330"/>
        <item m="1" x="7703"/>
        <item m="1" x="79"/>
        <item m="1" x="449"/>
        <item m="1" x="832"/>
        <item m="1" x="1205"/>
        <item m="1" x="1580"/>
        <item m="1" x="1951"/>
        <item m="1" x="2325"/>
        <item m="1" x="2690"/>
        <item m="1" x="3060"/>
        <item m="1" x="3426"/>
        <item m="1" x="3803"/>
        <item m="1" x="4171"/>
        <item m="1" x="4547"/>
        <item m="1" x="4919"/>
        <item m="1" x="5296"/>
        <item m="1" x="5663"/>
        <item m="1" x="6036"/>
        <item m="1" x="6409"/>
        <item m="1" x="6778"/>
        <item m="1" x="7145"/>
        <item m="1" x="7523"/>
        <item m="1" x="7894"/>
        <item m="1" x="268"/>
        <item m="1" x="642"/>
        <item m="1" x="1022"/>
        <item m="1" x="1395"/>
        <item m="1" x="1764"/>
        <item m="1" x="2143"/>
        <item m="1" x="2509"/>
        <item m="1" x="2876"/>
        <item m="1" x="3246"/>
        <item m="1" x="3614"/>
        <item m="1" x="3989"/>
        <item m="1" x="4358"/>
        <item m="1" x="4730"/>
        <item m="1" x="5110"/>
        <item m="1" x="5478"/>
        <item m="1" x="5852"/>
        <item m="1" x="6223"/>
        <item m="1" x="6592"/>
        <item m="1" x="6963"/>
        <item m="1" x="7335"/>
        <item m="1" x="7713"/>
        <item m="1" x="84"/>
        <item m="1" x="456"/>
        <item m="1" x="838"/>
        <item m="1" x="1212"/>
        <item m="1" x="1584"/>
        <item m="1" x="1957"/>
        <item m="1" x="2329"/>
        <item m="1" x="2700"/>
        <item m="1" x="3064"/>
        <item m="1" x="469"/>
        <item m="1" x="656"/>
        <item m="1" x="849"/>
        <item m="1" x="1034"/>
        <item m="1" x="1224"/>
        <item m="1" x="1407"/>
        <item m="1" x="1599"/>
        <item m="1" x="1776"/>
        <item m="1" x="1971"/>
        <item m="1" x="2155"/>
        <item m="1" x="2339"/>
        <item m="1" x="2524"/>
        <item m="1" x="2710"/>
        <item m="1" x="2887"/>
        <item m="1" x="3075"/>
        <item m="1" x="3257"/>
        <item m="1" x="3442"/>
        <item m="1" x="3630"/>
        <item m="1" x="3817"/>
        <item m="1" x="4003"/>
        <item m="1" x="4187"/>
        <item m="1" x="4370"/>
        <item m="1" x="4562"/>
        <item m="1" x="4742"/>
        <item m="1" x="4935"/>
        <item m="1" x="5123"/>
        <item m="1" x="5308"/>
        <item m="1" x="5495"/>
        <item m="1" x="5682"/>
        <item m="1" x="5865"/>
        <item m="1" x="6050"/>
        <item m="1" x="6236"/>
        <item m="1" x="6425"/>
        <item m="1" x="6610"/>
        <item m="1" x="6791"/>
        <item m="1" x="6978"/>
        <item m="1" x="7160"/>
        <item m="1" x="7348"/>
        <item m="1" x="7539"/>
        <item m="1" x="7726"/>
        <item m="1" x="7911"/>
        <item m="1" x="99"/>
        <item m="1" x="282"/>
        <item m="1" x="474"/>
        <item m="1" x="660"/>
        <item m="1" x="852"/>
        <item m="1" x="1037"/>
        <item m="1" x="1227"/>
        <item m="1" x="1413"/>
        <item m="1" x="1602"/>
        <item m="1" x="1779"/>
        <item m="1" x="1974"/>
        <item m="1" x="2160"/>
        <item m="1" x="2343"/>
        <item m="1" x="2528"/>
        <item m="1" x="2713"/>
        <item m="1" x="2893"/>
        <item m="1" x="3078"/>
        <item m="1" x="3260"/>
        <item m="1" x="3447"/>
        <item m="1" x="3635"/>
        <item m="1" x="3820"/>
        <item m="1" x="4005"/>
        <item m="1" x="4189"/>
        <item m="1" x="4375"/>
        <item m="1" x="4564"/>
        <item m="1" x="4744"/>
        <item m="1" x="4937"/>
        <item m="1" x="5127"/>
        <item m="1" x="5310"/>
        <item m="1" x="5498"/>
        <item m="1" x="5684"/>
        <item m="1" x="5870"/>
        <item m="1" x="6052"/>
        <item m="1" x="6238"/>
        <item m="1" x="6429"/>
        <item m="1" x="6615"/>
        <item m="1" x="6794"/>
        <item m="1" x="6981"/>
        <item m="1" x="7163"/>
        <item m="1" x="7354"/>
        <item m="1" x="7542"/>
        <item m="1" x="7729"/>
        <item m="1" x="7914"/>
        <item m="1" x="104"/>
        <item m="1" x="285"/>
        <item m="1" x="478"/>
        <item m="1" x="663"/>
        <item m="1" x="858"/>
        <item m="1" x="1040"/>
        <item m="1" x="1230"/>
        <item m="1" x="1417"/>
        <item m="1" x="1606"/>
        <item m="1" x="1782"/>
        <item m="1" x="1977"/>
        <item m="1" x="2163"/>
        <item m="1" x="2347"/>
        <item m="1" x="2531"/>
        <item m="1" x="2716"/>
        <item m="1" x="2896"/>
        <item m="1" x="3082"/>
        <item m="1" x="3263"/>
        <item m="1" x="3451"/>
        <item m="1" x="3638"/>
        <item m="1" x="3824"/>
        <item m="1" x="4008"/>
        <item m="1" x="4192"/>
        <item m="1" x="4380"/>
        <item m="1" x="4568"/>
        <item m="1" x="4747"/>
        <item m="1" x="4940"/>
        <item m="1" x="5130"/>
        <item m="1" x="5314"/>
        <item m="1" x="5501"/>
        <item m="1" x="5687"/>
        <item m="1" x="5873"/>
        <item m="1" x="6056"/>
        <item m="1" x="6241"/>
        <item m="1" x="6431"/>
        <item m="1" x="6617"/>
        <item m="1" x="6797"/>
        <item m="1" x="6983"/>
        <item m="1" x="4203"/>
        <item m="1" x="4391"/>
        <item m="1" x="4577"/>
        <item m="1" x="4761"/>
        <item m="1" x="4950"/>
        <item m="1" x="5144"/>
        <item m="1" x="5325"/>
        <item m="1" x="5513"/>
        <item m="1" x="5697"/>
        <item m="1" x="5883"/>
        <item m="1" x="6065"/>
        <item m="1" x="6257"/>
        <item m="1" x="6441"/>
        <item m="1" x="6628"/>
        <item m="1" x="6806"/>
        <item m="1" x="6994"/>
        <item m="1" x="7179"/>
        <item m="1" x="7368"/>
        <item m="1" x="7555"/>
        <item m="1" x="7742"/>
        <item m="1" x="7926"/>
        <item m="1" x="116"/>
        <item m="1" x="300"/>
        <item m="1" x="489"/>
        <item m="1" x="677"/>
        <item m="1" x="869"/>
        <item m="1" x="1052"/>
        <item m="1" x="1246"/>
        <item m="1" x="1432"/>
        <item m="1" x="1619"/>
        <item m="1" x="1796"/>
        <item m="1" x="1989"/>
        <item m="1" x="2181"/>
        <item m="1" x="2361"/>
        <item m="1" x="2545"/>
        <item m="1" x="2729"/>
        <item m="1" x="2909"/>
        <item m="1" x="3095"/>
        <item m="1" x="3282"/>
        <item m="1" x="3463"/>
        <item m="1" x="3654"/>
        <item m="1" x="3837"/>
        <item m="1" x="4022"/>
        <item m="1" x="4207"/>
        <item m="1" x="4394"/>
        <item m="1" x="4582"/>
        <item m="1" x="4764"/>
        <item m="1" x="4954"/>
        <item m="1" x="5149"/>
        <item m="1" x="5330"/>
        <item m="1" x="5516"/>
        <item m="1" x="5701"/>
        <item m="1" x="5886"/>
        <item m="1" x="6072"/>
        <item m="1" x="6261"/>
        <item m="1" x="6445"/>
        <item m="1" x="6631"/>
        <item m="1" x="6811"/>
        <item m="1" x="6997"/>
        <item m="1" x="7183"/>
        <item m="1" x="7371"/>
        <item m="1" x="7561"/>
        <item m="1" x="7744"/>
        <item m="1" x="7929"/>
        <item m="1" x="119"/>
        <item m="1" x="304"/>
        <item m="1" x="491"/>
        <item m="1" x="680"/>
        <item m="1" x="871"/>
        <item m="1" x="1057"/>
        <item m="1" x="1248"/>
        <item m="1" x="1435"/>
        <item m="1" x="1621"/>
        <item m="1" x="1800"/>
        <item m="1" x="1991"/>
        <item m="1" x="2184"/>
        <item m="1" x="2364"/>
        <item m="1" x="2551"/>
        <item m="1" x="2732"/>
        <item m="1" x="2913"/>
        <item m="1" x="3099"/>
        <item m="1" x="3287"/>
        <item m="1" x="3466"/>
        <item m="1" x="3658"/>
        <item m="1" x="3840"/>
        <item m="1" x="4028"/>
        <item m="1" x="4211"/>
        <item m="1" x="4398"/>
        <item m="1" x="4585"/>
        <item m="1" x="4768"/>
        <item m="1" x="4957"/>
        <item m="1" x="5153"/>
        <item m="1" x="5333"/>
        <item m="1" x="5520"/>
        <item m="1" x="5704"/>
        <item m="1" x="5889"/>
        <item m="1" x="6078"/>
        <item m="1" x="6265"/>
        <item m="1" x="6448"/>
        <item m="1" x="6634"/>
        <item m="1" x="6814"/>
        <item m="1" x="7001"/>
        <item m="1" x="7186"/>
        <item m="1" x="7374"/>
        <item m="1" x="7564"/>
        <item m="1" x="7748"/>
        <item m="1" x="7932"/>
        <item m="1" x="123"/>
        <item m="1" x="307"/>
        <item m="1" x="495"/>
        <item m="1" x="683"/>
        <item m="1" x="874"/>
        <item m="1" x="1062"/>
        <item m="1" x="1252"/>
        <item m="1" x="1438"/>
        <item m="1" x="1624"/>
        <item m="1" x="1803"/>
        <item m="1" x="1995"/>
        <item m="1" x="2186"/>
        <item m="1" x="2366"/>
        <item m="1" x="2553"/>
        <item m="1" x="2735"/>
        <item m="1" x="7948"/>
        <item m="1" x="132"/>
        <item m="1" x="320"/>
        <item m="1" x="505"/>
        <item m="1" x="696"/>
        <item m="1" x="886"/>
        <item m="1" x="1075"/>
        <item m="1" x="1261"/>
        <item m="1" x="1451"/>
        <item m="1" x="1633"/>
        <item m="1" x="1815"/>
        <item m="1" x="2007"/>
        <item m="1" x="2197"/>
        <item m="1" x="2377"/>
        <item m="1" x="2563"/>
        <item m="1" x="2745"/>
        <item m="1" x="2930"/>
        <item m="1" x="3112"/>
        <item m="1" x="3299"/>
        <item m="1" x="3479"/>
        <item m="1" x="3669"/>
        <item m="1" x="3856"/>
        <item m="1" x="4041"/>
        <item m="1" x="4224"/>
        <item m="1" x="4410"/>
        <item m="1" x="4597"/>
        <item m="1" x="4781"/>
        <item m="1" x="4976"/>
        <item m="1" x="5165"/>
        <item m="1" x="5348"/>
        <item m="1" x="5532"/>
        <item m="1" x="5718"/>
        <item m="1" x="5905"/>
        <item m="1" x="6091"/>
        <item m="1" x="6278"/>
        <item m="1" x="6463"/>
        <item m="1" x="6646"/>
        <item m="1" x="6831"/>
        <item m="1" x="7016"/>
        <item m="1" x="7201"/>
        <item m="1" x="7388"/>
        <item m="1" x="7578"/>
        <item m="1" x="7761"/>
        <item m="1" x="7951"/>
        <item m="1" x="136"/>
        <item m="1" x="323"/>
        <item m="1" x="509"/>
        <item m="1" x="699"/>
        <item m="1" x="891"/>
        <item m="1" x="1078"/>
        <item m="1" x="1267"/>
        <item m="1" x="1454"/>
        <item m="1" x="1637"/>
        <item m="1" x="1821"/>
        <item m="1" x="2013"/>
        <item m="1" x="2200"/>
        <item m="1" x="2381"/>
        <item m="1" x="2566"/>
        <item m="1" x="2751"/>
        <item m="1" x="2933"/>
        <item m="1" x="3116"/>
        <item m="1" x="3302"/>
        <item m="1" x="3484"/>
        <item m="1" x="3672"/>
        <item m="1" x="3859"/>
        <item m="1" x="4043"/>
        <item m="1" x="4229"/>
        <item m="1" x="4412"/>
        <item m="1" x="4600"/>
        <item m="1" x="4784"/>
        <item m="1" x="4980"/>
        <item m="1" x="5167"/>
        <item m="1" x="5351"/>
        <item m="1" x="5534"/>
        <item m="1" x="5723"/>
        <item m="1" x="5907"/>
        <item m="1" x="6095"/>
        <item m="1" x="6281"/>
        <item m="1" x="6468"/>
        <item m="1" x="6649"/>
        <item m="1" x="6835"/>
        <item m="1" x="7019"/>
        <item m="1" x="7207"/>
        <item m="1" x="7391"/>
        <item m="1" x="7582"/>
        <item m="1" x="7765"/>
        <item m="1" x="7956"/>
        <item m="1" x="139"/>
        <item m="1" x="327"/>
        <item m="1" x="512"/>
        <item m="1" x="704"/>
        <item m="1" x="894"/>
        <item m="1" x="1081"/>
        <item m="1" x="1270"/>
        <item m="1" x="1458"/>
        <item m="1" x="1640"/>
        <item m="1" x="1824"/>
        <item m="1" x="2016"/>
        <item m="1" x="2204"/>
        <item m="1" x="2384"/>
        <item m="1" x="2569"/>
        <item m="1" x="2756"/>
        <item m="1" x="2937"/>
        <item m="1" x="3119"/>
        <item m="1" x="3305"/>
        <item m="1" x="3487"/>
        <item m="1" x="3676"/>
        <item m="1" x="3862"/>
        <item m="1" x="4046"/>
        <item m="1" x="4232"/>
        <item m="1" x="4416"/>
        <item m="1" x="4603"/>
        <item m="1" x="4788"/>
        <item m="1" x="4983"/>
        <item m="1" x="5171"/>
        <item m="1" x="5354"/>
        <item m="1" x="5537"/>
        <item m="1" x="5729"/>
        <item m="1" x="5910"/>
        <item m="1" x="6097"/>
        <item m="1" x="6283"/>
        <item m="1" x="6470"/>
        <item m="1" x="3686"/>
        <item m="1" x="3875"/>
        <item m="1" x="4056"/>
        <item m="1" x="4244"/>
        <item m="1" x="4426"/>
        <item m="1" x="4619"/>
        <item m="1" x="4799"/>
        <item m="1" x="4997"/>
        <item m="1" x="5180"/>
        <item m="1" x="5366"/>
        <item m="1" x="5550"/>
        <item m="1" x="5740"/>
        <item m="1" x="5920"/>
        <item m="1" x="6109"/>
        <item m="1" x="6294"/>
        <item m="1" x="6481"/>
        <item m="1" x="6664"/>
        <item m="1" x="6848"/>
        <item m="1" x="7033"/>
        <item m="1" x="7219"/>
        <item m="1" x="7406"/>
        <item m="1" x="7598"/>
        <item m="1" x="7780"/>
        <item m="1" x="7969"/>
        <item m="1" x="154"/>
        <item m="1" x="340"/>
        <item m="1" x="530"/>
        <item m="1" x="721"/>
        <item m="1" x="910"/>
        <item m="1" x="1095"/>
        <item m="1" x="1285"/>
        <item m="1" x="1472"/>
        <item m="1" x="1659"/>
        <item m="1" x="1839"/>
        <item m="1" x="2032"/>
        <item m="1" x="2217"/>
        <item m="1" x="2400"/>
        <item m="1" x="2586"/>
        <item m="1" x="2772"/>
        <item m="1" x="2952"/>
        <item m="1" x="3136"/>
        <item m="1" x="3320"/>
        <item m="1" x="3505"/>
        <item m="1" x="3691"/>
        <item m="1" x="3879"/>
        <item m="1" x="4061"/>
        <item m="1" x="4248"/>
        <item m="1" x="4433"/>
        <item m="1" x="4624"/>
        <item m="1" x="4804"/>
        <item m="1" x="5001"/>
        <item m="1" x="5186"/>
        <item m="1" x="5370"/>
        <item m="1" x="5556"/>
        <item m="1" x="5744"/>
        <item m="1" x="5927"/>
        <item m="1" x="6113"/>
        <item m="1" x="6299"/>
        <item m="1" x="6487"/>
        <item m="1" x="6670"/>
        <item m="1" x="6852"/>
        <item m="1" x="7038"/>
        <item m="1" x="7223"/>
        <item m="1" x="7413"/>
        <item m="1" x="7602"/>
        <item m="1" x="7784"/>
        <item m="1" x="7972"/>
        <item m="1" x="159"/>
        <item m="1" x="343"/>
        <item m="1" x="535"/>
        <item m="1" x="724"/>
        <item m="1" x="916"/>
        <item m="1" x="1098"/>
        <item m="1" x="1289"/>
        <item m="1" x="1477"/>
        <item m="1" x="1664"/>
        <item m="1" x="1843"/>
        <item m="1" x="2037"/>
        <item m="1" x="2221"/>
        <item m="1" x="2407"/>
        <item m="1" x="2590"/>
        <item m="1" x="2777"/>
        <item m="1" x="2956"/>
        <item m="1" x="3142"/>
        <item m="1" x="3324"/>
        <item m="1" x="3510"/>
        <item m="1" x="3695"/>
        <item m="1" x="3886"/>
        <item m="1" x="4065"/>
        <item m="1" x="4252"/>
        <item m="1" x="4438"/>
        <item m="1" x="4629"/>
        <item m="1" x="4808"/>
        <item m="1" x="5005"/>
        <item m="1" x="5190"/>
        <item m="1" x="5375"/>
        <item m="1" x="5560"/>
        <item m="1" x="5748"/>
        <item m="1" x="5931"/>
        <item m="1" x="6118"/>
        <item m="1" x="6303"/>
        <item m="1" x="6491"/>
        <item m="1" x="6674"/>
        <item m="1" x="6857"/>
        <item m="1" x="7042"/>
        <item m="1" x="7227"/>
        <item m="1" x="7419"/>
        <item m="1" x="7607"/>
        <item m="1" x="7788"/>
        <item m="1" x="7976"/>
        <item m="1" x="163"/>
        <item m="1" x="348"/>
        <item m="1" x="539"/>
        <item m="1" x="728"/>
        <item m="1" x="920"/>
        <item m="1" x="1103"/>
        <item m="1" x="1293"/>
        <item m="1" x="1481"/>
        <item m="1" x="1667"/>
        <item m="1" x="1847"/>
        <item m="1" x="2040"/>
        <item m="1" x="7237"/>
        <item m="1" x="7432"/>
        <item m="1" x="7615"/>
        <item m="1" x="7801"/>
        <item m="1" x="7985"/>
        <item m="1" x="175"/>
        <item m="1" x="359"/>
        <item m="1" x="552"/>
        <item m="1" x="738"/>
        <item m="1" x="931"/>
        <item m="1" x="1111"/>
        <item m="1" x="1307"/>
        <item m="1" x="1491"/>
        <item m="1" x="1677"/>
        <item m="1" x="1857"/>
        <item m="1" x="2051"/>
        <item m="1" x="2236"/>
        <item m="1" x="2421"/>
        <item m="1" x="2603"/>
        <item m="1" x="2791"/>
        <item m="1" x="2970"/>
        <item m="1" x="3155"/>
        <item m="1" x="3340"/>
        <item m="1" x="3524"/>
        <item m="1" x="3710"/>
        <item m="1" x="3898"/>
        <item m="1" x="4080"/>
        <item m="1" x="4269"/>
        <item m="1" x="4454"/>
        <item m="1" x="4643"/>
        <item m="1" x="4825"/>
        <item m="1" x="5019"/>
        <item m="1" x="5209"/>
        <item m="1" x="5390"/>
        <item m="1" x="5576"/>
        <item m="1" x="5762"/>
        <item m="1" x="5945"/>
        <item m="1" x="6131"/>
        <item m="1" x="6322"/>
        <item m="1" x="6504"/>
        <item m="1" x="6690"/>
        <item m="1" x="6870"/>
        <item m="1" x="7057"/>
        <item m="1" x="7242"/>
        <item m="1" x="7435"/>
        <item m="1" x="7620"/>
        <item m="1" x="7804"/>
        <item m="1" x="7989"/>
        <item m="1" x="180"/>
        <item m="1" x="364"/>
        <item m="1" x="555"/>
        <item m="1" x="742"/>
        <item m="1" x="934"/>
        <item m="1" x="1118"/>
        <item m="1" x="1310"/>
        <item m="1" x="1495"/>
        <item m="1" x="1680"/>
        <item m="1" x="1862"/>
        <item m="1" x="2054"/>
        <item m="1" x="2241"/>
        <item m="1" x="2424"/>
        <item m="1" x="2609"/>
        <item m="1" x="2793"/>
        <item m="1" x="2973"/>
        <item m="1" x="3158"/>
        <item m="1" x="3344"/>
        <item m="1" x="3526"/>
        <item m="1" x="3713"/>
        <item m="1" x="3900"/>
        <item m="1" x="4085"/>
        <item m="1" x="4271"/>
        <item m="1" x="4457"/>
        <item m="1" x="4645"/>
        <item m="1" x="4829"/>
        <item m="1" x="5021"/>
        <item m="1" x="5213"/>
        <item m="1" x="5393"/>
        <item m="1" x="5582"/>
        <item m="1" x="5765"/>
        <item m="1" x="5949"/>
        <item m="1" x="6135"/>
        <item m="1" x="6327"/>
        <item m="1" x="6507"/>
        <item m="1" x="6694"/>
        <item m="1" x="6873"/>
        <item m="1" x="7063"/>
        <item m="1" x="7245"/>
        <item m="1" x="7439"/>
        <item m="1" x="7623"/>
        <item m="1" x="7808"/>
        <item m="1" x="7992"/>
        <item m="1" x="184"/>
        <item m="1" x="367"/>
        <item m="1" x="559"/>
        <item m="1" x="745"/>
        <item m="1" x="937"/>
        <item m="1" x="1124"/>
        <item m="1" x="1314"/>
        <item m="1" x="1498"/>
        <item m="1" x="1683"/>
        <item m="1" x="1865"/>
        <item m="1" x="2058"/>
        <item m="1" x="2244"/>
        <item m="1" x="2427"/>
        <item m="1" x="2613"/>
        <item m="1" x="2797"/>
        <item m="1" x="2976"/>
        <item m="1" x="3161"/>
        <item m="1" x="3347"/>
        <item m="1" x="3530"/>
        <item m="1" x="3716"/>
        <item m="1" x="3903"/>
        <item m="1" x="4090"/>
        <item m="1" x="4275"/>
        <item m="1" x="4460"/>
        <item m="1" x="4648"/>
        <item m="1" x="4832"/>
        <item m="1" x="5025"/>
        <item m="1" x="5216"/>
        <item m="1" x="5396"/>
        <item m="1" x="5586"/>
        <item m="1" x="5769"/>
        <item m="1" x="2990"/>
        <item m="1" x="3170"/>
        <item m="1" x="3359"/>
        <item m="1" x="3540"/>
        <item m="1" x="3729"/>
        <item m="1" x="3914"/>
        <item m="1" x="4101"/>
        <item m="1" x="4283"/>
        <item m="1" x="4474"/>
        <item m="1" x="4657"/>
        <item m="1" x="4843"/>
        <item m="1" x="5036"/>
        <item m="1" x="5227"/>
        <item m="1" x="5406"/>
        <item m="1" x="5595"/>
        <item m="1" x="5778"/>
        <item m="1" x="5965"/>
        <item m="1" x="6148"/>
        <item m="1" x="6339"/>
        <item m="1" x="6521"/>
        <item m="1" x="6707"/>
        <item m="1" x="6890"/>
        <item m="1" x="7078"/>
        <item m="1" x="7260"/>
        <item m="1" x="7452"/>
        <item m="1" x="7637"/>
        <item m="1" x="7822"/>
        <item m="1" x="14"/>
        <item m="1" x="198"/>
        <item m="1" x="383"/>
        <item m="1" x="573"/>
        <item m="1" x="761"/>
        <item m="1" x="953"/>
        <item m="1" x="1139"/>
        <item m="1" x="1328"/>
        <item m="1" x="1515"/>
        <item m="1" x="1696"/>
        <item m="1" x="1883"/>
        <item m="1" x="2074"/>
        <item m="1" x="2260"/>
        <item m="1" x="2441"/>
        <item m="1" x="2628"/>
        <item m="1" x="2809"/>
        <item m="1" x="2993"/>
        <item m="1" x="3174"/>
        <item m="1" x="3362"/>
        <item m="1" x="3544"/>
        <item m="1" x="3732"/>
        <item m="1" x="3919"/>
        <item m="1" x="4104"/>
        <item m="1" x="4289"/>
        <item m="1" x="4477"/>
        <item m="1" x="4661"/>
        <item m="1" x="4850"/>
        <item m="1" x="5042"/>
        <item m="1" x="5230"/>
        <item m="1" x="5410"/>
        <item m="1" x="5598"/>
        <item m="1" x="5784"/>
        <item m="1" x="5968"/>
        <item m="1" x="6152"/>
        <item m="1" x="6342"/>
        <item m="1" x="6525"/>
        <item m="1" x="6709"/>
        <item m="1" x="6894"/>
        <item m="1" x="7080"/>
        <item m="1" x="7265"/>
        <item m="1" x="7454"/>
        <item m="1" x="7640"/>
        <item m="1" x="7826"/>
        <item m="1" x="18"/>
        <item m="1" x="200"/>
        <item m="1" x="386"/>
        <item m="1" x="575"/>
        <item m="1" x="766"/>
        <item m="1" x="955"/>
        <item m="1" x="1143"/>
        <item m="1" x="1331"/>
        <item m="1" x="1520"/>
        <item m="1" x="1699"/>
        <item m="1" x="1888"/>
        <item m="1" x="2077"/>
        <item m="1" x="2266"/>
        <item m="1" x="2444"/>
        <item m="1" x="2632"/>
        <item m="1" x="2813"/>
        <item m="1" x="2998"/>
        <item m="1" x="3177"/>
        <item m="1" x="3366"/>
        <item m="1" x="3547"/>
        <item m="1" x="3737"/>
        <item m="1" x="3922"/>
        <item m="1" x="4107"/>
        <item m="1" x="4293"/>
        <item m="1" x="4481"/>
        <item m="1" x="4664"/>
        <item m="1" x="4854"/>
        <item m="1" x="5045"/>
        <item m="1" x="5234"/>
        <item m="1" x="5413"/>
        <item m="1" x="5601"/>
        <item m="1" x="5790"/>
        <item m="1" x="5972"/>
        <item m="1" x="6155"/>
        <item m="1" x="6345"/>
        <item m="1" x="6528"/>
        <item m="1" x="6713"/>
        <item m="1" x="6897"/>
        <item m="1" x="7083"/>
        <item m="1" x="7269"/>
        <item m="1" x="7458"/>
        <item m="1" x="7643"/>
        <item m="1" x="7830"/>
        <item m="1" x="21"/>
        <item m="1" x="204"/>
        <item m="1" x="389"/>
        <item m="1" x="578"/>
        <item m="1" x="772"/>
        <item m="1" x="959"/>
        <item m="1" x="1146"/>
        <item m="1" x="1334"/>
        <item m="1" x="1523"/>
        <item m="1" x="6723"/>
        <item m="1" x="6909"/>
        <item m="1" x="7092"/>
        <item m="1" x="7281"/>
        <item m="1" x="7467"/>
        <item m="1" x="7660"/>
        <item m="1" x="7840"/>
        <item m="1" x="33"/>
        <item m="1" x="213"/>
        <item m="1" x="400"/>
        <item m="1" x="590"/>
        <item m="1" x="782"/>
        <item m="1" x="968"/>
        <item m="1" x="1158"/>
        <item m="1" x="1344"/>
        <item m="1" x="1533"/>
        <item m="1" x="1714"/>
        <item m="1" x="1901"/>
        <item m="1" x="2091"/>
        <item m="1" x="2278"/>
        <item m="1" x="2459"/>
        <item m="1" x="2647"/>
        <item m="1" x="2828"/>
        <item m="1" x="3011"/>
        <item m="1" x="3193"/>
        <item m="1" x="3379"/>
        <item m="1" x="3565"/>
        <item m="1" x="3754"/>
        <item m="1" x="3938"/>
        <item m="1" x="4121"/>
        <item m="1" x="4308"/>
        <item m="1" x="4495"/>
        <item m="1" x="4683"/>
        <item m="1" x="4868"/>
        <item m="1" x="5061"/>
        <item m="1" x="5247"/>
        <item m="1" x="5428"/>
        <item m="1" x="5615"/>
        <item m="1" x="5804"/>
        <item m="1" x="5986"/>
        <item m="1" x="6172"/>
        <item m="1" x="6359"/>
        <item m="1" x="6545"/>
        <item m="1" x="6727"/>
        <item m="1" x="6912"/>
        <item m="1" x="7096"/>
        <item m="1" x="7284"/>
        <item m="1" x="7473"/>
        <item m="1" x="7663"/>
        <item m="1" x="7844"/>
        <item m="1" x="36"/>
        <item m="1" x="218"/>
        <item m="1" x="404"/>
        <item m="1" x="595"/>
        <item m="1" x="786"/>
        <item m="1" x="974"/>
        <item m="1" x="1161"/>
        <item m="1" x="1348"/>
        <item m="1" x="1538"/>
        <item m="1" x="1719"/>
        <item m="1" x="1904"/>
        <item m="1" x="2095"/>
        <item m="1" x="2280"/>
        <item m="1" x="2464"/>
        <item m="1" x="2649"/>
        <item m="1" x="2831"/>
        <item m="1" x="3013"/>
        <item m="1" x="3197"/>
        <item m="1" x="3381"/>
        <item m="1" x="3569"/>
        <item m="1" x="3756"/>
        <item m="1" x="3943"/>
        <item m="1" x="4123"/>
        <item m="1" x="4311"/>
        <item m="1" x="4499"/>
        <item m="1" x="4687"/>
        <item m="1" x="4871"/>
        <item m="1" x="5065"/>
        <item m="1" x="5250"/>
        <item m="1" x="5434"/>
        <item m="1" x="5619"/>
        <item m="1" x="5808"/>
        <item m="1" x="5989"/>
        <item m="1" x="6177"/>
        <item m="1" x="6362"/>
        <item m="1" x="6550"/>
        <item m="1" x="6730"/>
        <item m="1" x="6918"/>
        <item m="1" x="7099"/>
        <item m="1" x="7287"/>
        <item m="1" x="7477"/>
        <item m="1" x="7667"/>
        <item m="1" x="7847"/>
        <item m="1" x="39"/>
        <item m="1" x="221"/>
        <item m="1" x="408"/>
        <item m="1" x="598"/>
        <item m="1" x="789"/>
        <item m="1" x="978"/>
        <item m="1" x="1165"/>
        <item m="1" x="1351"/>
        <item m="1" x="1542"/>
        <item m="1" x="1722"/>
        <item m="1" x="1908"/>
        <item m="1" x="2098"/>
        <item m="1" x="2283"/>
        <item m="1" x="2470"/>
        <item m="1" x="2653"/>
        <item m="1" x="2834"/>
        <item m="1" x="3016"/>
        <item m="1" x="3200"/>
        <item m="1" x="3385"/>
        <item m="1" x="3572"/>
        <item m="1" x="3759"/>
        <item m="1" x="3947"/>
        <item m="1" x="4127"/>
        <item m="1" x="4314"/>
        <item m="1" x="4503"/>
        <item m="1" x="4690"/>
        <item m="1" x="4875"/>
        <item m="1" x="5068"/>
        <item m="1" x="2481"/>
        <item m="1" x="2661"/>
        <item m="1" x="2847"/>
        <item m="1" x="3025"/>
        <item m="1" x="3212"/>
        <item m="1" x="3395"/>
        <item m="1" x="3585"/>
        <item m="1" x="3768"/>
        <item m="1" x="3958"/>
        <item m="1" x="4135"/>
        <item m="1" x="4328"/>
        <item m="1" x="4513"/>
        <item m="1" x="4700"/>
        <item m="1" x="4885"/>
        <item m="1" x="5079"/>
        <item m="1" x="5264"/>
        <item m="1" x="5448"/>
        <item m="1" x="5632"/>
        <item m="1" x="5822"/>
        <item m="1" x="6003"/>
        <item m="1" x="6190"/>
        <item m="1" x="6380"/>
        <item m="1" x="6563"/>
        <item m="1" x="6745"/>
        <item m="1" x="6931"/>
        <item m="1" x="7114"/>
        <item m="1" x="7304"/>
        <item m="1" x="7493"/>
        <item m="1" x="7681"/>
        <item m="1" x="7864"/>
        <item m="1" x="53"/>
        <item m="1" x="240"/>
        <item m="1" x="425"/>
        <item m="1" x="614"/>
        <item m="1" x="803"/>
        <item m="1" x="992"/>
        <item m="1" x="1179"/>
        <item m="1" x="1370"/>
        <item m="1" x="1555"/>
        <item m="1" x="1737"/>
        <item m="1" x="1922"/>
        <item m="1" x="2113"/>
        <item m="1" x="2297"/>
        <item m="1" x="2484"/>
        <item m="1" x="2666"/>
        <item m="1" x="2850"/>
        <item m="1" x="3029"/>
        <item m="1" x="3217"/>
        <item m="1" x="3400"/>
        <item m="1" x="3588"/>
        <item m="1" x="3772"/>
        <item m="1" x="3961"/>
        <item m="1" x="4141"/>
        <item m="1" x="4331"/>
        <item m="1" x="4518"/>
        <item m="1" x="4703"/>
        <item m="1" x="4890"/>
        <item m="1" x="5082"/>
        <item m="1" x="5268"/>
        <item m="1" x="5451"/>
        <item m="1" x="5638"/>
        <item m="1" x="5824"/>
        <item m="1" x="6006"/>
        <item m="1" x="6194"/>
        <item m="1" x="6384"/>
        <item m="1" x="6565"/>
        <item m="1" x="6748"/>
        <item m="1" x="6933"/>
        <item m="1" x="7119"/>
        <item m="1" x="7306"/>
        <item m="1" x="7496"/>
        <item m="1" x="7683"/>
        <item m="1" x="7868"/>
        <item m="1" x="55"/>
        <item m="1" x="243"/>
        <item m="1" x="428"/>
        <item m="1" x="620"/>
        <item m="1" x="806"/>
        <item m="1" x="996"/>
        <item m="1" x="1183"/>
        <item m="1" x="1375"/>
        <item m="1" x="1558"/>
        <item m="1" x="1741"/>
        <item m="1" x="1925"/>
        <item m="1" x="2119"/>
        <item m="1" x="2300"/>
        <item m="1" x="2488"/>
        <item m="1" x="2669"/>
        <item m="1" x="2854"/>
        <item m="1" x="3032"/>
        <item m="1" x="3221"/>
        <item m="1" x="3403"/>
        <item m="1" x="3592"/>
        <item m="1" x="3775"/>
        <item m="1" x="3964"/>
        <item m="1" x="4147"/>
        <item m="1" x="4335"/>
        <item m="1" x="4521"/>
        <item m="1" x="4706"/>
        <item m="1" x="4893"/>
        <item m="1" x="5086"/>
        <item m="1" x="5271"/>
        <item m="1" x="5454"/>
        <item m="1" x="5642"/>
        <item m="1" x="5828"/>
        <item m="1" x="6009"/>
        <item m="1" x="6198"/>
        <item m="1" x="6387"/>
        <item m="1" x="6569"/>
        <item m="1" x="6751"/>
        <item m="1" x="6936"/>
        <item m="1" x="7125"/>
        <item m="1" x="7310"/>
        <item m="1" x="7499"/>
        <item m="1" x="7686"/>
        <item m="1" x="7871"/>
        <item m="1" x="59"/>
        <item m="1" x="246"/>
        <item m="1" x="431"/>
        <item m="1" x="624"/>
        <item m="1" x="810"/>
        <item m="1" x="6025"/>
        <item m="1" x="6207"/>
        <item m="1" x="6399"/>
        <item m="1" x="6578"/>
        <item m="1" x="6763"/>
        <item m="1" x="6946"/>
        <item m="1" x="7136"/>
        <item m="1" x="7319"/>
        <item m="1" x="7513"/>
        <item m="1" x="7695"/>
        <item m="1" x="7882"/>
        <item m="1" x="70"/>
        <item m="1" x="257"/>
        <item m="1" x="441"/>
        <item m="1" x="633"/>
        <item m="1" x="819"/>
        <item m="1" x="1013"/>
        <item m="1" x="1197"/>
        <item m="1" x="1387"/>
        <item m="1" x="1572"/>
        <item m="1" x="1754"/>
        <item m="1" x="1943"/>
        <item m="1" x="2136"/>
        <item m="1" x="2315"/>
        <item m="1" x="2501"/>
        <item m="1" x="2683"/>
        <item m="1" x="2867"/>
        <item m="1" x="3052"/>
        <item m="1" x="3236"/>
        <item m="1" x="3419"/>
        <item m="1" x="3606"/>
        <item m="1" x="3791"/>
        <item m="1" x="3980"/>
        <item m="1" x="4163"/>
        <item m="1" x="4349"/>
        <item m="1" x="4538"/>
        <item m="1" x="4719"/>
        <item m="1" x="4911"/>
        <item m="1" x="5101"/>
        <item m="1" x="5286"/>
        <item m="1" x="5467"/>
        <item m="1" x="5656"/>
        <item m="1" x="5840"/>
        <item m="1" x="6028"/>
        <item m="1" x="6211"/>
        <item m="1" x="6402"/>
        <item m="1" x="6582"/>
        <item m="1" x="6766"/>
        <item m="1" x="6952"/>
        <item m="1" x="7139"/>
        <item m="1" x="7325"/>
        <item m="1" x="7516"/>
        <item m="1" x="7699"/>
        <item m="1" x="7888"/>
        <item m="1" x="75"/>
        <item m="1" x="260"/>
        <item m="1" x="445"/>
        <item m="1" x="636"/>
        <item m="1" x="825"/>
        <item m="1" x="1016"/>
        <item m="1" x="1201"/>
        <item m="1" x="1390"/>
        <item m="1" x="1576"/>
        <item m="1" x="1756"/>
        <item m="1" x="1947"/>
        <item m="1" x="2138"/>
        <item m="1" x="2320"/>
        <item m="1" x="2503"/>
        <item m="1" x="2686"/>
        <item m="1" x="2870"/>
        <item m="1" x="3056"/>
        <item m="1" x="3238"/>
        <item m="1" x="3422"/>
        <item m="1" x="3608"/>
        <item m="1" x="3796"/>
        <item m="1" x="3982"/>
        <item m="1" x="4167"/>
        <item m="1" x="4352"/>
        <item m="1" x="4543"/>
        <item m="1" x="4722"/>
        <item m="1" x="4915"/>
        <item m="1" x="5104"/>
        <item m="1" x="5292"/>
        <item m="1" x="5470"/>
        <item m="1" x="5660"/>
        <item m="1" x="5845"/>
        <item m="1" x="6033"/>
        <item m="1" x="6214"/>
        <item m="1" x="6406"/>
        <item m="1" x="6585"/>
        <item m="1" x="6771"/>
        <item m="1" x="6955"/>
        <item m="1" x="7142"/>
        <item m="1" x="7329"/>
        <item m="1" x="7520"/>
        <item m="1" x="7702"/>
        <item m="1" x="7891"/>
        <item m="1" x="78"/>
        <item m="1" x="264"/>
        <item m="1" x="448"/>
        <item m="1" x="639"/>
        <item m="1" x="831"/>
        <item m="1" x="1020"/>
        <item m="1" x="1204"/>
        <item m="1" x="1393"/>
        <item m="1" x="1579"/>
        <item m="1" x="1760"/>
        <item m="1" x="1950"/>
        <item m="1" x="2141"/>
        <item m="1" x="2324"/>
        <item m="1" x="2507"/>
        <item m="1" x="2689"/>
        <item m="1" x="2874"/>
        <item m="1" x="3059"/>
        <item m="1" x="3242"/>
        <item m="1" x="3425"/>
        <item m="1" x="3611"/>
        <item m="1" x="3802"/>
        <item m="1" x="3986"/>
        <item m="1" x="4170"/>
        <item m="1" x="4355"/>
        <item m="1" x="4546"/>
        <item m="1" x="1769"/>
        <item m="1" x="1960"/>
        <item m="1" x="2148"/>
        <item m="1" x="2333"/>
        <item m="1" x="2513"/>
        <item m="1" x="2703"/>
        <item m="1" x="2880"/>
        <item m="1" x="3069"/>
        <item m="1" x="3249"/>
        <item m="1" x="3434"/>
        <item m="1" x="3621"/>
        <item m="1" x="3811"/>
        <item m="1" x="3993"/>
        <item m="1" x="4180"/>
        <item m="1" x="4363"/>
        <item m="1" x="4554"/>
        <item m="1" x="4734"/>
        <item m="1" x="4927"/>
        <item m="1" x="5116"/>
        <item m="1" x="5302"/>
        <item m="1" x="5483"/>
        <item m="1" x="5675"/>
        <item m="1" x="5858"/>
        <item m="1" x="6044"/>
        <item m="1" x="6228"/>
        <item m="1" x="6417"/>
        <item m="1" x="6601"/>
        <item m="1" x="6785"/>
        <item m="1" x="6968"/>
        <item m="1" x="7153"/>
        <item m="1" x="7341"/>
        <item m="1" x="7531"/>
        <item m="1" x="7718"/>
        <item m="1" x="7902"/>
        <item m="1" x="91"/>
        <item m="1" x="275"/>
        <item m="1" x="461"/>
        <item m="1" x="652"/>
        <item m="1" x="844"/>
        <item m="1" x="1030"/>
        <item m="1" x="1218"/>
        <item m="1" x="1403"/>
        <item m="1" x="1593"/>
        <item m="1" x="1772"/>
        <item m="1" x="1962"/>
        <item m="1" x="2151"/>
        <item m="1" x="2335"/>
        <item m="1" x="2518"/>
        <item m="1" x="2705"/>
        <item m="1" x="2883"/>
        <item m="1" x="3071"/>
        <item m="1" x="3253"/>
        <item m="1" x="3436"/>
        <item m="1" x="3626"/>
        <item m="1" x="3813"/>
        <item m="1" x="3998"/>
        <item m="1" x="4182"/>
        <item m="1" x="4366"/>
        <item m="1" x="4558"/>
        <item m="1" x="4738"/>
        <item m="1" x="4929"/>
        <item m="1" x="5119"/>
        <item m="1" x="5304"/>
        <item m="1" x="5488"/>
        <item m="1" x="5677"/>
        <item m="1" x="5861"/>
        <item m="1" x="6046"/>
        <item m="1" x="6232"/>
        <item m="1" x="6419"/>
        <item m="1" x="6606"/>
        <item m="1" x="6787"/>
        <item m="1" x="6973"/>
        <item m="1" x="7155"/>
        <item m="1" x="7344"/>
        <item m="1" x="7535"/>
        <item m="1" x="7722"/>
        <item m="1" x="7905"/>
        <item m="1" x="95"/>
        <item m="1" x="278"/>
        <item m="1" x="467"/>
        <item m="1" x="655"/>
        <item m="1" x="848"/>
        <item m="1" x="1033"/>
        <item m="1" x="1223"/>
        <item m="1" x="1406"/>
        <item m="1" x="1598"/>
        <item m="1" x="1775"/>
        <item m="1" x="1969"/>
        <item m="1" x="2154"/>
        <item m="1" x="2338"/>
        <item m="1" x="2522"/>
        <item m="1" x="2709"/>
        <item m="1" x="2886"/>
        <item m="1" x="3074"/>
        <item m="1" x="3256"/>
        <item m="1" x="3440"/>
        <item m="1" x="3629"/>
        <item m="1" x="3816"/>
        <item m="1" x="4002"/>
        <item m="1" x="4186"/>
        <item m="1" x="4369"/>
        <item m="1" x="4561"/>
        <item m="1" x="4741"/>
        <item m="1" x="4933"/>
        <item m="1" x="5122"/>
        <item m="1" x="5307"/>
        <item m="1" x="5494"/>
        <item m="1" x="5681"/>
        <item m="1" x="5864"/>
        <item m="1" x="6049"/>
        <item m="1" x="6235"/>
        <item m="1" x="6423"/>
        <item m="1" x="6609"/>
        <item m="1" x="6790"/>
        <item m="1" x="6977"/>
        <item m="1" x="7159"/>
        <item m="1" x="7347"/>
        <item m="1" x="7538"/>
        <item m="1" x="7725"/>
        <item m="1" x="7909"/>
        <item m="1" x="98"/>
        <item m="1" x="281"/>
        <item m="1" x="5505"/>
        <item m="1" x="5689"/>
        <item m="1" x="5876"/>
        <item m="1" x="6058"/>
        <item m="1" x="6246"/>
        <item m="1" x="6433"/>
        <item m="1" x="6620"/>
        <item m="1" x="6799"/>
        <item m="1" x="6987"/>
        <item m="1" x="7166"/>
        <item m="1" x="7360"/>
        <item m="1" x="7547"/>
        <item m="1" x="7735"/>
        <item m="1" x="7918"/>
        <item m="1" x="108"/>
        <item m="1" x="292"/>
        <item m="1" x="482"/>
        <item m="1" x="667"/>
        <item m="1" x="862"/>
        <item m="1" x="1045"/>
        <item m="1" x="1236"/>
        <item m="1" x="1424"/>
        <item m="1" x="1611"/>
        <item m="1" x="1789"/>
        <item m="1" x="1982"/>
        <item m="1" x="2168"/>
        <item m="1" x="2354"/>
        <item m="1" x="2537"/>
        <item m="1" x="2722"/>
        <item m="1" x="2901"/>
        <item m="1" x="3087"/>
        <item m="1" x="3273"/>
        <item m="1" x="3456"/>
        <item m="1" x="3643"/>
        <item m="1" x="3829"/>
        <item m="1" x="4014"/>
        <item m="1" x="4198"/>
        <item m="1" x="4385"/>
        <item m="1" x="4573"/>
        <item m="1" x="4755"/>
        <item m="1" x="4946"/>
        <item m="1" x="5136"/>
        <item m="1" x="5321"/>
        <item m="1" x="5507"/>
        <item m="1" x="5693"/>
        <item m="1" x="5878"/>
        <item m="1" x="6061"/>
        <item m="1" x="6250"/>
        <item m="1" x="6437"/>
        <item m="1" x="6622"/>
        <item m="1" x="6802"/>
        <item m="1" x="6989"/>
        <item m="1" x="7172"/>
        <item m="1" x="7363"/>
        <item m="1" x="7551"/>
        <item m="1" x="7737"/>
        <item m="1" x="7922"/>
        <item m="1" x="110"/>
        <item m="1" x="296"/>
        <item m="1" x="484"/>
        <item m="1" x="672"/>
        <item m="1" x="864"/>
        <item m="1" x="1048"/>
        <item m="1" x="1240"/>
        <item m="1" x="1428"/>
        <item m="1" x="1613"/>
        <item m="1" x="1792"/>
        <item m="1" x="1984"/>
        <item m="1" x="2173"/>
        <item m="1" x="2356"/>
        <item m="1" x="2541"/>
        <item m="1" x="2724"/>
        <item m="1" x="2905"/>
        <item m="1" x="3089"/>
        <item m="1" x="3278"/>
        <item m="1" x="3458"/>
        <item m="1" x="3649"/>
        <item m="1" x="3832"/>
        <item m="1" x="4019"/>
        <item m="1" x="4202"/>
        <item m="1" x="4390"/>
        <item m="1" x="4576"/>
        <item m="1" x="4760"/>
        <item m="1" x="4949"/>
        <item m="1" x="5142"/>
        <item m="1" x="5324"/>
        <item m="1" x="5512"/>
        <item m="1" x="5696"/>
        <item m="1" x="5882"/>
        <item m="1" x="6064"/>
        <item m="1" x="6256"/>
        <item m="1" x="6440"/>
        <item m="1" x="6626"/>
        <item m="1" x="6805"/>
        <item m="1" x="6993"/>
        <item m="1" x="7178"/>
        <item m="1" x="7367"/>
        <item m="1" x="7554"/>
        <item m="1" x="7741"/>
        <item m="1" x="7925"/>
        <item m="1" x="114"/>
        <item m="1" x="299"/>
        <item m="1" x="488"/>
        <item m="1" x="676"/>
        <item m="1" x="868"/>
        <item m="1" x="1051"/>
        <item m="1" x="1245"/>
        <item m="1" x="1431"/>
        <item m="1" x="1617"/>
        <item m="1" x="1795"/>
        <item m="1" x="1988"/>
        <item m="1" x="2179"/>
        <item m="1" x="2360"/>
        <item m="1" x="2544"/>
        <item m="1" x="2728"/>
        <item m="1" x="2908"/>
        <item m="1" x="3093"/>
        <item m="1" x="3281"/>
        <item m="1" x="3462"/>
        <item m="1" x="3653"/>
        <item m="1" x="3836"/>
        <item m="1" x="1254"/>
        <item m="1" x="1443"/>
        <item m="1" x="1626"/>
        <item m="1" x="1806"/>
        <item m="1" x="1998"/>
        <item m="1" x="2190"/>
        <item m="1" x="2368"/>
        <item m="1" x="2556"/>
        <item m="1" x="2737"/>
        <item m="1" x="2919"/>
        <item m="1" x="3104"/>
        <item m="1" x="3291"/>
        <item m="1" x="3471"/>
        <item m="1" x="3662"/>
        <item m="1" x="3844"/>
        <item m="1" x="4034"/>
        <item m="1" x="4216"/>
        <item m="1" x="4403"/>
        <item m="1" x="4589"/>
        <item m="1" x="4773"/>
        <item m="1" x="4967"/>
        <item m="1" x="5158"/>
        <item m="1" x="5338"/>
        <item m="1" x="5525"/>
        <item m="1" x="5710"/>
        <item m="1" x="5895"/>
        <item m="1" x="6083"/>
        <item m="1" x="6270"/>
        <item m="1" x="6455"/>
        <item m="1" x="6639"/>
        <item m="1" x="6819"/>
        <item m="1" x="7008"/>
        <item m="1" x="7192"/>
        <item m="1" x="7380"/>
        <item m="1" x="7569"/>
        <item m="1" x="7753"/>
        <item m="1" x="7941"/>
        <item m="1" x="128"/>
        <item m="1" x="312"/>
        <item m="1" x="501"/>
        <item m="1" x="690"/>
        <item m="1" x="880"/>
        <item m="1" x="1068"/>
        <item m="1" x="1257"/>
        <item m="1" x="1445"/>
        <item m="1" x="1629"/>
        <item m="1" x="1808"/>
        <item m="1" x="2003"/>
        <item m="1" x="2192"/>
        <item m="1" x="2373"/>
        <item m="1" x="2558"/>
        <item m="1" x="2741"/>
        <item m="1" x="2924"/>
        <item m="1" x="3108"/>
        <item m="1" x="3293"/>
        <item m="1" x="3475"/>
        <item m="1" x="3664"/>
        <item m="1" x="3849"/>
        <item m="1" x="4036"/>
        <item m="1" x="4220"/>
        <item m="1" x="4405"/>
        <item m="1" x="4593"/>
        <item m="1" x="4775"/>
        <item m="1" x="4972"/>
        <item m="1" x="5160"/>
        <item m="1" x="5343"/>
        <item m="1" x="5527"/>
        <item m="1" x="5714"/>
        <item m="1" x="5898"/>
        <item m="1" x="6087"/>
        <item m="1" x="6272"/>
        <item m="1" x="6459"/>
        <item m="1" x="6641"/>
        <item m="1" x="6824"/>
        <item m="1" x="7011"/>
        <item m="1" x="7197"/>
        <item m="1" x="7383"/>
        <item m="1" x="7574"/>
        <item m="1" x="7756"/>
        <item m="1" x="7947"/>
        <item m="1" x="131"/>
        <item m="1" x="318"/>
        <item m="1" x="504"/>
        <item m="1" x="695"/>
        <item m="1" x="885"/>
        <item m="1" x="1074"/>
        <item m="1" x="1260"/>
        <item m="1" x="1450"/>
        <item m="1" x="1632"/>
        <item m="1" x="1813"/>
        <item m="1" x="2006"/>
        <item m="1" x="2196"/>
        <item m="1" x="2376"/>
        <item m="1" x="2562"/>
        <item m="1" x="2744"/>
        <item m="1" x="2929"/>
        <item m="1" x="3111"/>
        <item m="1" x="3297"/>
        <item m="1" x="3478"/>
        <item m="1" x="3668"/>
        <item m="1" x="3855"/>
        <item m="1" x="4040"/>
        <item m="1" x="4223"/>
        <item m="1" x="4409"/>
        <item m="1" x="4596"/>
        <item m="1" x="4779"/>
        <item m="1" x="4975"/>
        <item m="1" x="5164"/>
        <item m="1" x="5347"/>
        <item m="1" x="5531"/>
        <item m="1" x="5717"/>
        <item m="1" x="5904"/>
        <item m="1" x="6090"/>
        <item m="1" x="6276"/>
        <item m="1" x="6462"/>
        <item m="1" x="6645"/>
        <item m="1" x="6830"/>
        <item m="1" x="7015"/>
        <item m="1" x="7200"/>
        <item m="1" x="7387"/>
        <item m="1" x="7577"/>
        <item m="1" x="4790"/>
        <item m="1" x="4986"/>
        <item m="1" x="5173"/>
        <item m="1" x="5359"/>
        <item m="1" x="5539"/>
        <item m="1" x="5732"/>
        <item m="1" x="5912"/>
        <item m="1" x="6102"/>
        <item m="1" x="6285"/>
        <item m="1" x="6473"/>
        <item m="1" x="6656"/>
        <item m="1" x="6841"/>
        <item m="1" x="7023"/>
        <item m="1" x="7211"/>
        <item m="1" x="7397"/>
        <item m="1" x="7587"/>
        <item m="1" x="7770"/>
        <item m="1" x="7960"/>
        <item m="1" x="145"/>
        <item m="1" x="332"/>
        <item m="1" x="517"/>
        <item m="1" x="712"/>
        <item m="1" x="901"/>
        <item m="1" x="1087"/>
        <item m="1" x="1275"/>
        <item m="1" x="1463"/>
        <item m="1" x="1649"/>
        <item m="1" x="1831"/>
        <item m="1" x="2021"/>
        <item m="1" x="2209"/>
        <item m="1" x="2391"/>
        <item m="1" x="2575"/>
        <item m="1" x="2762"/>
        <item m="1" x="2942"/>
        <item m="1" x="3126"/>
        <item m="1" x="3311"/>
        <item m="1" x="3492"/>
        <item m="1" x="3682"/>
        <item m="1" x="3869"/>
        <item m="1" x="4052"/>
        <item m="1" x="4237"/>
        <item m="1" x="4422"/>
        <item m="1" x="4612"/>
        <item m="1" x="4794"/>
        <item m="1" x="4988"/>
        <item m="1" x="5176"/>
        <item m="1" x="5361"/>
        <item m="1" x="5544"/>
        <item m="1" x="5734"/>
        <item m="1" x="5916"/>
        <item m="1" x="6104"/>
        <item m="1" x="6290"/>
        <item m="1" x="6475"/>
        <item m="1" x="6660"/>
        <item m="1" x="6843"/>
        <item m="1" x="7028"/>
        <item m="1" x="7213"/>
        <item m="1" x="7401"/>
        <item m="1" x="7591"/>
        <item m="1" x="7775"/>
        <item m="1" x="7962"/>
        <item m="1" x="149"/>
        <item m="1" x="334"/>
        <item m="1" x="522"/>
        <item m="1" x="715"/>
        <item m="1" x="905"/>
        <item m="1" x="1089"/>
        <item m="1" x="1280"/>
        <item m="1" x="1465"/>
        <item m="1" x="1654"/>
        <item m="1" x="1833"/>
        <item m="1" x="2026"/>
        <item m="1" x="2211"/>
        <item m="1" x="2395"/>
        <item m="1" x="2579"/>
        <item m="1" x="2767"/>
        <item m="1" x="2945"/>
        <item m="1" x="3131"/>
        <item m="1" x="3314"/>
        <item m="1" x="3498"/>
        <item m="1" x="3685"/>
        <item m="1" x="3874"/>
        <item m="1" x="4055"/>
        <item m="1" x="4243"/>
        <item m="1" x="4425"/>
        <item m="1" x="4618"/>
        <item m="1" x="4798"/>
        <item m="1" x="4995"/>
        <item m="1" x="5179"/>
        <item m="1" x="5365"/>
        <item m="1" x="5548"/>
        <item m="1" x="5739"/>
        <item m="1" x="5919"/>
        <item m="1" x="6108"/>
        <item m="1" x="6293"/>
        <item m="1" x="6479"/>
        <item m="1" x="6663"/>
        <item m="1" x="6847"/>
        <item m="1" x="7032"/>
        <item m="1" x="7218"/>
        <item m="1" x="7405"/>
        <item m="1" x="7597"/>
        <item m="1" x="7779"/>
        <item m="1" x="7967"/>
        <item m="1" x="153"/>
        <item m="1" x="339"/>
        <item m="1" x="529"/>
        <item m="1" x="720"/>
        <item m="1" x="909"/>
        <item m="1" x="1094"/>
        <item m="1" x="1284"/>
        <item m="1" x="1470"/>
        <item m="1" x="1658"/>
        <item m="1" x="1838"/>
        <item m="1" x="2031"/>
        <item m="1" x="2216"/>
        <item m="1" x="2399"/>
        <item m="1" x="2585"/>
        <item m="1" x="2771"/>
        <item m="1" x="2950"/>
        <item m="1" x="3135"/>
        <item m="1" x="3319"/>
        <item m="1" x="544"/>
        <item m="1" x="730"/>
        <item m="1" x="923"/>
        <item m="1" x="1105"/>
        <item m="1" x="1298"/>
        <item m="1" x="1483"/>
        <item m="1" x="1670"/>
        <item m="1" x="1850"/>
        <item m="1" x="2045"/>
        <item m="1" x="2225"/>
        <item m="1" x="2415"/>
        <item m="1" x="2596"/>
        <item m="1" x="2784"/>
        <item m="1" x="2961"/>
        <item m="1" x="3147"/>
        <item m="1" x="3332"/>
        <item m="1" x="3517"/>
        <item m="1" x="3700"/>
        <item m="1" x="3891"/>
        <item m="1" x="4072"/>
        <item m="1" x="4259"/>
        <item m="1" x="4445"/>
        <item m="1" x="4635"/>
        <item m="1" x="4817"/>
        <item m="1" x="5012"/>
        <item m="1" x="5196"/>
        <item m="1" x="5383"/>
        <item m="1" x="5568"/>
        <item m="1" x="5755"/>
        <item m="1" x="5936"/>
        <item m="1" x="6123"/>
        <item m="1" x="6313"/>
        <item m="1" x="6497"/>
        <item m="1" x="6679"/>
        <item m="1" x="6863"/>
        <item m="1" x="7049"/>
        <item m="1" x="7233"/>
        <item m="1" x="7425"/>
        <item m="1" x="7612"/>
        <item m="1" x="7796"/>
        <item m="1" x="7982"/>
        <item m="1" x="168"/>
        <item m="1" x="355"/>
        <item m="1" x="546"/>
        <item m="1" x="734"/>
        <item m="1" x="925"/>
        <item m="1" x="1108"/>
        <item m="1" x="1302"/>
        <item m="1" x="1488"/>
        <item m="1" x="1672"/>
        <item m="1" x="1854"/>
        <item m="1" x="2047"/>
        <item m="1" x="2230"/>
        <item m="1" x="2417"/>
        <item m="1" x="2600"/>
        <item m="1" x="2787"/>
        <item m="1" x="2966"/>
        <item m="1" x="3149"/>
        <item m="1" x="3336"/>
        <item m="1" x="3519"/>
        <item m="1" x="3705"/>
        <item m="1" x="3893"/>
        <item m="1" x="4076"/>
        <item m="1" x="4263"/>
        <item m="1" x="4450"/>
        <item m="1" x="4637"/>
        <item m="1" x="4821"/>
        <item m="1" x="5014"/>
        <item m="1" x="5201"/>
        <item m="1" x="5385"/>
        <item m="1" x="5572"/>
        <item m="1" x="5757"/>
        <item m="1" x="5941"/>
        <item m="1" x="6125"/>
        <item m="1" x="6317"/>
        <item m="1" x="6499"/>
        <item m="1" x="6685"/>
        <item m="1" x="6865"/>
        <item m="1" x="7053"/>
        <item m="1" x="7236"/>
        <item m="1" x="7431"/>
        <item m="1" x="7614"/>
        <item m="1" x="7800"/>
        <item m="1" x="7984"/>
        <item m="1" x="173"/>
        <item m="1" x="358"/>
        <item m="1" x="551"/>
        <item m="1" x="737"/>
        <item m="1" x="930"/>
        <item m="1" x="1110"/>
        <item m="1" x="1306"/>
        <item m="1" x="1490"/>
        <item m="1" x="1675"/>
        <item m="1" x="1856"/>
        <item m="1" x="2050"/>
        <item m="1" x="2235"/>
        <item m="1" x="2420"/>
        <item m="1" x="2602"/>
        <item m="1" x="2790"/>
        <item m="1" x="2969"/>
        <item m="1" x="3153"/>
        <item m="1" x="3339"/>
        <item m="1" x="3523"/>
        <item m="1" x="3709"/>
        <item m="1" x="3897"/>
        <item m="1" x="4079"/>
        <item m="1" x="4268"/>
        <item m="1" x="4453"/>
        <item m="1" x="4641"/>
        <item m="1" x="4824"/>
        <item m="1" x="5018"/>
        <item m="1" x="5207"/>
        <item m="1" x="5389"/>
        <item m="1" x="5575"/>
        <item m="1" x="5761"/>
        <item m="1" x="5944"/>
        <item m="1" x="6129"/>
        <item m="1" x="6321"/>
        <item m="1" x="6503"/>
        <item m="1" x="6689"/>
        <item m="1" x="6869"/>
        <item m="1" x="7056"/>
        <item m="1" x="4277"/>
        <item m="1" x="4465"/>
        <item m="1" x="4650"/>
        <item m="1" x="4835"/>
        <item m="1" x="5028"/>
        <item m="1" x="5221"/>
        <item m="1" x="5398"/>
        <item m="1" x="5589"/>
        <item m="1" x="5771"/>
        <item m="1" x="5956"/>
        <item m="1" x="6140"/>
        <item m="1" x="6332"/>
        <item m="1" x="6514"/>
        <item m="1" x="6700"/>
        <item m="1" x="6878"/>
        <item m="1" x="7071"/>
        <item m="1" x="7252"/>
        <item m="1" x="7445"/>
        <item m="1" x="7628"/>
        <item m="1" x="7814"/>
        <item m="1" x="4"/>
        <item m="1" x="191"/>
        <item m="1" x="373"/>
        <item m="1" x="566"/>
        <item m="1" x="753"/>
        <item m="1" x="944"/>
        <item m="1" x="1130"/>
        <item m="1" x="1320"/>
        <item m="1" x="1507"/>
        <item m="1" x="1689"/>
        <item m="1" x="1870"/>
        <item m="1" x="2067"/>
        <item m="1" x="2252"/>
        <item m="1" x="2433"/>
        <item m="1" x="2618"/>
        <item m="1" x="2802"/>
        <item m="1" x="2985"/>
        <item m="1" x="3167"/>
        <item m="1" x="3352"/>
        <item m="1" x="3537"/>
        <item m="1" x="3724"/>
        <item m="1" x="3909"/>
        <item m="1" x="4095"/>
        <item m="1" x="4280"/>
        <item m="1" x="4468"/>
        <item m="1" x="4654"/>
        <item m="1" x="4837"/>
        <item m="1" x="5033"/>
        <item m="1" x="5223"/>
        <item m="1" x="5403"/>
        <item m="1" x="5591"/>
        <item m="1" x="5775"/>
        <item m="1" x="5961"/>
        <item m="1" x="6145"/>
        <item m="1" x="6334"/>
        <item m="1" x="6518"/>
        <item m="1" x="6702"/>
        <item m="1" x="6883"/>
        <item m="1" x="7073"/>
        <item m="1" x="7256"/>
        <item m="1" x="7447"/>
        <item m="1" x="7633"/>
        <item m="1" x="7816"/>
        <item m="1" x="9"/>
        <item m="1" x="193"/>
        <item m="1" x="378"/>
        <item m="1" x="568"/>
        <item m="1" x="757"/>
        <item m="1" x="947"/>
        <item m="1" x="1135"/>
        <item m="1" x="1322"/>
        <item m="1" x="1511"/>
        <item m="1" x="1691"/>
        <item m="1" x="1875"/>
        <item m="1" x="2069"/>
        <item m="1" x="2256"/>
        <item m="1" x="2436"/>
        <item m="1" x="2624"/>
        <item m="1" x="2804"/>
        <item m="1" x="2989"/>
        <item m="1" x="3169"/>
        <item m="1" x="3357"/>
        <item m="1" x="3539"/>
        <item m="1" x="3728"/>
        <item m="1" x="3913"/>
        <item m="1" x="4100"/>
        <item m="1" x="4282"/>
        <item m="1" x="4473"/>
        <item m="1" x="4656"/>
        <item m="1" x="4841"/>
        <item m="1" x="5035"/>
        <item m="1" x="5226"/>
        <item m="1" x="5405"/>
        <item m="1" x="5594"/>
        <item m="1" x="5777"/>
        <item m="1" x="5964"/>
        <item m="1" x="6147"/>
        <item m="1" x="6337"/>
        <item m="1" x="6520"/>
        <item m="1" x="6706"/>
        <item m="1" x="6889"/>
        <item m="1" x="7077"/>
        <item m="1" x="7259"/>
        <item m="1" x="7451"/>
        <item m="1" x="7636"/>
        <item m="1" x="7820"/>
        <item m="1" x="13"/>
        <item m="1" x="197"/>
        <item m="1" x="382"/>
        <item m="1" x="572"/>
        <item m="1" x="760"/>
        <item m="1" x="952"/>
        <item m="1" x="1138"/>
        <item m="1" x="1326"/>
        <item m="1" x="1514"/>
        <item m="1" x="1695"/>
        <item m="1" x="1882"/>
        <item m="1" x="2073"/>
        <item m="1" x="2259"/>
        <item m="1" x="2440"/>
        <item m="1" x="2627"/>
        <item m="1" x="7832"/>
        <item m="1" x="24"/>
        <item m="1" x="207"/>
        <item m="1" x="394"/>
        <item m="1" x="580"/>
        <item m="1" x="775"/>
        <item m="1" x="961"/>
        <item m="1" x="1151"/>
        <item m="1" x="1336"/>
        <item m="1" x="1526"/>
        <item m="1" x="1706"/>
        <item m="1" x="1895"/>
        <item m="1" x="2082"/>
        <item m="1" x="2272"/>
        <item m="1" x="2451"/>
        <item m="1" x="2638"/>
        <item m="1" x="2819"/>
        <item m="1" x="3003"/>
        <item m="1" x="3185"/>
        <item m="1" x="3372"/>
        <item m="1" x="3553"/>
        <item m="1" x="3747"/>
        <item m="1" x="3930"/>
        <item m="1" x="4114"/>
        <item m="1" x="4299"/>
        <item m="1" x="4487"/>
        <item m="1" x="4674"/>
        <item m="1" x="4861"/>
        <item m="1" x="5051"/>
        <item m="1" x="5240"/>
        <item m="1" x="5420"/>
        <item m="1" x="5607"/>
        <item m="1" x="5795"/>
        <item m="1" x="5977"/>
        <item m="1" x="6163"/>
        <item m="1" x="6351"/>
        <item m="1" x="6533"/>
        <item m="1" x="6720"/>
        <item m="1" x="6904"/>
        <item m="1" x="7089"/>
        <item m="1" x="7275"/>
        <item m="1" x="7464"/>
        <item m="1" x="7653"/>
        <item m="1" x="7837"/>
        <item m="1" x="26"/>
        <item m="1" x="210"/>
        <item m="1" x="396"/>
        <item m="1" x="585"/>
        <item m="1" x="777"/>
        <item m="1" x="965"/>
        <item m="1" x="1154"/>
        <item m="1" x="1341"/>
        <item m="1" x="1528"/>
        <item m="1" x="1711"/>
        <item m="1" x="1897"/>
        <item m="1" x="2087"/>
        <item m="1" x="2274"/>
        <item m="1" x="2455"/>
        <item m="1" x="2642"/>
        <item m="1" x="2824"/>
        <item m="1" x="3005"/>
        <item m="1" x="3189"/>
        <item m="1" x="3374"/>
        <item m="1" x="3558"/>
        <item m="1" x="3749"/>
        <item m="1" x="3934"/>
        <item m="1" x="4116"/>
        <item m="1" x="4304"/>
        <item m="1" x="4489"/>
        <item m="1" x="4679"/>
        <item m="1" x="4863"/>
        <item m="1" x="5056"/>
        <item m="1" x="5242"/>
        <item m="1" x="5424"/>
        <item m="1" x="5610"/>
        <item m="1" x="5800"/>
        <item m="1" x="5980"/>
        <item m="1" x="6168"/>
        <item m="1" x="6354"/>
        <item m="1" x="6538"/>
        <item m="1" x="6722"/>
        <item m="1" x="6908"/>
        <item m="1" x="7091"/>
        <item m="1" x="7280"/>
        <item m="1" x="7466"/>
        <item m="1" x="7658"/>
        <item m="1" x="7839"/>
        <item m="1" x="31"/>
        <item m="1" x="212"/>
        <item m="1" x="399"/>
        <item m="1" x="588"/>
        <item m="1" x="781"/>
        <item m="1" x="967"/>
        <item m="1" x="1157"/>
        <item m="1" x="1343"/>
        <item m="1" x="1531"/>
        <item m="1" x="1713"/>
        <item m="1" x="1900"/>
        <item m="1" x="2090"/>
        <item m="1" x="2277"/>
        <item m="1" x="2458"/>
        <item m="1" x="2646"/>
        <item m="1" x="2827"/>
        <item m="1" x="3009"/>
        <item m="1" x="3192"/>
        <item m="1" x="3378"/>
        <item m="1" x="3564"/>
        <item m="1" x="3753"/>
        <item m="1" x="3937"/>
        <item m="1" x="4120"/>
        <item m="1" x="4307"/>
        <item m="1" x="4493"/>
        <item m="1" x="4682"/>
        <item m="1" x="4867"/>
        <item m="1" x="5060"/>
        <item m="1" x="5246"/>
        <item m="1" x="5427"/>
        <item m="1" x="5614"/>
        <item m="1" x="5803"/>
        <item m="1" x="5984"/>
        <item m="1" x="6171"/>
        <item m="1" x="6358"/>
        <item m="1" x="3577"/>
        <item m="1" x="3761"/>
        <item m="1" x="3950"/>
        <item m="1" x="4129"/>
        <item m="1" x="4319"/>
        <item m="1" x="4505"/>
        <item m="1" x="4693"/>
        <item m="1" x="4878"/>
        <item m="1" x="5073"/>
        <item m="1" x="5254"/>
        <item m="1" x="5442"/>
        <item m="1" x="5625"/>
        <item m="1" x="5815"/>
        <item m="1" x="5994"/>
        <item m="1" x="6182"/>
        <item m="1" x="6370"/>
        <item m="1" x="6556"/>
        <item m="1" x="6735"/>
        <item m="1" x="6924"/>
        <item m="1" x="7106"/>
        <item m="1" x="7294"/>
        <item m="1" x="7484"/>
        <item m="1" x="7673"/>
        <item m="1" x="7856"/>
        <item m="1" x="46"/>
        <item m="1" x="227"/>
        <item m="1" x="417"/>
        <item m="1" x="606"/>
        <item m="1" x="796"/>
        <item m="1" x="983"/>
        <item m="1" x="1171"/>
        <item m="1" x="1361"/>
        <item m="1" x="1548"/>
        <item m="1" x="1727"/>
        <item m="1" x="1914"/>
        <item m="1" x="2105"/>
        <item m="1" x="2289"/>
        <item m="1" x="2475"/>
        <item m="1" x="2658"/>
        <item m="1" x="2842"/>
        <item m="1" x="3022"/>
        <item m="1" x="3205"/>
        <item m="1" x="3392"/>
        <item m="1" x="3579"/>
        <item m="1" x="3765"/>
        <item m="1" x="3952"/>
        <item m="1" x="4132"/>
        <item m="1" x="4323"/>
        <item m="1" x="4510"/>
        <item m="1" x="4695"/>
        <item m="1" x="4882"/>
        <item m="1" x="5075"/>
        <item m="1" x="5259"/>
        <item m="1" x="5444"/>
        <item m="1" x="5629"/>
        <item m="1" x="5818"/>
        <item m="1" x="5999"/>
        <item m="1" x="6184"/>
        <item m="1" x="6376"/>
        <item m="1" x="6558"/>
        <item m="1" x="6740"/>
        <item m="1" x="6926"/>
        <item m="1" x="7110"/>
        <item m="1" x="7297"/>
        <item m="1" x="7489"/>
        <item m="1" x="7675"/>
        <item m="1" x="7860"/>
        <item m="1" x="48"/>
        <item m="1" x="232"/>
        <item m="1" x="420"/>
        <item m="1" x="610"/>
        <item m="1" x="798"/>
        <item m="1" x="988"/>
        <item m="1" x="1173"/>
        <item m="1" x="1366"/>
        <item m="1" x="1550"/>
        <item m="1" x="1732"/>
        <item m="1" x="1917"/>
        <item m="1" x="2109"/>
        <item m="1" x="2292"/>
        <item m="1" x="2480"/>
        <item m="1" x="2660"/>
        <item m="1" x="2846"/>
        <item m="1" x="3024"/>
        <item m="1" x="3210"/>
        <item m="1" x="3394"/>
        <item m="1" x="3584"/>
        <item m="1" x="3767"/>
        <item m="1" x="3957"/>
        <item m="1" x="4134"/>
        <item m="1" x="4327"/>
        <item m="1" x="4512"/>
        <item m="1" x="4698"/>
        <item m="1" x="4884"/>
        <item m="1" x="5078"/>
        <item m="1" x="5263"/>
        <item m="1" x="5447"/>
        <item m="1" x="5631"/>
        <item m="1" x="5821"/>
        <item m="1" x="6002"/>
        <item m="1" x="6188"/>
        <item m="1" x="6379"/>
        <item m="1" x="6562"/>
        <item m="1" x="6744"/>
        <item m="1" x="6930"/>
        <item m="1" x="7113"/>
        <item m="1" x="7302"/>
        <item m="1" x="7492"/>
        <item m="1" x="7679"/>
        <item m="1" x="7863"/>
        <item m="1" x="52"/>
        <item m="1" x="238"/>
        <item m="1" x="424"/>
        <item m="1" x="613"/>
        <item m="1" x="802"/>
        <item m="1" x="991"/>
        <item m="1" x="1177"/>
        <item m="1" x="1369"/>
        <item m="1" x="1554"/>
        <item m="1" x="1736"/>
        <item m="1" x="1921"/>
        <item m="1" x="2112"/>
        <item m="1" x="7215"/>
        <item m="1" x="7312"/>
        <item m="1" x="7403"/>
        <item m="1" x="7504"/>
        <item m="1" x="7593"/>
        <item m="1" x="7688"/>
        <item m="1" x="7777"/>
        <item m="1" x="7874"/>
        <item m="1" x="7964"/>
        <item m="1" x="62"/>
        <item m="1" x="151"/>
        <item m="1" x="251"/>
        <item m="1" x="336"/>
        <item m="1" x="433"/>
        <item m="1" x="525"/>
        <item m="1" x="627"/>
        <item m="1" x="717"/>
        <item m="1" x="812"/>
        <item m="1" x="907"/>
        <item m="1" x="1003"/>
        <item m="1" x="1091"/>
        <item m="1" x="1189"/>
        <item m="1" x="1282"/>
        <item m="1" x="1380"/>
        <item m="1" x="1467"/>
        <item m="1" x="1565"/>
        <item m="1" x="1656"/>
        <item m="1" x="1747"/>
        <item m="1" x="1835"/>
        <item m="1" x="1930"/>
        <item m="1" x="2029"/>
        <item m="1" x="2128"/>
        <item m="1" x="2213"/>
        <item m="1" x="2307"/>
        <item m="1" x="2397"/>
        <item m="1" x="2494"/>
        <item m="1" x="2581"/>
        <item m="1" x="2674"/>
        <item m="1" x="2769"/>
        <item m="1" x="2859"/>
        <item m="1" x="2947"/>
        <item m="1" x="3043"/>
        <item m="1" x="3133"/>
        <item m="1" x="3229"/>
        <item m="1" x="3316"/>
        <item m="1" x="3409"/>
        <item m="1" x="3501"/>
        <item m="1" x="3599"/>
        <item m="1" x="3688"/>
        <item m="1" x="3783"/>
        <item m="1" x="3877"/>
        <item m="1" x="3971"/>
        <item m="1" x="4058"/>
        <item m="1" x="4154"/>
        <item m="1" x="4246"/>
        <item m="1" x="4341"/>
        <item m="1" x="4428"/>
        <item m="1" x="4530"/>
        <item m="1" x="4621"/>
        <item m="1" x="4712"/>
        <item m="1" x="4801"/>
        <item m="1" x="4899"/>
        <item m="1" x="4999"/>
        <item m="1" x="5094"/>
        <item m="1" x="5182"/>
        <item m="1" x="5278"/>
        <item m="1" x="5368"/>
        <item m="1" x="5460"/>
        <item m="1" x="5552"/>
        <item m="1" x="5647"/>
        <item m="1" x="5742"/>
        <item m="1" x="5833"/>
        <item m="1" x="5922"/>
        <item m="1" x="6018"/>
        <item m="1" x="6111"/>
        <item m="1" x="6204"/>
        <item m="1" x="6296"/>
        <item m="1" x="6392"/>
        <item m="1" x="6483"/>
        <item m="1" x="6575"/>
        <item m="1" x="6666"/>
        <item m="1" x="6758"/>
        <item m="1" x="6850"/>
        <item m="1" x="6942"/>
        <item m="1" x="7035"/>
        <item m="1" x="7130"/>
        <item m="1" x="7220"/>
        <item m="1" x="7315"/>
        <item m="1" x="7407"/>
        <item m="1" x="7507"/>
        <item m="1" x="7599"/>
        <item m="1" x="7692"/>
        <item m="1" x="7781"/>
        <item m="1" x="7876"/>
        <item m="1" x="7970"/>
        <item m="1" x="67"/>
        <item m="1" x="155"/>
        <item m="1" x="253"/>
        <item m="1" x="341"/>
        <item m="1" x="438"/>
        <item m="1" x="532"/>
        <item m="1" x="629"/>
        <item m="1" x="722"/>
        <item m="1" x="816"/>
        <item m="1" x="911"/>
        <item m="1" x="1008"/>
        <item m="1" x="1096"/>
        <item m="1" x="1194"/>
        <item m="1" x="1286"/>
        <item m="1" x="1382"/>
        <item m="1" x="1473"/>
        <item m="1" x="1569"/>
        <item m="1" x="1660"/>
        <item m="1" x="1749"/>
        <item m="1" x="1840"/>
        <item m="1" x="1935"/>
        <item m="1" x="2033"/>
        <item m="1" x="2131"/>
        <item m="1" x="2218"/>
        <item m="1" x="2311"/>
        <item m="1" x="2401"/>
        <item m="1" x="2496"/>
        <item m="1" x="2587"/>
        <item m="1" x="2679"/>
        <item m="1" x="2773"/>
        <item m="1" x="2861"/>
        <item m="1" x="2953"/>
        <item m="1" x="3048"/>
        <item m="1" x="3137"/>
        <item m="1" x="3231"/>
        <item m="1" x="3321"/>
        <item m="1" x="3414"/>
        <item m="1" x="3506"/>
        <item m="1" x="3601"/>
        <item m="1" x="3692"/>
        <item m="1" x="3787"/>
        <item m="1" x="3880"/>
        <item m="1" x="3974"/>
        <item m="1" x="4062"/>
        <item m="1" x="4159"/>
        <item m="1" x="4249"/>
        <item m="1" x="4343"/>
        <item m="1" x="4434"/>
        <item m="1" x="4534"/>
        <item m="1" x="4625"/>
        <item m="1" x="4714"/>
        <item m="1" x="4805"/>
        <item m="1" x="4904"/>
        <item m="1" x="5002"/>
        <item m="1" x="5096"/>
        <item m="1" x="5187"/>
        <item m="1" x="5282"/>
        <item m="1" x="5371"/>
        <item m="1" x="5462"/>
        <item m="1" x="5557"/>
        <item m="1" x="5652"/>
        <item m="1" x="5745"/>
        <item m="1" x="5835"/>
        <item m="1" x="5928"/>
        <item m="1" x="6024"/>
        <item m="1" x="6114"/>
        <item m="1" x="6206"/>
        <item m="1" x="6300"/>
        <item m="1" x="6397"/>
        <item m="1" x="6488"/>
        <item m="1" x="6577"/>
        <item m="1" x="6671"/>
        <item m="1" x="6762"/>
        <item m="1" x="6853"/>
        <item m="1" x="6945"/>
        <item m="1" x="7039"/>
        <item m="1" x="7135"/>
        <item m="1" x="7224"/>
        <item m="1" x="7318"/>
        <item m="1" x="7415"/>
        <item m="1" x="7512"/>
        <item m="1" x="7603"/>
        <item m="1" x="7694"/>
        <item m="1" x="7785"/>
        <item m="1" x="7880"/>
        <item m="1" x="7973"/>
        <item m="1" x="69"/>
        <item m="1" x="160"/>
        <item m="1" x="256"/>
        <item m="1" x="344"/>
        <item m="1" x="440"/>
        <item m="1" x="536"/>
        <item m="1" x="632"/>
        <item m="1" x="725"/>
        <item m="1" x="818"/>
        <item m="1" x="917"/>
        <item m="1" x="1012"/>
        <item m="1" x="1099"/>
        <item m="1" x="1196"/>
        <item m="1" x="1290"/>
        <item m="1" x="1385"/>
        <item m="1" x="1478"/>
        <item m="1" x="1571"/>
        <item m="1" x="1665"/>
        <item m="1" x="1753"/>
        <item m="1" x="1844"/>
        <item m="1" x="1941"/>
        <item m="1" x="2038"/>
        <item m="1" x="2135"/>
        <item m="1" x="2222"/>
        <item m="1" x="2314"/>
        <item m="1" x="2409"/>
        <item m="1" x="2500"/>
        <item m="1" x="2592"/>
        <item m="1" x="2682"/>
        <item m="1" x="2778"/>
        <item m="1" x="2865"/>
        <item m="1" x="2958"/>
        <item m="1" x="3051"/>
        <item m="1" x="3143"/>
        <item m="1" x="3235"/>
        <item m="1" x="3326"/>
        <item m="1" x="3418"/>
        <item m="1" x="3512"/>
        <item m="1" x="3605"/>
        <item m="1" x="3697"/>
        <item m="1" x="3790"/>
        <item m="1" x="3887"/>
        <item m="1" x="3979"/>
        <item m="1" x="4067"/>
        <item m="1" x="4162"/>
        <item m="1" x="4253"/>
        <item m="1" x="4347"/>
        <item m="1" x="4441"/>
        <item m="1" x="4537"/>
        <item m="1" x="4630"/>
        <item m="1" x="4718"/>
        <item m="1" x="4810"/>
        <item m="1" x="4910"/>
        <item m="1" x="5006"/>
        <item m="1" x="5100"/>
        <item m="1" x="5192"/>
        <item m="1" x="5285"/>
        <item m="1" x="5377"/>
        <item m="1" x="5466"/>
        <item m="1" x="5562"/>
        <item m="1" x="5655"/>
        <item m="1" x="5749"/>
        <item m="1" x="2968"/>
        <item m="1" x="3062"/>
        <item m="1" x="3151"/>
        <item m="1" x="3245"/>
        <item m="1" x="3338"/>
        <item m="1" x="3430"/>
        <item m="1" x="3521"/>
        <item m="1" x="3613"/>
        <item m="1" x="3708"/>
        <item m="1" x="3806"/>
        <item m="1" x="3895"/>
        <item m="1" x="3988"/>
        <item m="1" x="4078"/>
        <item m="1" x="4175"/>
        <item m="1" x="4266"/>
        <item m="1" x="4357"/>
        <item m="1" x="4452"/>
        <item m="1" x="4549"/>
        <item m="1" x="4639"/>
        <item m="1" x="4729"/>
        <item m="1" x="4823"/>
        <item m="1" x="4923"/>
        <item m="1" x="5016"/>
        <item m="1" x="5109"/>
        <item m="1" x="5204"/>
        <item m="1" x="5298"/>
        <item m="1" x="5387"/>
        <item m="1" x="5477"/>
        <item m="1" x="5574"/>
        <item m="1" x="5666"/>
        <item m="1" x="5759"/>
        <item m="1" x="5851"/>
        <item m="1" x="5943"/>
        <item m="1" x="6038"/>
        <item m="1" x="6127"/>
        <item m="1" x="6222"/>
        <item m="1" x="6319"/>
        <item m="1" x="6412"/>
        <item m="1" x="6501"/>
        <item m="1" x="6591"/>
        <item m="1" x="6688"/>
        <item m="1" x="6780"/>
        <item m="1" x="6867"/>
        <item m="1" x="6962"/>
        <item m="1" x="7055"/>
        <item m="1" x="7148"/>
        <item m="1" x="7239"/>
        <item m="1" x="7334"/>
        <item m="1" x="7434"/>
        <item m="1" x="7525"/>
        <item m="1" x="7617"/>
        <item m="1" x="7711"/>
        <item m="1" x="7803"/>
        <item m="1" x="7897"/>
        <item m="1" x="7987"/>
        <item m="1" x="83"/>
        <item m="1" x="177"/>
        <item m="1" x="270"/>
        <item m="1" x="361"/>
        <item m="1" x="455"/>
        <item m="1" x="554"/>
        <item m="1" x="645"/>
        <item m="1" x="740"/>
        <item m="1" x="837"/>
        <item m="1" x="933"/>
        <item m="1" x="1024"/>
        <item m="1" x="1113"/>
        <item m="1" x="1211"/>
        <item m="1" x="1309"/>
        <item m="1" x="1398"/>
        <item m="1" x="1493"/>
        <item m="1" x="1583"/>
        <item m="1" x="1679"/>
        <item m="1" x="1767"/>
        <item m="1" x="1859"/>
        <item m="1" x="1956"/>
        <item m="1" x="2053"/>
        <item m="1" x="2146"/>
        <item m="1" x="2238"/>
        <item m="1" x="2328"/>
        <item m="1" x="2423"/>
        <item m="1" x="2511"/>
        <item m="1" x="2605"/>
        <item m="1" x="2698"/>
        <item m="1" x="2792"/>
        <item m="1" x="2878"/>
        <item m="1" x="2971"/>
        <item m="1" x="3063"/>
        <item m="1" x="3156"/>
        <item m="1" x="3247"/>
        <item m="1" x="3341"/>
        <item m="1" x="3431"/>
        <item m="1" x="3525"/>
        <item m="1" x="3617"/>
        <item m="1" x="3711"/>
        <item m="1" x="3807"/>
        <item m="1" x="3899"/>
        <item m="1" x="3991"/>
        <item m="1" x="4081"/>
        <item m="1" x="4177"/>
        <item m="1" x="4270"/>
        <item m="1" x="4361"/>
        <item m="1" x="4455"/>
        <item m="1" x="4550"/>
        <item m="1" x="4644"/>
        <item m="1" x="4732"/>
        <item m="1" x="4826"/>
        <item m="1" x="4924"/>
        <item m="1" x="5020"/>
        <item m="1" x="5113"/>
        <item m="1" x="5210"/>
        <item m="1" x="5299"/>
        <item m="1" x="5391"/>
        <item m="1" x="5480"/>
        <item m="1" x="5577"/>
        <item m="1" x="5669"/>
        <item m="1" x="5763"/>
        <item m="1" x="5855"/>
        <item m="1" x="5946"/>
        <item m="1" x="6039"/>
        <item m="1" x="6132"/>
        <item m="1" x="6225"/>
        <item m="1" x="6323"/>
        <item m="1" x="6413"/>
        <item m="1" x="6505"/>
        <item m="1" x="6595"/>
        <item m="1" x="6691"/>
        <item m="1" x="6781"/>
        <item m="1" x="6871"/>
        <item m="1" x="6965"/>
        <item m="1" x="7058"/>
        <item m="1" x="7149"/>
        <item m="1" x="7243"/>
        <item m="1" x="7338"/>
        <item m="1" x="7436"/>
        <item m="1" x="7526"/>
        <item m="1" x="7621"/>
        <item m="1" x="7715"/>
        <item m="1" x="7805"/>
        <item m="1" x="7898"/>
        <item m="1" x="7990"/>
        <item m="1" x="87"/>
        <item m="1" x="182"/>
        <item m="1" x="271"/>
        <item m="1" x="365"/>
        <item m="1" x="458"/>
        <item m="1" x="556"/>
        <item m="1" x="647"/>
        <item m="1" x="743"/>
        <item m="1" x="841"/>
        <item m="1" x="935"/>
        <item m="1" x="1025"/>
        <item m="1" x="1120"/>
        <item m="1" x="1215"/>
        <item m="1" x="1311"/>
        <item m="1" x="1399"/>
        <item m="1" x="1496"/>
        <item m="1" x="1587"/>
        <item m="1" x="1681"/>
        <item m="1" x="1768"/>
        <item m="1" x="1863"/>
        <item m="1" x="1959"/>
        <item m="1" x="2055"/>
        <item m="1" x="2147"/>
        <item m="1" x="2242"/>
        <item m="1" x="2332"/>
        <item m="1" x="2425"/>
        <item m="1" x="2512"/>
        <item m="1" x="2611"/>
        <item m="1" x="2702"/>
        <item m="1" x="2794"/>
        <item m="1" x="2879"/>
        <item m="1" x="2974"/>
        <item m="1" x="3067"/>
        <item m="1" x="3159"/>
        <item m="1" x="3248"/>
        <item m="1" x="3345"/>
        <item m="1" x="3433"/>
        <item m="1" x="3527"/>
        <item m="1" x="3619"/>
        <item m="1" x="3714"/>
        <item m="1" x="3810"/>
        <item m="1" x="3901"/>
        <item m="1" x="3992"/>
        <item m="1" x="4087"/>
        <item m="1" x="4179"/>
        <item m="1" x="4272"/>
        <item m="1" x="4362"/>
        <item m="1" x="4458"/>
        <item m="1" x="4552"/>
        <item m="1" x="4646"/>
        <item m="1" x="4733"/>
        <item m="1" x="4830"/>
        <item m="1" x="4926"/>
        <item m="1" x="5022"/>
        <item m="1" x="5115"/>
        <item m="1" x="5214"/>
        <item m="1" x="5301"/>
        <item m="1" x="5394"/>
        <item m="1" x="5482"/>
        <item m="1" x="5584"/>
        <item m="1" x="5674"/>
        <item m="1" x="5766"/>
        <item m="1" x="5857"/>
        <item m="1" x="5950"/>
        <item m="1" x="6042"/>
        <item m="1" x="6137"/>
        <item m="1" x="6227"/>
        <item m="1" x="6328"/>
        <item m="1" x="6416"/>
        <item m="1" x="6509"/>
        <item m="1" x="6600"/>
        <item m="1" x="6695"/>
        <item m="1" x="6784"/>
        <item m="1" x="6875"/>
        <item m="1" x="6967"/>
        <item m="1" x="7065"/>
        <item m="1" x="7152"/>
        <item m="1" x="7247"/>
        <item m="1" x="7340"/>
        <item m="1" x="7440"/>
        <item m="1" x="7529"/>
        <item m="1" x="7625"/>
        <item m="1" x="7717"/>
        <item m="1" x="7809"/>
        <item m="1" x="7901"/>
        <item m="1" x="7994"/>
        <item m="1" x="90"/>
        <item m="1" x="185"/>
        <item m="1" x="274"/>
        <item m="1" x="369"/>
        <item m="1" x="460"/>
        <item m="1" x="561"/>
        <item m="1" x="651"/>
        <item m="1" x="747"/>
        <item m="1" x="843"/>
        <item m="1" x="938"/>
        <item m="1" x="1028"/>
        <item m="1" x="1126"/>
        <item m="1" x="1217"/>
        <item m="1" x="1315"/>
        <item m="1" x="1402"/>
        <item m="1" x="1500"/>
        <item m="1" x="6614"/>
        <item m="1" x="6704"/>
        <item m="1" x="6793"/>
        <item m="1" x="6886"/>
        <item m="1" x="6980"/>
        <item m="1" x="7075"/>
        <item m="1" x="7162"/>
        <item m="1" x="7258"/>
        <item m="1" x="7352"/>
        <item m="1" x="7449"/>
        <item m="1" x="7541"/>
        <item m="1" x="7635"/>
        <item m="1" x="7728"/>
        <item m="1" x="7818"/>
        <item m="1" x="7913"/>
        <item m="1" x="12"/>
        <item m="1" x="103"/>
        <item m="1" x="195"/>
        <item m="1" x="284"/>
        <item m="1" x="381"/>
        <item m="1" x="477"/>
        <item m="1" x="570"/>
        <item m="1" x="662"/>
        <item m="1" x="759"/>
        <item m="1" x="856"/>
        <item m="1" x="950"/>
        <item m="1" x="1039"/>
        <item m="1" x="1137"/>
        <item m="1" x="1229"/>
        <item m="1" x="1324"/>
        <item m="1" x="1415"/>
        <item m="1" x="1513"/>
        <item m="1" x="1605"/>
        <item m="1" x="1693"/>
        <item m="1" x="1781"/>
        <item m="1" x="1878"/>
        <item m="1" x="1976"/>
        <item m="1" x="2071"/>
        <item m="1" x="2162"/>
        <item m="1" x="2258"/>
        <item m="1" x="2346"/>
        <item m="1" x="2438"/>
        <item m="1" x="2530"/>
        <item m="1" x="2626"/>
        <item m="1" x="2715"/>
        <item m="1" x="2806"/>
        <item m="1" x="2895"/>
        <item m="1" x="2992"/>
        <item m="1" x="3081"/>
        <item m="1" x="3172"/>
        <item m="1" x="3262"/>
        <item m="1" x="3361"/>
        <item m="1" x="3450"/>
        <item m="1" x="3542"/>
        <item m="1" x="3637"/>
        <item m="1" x="3731"/>
        <item m="1" x="3823"/>
        <item m="1" x="3917"/>
        <item m="1" x="4007"/>
        <item m="1" x="4103"/>
        <item m="1" x="4191"/>
        <item m="1" x="4285"/>
        <item m="1" x="4379"/>
        <item m="1" x="4476"/>
        <item m="1" x="4567"/>
        <item m="1" x="4659"/>
        <item m="1" x="4746"/>
        <item m="1" x="4845"/>
        <item m="1" x="4939"/>
        <item m="1" x="5038"/>
        <item m="1" x="5129"/>
        <item m="1" x="5229"/>
        <item m="1" x="5313"/>
        <item m="1" x="5408"/>
        <item m="1" x="5500"/>
        <item m="1" x="5597"/>
        <item m="1" x="5686"/>
        <item m="1" x="5780"/>
        <item m="1" x="5872"/>
        <item m="1" x="5967"/>
        <item m="1" x="6055"/>
        <item m="1" x="6150"/>
        <item m="1" x="6240"/>
        <item m="1" x="6341"/>
        <item m="1" x="6430"/>
        <item m="1" x="6522"/>
        <item m="1" x="6616"/>
        <item m="1" x="6708"/>
        <item m="1" x="6796"/>
        <item m="1" x="6891"/>
        <item m="1" x="6982"/>
        <item m="1" x="7079"/>
        <item m="1" x="7164"/>
        <item m="1" x="7261"/>
        <item m="1" x="7356"/>
        <item m="1" x="7453"/>
        <item m="1" x="7545"/>
        <item m="1" x="7638"/>
        <item m="1" x="7730"/>
        <item m="1" x="7823"/>
        <item m="1" x="7916"/>
        <item m="1" x="15"/>
        <item m="1" x="105"/>
        <item m="1" x="199"/>
        <item m="1" x="288"/>
        <item m="1" x="384"/>
        <item m="1" x="479"/>
        <item m="1" x="574"/>
        <item m="1" x="665"/>
        <item m="1" x="762"/>
        <item m="1" x="859"/>
        <item m="1" x="954"/>
        <item m="1" x="1043"/>
        <item m="1" x="1140"/>
        <item m="1" x="1231"/>
        <item m="1" x="1329"/>
        <item m="1" x="1420"/>
        <item m="1" x="1516"/>
        <item m="1" x="1607"/>
        <item m="1" x="1697"/>
        <item m="1" x="1785"/>
        <item m="1" x="1884"/>
        <item m="1" x="1978"/>
        <item m="1" x="2075"/>
        <item m="1" x="2165"/>
        <item m="1" x="2261"/>
        <item m="1" x="2349"/>
        <item m="1" x="2442"/>
        <item m="1" x="2534"/>
        <item m="1" x="2629"/>
        <item m="1" x="2717"/>
        <item m="1" x="2810"/>
        <item m="1" x="2898"/>
        <item m="1" x="2994"/>
        <item m="1" x="3083"/>
        <item m="1" x="3175"/>
        <item m="1" x="3266"/>
        <item m="1" x="3363"/>
        <item m="1" x="3452"/>
        <item m="1" x="3545"/>
        <item m="1" x="3640"/>
        <item m="1" x="3733"/>
        <item m="1" x="3825"/>
        <item m="1" x="3920"/>
        <item m="1" x="4011"/>
        <item m="1" x="4105"/>
        <item m="1" x="4193"/>
        <item m="1" x="4291"/>
        <item m="1" x="4382"/>
        <item m="1" x="4478"/>
        <item m="1" x="4569"/>
        <item m="1" x="4662"/>
        <item m="1" x="4751"/>
        <item m="1" x="4851"/>
        <item m="1" x="4942"/>
        <item m="1" x="5043"/>
        <item m="1" x="5133"/>
        <item m="1" x="5231"/>
        <item m="1" x="5316"/>
        <item m="1" x="5411"/>
        <item m="1" x="5504"/>
        <item m="1" x="5599"/>
        <item m="1" x="5688"/>
        <item m="1" x="5786"/>
        <item m="1" x="5875"/>
        <item m="1" x="5969"/>
        <item m="1" x="6057"/>
        <item m="1" x="6153"/>
        <item m="1" x="6244"/>
        <item m="1" x="6343"/>
        <item m="1" x="6432"/>
        <item m="1" x="6526"/>
        <item m="1" x="6619"/>
        <item m="1" x="6710"/>
        <item m="1" x="6798"/>
        <item m="1" x="6895"/>
        <item m="1" x="6986"/>
        <item m="1" x="7081"/>
        <item m="1" x="7165"/>
        <item m="1" x="7267"/>
        <item m="1" x="7359"/>
        <item m="1" x="7455"/>
        <item m="1" x="7546"/>
        <item m="1" x="7641"/>
        <item m="1" x="7733"/>
        <item m="1" x="7828"/>
        <item m="1" x="7917"/>
        <item m="1" x="19"/>
        <item m="1" x="107"/>
        <item m="1" x="201"/>
        <item m="1" x="291"/>
        <item m="1" x="387"/>
        <item m="1" x="481"/>
        <item m="1" x="576"/>
        <item m="1" x="666"/>
        <item m="1" x="768"/>
        <item m="1" x="861"/>
        <item m="1" x="956"/>
        <item m="1" x="1044"/>
        <item m="1" x="1144"/>
        <item m="1" x="1234"/>
        <item m="1" x="1332"/>
        <item m="1" x="1423"/>
        <item m="1" x="1521"/>
        <item m="1" x="1610"/>
        <item m="1" x="1700"/>
        <item m="1" x="1788"/>
        <item m="1" x="1889"/>
        <item m="1" x="1981"/>
        <item m="1" x="2079"/>
        <item m="1" x="2167"/>
        <item m="1" x="2268"/>
        <item m="1" x="2353"/>
        <item m="1" x="2446"/>
        <item m="1" x="2536"/>
        <item m="1" x="2633"/>
        <item m="1" x="2720"/>
        <item m="1" x="2815"/>
        <item m="1" x="2900"/>
        <item m="1" x="2999"/>
        <item m="1" x="3086"/>
        <item m="1" x="3179"/>
        <item m="1" x="3271"/>
        <item m="1" x="3367"/>
        <item m="1" x="3455"/>
        <item m="1" x="3549"/>
        <item m="1" x="3642"/>
        <item m="1" x="3739"/>
        <item m="1" x="3828"/>
        <item m="1" x="3924"/>
        <item m="1" x="4013"/>
        <item m="1" x="4108"/>
        <item m="1" x="4196"/>
        <item m="1" x="4295"/>
        <item m="1" x="4384"/>
        <item m="1" x="4482"/>
        <item m="1" x="4572"/>
        <item m="1" x="4666"/>
        <item m="1" x="4754"/>
        <item m="1" x="4855"/>
        <item m="1" x="4945"/>
        <item m="1" x="5047"/>
        <item m="1" x="5135"/>
        <item m="1" x="2363"/>
        <item m="1" x="2457"/>
        <item m="1" x="2549"/>
        <item m="1" x="2644"/>
        <item m="1" x="2731"/>
        <item m="1" x="2826"/>
        <item m="1" x="2912"/>
        <item m="1" x="3007"/>
        <item m="1" x="3097"/>
        <item m="1" x="3191"/>
        <item m="1" x="3286"/>
        <item m="1" x="3376"/>
        <item m="1" x="3465"/>
        <item m="1" x="3561"/>
        <item m="1" x="3657"/>
        <item m="1" x="3751"/>
        <item m="1" x="3839"/>
        <item m="1" x="3936"/>
        <item m="1" x="4026"/>
        <item m="1" x="4118"/>
        <item m="1" x="4210"/>
        <item m="1" x="4306"/>
        <item m="1" x="4397"/>
        <item m="1" x="4491"/>
        <item m="1" x="4584"/>
        <item m="1" x="4681"/>
        <item m="1" x="4767"/>
        <item m="1" x="4865"/>
        <item m="1" x="4956"/>
        <item m="1" x="5059"/>
        <item m="1" x="5152"/>
        <item m="1" x="5244"/>
        <item m="1" x="5332"/>
        <item m="1" x="5426"/>
        <item m="1" x="5519"/>
        <item m="1" x="5612"/>
        <item m="1" x="5703"/>
        <item m="1" x="5802"/>
        <item m="1" x="5888"/>
        <item m="1" x="5982"/>
        <item m="1" x="6076"/>
        <item m="1" x="6170"/>
        <item m="1" x="6264"/>
        <item m="1" x="6356"/>
        <item m="1" x="6447"/>
        <item m="1" x="6541"/>
        <item m="1" x="6633"/>
        <item m="1" x="6725"/>
        <item m="1" x="6813"/>
        <item m="1" x="6911"/>
        <item m="1" x="7000"/>
        <item m="1" x="7094"/>
        <item m="1" x="7185"/>
        <item m="1" x="7283"/>
        <item m="1" x="7373"/>
        <item m="1" x="7469"/>
        <item m="1" x="7563"/>
        <item m="1" x="7662"/>
        <item m="1" x="7747"/>
        <item m="1" x="7842"/>
        <item m="1" x="7931"/>
        <item m="1" x="35"/>
        <item m="1" x="122"/>
        <item m="1" x="215"/>
        <item m="1" x="306"/>
        <item m="1" x="402"/>
        <item m="1" x="494"/>
        <item m="1" x="592"/>
        <item m="1" x="682"/>
        <item m="1" x="784"/>
        <item m="1" x="873"/>
        <item m="1" x="970"/>
        <item m="1" x="1060"/>
        <item m="1" x="1160"/>
        <item m="1" x="1251"/>
        <item m="1" x="1346"/>
        <item m="1" x="1437"/>
        <item m="1" x="1535"/>
        <item m="1" x="1623"/>
        <item m="1" x="1716"/>
        <item m="1" x="1802"/>
        <item m="1" x="1903"/>
        <item m="1" x="1994"/>
        <item m="1" x="2093"/>
        <item m="1" x="2185"/>
        <item m="1" x="2279"/>
        <item m="1" x="2365"/>
        <item m="1" x="2460"/>
        <item m="1" x="2552"/>
        <item m="1" x="2648"/>
        <item m="1" x="2734"/>
        <item m="1" x="2829"/>
        <item m="1" x="2914"/>
        <item m="1" x="3012"/>
        <item m="1" x="3102"/>
        <item m="1" x="3194"/>
        <item m="1" x="3288"/>
        <item m="1" x="3380"/>
        <item m="1" x="3469"/>
        <item m="1" x="3567"/>
        <item m="1" x="3659"/>
        <item m="1" x="3755"/>
        <item m="1" x="3842"/>
        <item m="1" x="3939"/>
        <item m="1" x="4031"/>
        <item m="1" x="4122"/>
        <item m="1" x="4214"/>
        <item m="1" x="4309"/>
        <item m="1" x="4399"/>
        <item m="1" x="4496"/>
        <item m="1" x="4587"/>
        <item m="1" x="4684"/>
        <item m="1" x="4769"/>
        <item m="1" x="4869"/>
        <item m="1" x="4960"/>
        <item m="1" x="5062"/>
        <item m="1" x="5154"/>
        <item m="1" x="5248"/>
        <item m="1" x="5335"/>
        <item m="1" x="5429"/>
        <item m="1" x="5521"/>
        <item m="1" x="5616"/>
        <item m="1" x="5707"/>
        <item m="1" x="5805"/>
        <item m="1" x="5890"/>
        <item m="1" x="5987"/>
        <item m="1" x="6080"/>
        <item m="1" x="6173"/>
        <item m="1" x="6266"/>
        <item m="1" x="6360"/>
        <item m="1" x="6451"/>
        <item m="1" x="6546"/>
        <item m="1" x="6635"/>
        <item m="1" x="6728"/>
        <item m="1" x="6816"/>
        <item m="1" x="6913"/>
        <item m="1" x="7003"/>
        <item m="1" x="7097"/>
        <item m="1" x="7189"/>
        <item m="1" x="7285"/>
        <item m="1" x="7375"/>
        <item m="1" x="7474"/>
        <item m="1" x="7566"/>
        <item m="1" x="7664"/>
        <item m="1" x="7749"/>
        <item m="1" x="7845"/>
        <item m="1" x="7935"/>
        <item m="1" x="37"/>
        <item m="1" x="124"/>
        <item m="1" x="219"/>
        <item m="1" x="309"/>
        <item m="1" x="405"/>
        <item m="1" x="497"/>
        <item m="1" x="596"/>
        <item m="1" x="687"/>
        <item m="1" x="787"/>
        <item m="1" x="875"/>
        <item m="1" x="976"/>
        <item m="1" x="1065"/>
        <item m="1" x="1162"/>
        <item m="1" x="1253"/>
        <item m="1" x="1349"/>
        <item m="1" x="1441"/>
        <item m="1" x="1539"/>
        <item m="1" x="1625"/>
        <item m="1" x="1720"/>
        <item m="1" x="1805"/>
        <item m="1" x="1905"/>
        <item m="1" x="1997"/>
        <item m="1" x="2096"/>
        <item m="1" x="2189"/>
        <item m="1" x="2281"/>
        <item m="1" x="2367"/>
        <item m="1" x="2466"/>
        <item m="1" x="2555"/>
        <item m="1" x="2650"/>
        <item m="1" x="2736"/>
        <item m="1" x="2832"/>
        <item m="1" x="2917"/>
        <item m="1" x="3014"/>
        <item m="1" x="3103"/>
        <item m="1" x="3198"/>
        <item m="1" x="3290"/>
        <item m="1" x="3382"/>
        <item m="1" x="3470"/>
        <item m="1" x="3570"/>
        <item m="1" x="3661"/>
        <item m="1" x="3757"/>
        <item m="1" x="3843"/>
        <item m="1" x="3945"/>
        <item m="1" x="4033"/>
        <item m="1" x="4124"/>
        <item m="1" x="4215"/>
        <item m="1" x="4312"/>
        <item m="1" x="4401"/>
        <item m="1" x="4500"/>
        <item m="1" x="4588"/>
        <item m="1" x="4688"/>
        <item m="1" x="4772"/>
        <item m="1" x="4872"/>
        <item m="1" x="4965"/>
        <item m="1" x="5066"/>
        <item m="1" x="5157"/>
        <item m="1" x="5251"/>
        <item m="1" x="5337"/>
        <item m="1" x="5436"/>
        <item m="1" x="5524"/>
        <item m="1" x="5621"/>
        <item m="1" x="5709"/>
        <item m="1" x="5809"/>
        <item m="1" x="5893"/>
        <item m="1" x="5991"/>
        <item m="1" x="6082"/>
        <item m="1" x="6178"/>
        <item m="1" x="6269"/>
        <item m="1" x="6364"/>
        <item m="1" x="6454"/>
        <item m="1" x="6551"/>
        <item m="1" x="6638"/>
        <item m="1" x="6732"/>
        <item m="1" x="6818"/>
        <item m="1" x="6920"/>
        <item m="1" x="7007"/>
        <item m="1" x="7101"/>
        <item m="1" x="7191"/>
        <item m="1" x="7288"/>
        <item m="1" x="7378"/>
        <item m="1" x="7480"/>
        <item m="1" x="7568"/>
        <item m="1" x="7668"/>
        <item m="1" x="7752"/>
        <item m="1" x="7849"/>
        <item m="1" x="7940"/>
        <item m="1" x="40"/>
        <item m="1" x="127"/>
        <item m="1" x="223"/>
        <item m="1" x="311"/>
        <item m="1" x="410"/>
        <item m="1" x="500"/>
        <item m="1" x="600"/>
        <item m="1" x="689"/>
        <item m="1" x="790"/>
        <item m="1" x="878"/>
        <item m="1" x="6001"/>
        <item m="1" x="6094"/>
        <item m="1" x="6186"/>
        <item m="1" x="6280"/>
        <item m="1" x="6378"/>
        <item m="1" x="6467"/>
        <item m="1" x="6560"/>
        <item m="1" x="6648"/>
        <item m="1" x="6743"/>
        <item m="1" x="6834"/>
        <item m="1" x="6928"/>
        <item m="1" x="7018"/>
        <item m="1" x="7112"/>
        <item m="1" x="7205"/>
        <item m="1" x="7300"/>
        <item m="1" x="7390"/>
        <item m="1" x="7491"/>
        <item m="1" x="7581"/>
        <item m="1" x="7677"/>
        <item m="1" x="7764"/>
        <item m="1" x="7862"/>
        <item m="1" x="7955"/>
        <item m="1" x="50"/>
        <item m="1" x="138"/>
        <item m="1" x="235"/>
        <item m="1" x="326"/>
        <item m="1" x="422"/>
        <item m="1" x="511"/>
        <item m="1" x="612"/>
        <item m="1" x="702"/>
        <item m="1" x="800"/>
        <item m="1" x="893"/>
        <item m="1" x="990"/>
        <item m="1" x="1080"/>
        <item m="1" x="1175"/>
        <item m="1" x="1269"/>
        <item m="1" x="1368"/>
        <item m="1" x="1457"/>
        <item m="1" x="1552"/>
        <item m="1" x="1639"/>
        <item m="1" x="1735"/>
        <item m="1" x="1823"/>
        <item m="1" x="1919"/>
        <item m="1" x="2015"/>
        <item m="1" x="2111"/>
        <item m="1" x="2203"/>
        <item m="1" x="2295"/>
        <item m="1" x="2383"/>
        <item m="1" x="2483"/>
        <item m="1" x="2568"/>
        <item m="1" x="2663"/>
        <item m="1" x="2754"/>
        <item m="1" x="2849"/>
        <item m="1" x="2936"/>
        <item m="1" x="3027"/>
        <item m="1" x="3118"/>
        <item m="1" x="3214"/>
        <item m="1" x="3304"/>
        <item m="1" x="3397"/>
        <item m="1" x="3486"/>
        <item m="1" x="3587"/>
        <item m="1" x="3675"/>
        <item m="1" x="3770"/>
        <item m="1" x="3861"/>
        <item m="1" x="3960"/>
        <item m="1" x="4045"/>
        <item m="1" x="4137"/>
        <item m="1" x="4231"/>
        <item m="1" x="4330"/>
        <item m="1" x="4415"/>
        <item m="1" x="4515"/>
        <item m="1" x="4602"/>
        <item m="1" x="4702"/>
        <item m="1" x="4787"/>
        <item m="1" x="4887"/>
        <item m="1" x="4982"/>
        <item m="1" x="5081"/>
        <item m="1" x="5170"/>
        <item m="1" x="5266"/>
        <item m="1" x="5353"/>
        <item m="1" x="5450"/>
        <item m="1" x="5536"/>
        <item m="1" x="5634"/>
        <item m="1" x="5727"/>
        <item m="1" x="5823"/>
        <item m="1" x="5909"/>
        <item m="1" x="6004"/>
        <item m="1" x="6096"/>
        <item m="1" x="6191"/>
        <item m="1" x="6282"/>
        <item m="1" x="6381"/>
        <item m="1" x="6469"/>
        <item m="1" x="6564"/>
        <item m="1" x="6652"/>
        <item m="1" x="6746"/>
        <item m="1" x="6836"/>
        <item m="1" x="6932"/>
        <item m="1" x="7021"/>
        <item m="1" x="7115"/>
        <item m="1" x="7208"/>
        <item m="1" x="7305"/>
        <item m="1" x="7394"/>
        <item m="1" x="7494"/>
        <item m="1" x="7583"/>
        <item m="1" x="7682"/>
        <item m="1" x="7768"/>
        <item m="1" x="7865"/>
        <item m="1" x="7957"/>
        <item m="1" x="54"/>
        <item m="1" x="142"/>
        <item m="1" x="241"/>
        <item m="1" x="328"/>
        <item m="1" x="426"/>
        <item m="1" x="514"/>
        <item m="1" x="615"/>
        <item m="1" x="706"/>
        <item m="1" x="804"/>
        <item m="1" x="897"/>
        <item m="1" x="993"/>
        <item m="1" x="1082"/>
        <item m="1" x="1180"/>
        <item m="1" x="1272"/>
        <item m="1" x="1371"/>
        <item m="1" x="1459"/>
        <item m="1" x="1556"/>
        <item m="1" x="1643"/>
        <item m="1" x="1738"/>
        <item m="1" x="1826"/>
        <item m="1" x="1923"/>
        <item m="1" x="2018"/>
        <item m="1" x="2114"/>
        <item m="1" x="2205"/>
        <item m="1" x="2298"/>
        <item m="1" x="2387"/>
        <item m="1" x="2485"/>
        <item m="1" x="2570"/>
        <item m="1" x="2667"/>
        <item m="1" x="2759"/>
        <item m="1" x="2851"/>
        <item m="1" x="2938"/>
        <item m="1" x="3030"/>
        <item m="1" x="3122"/>
        <item m="1" x="3219"/>
        <item m="1" x="3306"/>
        <item m="1" x="3401"/>
        <item m="1" x="3489"/>
        <item m="1" x="3589"/>
        <item m="1" x="3678"/>
        <item m="1" x="3773"/>
        <item m="1" x="3865"/>
        <item m="1" x="3962"/>
        <item m="1" x="4047"/>
        <item m="1" x="4143"/>
        <item m="1" x="4234"/>
        <item m="1" x="4332"/>
        <item m="1" x="4418"/>
        <item m="1" x="4519"/>
        <item m="1" x="4606"/>
        <item m="1" x="4704"/>
        <item m="1" x="4789"/>
        <item m="1" x="4891"/>
        <item m="1" x="4985"/>
        <item m="1" x="5083"/>
        <item m="1" x="5172"/>
        <item m="1" x="5269"/>
        <item m="1" x="5357"/>
        <item m="1" x="5452"/>
        <item m="1" x="5538"/>
        <item m="1" x="5640"/>
        <item m="1" x="5731"/>
        <item m="1" x="5825"/>
        <item m="1" x="5911"/>
        <item m="1" x="6007"/>
        <item m="1" x="6100"/>
        <item m="1" x="6195"/>
        <item m="1" x="6284"/>
        <item m="1" x="6385"/>
        <item m="1" x="6472"/>
        <item m="1" x="6566"/>
        <item m="1" x="6654"/>
        <item m="1" x="6749"/>
        <item m="1" x="6839"/>
        <item m="1" x="6934"/>
        <item m="1" x="7022"/>
        <item m="1" x="7121"/>
        <item m="1" x="7210"/>
        <item m="1" x="7307"/>
        <item m="1" x="7396"/>
        <item m="1" x="7497"/>
        <item m="1" x="7585"/>
        <item m="1" x="7684"/>
        <item m="1" x="7769"/>
        <item m="1" x="7869"/>
        <item m="1" x="7959"/>
        <item m="1" x="56"/>
        <item m="1" x="144"/>
        <item m="1" x="244"/>
        <item m="1" x="330"/>
        <item m="1" x="429"/>
        <item m="1" x="516"/>
        <item m="1" x="622"/>
        <item m="1" x="711"/>
        <item m="1" x="807"/>
        <item m="1" x="900"/>
        <item m="1" x="997"/>
        <item m="1" x="1085"/>
        <item m="1" x="1185"/>
        <item m="1" x="1274"/>
        <item m="1" x="1376"/>
        <item m="1" x="1462"/>
        <item m="1" x="1560"/>
        <item m="1" x="1648"/>
        <item m="1" x="1742"/>
        <item m="1" x="1829"/>
        <item m="1" x="1927"/>
        <item m="1" x="2020"/>
        <item m="1" x="2121"/>
        <item m="1" x="2208"/>
        <item m="1" x="2302"/>
        <item m="1" x="2390"/>
        <item m="1" x="2489"/>
        <item m="1" x="2573"/>
        <item m="1" x="2671"/>
        <item m="1" x="2761"/>
        <item m="1" x="2855"/>
        <item m="1" x="2941"/>
        <item m="1" x="3034"/>
        <item m="1" x="3125"/>
        <item m="1" x="3222"/>
        <item m="1" x="3309"/>
        <item m="1" x="3405"/>
        <item m="1" x="3491"/>
        <item m="1" x="3594"/>
        <item m="1" x="3681"/>
        <item m="1" x="3777"/>
        <item m="1" x="3868"/>
        <item m="1" x="3965"/>
        <item m="1" x="4050"/>
        <item m="1" x="4149"/>
        <item m="1" x="4236"/>
        <item m="1" x="4336"/>
        <item m="1" x="4421"/>
        <item m="1" x="4523"/>
        <item m="1" x="1751"/>
        <item m="1" x="1842"/>
        <item m="1" x="1938"/>
        <item m="1" x="2036"/>
        <item m="1" x="2133"/>
        <item m="1" x="2220"/>
        <item m="1" x="2313"/>
        <item m="1" x="2405"/>
        <item m="1" x="2498"/>
        <item m="1" x="2589"/>
        <item m="1" x="2681"/>
        <item m="1" x="2776"/>
        <item m="1" x="2863"/>
        <item m="1" x="2955"/>
        <item m="1" x="3050"/>
        <item m="1" x="3141"/>
        <item m="1" x="3233"/>
        <item m="1" x="3323"/>
        <item m="1" x="3417"/>
        <item m="1" x="3509"/>
        <item m="1" x="3603"/>
        <item m="1" x="3694"/>
        <item m="1" x="3789"/>
        <item m="1" x="3884"/>
        <item m="1" x="3977"/>
        <item m="1" x="4064"/>
        <item m="1" x="4161"/>
        <item m="1" x="4251"/>
        <item m="1" x="4345"/>
        <item m="1" x="4436"/>
        <item m="1" x="4536"/>
        <item m="1" x="4628"/>
        <item m="1" x="4716"/>
        <item m="1" x="4807"/>
        <item m="1" x="4907"/>
        <item m="1" x="5004"/>
        <item m="1" x="5098"/>
        <item m="1" x="5189"/>
        <item m="1" x="5284"/>
        <item m="1" x="5374"/>
        <item m="1" x="5464"/>
        <item m="1" x="5559"/>
        <item m="1" x="5654"/>
        <item m="1" x="5747"/>
        <item m="1" x="5837"/>
        <item m="1" x="5930"/>
        <item m="1" x="6027"/>
        <item m="1" x="6117"/>
        <item m="1" x="6209"/>
        <item m="1" x="6302"/>
        <item m="1" x="6401"/>
        <item m="1" x="6490"/>
        <item m="1" x="6580"/>
        <item m="1" x="6673"/>
        <item m="1" x="6765"/>
        <item m="1" x="6856"/>
        <item m="1" x="6949"/>
        <item m="1" x="7041"/>
        <item m="1" x="7138"/>
        <item m="1" x="7226"/>
        <item m="1" x="7321"/>
        <item m="1" x="7418"/>
        <item m="1" x="7515"/>
        <item m="1" x="7606"/>
        <item m="1" x="7697"/>
        <item m="1" x="7787"/>
        <item m="1" x="7884"/>
        <item m="1" x="7975"/>
        <item m="1" x="72"/>
        <item m="1" x="162"/>
        <item m="1" x="259"/>
        <item m="1" x="347"/>
        <item m="1" x="443"/>
        <item m="1" x="538"/>
        <item m="1" x="635"/>
        <item m="1" x="727"/>
        <item m="1" x="821"/>
        <item m="1" x="919"/>
        <item m="1" x="1015"/>
        <item m="1" x="1102"/>
        <item m="1" x="1199"/>
        <item m="1" x="1292"/>
        <item m="1" x="1389"/>
        <item m="1" x="1480"/>
        <item m="1" x="1573"/>
        <item m="1" x="1666"/>
        <item m="1" x="1755"/>
        <item m="1" x="1846"/>
        <item m="1" x="1944"/>
        <item m="1" x="2039"/>
        <item m="1" x="2137"/>
        <item m="1" x="2223"/>
        <item m="1" x="2316"/>
        <item m="1" x="2410"/>
        <item m="1" x="2502"/>
        <item m="1" x="2594"/>
        <item m="1" x="2684"/>
        <item m="1" x="2779"/>
        <item m="1" x="2868"/>
        <item m="1" x="2959"/>
        <item m="1" x="3053"/>
        <item m="1" x="3144"/>
        <item m="1" x="3237"/>
        <item m="1" x="3328"/>
        <item m="1" x="3420"/>
        <item m="1" x="3513"/>
        <item m="1" x="3607"/>
        <item m="1" x="3698"/>
        <item m="1" x="3792"/>
        <item m="1" x="3888"/>
        <item m="1" x="3981"/>
        <item m="1" x="4069"/>
        <item m="1" x="4164"/>
        <item m="1" x="4254"/>
        <item m="1" x="4350"/>
        <item m="1" x="4442"/>
        <item m="1" x="4539"/>
        <item m="1" x="4631"/>
        <item m="1" x="4720"/>
        <item m="1" x="4812"/>
        <item m="1" x="4912"/>
        <item m="1" x="5007"/>
        <item m="1" x="5102"/>
        <item m="1" x="5193"/>
        <item m="1" x="5287"/>
        <item m="1" x="5378"/>
        <item m="1" x="5468"/>
        <item m="1" x="5564"/>
        <item m="1" x="5657"/>
        <item m="1" x="5750"/>
        <item m="1" x="5841"/>
        <item m="1" x="5933"/>
        <item m="1" x="6029"/>
        <item m="1" x="6119"/>
        <item m="1" x="6212"/>
        <item m="1" x="6306"/>
        <item m="1" x="6403"/>
        <item m="1" x="6492"/>
        <item m="1" x="6583"/>
        <item m="1" x="6676"/>
        <item m="1" x="6767"/>
        <item m="1" x="6859"/>
        <item m="1" x="6953"/>
        <item m="1" x="7045"/>
        <item m="1" x="7140"/>
        <item m="1" x="7228"/>
        <item m="1" x="7327"/>
        <item m="1" x="7422"/>
        <item m="1" x="7517"/>
        <item m="1" x="7608"/>
        <item m="1" x="7700"/>
        <item m="1" x="7791"/>
        <item m="1" x="7889"/>
        <item m="1" x="7977"/>
        <item m="1" x="76"/>
        <item m="1" x="165"/>
        <item m="1" x="261"/>
        <item m="1" x="350"/>
        <item m="1" x="446"/>
        <item m="1" x="542"/>
        <item m="1" x="637"/>
        <item m="1" x="729"/>
        <item m="1" x="827"/>
        <item m="1" x="922"/>
        <item m="1" x="1017"/>
        <item m="1" x="1104"/>
        <item m="1" x="1202"/>
        <item m="1" x="1296"/>
        <item m="1" x="1391"/>
        <item m="1" x="1482"/>
        <item m="1" x="1577"/>
        <item m="1" x="1669"/>
        <item m="1" x="1757"/>
        <item m="1" x="1849"/>
        <item m="1" x="1948"/>
        <item m="1" x="2043"/>
        <item m="1" x="2139"/>
        <item m="1" x="2224"/>
        <item m="1" x="2322"/>
        <item m="1" x="2414"/>
        <item m="1" x="2504"/>
        <item m="1" x="2595"/>
        <item m="1" x="2687"/>
        <item m="1" x="2782"/>
        <item m="1" x="2872"/>
        <item m="1" x="2960"/>
        <item m="1" x="3057"/>
        <item m="1" x="3146"/>
        <item m="1" x="3239"/>
        <item m="1" x="3331"/>
        <item m="1" x="3423"/>
        <item m="1" x="3515"/>
        <item m="1" x="3609"/>
        <item m="1" x="3699"/>
        <item m="1" x="3798"/>
        <item m="1" x="3890"/>
        <item m="1" x="3983"/>
        <item m="1" x="4071"/>
        <item m="1" x="4168"/>
        <item m="1" x="4257"/>
        <item m="1" x="4353"/>
        <item m="1" x="4444"/>
        <item m="1" x="4544"/>
        <item m="1" x="4634"/>
        <item m="1" x="4723"/>
        <item m="1" x="4816"/>
        <item m="1" x="4916"/>
        <item m="1" x="5010"/>
        <item m="1" x="5106"/>
        <item m="1" x="5195"/>
        <item m="1" x="5294"/>
        <item m="1" x="5382"/>
        <item m="1" x="5472"/>
        <item m="1" x="5567"/>
        <item m="1" x="5661"/>
        <item m="1" x="5753"/>
        <item m="1" x="5847"/>
        <item m="1" x="5935"/>
        <item m="1" x="6034"/>
        <item m="1" x="6122"/>
        <item m="1" x="6216"/>
        <item m="1" x="6311"/>
        <item m="1" x="6407"/>
        <item m="1" x="6495"/>
        <item m="1" x="6587"/>
        <item m="1" x="6678"/>
        <item m="1" x="6773"/>
        <item m="1" x="6862"/>
        <item m="1" x="6957"/>
        <item m="1" x="7048"/>
        <item m="1" x="7143"/>
        <item m="1" x="7231"/>
        <item m="1" x="7331"/>
        <item m="1" x="7424"/>
        <item m="1" x="7521"/>
        <item m="1" x="7611"/>
        <item m="1" x="7704"/>
        <item m="1" x="7795"/>
        <item m="1" x="7892"/>
        <item m="1" x="7980"/>
        <item m="1" x="80"/>
        <item m="1" x="167"/>
        <item m="1" x="266"/>
        <item m="1" x="5392"/>
        <item m="1" x="5481"/>
        <item m="1" x="5580"/>
        <item m="1" x="5671"/>
        <item m="1" x="5764"/>
        <item m="1" x="5856"/>
        <item m="1" x="5948"/>
        <item m="1" x="6040"/>
        <item m="1" x="6133"/>
        <item m="1" x="6226"/>
        <item m="1" x="6326"/>
        <item m="1" x="6414"/>
        <item m="1" x="6506"/>
        <item m="1" x="6597"/>
        <item m="1" x="6693"/>
        <item m="1" x="6782"/>
        <item m="1" x="6872"/>
        <item m="1" x="6966"/>
        <item m="1" x="7061"/>
        <item m="1" x="7150"/>
        <item m="1" x="7244"/>
        <item m="1" x="7339"/>
        <item m="1" x="7438"/>
        <item m="1" x="7527"/>
        <item m="1" x="7622"/>
        <item m="1" x="7716"/>
        <item m="1" x="7807"/>
        <item m="1" x="7899"/>
        <item m="1" x="7991"/>
        <item m="1" x="89"/>
        <item m="1" x="183"/>
        <item m="1" x="272"/>
        <item m="1" x="366"/>
        <item m="1" x="459"/>
        <item m="1" x="558"/>
        <item m="1" x="648"/>
        <item m="1" x="744"/>
        <item m="1" x="842"/>
        <item m="1" x="936"/>
        <item m="1" x="1026"/>
        <item m="1" x="1122"/>
        <item m="1" x="1216"/>
        <item m="1" x="1313"/>
        <item m="1" x="1400"/>
        <item m="1" x="1497"/>
        <item m="1" x="1589"/>
        <item m="1" x="1682"/>
        <item m="1" x="1770"/>
        <item m="1" x="1864"/>
        <item m="1" x="1961"/>
        <item m="1" x="2057"/>
        <item m="1" x="2149"/>
        <item m="1" x="2243"/>
        <item m="1" x="2334"/>
        <item m="1" x="2426"/>
        <item m="1" x="2514"/>
        <item m="1" x="2612"/>
        <item m="1" x="2704"/>
        <item m="1" x="2796"/>
        <item m="1" x="2881"/>
        <item m="1" x="2975"/>
        <item m="1" x="3070"/>
        <item m="1" x="3160"/>
        <item m="1" x="3250"/>
        <item m="1" x="3346"/>
        <item m="1" x="3435"/>
        <item m="1" x="3529"/>
        <item m="1" x="3622"/>
        <item m="1" x="3715"/>
        <item m="1" x="3812"/>
        <item m="1" x="3902"/>
        <item m="1" x="3994"/>
        <item m="1" x="4088"/>
        <item m="1" x="4181"/>
        <item m="1" x="4274"/>
        <item m="1" x="4364"/>
        <item m="1" x="4459"/>
        <item m="1" x="4555"/>
        <item m="1" x="4647"/>
        <item m="1" x="4735"/>
        <item m="1" x="4831"/>
        <item m="1" x="4928"/>
        <item m="1" x="5024"/>
        <item m="1" x="5117"/>
        <item m="1" x="5215"/>
        <item m="1" x="5303"/>
        <item m="1" x="5395"/>
        <item m="1" x="5484"/>
        <item m="1" x="5585"/>
        <item m="1" x="5676"/>
        <item m="1" x="5768"/>
        <item m="1" x="5859"/>
        <item m="1" x="5951"/>
        <item m="1" x="6045"/>
        <item m="1" x="6138"/>
        <item m="1" x="6229"/>
        <item m="1" x="6329"/>
        <item m="1" x="6418"/>
        <item m="1" x="6511"/>
        <item m="1" x="6603"/>
        <item m="1" x="6696"/>
        <item m="1" x="6786"/>
        <item m="1" x="6876"/>
        <item m="1" x="6969"/>
        <item m="1" x="7067"/>
        <item m="1" x="7154"/>
        <item m="1" x="7249"/>
        <item m="1" x="7342"/>
        <item m="1" x="7441"/>
        <item m="1" x="7532"/>
        <item m="1" x="7626"/>
        <item m="1" x="7719"/>
        <item m="1" x="7810"/>
        <item m="1" x="7903"/>
        <item m="1" x="7996"/>
        <item m="1" x="92"/>
        <item m="1" x="186"/>
        <item m="1" x="276"/>
        <item m="1" x="370"/>
        <item m="1" x="462"/>
        <item m="1" x="562"/>
        <item m="1" x="653"/>
        <item m="1" x="749"/>
        <item m="1" x="845"/>
        <item m="1" x="939"/>
        <item m="1" x="1031"/>
        <item m="1" x="1127"/>
        <item m="1" x="1219"/>
        <item m="1" x="1316"/>
        <item m="1" x="1404"/>
        <item m="1" x="1502"/>
        <item m="1" x="1594"/>
        <item m="1" x="1684"/>
        <item m="1" x="1773"/>
        <item m="1" x="1867"/>
        <item m="1" x="1963"/>
        <item m="1" x="2060"/>
        <item m="1" x="2152"/>
        <item m="1" x="2248"/>
        <item m="1" x="2336"/>
        <item m="1" x="2428"/>
        <item m="1" x="2519"/>
        <item m="1" x="2615"/>
        <item m="1" x="2706"/>
        <item m="1" x="2798"/>
        <item m="1" x="2884"/>
        <item m="1" x="2979"/>
        <item m="1" x="3072"/>
        <item m="1" x="3162"/>
        <item m="1" x="3254"/>
        <item m="1" x="3349"/>
        <item m="1" x="3437"/>
        <item m="1" x="3533"/>
        <item m="1" x="3627"/>
        <item m="1" x="3720"/>
        <item m="1" x="3814"/>
        <item m="1" x="3904"/>
        <item m="1" x="4000"/>
        <item m="1" x="4093"/>
        <item m="1" x="4183"/>
        <item m="1" x="4276"/>
        <item m="1" x="4367"/>
        <item m="1" x="4463"/>
        <item m="1" x="4559"/>
        <item m="1" x="4649"/>
        <item m="1" x="4739"/>
        <item m="1" x="4834"/>
        <item m="1" x="4930"/>
        <item m="1" x="5027"/>
        <item m="1" x="5120"/>
        <item m="1" x="5219"/>
        <item m="1" x="5305"/>
        <item m="1" x="5397"/>
        <item m="1" x="5490"/>
        <item m="1" x="5588"/>
        <item m="1" x="5678"/>
        <item m="1" x="5770"/>
        <item m="1" x="5862"/>
        <item m="1" x="5954"/>
        <item m="1" x="6047"/>
        <item m="1" x="6139"/>
        <item m="1" x="6233"/>
        <item m="1" x="6331"/>
        <item m="1" x="6420"/>
        <item m="1" x="6513"/>
        <item m="1" x="6607"/>
        <item m="1" x="6698"/>
        <item m="1" x="6788"/>
        <item m="1" x="6877"/>
        <item m="1" x="6975"/>
        <item m="1" x="7070"/>
        <item m="1" x="7156"/>
        <item m="1" x="7251"/>
        <item m="1" x="7345"/>
        <item m="1" x="7443"/>
        <item m="1" x="7536"/>
        <item m="1" x="7627"/>
        <item m="1" x="7723"/>
        <item m="1" x="7813"/>
        <item m="1" x="7906"/>
        <item m="1" x="2"/>
        <item m="1" x="96"/>
        <item m="1" x="189"/>
        <item m="1" x="279"/>
        <item m="1" x="372"/>
        <item m="1" x="470"/>
        <item m="1" x="565"/>
        <item m="1" x="657"/>
        <item m="1" x="752"/>
        <item m="1" x="850"/>
        <item m="1" x="942"/>
        <item m="1" x="1035"/>
        <item m="1" x="1129"/>
        <item m="1" x="1225"/>
        <item m="1" x="1319"/>
        <item m="1" x="1408"/>
        <item m="1" x="1506"/>
        <item m="1" x="1600"/>
        <item m="1" x="1687"/>
        <item m="1" x="1777"/>
        <item m="1" x="1869"/>
        <item m="1" x="1972"/>
        <item m="1" x="2066"/>
        <item m="1" x="2156"/>
        <item m="1" x="2251"/>
        <item m="1" x="2340"/>
        <item m="1" x="2431"/>
        <item m="1" x="2525"/>
        <item m="1" x="2617"/>
        <item m="1" x="2711"/>
        <item m="1" x="2801"/>
        <item m="1" x="2888"/>
        <item m="1" x="2984"/>
        <item m="1" x="3076"/>
        <item m="1" x="3165"/>
        <item m="1" x="3258"/>
        <item m="1" x="3351"/>
        <item m="1" x="3443"/>
        <item m="1" x="3536"/>
        <item m="1" x="3631"/>
        <item m="1" x="3723"/>
        <item m="1" x="3818"/>
        <item m="1" x="3907"/>
        <item m="1" x="1142"/>
        <item m="1" x="1232"/>
        <item m="1" x="1330"/>
        <item m="1" x="1422"/>
        <item m="1" x="1519"/>
        <item m="1" x="1608"/>
        <item m="1" x="1698"/>
        <item m="1" x="1787"/>
        <item m="1" x="1887"/>
        <item m="1" x="1979"/>
        <item m="1" x="2076"/>
        <item m="1" x="2166"/>
        <item m="1" x="2264"/>
        <item m="1" x="2351"/>
        <item m="1" x="2443"/>
        <item m="1" x="2535"/>
        <item m="1" x="2631"/>
        <item m="1" x="2718"/>
        <item m="1" x="2812"/>
        <item m="1" x="2899"/>
        <item m="1" x="2997"/>
        <item m="1" x="3084"/>
        <item m="1" x="3176"/>
        <item m="1" x="3268"/>
        <item m="1" x="3365"/>
        <item m="1" x="3453"/>
        <item m="1" x="3546"/>
        <item m="1" x="3641"/>
        <item m="1" x="3735"/>
        <item m="1" x="3826"/>
        <item m="1" x="3921"/>
        <item m="1" x="4012"/>
        <item m="1" x="4106"/>
        <item m="1" x="4194"/>
        <item m="1" x="4292"/>
        <item m="1" x="4383"/>
        <item m="1" x="4480"/>
        <item m="1" x="4570"/>
        <item m="1" x="4663"/>
        <item m="1" x="4753"/>
        <item m="1" x="4852"/>
        <item m="1" x="4943"/>
        <item m="1" x="5044"/>
        <item m="1" x="5134"/>
        <item m="1" x="5233"/>
        <item m="1" x="5318"/>
        <item m="1" x="5412"/>
        <item m="1" x="5506"/>
        <item m="1" x="5600"/>
        <item m="1" x="5690"/>
        <item m="1" x="5788"/>
        <item m="1" x="5877"/>
        <item m="1" x="5971"/>
        <item m="1" x="6059"/>
        <item m="1" x="6154"/>
        <item m="1" x="6247"/>
        <item m="1" x="6344"/>
        <item m="1" x="6434"/>
        <item m="1" x="6527"/>
        <item m="1" x="6621"/>
        <item m="1" x="6712"/>
        <item m="1" x="6800"/>
        <item m="1" x="6896"/>
        <item m="1" x="6988"/>
        <item m="1" x="7082"/>
        <item m="1" x="7167"/>
        <item m="1" x="7268"/>
        <item m="1" x="7361"/>
        <item m="1" x="7457"/>
        <item m="1" x="7548"/>
        <item m="1" x="7642"/>
        <item m="1" x="7736"/>
        <item m="1" x="7829"/>
        <item m="1" x="7919"/>
        <item m="1" x="20"/>
        <item m="1" x="109"/>
        <item m="1" x="203"/>
        <item m="1" x="293"/>
        <item m="1" x="388"/>
        <item m="1" x="483"/>
        <item m="1" x="577"/>
        <item m="1" x="668"/>
        <item m="1" x="770"/>
        <item m="1" x="863"/>
        <item m="1" x="958"/>
        <item m="1" x="1046"/>
        <item m="1" x="1145"/>
        <item m="1" x="1237"/>
        <item m="1" x="1333"/>
        <item m="1" x="1425"/>
        <item m="1" x="1522"/>
        <item m="1" x="1612"/>
        <item m="1" x="1702"/>
        <item m="1" x="1790"/>
        <item m="1" x="1890"/>
        <item m="1" x="1983"/>
        <item m="1" x="2080"/>
        <item m="1" x="2169"/>
        <item m="1" x="2269"/>
        <item m="1" x="2355"/>
        <item m="1" x="2448"/>
        <item m="1" x="2538"/>
        <item m="1" x="2634"/>
        <item m="1" x="2723"/>
        <item m="1" x="2816"/>
        <item m="1" x="2902"/>
        <item m="1" x="3000"/>
        <item m="1" x="3088"/>
        <item m="1" x="3181"/>
        <item m="1" x="3274"/>
        <item m="1" x="3368"/>
        <item m="1" x="3457"/>
        <item m="1" x="3550"/>
        <item m="1" x="3644"/>
        <item m="1" x="3741"/>
        <item m="1" x="3830"/>
        <item m="1" x="3926"/>
        <item m="1" x="4015"/>
        <item m="1" x="4109"/>
        <item m="1" x="4199"/>
        <item m="1" x="4296"/>
        <item m="1" x="4386"/>
        <item m="1" x="4483"/>
        <item m="1" x="4574"/>
        <item m="1" x="4668"/>
        <item m="1" x="4756"/>
        <item m="1" x="4856"/>
        <item m="1" x="4947"/>
        <item m="1" x="5048"/>
        <item m="1" x="5137"/>
        <item m="1" x="5236"/>
        <item m="1" x="5322"/>
        <item m="1" x="5416"/>
        <item m="1" x="5508"/>
        <item m="1" x="5602"/>
        <item m="1" x="5694"/>
        <item m="1" x="5792"/>
        <item m="1" x="5879"/>
        <item m="1" x="5973"/>
        <item m="1" x="6062"/>
        <item m="1" x="6158"/>
        <item m="1" x="6252"/>
        <item m="1" x="6346"/>
        <item m="1" x="6438"/>
        <item m="1" x="6530"/>
        <item m="1" x="6623"/>
        <item m="1" x="6715"/>
        <item m="1" x="6803"/>
        <item m="1" x="6900"/>
        <item m="1" x="6990"/>
        <item m="1" x="7084"/>
        <item m="1" x="7174"/>
        <item m="1" x="7272"/>
        <item m="1" x="7364"/>
        <item m="1" x="7460"/>
        <item m="1" x="7552"/>
        <item m="1" x="7646"/>
        <item m="1" x="7738"/>
        <item m="1" x="7831"/>
        <item m="1" x="7923"/>
        <item m="1" x="23"/>
        <item m="1" x="111"/>
        <item m="1" x="206"/>
        <item m="1" x="297"/>
        <item m="1" x="392"/>
        <item m="1" x="485"/>
        <item m="1" x="579"/>
        <item m="1" x="674"/>
        <item m="1" x="774"/>
        <item m="1" x="865"/>
        <item m="1" x="960"/>
        <item m="1" x="1049"/>
        <item m="1" x="1149"/>
        <item m="1" x="1241"/>
        <item m="1" x="1335"/>
        <item m="1" x="1429"/>
        <item m="1" x="1525"/>
        <item m="1" x="1614"/>
        <item m="1" x="1704"/>
        <item m="1" x="1793"/>
        <item m="1" x="1893"/>
        <item m="1" x="1985"/>
        <item m="1" x="2081"/>
        <item m="1" x="2175"/>
        <item m="1" x="2271"/>
        <item m="1" x="2357"/>
        <item m="1" x="2450"/>
        <item m="1" x="2542"/>
        <item m="1" x="2636"/>
        <item m="1" x="2725"/>
        <item m="1" x="2818"/>
        <item m="1" x="2906"/>
        <item m="1" x="3002"/>
        <item m="1" x="3090"/>
        <item m="1" x="3184"/>
        <item m="1" x="3279"/>
        <item m="1" x="3370"/>
        <item m="1" x="3459"/>
        <item m="1" x="3552"/>
        <item m="1" x="3651"/>
        <item m="1" x="3746"/>
        <item m="1" x="3833"/>
        <item m="1" x="3929"/>
        <item m="1" x="4020"/>
        <item m="1" x="4112"/>
        <item m="1" x="4204"/>
        <item m="1" x="4298"/>
        <item m="1" x="4392"/>
        <item m="1" x="4486"/>
        <item m="1" x="4578"/>
        <item m="1" x="4673"/>
        <item m="1" x="4762"/>
        <item m="1" x="4859"/>
        <item m="1" x="4951"/>
        <item m="1" x="5050"/>
        <item m="1" x="5145"/>
        <item m="1" x="5239"/>
        <item m="1" x="5326"/>
        <item m="1" x="5419"/>
        <item m="1" x="5514"/>
        <item m="1" x="5605"/>
        <item m="1" x="5698"/>
        <item m="1" x="5794"/>
        <item m="1" x="5884"/>
        <item m="1" x="5976"/>
        <item m="1" x="6066"/>
        <item m="1" x="6162"/>
        <item m="1" x="6258"/>
        <item m="1" x="6349"/>
        <item m="1" x="6442"/>
        <item m="1" x="6532"/>
        <item m="1" x="6629"/>
        <item m="1" x="6719"/>
        <item m="1" x="6807"/>
        <item m="1" x="6903"/>
        <item m="1" x="6995"/>
        <item m="1" x="7087"/>
        <item m="1" x="7180"/>
        <item m="1" x="7274"/>
        <item m="1" x="7369"/>
        <item m="1" x="7463"/>
        <item m="1" x="7556"/>
        <item m="1" x="7651"/>
        <item m="1" x="4770"/>
        <item m="1" x="4870"/>
        <item m="1" x="4962"/>
        <item m="1" x="5064"/>
        <item m="1" x="5155"/>
        <item m="1" x="5249"/>
        <item m="1" x="5336"/>
        <item m="1" x="5432"/>
        <item m="1" x="5522"/>
        <item m="1" x="5618"/>
        <item m="1" x="5708"/>
        <item m="1" x="5807"/>
        <item m="1" x="5891"/>
        <item m="1" x="5988"/>
        <item m="1" x="6081"/>
        <item m="1" x="6176"/>
        <item m="1" x="6267"/>
        <item m="1" x="6361"/>
        <item m="1" x="6453"/>
        <item m="1" x="6549"/>
        <item m="1" x="6636"/>
        <item m="1" x="6729"/>
        <item m="1" x="6817"/>
        <item m="1" x="6916"/>
        <item m="1" x="7005"/>
        <item m="1" x="7098"/>
        <item m="1" x="7190"/>
        <item m="1" x="7286"/>
        <item m="1" x="7376"/>
        <item m="1" x="7476"/>
        <item m="1" x="7567"/>
        <item m="1" x="7666"/>
        <item m="1" x="7750"/>
        <item m="1" x="7846"/>
        <item m="1" x="7937"/>
        <item m="1" x="38"/>
        <item m="1" x="125"/>
        <item m="1" x="220"/>
        <item m="1" x="310"/>
        <item m="1" x="407"/>
        <item m="1" x="498"/>
        <item m="1" x="597"/>
        <item m="1" x="688"/>
        <item m="1" x="788"/>
        <item m="1" x="876"/>
        <item m="1" x="977"/>
        <item m="1" x="1067"/>
        <item m="1" x="1164"/>
        <item m="1" x="1255"/>
        <item m="1" x="1350"/>
        <item m="1" x="1444"/>
        <item m="1" x="1541"/>
        <item m="1" x="1627"/>
        <item m="1" x="1721"/>
        <item m="1" x="1807"/>
        <item m="1" x="1907"/>
        <item m="1" x="2000"/>
        <item m="1" x="2097"/>
        <item m="1" x="2191"/>
        <item m="1" x="2282"/>
        <item m="1" x="2369"/>
        <item m="1" x="2468"/>
        <item m="1" x="2557"/>
        <item m="1" x="2652"/>
        <item m="1" x="2738"/>
        <item m="1" x="2833"/>
        <item m="1" x="2920"/>
        <item m="1" x="3015"/>
        <item m="1" x="3105"/>
        <item m="1" x="3199"/>
        <item m="1" x="3292"/>
        <item m="1" x="3384"/>
        <item m="1" x="3472"/>
        <item m="1" x="3571"/>
        <item m="1" x="3663"/>
        <item m="1" x="3758"/>
        <item m="1" x="3845"/>
        <item m="1" x="3946"/>
        <item m="1" x="4035"/>
        <item m="1" x="4126"/>
        <item m="1" x="4217"/>
        <item m="1" x="4313"/>
        <item m="1" x="4404"/>
        <item m="1" x="4501"/>
        <item m="1" x="4590"/>
        <item m="1" x="4689"/>
        <item m="1" x="4774"/>
        <item m="1" x="4874"/>
        <item m="1" x="4968"/>
        <item m="1" x="5067"/>
        <item m="1" x="5159"/>
        <item m="1" x="5252"/>
        <item m="1" x="5339"/>
        <item m="1" x="5438"/>
        <item m="1" x="5526"/>
        <item m="1" x="5623"/>
        <item m="1" x="5711"/>
        <item m="1" x="5810"/>
        <item m="1" x="5896"/>
        <item m="1" x="5992"/>
        <item m="1" x="6084"/>
        <item m="1" x="6179"/>
        <item m="1" x="6271"/>
        <item m="1" x="6366"/>
        <item m="1" x="6456"/>
        <item m="1" x="6552"/>
        <item m="1" x="6640"/>
        <item m="1" x="6733"/>
        <item m="1" x="6820"/>
        <item m="1" x="6921"/>
        <item m="1" x="7009"/>
        <item m="1" x="7103"/>
        <item m="1" x="7193"/>
        <item m="1" x="7289"/>
        <item m="1" x="7381"/>
        <item m="1" x="7481"/>
        <item m="1" x="7570"/>
        <item m="1" x="7669"/>
        <item m="1" x="7754"/>
        <item m="1" x="7851"/>
        <item m="1" x="7942"/>
        <item m="1" x="41"/>
        <item m="1" x="129"/>
        <item m="1" x="224"/>
        <item m="1" x="313"/>
        <item m="1" x="412"/>
        <item m="1" x="502"/>
        <item m="1" x="602"/>
        <item m="1" x="691"/>
        <item m="1" x="791"/>
        <item m="1" x="881"/>
        <item m="1" x="980"/>
        <item m="1" x="1069"/>
        <item m="1" x="1166"/>
        <item m="1" x="1258"/>
        <item m="1" x="1354"/>
        <item m="1" x="1446"/>
        <item m="1" x="1543"/>
        <item m="1" x="1630"/>
        <item m="1" x="1724"/>
        <item m="1" x="1809"/>
        <item m="1" x="1910"/>
        <item m="1" x="2004"/>
        <item m="1" x="2101"/>
        <item m="1" x="2193"/>
        <item m="1" x="2284"/>
        <item m="1" x="2374"/>
        <item m="1" x="2472"/>
        <item m="1" x="2559"/>
        <item m="1" x="2654"/>
        <item m="1" x="2742"/>
        <item m="1" x="2837"/>
        <item m="1" x="2925"/>
        <item m="1" x="3017"/>
        <item m="1" x="3109"/>
        <item m="1" x="3202"/>
        <item m="1" x="3294"/>
        <item m="1" x="3387"/>
        <item m="1" x="3476"/>
        <item m="1" x="3575"/>
        <item m="1" x="3665"/>
        <item m="1" x="3760"/>
        <item m="1" x="3851"/>
        <item m="1" x="3949"/>
        <item m="1" x="4037"/>
        <item m="1" x="4128"/>
        <item m="1" x="4221"/>
        <item m="1" x="4317"/>
        <item m="1" x="4406"/>
        <item m="1" x="4504"/>
        <item m="1" x="4594"/>
        <item m="1" x="4692"/>
        <item m="1" x="4776"/>
        <item m="1" x="4877"/>
        <item m="1" x="4973"/>
        <item m="1" x="5071"/>
        <item m="1" x="5161"/>
        <item m="1" x="5253"/>
        <item m="1" x="5345"/>
        <item m="1" x="5441"/>
        <item m="1" x="5528"/>
        <item m="1" x="5624"/>
        <item m="1" x="5715"/>
        <item m="1" x="5813"/>
        <item m="1" x="5900"/>
        <item m="1" x="5993"/>
        <item m="1" x="6088"/>
        <item m="1" x="6181"/>
        <item m="1" x="6273"/>
        <item m="1" x="6369"/>
        <item m="1" x="6460"/>
        <item m="1" x="6554"/>
        <item m="1" x="6642"/>
        <item m="1" x="6734"/>
        <item m="1" x="6826"/>
        <item m="1" x="6923"/>
        <item m="1" x="7012"/>
        <item m="1" x="7105"/>
        <item m="1" x="7198"/>
        <item m="1" x="7292"/>
        <item m="1" x="7384"/>
        <item m="1" x="7483"/>
        <item m="1" x="7575"/>
        <item m="1" x="7672"/>
        <item m="1" x="7757"/>
        <item m="1" x="7855"/>
        <item m="1" x="7949"/>
        <item m="1" x="44"/>
        <item m="1" x="133"/>
        <item m="1" x="226"/>
        <item m="1" x="321"/>
        <item m="1" x="416"/>
        <item m="1" x="506"/>
        <item m="1" x="605"/>
        <item m="1" x="697"/>
        <item m="1" x="794"/>
        <item m="1" x="887"/>
        <item m="1" x="982"/>
        <item m="1" x="1076"/>
        <item m="1" x="1170"/>
        <item m="1" x="1262"/>
        <item m="1" x="1359"/>
        <item m="1" x="1452"/>
        <item m="1" x="1546"/>
        <item m="1" x="1634"/>
        <item m="1" x="1726"/>
        <item m="1" x="1816"/>
        <item m="1" x="1913"/>
        <item m="1" x="2008"/>
        <item m="1" x="2104"/>
        <item m="1" x="2198"/>
        <item m="1" x="2287"/>
        <item m="1" x="2378"/>
        <item m="1" x="2474"/>
        <item m="1" x="2564"/>
        <item m="1" x="2657"/>
        <item m="1" x="2746"/>
        <item m="1" x="2841"/>
        <item m="1" x="2931"/>
        <item m="1" x="3020"/>
        <item m="1" x="3113"/>
        <item m="1" x="3204"/>
        <item m="1" x="3300"/>
        <item m="1" x="427"/>
        <item m="1" x="515"/>
        <item m="1" x="618"/>
        <item m="1" x="708"/>
        <item m="1" x="805"/>
        <item m="1" x="899"/>
        <item m="1" x="995"/>
        <item m="1" x="1083"/>
        <item m="1" x="1182"/>
        <item m="1" x="1273"/>
        <item m="1" x="1374"/>
        <item m="1" x="1460"/>
        <item m="1" x="1557"/>
        <item m="1" x="1645"/>
        <item m="1" x="1740"/>
        <item m="1" x="1827"/>
        <item m="1" x="1924"/>
        <item m="1" x="2019"/>
        <item m="1" x="2117"/>
        <item m="1" x="2206"/>
        <item m="1" x="2299"/>
        <item m="1" x="2389"/>
        <item m="1" x="2487"/>
        <item m="1" x="2571"/>
        <item m="1" x="2668"/>
        <item m="1" x="2760"/>
        <item m="1" x="2853"/>
        <item m="1" x="2939"/>
        <item m="1" x="3031"/>
        <item m="1" x="3124"/>
        <item m="1" x="3220"/>
        <item m="1" x="3307"/>
        <item m="1" x="3402"/>
        <item m="1" x="3490"/>
        <item m="1" x="3591"/>
        <item m="1" x="3679"/>
        <item m="1" x="3774"/>
        <item m="1" x="3867"/>
        <item m="1" x="3963"/>
        <item m="1" x="4048"/>
        <item m="1" x="4145"/>
        <item m="1" x="4235"/>
        <item m="1" x="4334"/>
        <item m="1" x="4419"/>
        <item m="1" x="4520"/>
        <item m="1" x="4608"/>
        <item m="1" x="4705"/>
        <item m="1" x="4791"/>
        <item m="1" x="4892"/>
        <item m="1" x="4987"/>
        <item m="1" x="5085"/>
        <item m="1" x="5174"/>
        <item m="1" x="5270"/>
        <item m="1" x="5360"/>
        <item m="1" x="5453"/>
        <item m="1" x="5540"/>
        <item m="1" x="5641"/>
        <item m="1" x="5733"/>
        <item m="1" x="5827"/>
        <item m="1" x="5913"/>
        <item m="1" x="6008"/>
        <item m="1" x="6103"/>
        <item m="1" x="6197"/>
        <item m="1" x="6286"/>
        <item m="1" x="6386"/>
        <item m="1" x="6474"/>
        <item m="1" x="6568"/>
        <item m="1" x="6657"/>
        <item m="1" x="6750"/>
        <item m="1" x="6842"/>
        <item m="1" x="6935"/>
        <item m="1" x="7024"/>
        <item m="1" x="7123"/>
        <item m="1" x="7212"/>
        <item m="1" x="7309"/>
        <item m="1" x="7398"/>
        <item m="1" x="7498"/>
        <item m="1" x="7588"/>
        <item m="1" x="7685"/>
        <item m="1" x="7771"/>
        <item m="1" x="7870"/>
        <item m="1" x="7961"/>
        <item m="1" x="58"/>
        <item m="1" x="146"/>
        <item m="1" x="245"/>
        <item m="1" x="333"/>
        <item m="1" x="430"/>
        <item m="1" x="518"/>
        <item m="1" x="623"/>
        <item m="1" x="714"/>
        <item m="1" x="809"/>
        <item m="1" x="902"/>
        <item m="1" x="998"/>
        <item m="1" x="1088"/>
        <item m="1" x="1187"/>
        <item m="1" x="1276"/>
        <item m="1" x="1377"/>
        <item m="1" x="1464"/>
        <item m="1" x="1562"/>
        <item m="1" x="1651"/>
        <item m="1" x="1743"/>
        <item m="1" x="1832"/>
        <item m="1" x="1928"/>
        <item m="1" x="2022"/>
        <item m="1" x="2123"/>
        <item m="1" x="2210"/>
        <item m="1" x="2304"/>
        <item m="1" x="2392"/>
        <item m="1" x="2490"/>
        <item m="1" x="2576"/>
        <item m="1" x="2672"/>
        <item m="1" x="2763"/>
        <item m="1" x="2856"/>
        <item m="1" x="2943"/>
        <item m="1" x="3036"/>
        <item m="1" x="3127"/>
        <item m="1" x="3223"/>
        <item m="1" x="3312"/>
        <item m="1" x="3406"/>
        <item m="1" x="3493"/>
        <item m="1" x="3595"/>
        <item m="1" x="3683"/>
        <item m="1" x="3779"/>
        <item m="1" x="3870"/>
        <item m="1" x="3966"/>
        <item m="1" x="4053"/>
        <item m="1" x="4150"/>
        <item m="1" x="4238"/>
        <item m="1" x="4337"/>
        <item m="1" x="4423"/>
        <item m="1" x="4525"/>
        <item m="1" x="4613"/>
        <item m="1" x="4707"/>
        <item m="1" x="4795"/>
        <item m="1" x="4895"/>
        <item m="1" x="4989"/>
        <item m="1" x="5088"/>
        <item m="1" x="5177"/>
        <item m="1" x="5274"/>
        <item m="1" x="5362"/>
        <item m="1" x="5455"/>
        <item m="1" x="5545"/>
        <item m="1" x="5644"/>
        <item m="1" x="5735"/>
        <item m="1" x="5829"/>
        <item m="1" x="5917"/>
        <item m="1" x="6012"/>
        <item m="1" x="6105"/>
        <item m="1" x="6199"/>
        <item m="1" x="6291"/>
        <item m="1" x="6389"/>
        <item m="1" x="6476"/>
        <item m="1" x="6571"/>
        <item m="1" x="6661"/>
        <item m="1" x="6754"/>
        <item m="1" x="6844"/>
        <item m="1" x="6937"/>
        <item m="1" x="7030"/>
        <item m="1" x="7128"/>
        <item m="1" x="7214"/>
        <item m="1" x="7311"/>
        <item m="1" x="7402"/>
        <item m="1" x="7502"/>
        <item m="1" x="7592"/>
        <item m="1" x="7687"/>
        <item m="1" x="7776"/>
        <item m="1" x="7873"/>
        <item m="1" x="7963"/>
        <item m="1" x="61"/>
        <item m="1" x="150"/>
        <item m="1" x="249"/>
        <item m="1" x="335"/>
        <item m="1" x="432"/>
        <item m="1" x="524"/>
        <item m="1" x="626"/>
        <item m="1" x="716"/>
        <item m="1" x="811"/>
        <item m="1" x="906"/>
        <item m="1" x="1001"/>
        <item m="1" x="1090"/>
        <item m="1" x="1188"/>
        <item m="1" x="1281"/>
        <item m="1" x="1379"/>
        <item m="1" x="1466"/>
        <item m="1" x="1564"/>
        <item m="1" x="1655"/>
        <item m="1" x="1745"/>
        <item m="1" x="1834"/>
        <item m="1" x="1929"/>
        <item m="1" x="2028"/>
        <item m="1" x="2127"/>
        <item m="1" x="2212"/>
        <item m="1" x="2306"/>
        <item m="1" x="2396"/>
        <item m="1" x="2492"/>
        <item m="1" x="2580"/>
        <item m="1" x="2673"/>
        <item m="1" x="2768"/>
        <item m="1" x="2858"/>
        <item m="1" x="2946"/>
        <item m="1" x="3041"/>
        <item m="1" x="3132"/>
        <item m="1" x="3227"/>
        <item m="1" x="3315"/>
        <item m="1" x="3408"/>
        <item m="1" x="3500"/>
        <item m="1" x="3598"/>
        <item m="1" x="3687"/>
        <item m="1" x="3782"/>
        <item m="1" x="3876"/>
        <item m="1" x="3969"/>
        <item m="1" x="4057"/>
        <item m="1" x="4153"/>
        <item m="1" x="4245"/>
        <item m="1" x="4340"/>
        <item m="1" x="4427"/>
        <item m="1" x="4529"/>
        <item m="1" x="4620"/>
        <item m="1" x="4710"/>
        <item m="1" x="4800"/>
        <item m="1" x="4898"/>
        <item m="1" x="4998"/>
        <item m="1" x="5093"/>
        <item m="1" x="5181"/>
        <item m="1" x="5277"/>
        <item m="1" x="5367"/>
        <item m="1" x="5458"/>
        <item m="1" x="5551"/>
        <item m="1" x="5646"/>
        <item m="1" x="5741"/>
        <item m="1" x="5832"/>
        <item m="1" x="5921"/>
        <item m="1" x="6017"/>
        <item m="1" x="6110"/>
        <item m="1" x="6202"/>
        <item m="1" x="6295"/>
        <item m="1" x="6391"/>
        <item m="1" x="6482"/>
        <item m="1" x="6574"/>
        <item m="1" x="6665"/>
        <item m="1" x="6757"/>
        <item m="1" x="6849"/>
        <item m="1" x="6940"/>
        <item m="1" x="7034"/>
        <item m="1" x="4166"/>
        <item m="1" x="4255"/>
        <item m="1" x="4351"/>
        <item m="1" x="4443"/>
        <item m="1" x="4542"/>
        <item m="1" x="4632"/>
        <item m="1" x="4721"/>
        <item m="1" x="4814"/>
        <item m="1" x="4914"/>
        <item m="1" x="5008"/>
        <item m="1" x="5103"/>
        <item m="1" x="5194"/>
        <item m="1" x="5290"/>
        <item m="1" x="5380"/>
        <item m="1" x="5469"/>
        <item m="1" x="5566"/>
        <item m="1" x="5659"/>
        <item m="1" x="5751"/>
        <item m="1" x="5843"/>
        <item m="1" x="5934"/>
        <item m="1" x="6032"/>
        <item m="1" x="6120"/>
        <item m="1" x="6213"/>
        <item m="1" x="6308"/>
        <item m="1" x="6405"/>
        <item m="1" x="6493"/>
        <item m="1" x="6584"/>
        <item m="1" x="6677"/>
        <item m="1" x="6769"/>
        <item m="1" x="6860"/>
        <item m="1" x="6954"/>
        <item m="1" x="7047"/>
        <item m="1" x="7141"/>
        <item m="1" x="7229"/>
        <item m="1" x="7328"/>
        <item m="1" x="7423"/>
        <item m="1" x="7519"/>
        <item m="1" x="7609"/>
        <item m="1" x="7701"/>
        <item m="1" x="7793"/>
        <item m="1" x="7890"/>
        <item m="1" x="7978"/>
        <item m="1" x="77"/>
        <item m="1" x="166"/>
        <item m="1" x="263"/>
        <item m="1" x="352"/>
        <item m="1" x="447"/>
        <item m="1" x="545"/>
        <item m="1" x="638"/>
        <item m="1" x="731"/>
        <item m="1" x="829"/>
        <item m="1" x="924"/>
        <item m="1" x="1019"/>
        <item m="1" x="1106"/>
        <item m="1" x="1203"/>
        <item m="1" x="1299"/>
        <item m="1" x="1392"/>
        <item m="1" x="1484"/>
        <item m="1" x="1578"/>
        <item m="1" x="1671"/>
        <item m="1" x="1759"/>
        <item m="1" x="1851"/>
        <item m="1" x="1949"/>
        <item m="1" x="2046"/>
        <item m="1" x="2140"/>
        <item m="1" x="2226"/>
        <item m="1" x="2323"/>
        <item m="1" x="2416"/>
        <item m="1" x="2506"/>
        <item m="1" x="2597"/>
        <item m="1" x="2688"/>
        <item m="1" x="2785"/>
        <item m="1" x="2873"/>
        <item m="1" x="2962"/>
        <item m="1" x="3058"/>
        <item m="1" x="3148"/>
        <item m="1" x="3241"/>
        <item m="1" x="3333"/>
        <item m="1" x="3424"/>
        <item m="1" x="3518"/>
        <item m="1" x="3610"/>
        <item m="1" x="3701"/>
        <item m="1" x="3800"/>
        <item m="1" x="3892"/>
        <item m="1" x="3985"/>
        <item m="1" x="4073"/>
        <item m="1" x="4169"/>
        <item m="1" x="4260"/>
        <item m="1" x="4354"/>
        <item m="1" x="4446"/>
        <item m="1" x="4545"/>
        <item m="1" x="4636"/>
        <item m="1" x="4725"/>
        <item m="1" x="4818"/>
        <item m="1" x="4918"/>
        <item m="1" x="5013"/>
        <item m="1" x="5107"/>
        <item m="1" x="5197"/>
        <item m="1" x="5295"/>
        <item m="1" x="5384"/>
        <item m="1" x="5474"/>
        <item m="1" x="5569"/>
        <item m="1" x="5662"/>
        <item m="1" x="5756"/>
        <item m="1" x="5849"/>
        <item m="1" x="5937"/>
        <item m="1" x="6035"/>
        <item m="1" x="6124"/>
        <item m="1" x="6218"/>
        <item m="1" x="6314"/>
        <item m="1" x="6408"/>
        <item m="1" x="6498"/>
        <item m="1" x="6588"/>
        <item m="1" x="6680"/>
        <item m="1" x="6775"/>
        <item m="1" x="6864"/>
        <item m="1" x="6959"/>
        <item m="1" x="7050"/>
        <item m="1" x="7144"/>
        <item m="1" x="7234"/>
        <item m="1" x="7332"/>
        <item m="1" x="7427"/>
        <item m="1" x="7522"/>
        <item m="1" x="7613"/>
        <item m="1" x="7706"/>
        <item m="1" x="7797"/>
        <item m="1" x="7893"/>
        <item m="1" x="7983"/>
        <item m="1" x="81"/>
        <item m="1" x="169"/>
        <item m="1" x="267"/>
        <item m="1" x="357"/>
        <item m="1" x="451"/>
        <item m="1" x="547"/>
        <item m="1" x="640"/>
        <item m="1" x="735"/>
        <item m="1" x="834"/>
        <item m="1" x="926"/>
        <item m="1" x="1021"/>
        <item m="1" x="1109"/>
        <item m="1" x="1207"/>
        <item m="1" x="1304"/>
        <item m="1" x="1394"/>
        <item m="1" x="1489"/>
        <item m="1" x="1581"/>
        <item m="1" x="1673"/>
        <item m="1" x="1762"/>
        <item m="1" x="1855"/>
        <item m="1" x="1953"/>
        <item m="1" x="2048"/>
        <item m="1" x="2142"/>
        <item m="1" x="2232"/>
        <item m="1" x="2326"/>
        <item m="1" x="2418"/>
        <item m="1" x="2508"/>
        <item m="1" x="2601"/>
        <item m="1" x="2692"/>
        <item m="1" x="2788"/>
        <item m="1" x="2875"/>
        <item m="1" x="2967"/>
        <item m="1" x="3061"/>
        <item m="1" x="3150"/>
        <item m="1" x="3244"/>
        <item m="1" x="3337"/>
        <item m="1" x="3428"/>
        <item m="1" x="3520"/>
        <item m="1" x="3612"/>
        <item m="1" x="3707"/>
        <item m="1" x="3804"/>
        <item m="1" x="3894"/>
        <item m="1" x="3987"/>
        <item m="1" x="4077"/>
        <item m="1" x="4173"/>
        <item m="1" x="4264"/>
        <item m="1" x="4356"/>
        <item m="1" x="4451"/>
        <item m="1" x="4548"/>
        <item m="1" x="4638"/>
        <item m="1" x="4727"/>
        <item m="1" x="4822"/>
        <item m="1" x="4921"/>
        <item m="1" x="5015"/>
        <item m="1" x="5108"/>
        <item m="1" x="5203"/>
        <item m="1" x="5297"/>
        <item m="1" x="5386"/>
        <item m="1" x="5476"/>
        <item m="1" x="5573"/>
        <item m="1" x="5664"/>
        <item m="1" x="5758"/>
        <item m="1" x="5850"/>
        <item m="1" x="5942"/>
        <item m="1" x="6037"/>
        <item m="1" x="6126"/>
        <item m="1" x="6221"/>
        <item m="1" x="6318"/>
        <item m="1" x="6410"/>
        <item m="1" x="6500"/>
        <item m="1" x="6590"/>
        <item m="1" x="6687"/>
        <item m="1" x="6779"/>
        <item m="1" x="6866"/>
        <item m="1" x="6961"/>
        <item m="1" x="7054"/>
        <item m="1" x="7146"/>
        <item m="1" x="7238"/>
        <item m="1" x="7333"/>
        <item m="1" x="7433"/>
        <item m="1" x="7524"/>
        <item m="1" x="7616"/>
        <item m="1" x="7710"/>
        <item m="1" x="7802"/>
        <item m="1" x="7895"/>
        <item m="1" x="7986"/>
        <item m="1" x="82"/>
        <item m="1" x="176"/>
        <item m="1" x="269"/>
        <item m="1" x="360"/>
        <item m="1" x="454"/>
        <item m="1" x="553"/>
        <item m="1" x="643"/>
        <item m="1" x="739"/>
        <item m="1" x="836"/>
        <item m="1" x="932"/>
        <item m="1" x="1023"/>
        <item m="1" x="1112"/>
        <item m="1" x="1210"/>
        <item m="1" x="1308"/>
        <item m="1" x="1396"/>
        <item m="1" x="1492"/>
        <item m="1" x="1582"/>
        <item m="1" x="1678"/>
        <item m="1" x="1766"/>
        <item m="1" x="1858"/>
        <item m="1" x="1955"/>
        <item m="1" x="2052"/>
        <item m="1" x="2144"/>
        <item m="1" x="2237"/>
        <item m="1" x="2327"/>
        <item m="1" x="2422"/>
        <item m="1" x="2510"/>
        <item m="1" x="2604"/>
        <item m="1" x="2696"/>
        <item m="1" x="7811"/>
        <item m="1" x="7904"/>
        <item m="1" x="7998"/>
        <item m="1" x="94"/>
        <item m="1" x="187"/>
        <item m="1" x="277"/>
        <item m="1" x="371"/>
        <item m="1" x="465"/>
        <item m="1" x="563"/>
        <item m="1" x="654"/>
        <item m="1" x="751"/>
        <item m="1" x="847"/>
        <item m="1" x="940"/>
        <item m="1" x="1032"/>
        <item m="1" x="1128"/>
        <item m="1" x="1222"/>
        <item m="1" x="1317"/>
        <item m="1" x="1405"/>
        <item m="1" x="1504"/>
        <item m="1" x="1597"/>
        <item m="1" x="1685"/>
        <item m="1" x="1774"/>
        <item m="1" x="1868"/>
        <item m="1" x="1967"/>
        <item m="1" x="2063"/>
        <item m="1" x="2153"/>
        <item m="1" x="2250"/>
        <item m="1" x="2337"/>
        <item m="1" x="2429"/>
        <item m="1" x="2521"/>
        <item m="1" x="2616"/>
        <item m="1" x="2708"/>
        <item m="1" x="2799"/>
        <item m="1" x="2885"/>
        <item m="1" x="2981"/>
        <item m="1" x="3073"/>
        <item m="1" x="3163"/>
        <item m="1" x="3255"/>
        <item m="1" x="3350"/>
        <item m="1" x="3439"/>
        <item m="1" x="3534"/>
        <item m="1" x="3628"/>
        <item m="1" x="3722"/>
        <item m="1" x="3815"/>
        <item m="1" x="3905"/>
        <item m="1" x="4001"/>
        <item m="1" x="4094"/>
        <item m="1" x="4185"/>
        <item m="1" x="4278"/>
        <item m="1" x="4368"/>
        <item m="1" x="4466"/>
        <item m="1" x="4560"/>
        <item m="1" x="4651"/>
        <item m="1" x="4740"/>
        <item m="1" x="4836"/>
        <item m="1" x="4932"/>
        <item m="1" x="5030"/>
        <item m="1" x="5121"/>
        <item m="1" x="5222"/>
        <item m="1" x="5306"/>
        <item m="1" x="5399"/>
        <item m="1" x="5492"/>
        <item m="1" x="5590"/>
        <item m="1" x="5680"/>
        <item m="1" x="5772"/>
        <item m="1" x="5863"/>
        <item m="1" x="5957"/>
        <item m="1" x="6048"/>
        <item m="1" x="6141"/>
        <item m="1" x="6234"/>
        <item m="1" x="6333"/>
        <item m="1" x="6422"/>
        <item m="1" x="6515"/>
        <item m="1" x="6608"/>
        <item m="1" x="6701"/>
        <item m="1" x="6789"/>
        <item m="1" x="6879"/>
        <item m="1" x="6976"/>
        <item m="1" x="7072"/>
        <item m="1" x="7158"/>
        <item m="1" x="7253"/>
        <item m="1" x="7346"/>
        <item m="1" x="7446"/>
        <item m="1" x="7537"/>
        <item m="1" x="7629"/>
        <item m="1" x="7724"/>
        <item m="1" x="7815"/>
        <item m="1" x="7908"/>
        <item m="1" x="5"/>
        <item m="1" x="97"/>
        <item m="1" x="192"/>
        <item m="1" x="280"/>
        <item m="1" x="374"/>
        <item m="1" x="472"/>
        <item m="1" x="567"/>
        <item m="1" x="659"/>
        <item m="1" x="754"/>
        <item m="1" x="851"/>
        <item m="1" x="945"/>
        <item m="1" x="1036"/>
        <item m="1" x="1131"/>
        <item m="1" x="1226"/>
        <item m="1" x="1321"/>
        <item m="1" x="1410"/>
        <item m="1" x="1508"/>
        <item m="1" x="1601"/>
        <item m="1" x="1690"/>
        <item m="1" x="1778"/>
        <item m="1" x="1871"/>
        <item m="1" x="1973"/>
        <item m="1" x="2068"/>
        <item m="1" x="2158"/>
        <item m="1" x="2253"/>
        <item m="1" x="2341"/>
        <item m="1" x="2434"/>
        <item m="1" x="2526"/>
        <item m="1" x="2619"/>
        <item m="1" x="2712"/>
        <item m="1" x="2803"/>
        <item m="1" x="2890"/>
        <item m="1" x="2986"/>
        <item m="1" x="3077"/>
        <item m="1" x="3168"/>
        <item m="1" x="3259"/>
        <item m="1" x="3353"/>
        <item m="1" x="3445"/>
        <item m="1" x="3538"/>
        <item m="1" x="3633"/>
        <item m="1" x="3725"/>
        <item m="1" x="3819"/>
        <item m="1" x="3910"/>
        <item m="1" x="4004"/>
        <item m="1" x="4096"/>
        <item m="1" x="4188"/>
        <item m="1" x="4281"/>
        <item m="1" x="4372"/>
        <item m="1" x="4469"/>
        <item m="1" x="4563"/>
        <item m="1" x="4655"/>
        <item m="1" x="4743"/>
        <item m="1" x="4838"/>
        <item m="1" x="4936"/>
        <item m="1" x="5034"/>
        <item m="1" x="5125"/>
        <item m="1" x="5224"/>
        <item m="1" x="5309"/>
        <item m="1" x="5404"/>
        <item m="1" x="5497"/>
        <item m="1" x="5592"/>
        <item m="1" x="5683"/>
        <item m="1" x="5776"/>
        <item m="1" x="5867"/>
        <item m="1" x="5962"/>
        <item m="1" x="6051"/>
        <item m="1" x="6146"/>
        <item m="1" x="6237"/>
        <item m="1" x="6335"/>
        <item m="1" x="6426"/>
        <item m="1" x="6519"/>
        <item m="1" x="6612"/>
        <item m="1" x="6703"/>
        <item m="1" x="6792"/>
        <item m="1" x="6885"/>
        <item m="1" x="6979"/>
        <item m="1" x="7074"/>
        <item m="1" x="7161"/>
        <item m="1" x="7257"/>
        <item m="1" x="7350"/>
        <item m="1" x="7448"/>
        <item m="1" x="7540"/>
        <item m="1" x="7634"/>
        <item m="1" x="7727"/>
        <item m="1" x="7817"/>
        <item m="1" x="7912"/>
        <item m="1" x="11"/>
        <item m="1" x="101"/>
        <item m="1" x="194"/>
        <item m="1" x="283"/>
        <item m="1" x="380"/>
        <item m="1" x="476"/>
        <item m="1" x="569"/>
        <item m="1" x="661"/>
        <item m="1" x="758"/>
        <item m="1" x="854"/>
        <item m="1" x="949"/>
        <item m="1" x="1038"/>
        <item m="1" x="1136"/>
        <item m="1" x="1228"/>
        <item m="1" x="1323"/>
        <item m="1" x="1414"/>
        <item m="1" x="1512"/>
        <item m="1" x="1603"/>
        <item m="1" x="1692"/>
        <item m="1" x="1780"/>
        <item m="1" x="1877"/>
        <item m="1" x="1975"/>
        <item m="1" x="2070"/>
        <item m="1" x="2161"/>
        <item m="1" x="2257"/>
        <item m="1" x="2344"/>
        <item m="1" x="2437"/>
        <item m="1" x="2529"/>
        <item m="1" x="2625"/>
        <item m="1" x="2714"/>
        <item m="1" x="2805"/>
        <item m="1" x="2894"/>
        <item m="1" x="2991"/>
        <item m="1" x="3079"/>
        <item m="1" x="3171"/>
        <item m="1" x="3261"/>
        <item m="1" x="3360"/>
        <item m="1" x="3448"/>
        <item m="1" x="3541"/>
        <item m="1" x="3636"/>
        <item m="1" x="3730"/>
        <item m="1" x="3821"/>
        <item m="1" x="3915"/>
        <item m="1" x="4006"/>
        <item m="1" x="4102"/>
        <item m="1" x="4190"/>
        <item m="1" x="4284"/>
        <item m="1" x="4377"/>
        <item m="1" x="4475"/>
        <item m="1" x="4565"/>
        <item m="1" x="4658"/>
        <item m="1" x="4745"/>
        <item m="1" x="4844"/>
        <item m="1" x="4938"/>
        <item m="1" x="5037"/>
        <item m="1" x="5128"/>
        <item m="1" x="5228"/>
        <item m="1" x="5311"/>
        <item m="1" x="5407"/>
        <item m="1" x="5499"/>
        <item m="1" x="5596"/>
        <item m="1" x="5685"/>
        <item m="1" x="5779"/>
        <item m="1" x="5871"/>
        <item m="1" x="5966"/>
        <item m="1" x="6053"/>
        <item m="1" x="6149"/>
        <item m="1" x="6239"/>
        <item m="1" x="6340"/>
        <item m="1" x="3551"/>
        <item m="1" x="3647"/>
        <item m="1" x="3743"/>
        <item m="1" x="3831"/>
        <item m="1" x="3928"/>
        <item m="1" x="4018"/>
        <item m="1" x="4110"/>
        <item m="1" x="4201"/>
        <item m="1" x="4297"/>
        <item m="1" x="4389"/>
        <item m="1" x="4484"/>
        <item m="1" x="4575"/>
        <item m="1" x="4670"/>
        <item m="1" x="4759"/>
        <item m="1" x="4857"/>
        <item m="1" x="4948"/>
        <item m="1" x="5049"/>
        <item m="1" x="5140"/>
        <item m="1" x="5237"/>
        <item m="1" x="5323"/>
        <item m="1" x="5418"/>
        <item m="1" x="5511"/>
        <item m="1" x="5603"/>
        <item m="1" x="5695"/>
        <item m="1" x="5793"/>
        <item m="1" x="5881"/>
        <item m="1" x="5974"/>
        <item m="1" x="6063"/>
        <item m="1" x="6160"/>
        <item m="1" x="6254"/>
        <item m="1" x="6347"/>
        <item m="1" x="6439"/>
        <item m="1" x="6531"/>
        <item m="1" x="6625"/>
        <item m="1" x="6716"/>
        <item m="1" x="6804"/>
        <item m="1" x="6902"/>
        <item m="1" x="6992"/>
        <item m="1" x="7085"/>
        <item m="1" x="7176"/>
        <item m="1" x="7273"/>
        <item m="1" x="7366"/>
        <item m="1" x="7461"/>
        <item m="1" x="7553"/>
        <item m="1" x="7648"/>
        <item m="1" x="7740"/>
        <item m="1" x="7833"/>
        <item m="1" x="7924"/>
        <item m="1" x="25"/>
        <item m="1" x="113"/>
        <item m="1" x="208"/>
        <item m="1" x="298"/>
        <item m="1" x="395"/>
        <item m="1" x="487"/>
        <item m="1" x="581"/>
        <item m="1" x="675"/>
        <item m="1" x="776"/>
        <item m="1" x="867"/>
        <item m="1" x="962"/>
        <item m="1" x="1050"/>
        <item m="1" x="1152"/>
        <item m="1" x="1244"/>
        <item m="1" x="1337"/>
        <item m="1" x="1430"/>
        <item m="1" x="1527"/>
        <item m="1" x="1616"/>
        <item m="1" x="1707"/>
        <item m="1" x="1794"/>
        <item m="1" x="1896"/>
        <item m="1" x="1987"/>
        <item m="1" x="2083"/>
        <item m="1" x="2177"/>
        <item m="1" x="2273"/>
        <item m="1" x="2359"/>
        <item m="1" x="2452"/>
        <item m="1" x="2543"/>
        <item m="1" x="2639"/>
        <item m="1" x="2727"/>
        <item m="1" x="2820"/>
        <item m="1" x="2907"/>
        <item m="1" x="3004"/>
        <item m="1" x="3092"/>
        <item m="1" x="3186"/>
        <item m="1" x="3280"/>
        <item m="1" x="3373"/>
        <item m="1" x="3461"/>
        <item m="1" x="3554"/>
        <item m="1" x="3652"/>
        <item m="1" x="3748"/>
        <item m="1" x="3835"/>
        <item m="1" x="3931"/>
        <item m="1" x="4021"/>
        <item m="1" x="4115"/>
        <item m="1" x="4206"/>
        <item m="1" x="4300"/>
        <item m="1" x="4393"/>
        <item m="1" x="4488"/>
        <item m="1" x="4580"/>
        <item m="1" x="4676"/>
        <item m="1" x="4763"/>
        <item m="1" x="4862"/>
        <item m="1" x="4953"/>
        <item m="1" x="5052"/>
        <item m="1" x="5147"/>
        <item m="1" x="5241"/>
        <item m="1" x="5328"/>
        <item m="1" x="5421"/>
        <item m="1" x="5515"/>
        <item m="1" x="5608"/>
        <item m="1" x="5700"/>
        <item m="1" x="5796"/>
        <item m="1" x="5885"/>
        <item m="1" x="5978"/>
        <item m="1" x="6068"/>
        <item m="1" x="6164"/>
        <item m="1" x="6259"/>
        <item m="1" x="6352"/>
        <item m="1" x="6444"/>
        <item m="1" x="6534"/>
        <item m="1" x="6630"/>
        <item m="1" x="6721"/>
        <item m="1" x="6809"/>
        <item m="1" x="6905"/>
        <item m="1" x="6996"/>
        <item m="1" x="7090"/>
        <item m="1" x="7182"/>
        <item m="1" x="7276"/>
        <item m="1" x="7370"/>
        <item m="1" x="7465"/>
        <item m="1" x="7558"/>
        <item m="1" x="7654"/>
        <item m="1" x="7743"/>
        <item m="1" x="7838"/>
        <item m="1" x="7928"/>
        <item m="1" x="27"/>
        <item m="1" x="117"/>
        <item m="1" x="211"/>
        <item m="1" x="302"/>
        <item m="1" x="397"/>
        <item m="1" x="490"/>
        <item m="1" x="586"/>
        <item m="1" x="679"/>
        <item m="1" x="778"/>
        <item m="1" x="870"/>
        <item m="1" x="966"/>
        <item m="1" x="1054"/>
        <item m="1" x="1155"/>
        <item m="1" x="1247"/>
        <item m="1" x="1342"/>
        <item m="1" x="1434"/>
        <item m="1" x="1529"/>
        <item m="1" x="1620"/>
        <item m="1" x="1712"/>
        <item m="1" x="1798"/>
        <item m="1" x="1898"/>
        <item m="1" x="1990"/>
        <item m="1" x="2089"/>
        <item m="1" x="2183"/>
        <item m="1" x="2275"/>
        <item m="1" x="2362"/>
        <item m="1" x="2456"/>
        <item m="1" x="2547"/>
        <item m="1" x="2643"/>
        <item m="1" x="2730"/>
        <item m="1" x="2825"/>
        <item m="1" x="2911"/>
        <item m="1" x="3006"/>
        <item m="1" x="3096"/>
        <item m="1" x="3190"/>
        <item m="1" x="3284"/>
        <item m="1" x="3375"/>
        <item m="1" x="3464"/>
        <item m="1" x="3560"/>
        <item m="1" x="3656"/>
        <item m="1" x="3750"/>
        <item m="1" x="3838"/>
        <item m="1" x="3935"/>
        <item m="1" x="4024"/>
        <item m="1" x="4117"/>
        <item m="1" x="4209"/>
        <item m="1" x="4305"/>
        <item m="1" x="4396"/>
        <item m="1" x="4490"/>
        <item m="1" x="4583"/>
        <item m="1" x="4680"/>
        <item m="1" x="4765"/>
        <item m="1" x="4864"/>
        <item m="1" x="4955"/>
        <item m="1" x="5058"/>
        <item m="1" x="5151"/>
        <item m="1" x="5243"/>
        <item m="1" x="5331"/>
        <item m="1" x="5425"/>
        <item m="1" x="5517"/>
        <item m="1" x="5611"/>
        <item m="1" x="5702"/>
        <item m="1" x="5801"/>
        <item m="1" x="5887"/>
        <item m="1" x="5981"/>
        <item m="1" x="6074"/>
        <item m="1" x="6169"/>
        <item m="1" x="6262"/>
        <item m="1" x="6355"/>
        <item m="1" x="6446"/>
        <item m="1" x="6540"/>
        <item m="1" x="6632"/>
        <item m="1" x="6724"/>
        <item m="1" x="6812"/>
        <item m="1" x="6910"/>
        <item m="1" x="6998"/>
        <item m="1" x="7093"/>
        <item m="1" x="7184"/>
        <item m="1" x="7282"/>
        <item m="1" x="7372"/>
        <item m="1" x="7468"/>
        <item m="1" x="7562"/>
        <item m="1" x="7661"/>
        <item m="1" x="7745"/>
        <item m="1" x="7841"/>
        <item m="1" x="7930"/>
        <item m="1" x="34"/>
        <item m="1" x="121"/>
        <item m="1" x="214"/>
        <item m="1" x="305"/>
        <item m="1" x="401"/>
        <item m="1" x="492"/>
        <item m="1" x="591"/>
        <item m="1" x="681"/>
        <item m="1" x="783"/>
        <item m="1" x="872"/>
        <item m="1" x="969"/>
        <item m="1" x="1059"/>
        <item m="1" x="1159"/>
        <item m="1" x="1249"/>
        <item m="1" x="1345"/>
        <item m="1" x="1436"/>
        <item m="1" x="1534"/>
        <item m="1" x="1622"/>
        <item m="1" x="1715"/>
        <item m="1" x="1801"/>
        <item m="1" x="1902"/>
        <item m="1" x="1992"/>
        <item m="1" x="2092"/>
        <item m="1" x="7196"/>
        <item m="1" x="7290"/>
        <item m="1" x="7382"/>
        <item m="1" x="7482"/>
        <item m="1" x="7573"/>
        <item m="1" x="7670"/>
        <item m="1" x="7755"/>
        <item m="1" x="7853"/>
        <item m="1" x="7946"/>
        <item m="1" x="42"/>
        <item m="1" x="130"/>
        <item m="1" x="225"/>
        <item m="1" x="316"/>
        <item m="1" x="414"/>
        <item m="1" x="503"/>
        <item m="1" x="604"/>
        <item m="1" x="694"/>
        <item m="1" x="792"/>
        <item m="1" x="883"/>
        <item m="1" x="981"/>
        <item m="1" x="1073"/>
        <item m="1" x="1168"/>
        <item m="1" x="1259"/>
        <item m="1" x="1356"/>
        <item m="1" x="1449"/>
        <item m="1" x="1544"/>
        <item m="1" x="1631"/>
        <item m="1" x="1725"/>
        <item m="1" x="1811"/>
        <item m="1" x="1911"/>
        <item m="1" x="2005"/>
        <item m="1" x="2103"/>
        <item m="1" x="2195"/>
        <item m="1" x="2285"/>
        <item m="1" x="2375"/>
        <item m="1" x="2473"/>
        <item m="1" x="2561"/>
        <item m="1" x="2655"/>
        <item m="1" x="2743"/>
        <item m="1" x="2839"/>
        <item m="1" x="2927"/>
        <item m="1" x="3018"/>
        <item m="1" x="3110"/>
        <item m="1" x="3203"/>
        <item m="1" x="3296"/>
        <item m="1" x="3389"/>
        <item m="1" x="3477"/>
        <item m="1" x="3578"/>
        <item m="1" x="3667"/>
        <item m="1" x="3762"/>
        <item m="1" x="3853"/>
        <item m="1" x="3951"/>
        <item m="1" x="4039"/>
        <item m="1" x="4130"/>
        <item m="1" x="4222"/>
        <item m="1" x="4320"/>
        <item m="1" x="4408"/>
        <item m="1" x="4506"/>
        <item m="1" x="4595"/>
        <item m="1" x="4694"/>
        <item m="1" x="4778"/>
        <item m="1" x="4879"/>
        <item m="1" x="4974"/>
        <item m="1" x="5074"/>
        <item m="1" x="5163"/>
        <item m="1" x="5255"/>
        <item m="1" x="5346"/>
        <item m="1" x="5443"/>
        <item m="1" x="5530"/>
        <item m="1" x="5626"/>
        <item m="1" x="5716"/>
        <item m="1" x="5816"/>
        <item m="1" x="5902"/>
        <item m="1" x="5995"/>
        <item m="1" x="6089"/>
        <item m="1" x="6183"/>
        <item m="1" x="6275"/>
        <item m="1" x="6372"/>
        <item m="1" x="6461"/>
        <item m="1" x="6557"/>
        <item m="1" x="6644"/>
        <item m="1" x="6736"/>
        <item m="1" x="6828"/>
        <item m="1" x="6925"/>
        <item m="1" x="7014"/>
        <item m="1" x="7107"/>
        <item m="1" x="7199"/>
        <item m="1" x="7295"/>
        <item m="1" x="7386"/>
        <item m="1" x="7485"/>
        <item m="1" x="7576"/>
        <item m="1" x="7674"/>
        <item m="1" x="7759"/>
        <item m="1" x="7857"/>
        <item m="1" x="7950"/>
        <item m="1" x="47"/>
        <item m="1" x="135"/>
        <item m="1" x="228"/>
        <item m="1" x="322"/>
        <item m="1" x="418"/>
        <item m="1" x="508"/>
        <item m="1" x="607"/>
        <item m="1" x="698"/>
        <item m="1" x="797"/>
        <item m="1" x="890"/>
        <item m="1" x="984"/>
        <item m="1" x="1077"/>
        <item m="1" x="1172"/>
        <item m="1" x="1264"/>
        <item m="1" x="1362"/>
        <item m="1" x="1453"/>
        <item m="1" x="1549"/>
        <item m="1" x="1636"/>
        <item m="1" x="1728"/>
        <item m="1" x="1818"/>
        <item m="1" x="1915"/>
        <item m="1" x="2010"/>
        <item m="1" x="2106"/>
        <item m="1" x="2199"/>
        <item m="1" x="2290"/>
        <item m="1" x="2380"/>
        <item m="1" x="2476"/>
        <item m="1" x="2565"/>
        <item m="1" x="2659"/>
        <item m="1" x="2748"/>
        <item m="1" x="2843"/>
        <item m="1" x="2932"/>
        <item m="1" x="3023"/>
        <item m="1" x="3115"/>
        <item m="1" x="3206"/>
        <item m="1" x="3301"/>
        <item m="1" x="3393"/>
        <item m="1" x="3481"/>
        <item m="1" x="3580"/>
        <item m="1" x="3670"/>
        <item m="1" x="3766"/>
        <item m="1" x="3858"/>
        <item m="1" x="3953"/>
        <item m="1" x="4042"/>
        <item m="1" x="4133"/>
        <item m="1" x="4226"/>
        <item m="1" x="4325"/>
        <item m="1" x="4411"/>
        <item m="1" x="4511"/>
        <item m="1" x="4599"/>
        <item m="1" x="4696"/>
        <item m="1" x="4782"/>
        <item m="1" x="4883"/>
        <item m="1" x="4978"/>
        <item m="1" x="5076"/>
        <item m="1" x="5166"/>
        <item m="1" x="5261"/>
        <item m="1" x="5350"/>
        <item m="1" x="5445"/>
        <item m="1" x="5533"/>
        <item m="1" x="5630"/>
        <item m="1" x="5720"/>
        <item m="1" x="5819"/>
        <item m="1" x="5906"/>
        <item m="1" x="6000"/>
        <item m="1" x="6093"/>
        <item m="1" x="6185"/>
        <item m="1" x="6279"/>
        <item m="1" x="6377"/>
        <item m="1" x="6465"/>
        <item m="1" x="6559"/>
        <item m="1" x="6647"/>
        <item m="1" x="6742"/>
        <item m="1" x="6833"/>
        <item m="1" x="6927"/>
        <item m="1" x="7017"/>
        <item m="1" x="7111"/>
        <item m="1" x="7203"/>
        <item m="1" x="7298"/>
        <item m="1" x="7389"/>
        <item m="1" x="7490"/>
        <item m="1" x="7580"/>
        <item m="1" x="7676"/>
        <item m="1" x="7762"/>
        <item m="1" x="7861"/>
        <item m="1" x="7953"/>
        <item m="1" x="49"/>
        <item m="1" x="137"/>
        <item m="1" x="234"/>
        <item m="1" x="325"/>
        <item m="1" x="421"/>
        <item m="1" x="510"/>
        <item m="1" x="611"/>
        <item m="1" x="700"/>
        <item m="1" x="799"/>
        <item m="1" x="892"/>
        <item m="1" x="989"/>
        <item m="1" x="1079"/>
        <item m="1" x="1174"/>
        <item m="1" x="1268"/>
        <item m="1" x="1367"/>
        <item m="1" x="1455"/>
        <item m="1" x="1551"/>
        <item m="1" x="1638"/>
        <item m="1" x="1734"/>
        <item m="1" x="1822"/>
        <item m="1" x="1918"/>
        <item m="1" x="2014"/>
        <item m="1" x="2110"/>
        <item m="1" x="2201"/>
        <item m="1" x="2294"/>
        <item m="1" x="2382"/>
        <item m="1" x="2482"/>
        <item m="1" x="2567"/>
        <item m="1" x="2662"/>
        <item m="1" x="2753"/>
        <item m="1" x="2848"/>
        <item m="1" x="2934"/>
        <item m="1" x="3026"/>
        <item m="1" x="3117"/>
        <item m="1" x="3213"/>
        <item m="1" x="3303"/>
        <item m="1" x="3396"/>
        <item m="1" x="3485"/>
        <item m="1" x="3586"/>
        <item m="1" x="3673"/>
        <item m="1" x="3769"/>
        <item m="1" x="3860"/>
        <item m="1" x="3959"/>
        <item m="1" x="4044"/>
        <item m="1" x="4136"/>
        <item m="1" x="4230"/>
        <item m="1" x="4329"/>
        <item m="1" x="4413"/>
        <item m="1" x="4514"/>
        <item m="1" x="4601"/>
        <item m="1" x="4701"/>
        <item m="1" x="4786"/>
        <item m="1" x="4886"/>
        <item m="1" x="4981"/>
        <item m="1" x="5080"/>
        <item m="1" x="5168"/>
        <item m="1" x="5265"/>
        <item m="1" x="5352"/>
        <item m="1" x="5449"/>
        <item m="1" x="5535"/>
        <item m="1" x="5633"/>
        <item m="1" x="5725"/>
        <item m="1" x="2944"/>
        <item m="1" x="3038"/>
        <item m="1" x="3130"/>
        <item m="1" x="3225"/>
        <item m="1" x="3313"/>
        <item m="1" x="3407"/>
        <item m="1" x="3496"/>
        <item m="1" x="3596"/>
        <item m="1" x="3684"/>
        <item m="1" x="3781"/>
        <item m="1" x="3873"/>
        <item m="1" x="3967"/>
        <item m="1" x="4054"/>
        <item m="1" x="4152"/>
        <item m="1" x="4241"/>
        <item m="1" x="4338"/>
        <item m="1" x="4424"/>
        <item m="1" x="4527"/>
        <item m="1" x="4617"/>
        <item m="1" x="4708"/>
        <item m="1" x="4797"/>
        <item m="1" x="4897"/>
        <item m="1" x="4993"/>
        <item m="1" x="5091"/>
        <item m="1" x="5178"/>
        <item m="1" x="5276"/>
        <item m="1" x="5364"/>
        <item m="1" x="5456"/>
        <item m="1" x="5547"/>
        <item m="1" x="5645"/>
        <item m="1" x="5737"/>
        <item m="1" x="5830"/>
        <item m="1" x="5918"/>
        <item m="1" x="6014"/>
        <item m="1" x="6107"/>
        <item m="1" x="6200"/>
        <item m="1" x="6292"/>
        <item m="1" x="6390"/>
        <item m="1" x="6478"/>
        <item m="1" x="6572"/>
        <item m="1" x="6662"/>
        <item m="1" x="6756"/>
        <item m="1" x="6846"/>
        <item m="1" x="6938"/>
        <item m="1" x="7031"/>
        <item m="1" x="7129"/>
        <item m="1" x="7217"/>
        <item m="1" x="7313"/>
        <item m="1" x="7404"/>
        <item m="1" x="7505"/>
        <item m="1" x="7596"/>
        <item m="1" x="7689"/>
        <item m="1" x="7778"/>
        <item m="1" x="7875"/>
        <item m="1" x="7966"/>
        <item m="1" x="64"/>
        <item m="1" x="152"/>
        <item m="1" x="252"/>
        <item m="1" x="338"/>
        <item m="1" x="434"/>
        <item m="1" x="527"/>
        <item m="1" x="628"/>
        <item m="1" x="719"/>
        <item m="1" x="813"/>
        <item m="1" x="908"/>
        <item m="1" x="1004"/>
        <item m="1" x="1093"/>
        <item m="1" x="1190"/>
        <item m="1" x="1283"/>
        <item m="1" x="1381"/>
        <item m="1" x="1469"/>
        <item m="1" x="1566"/>
        <item m="1" x="1657"/>
        <item m="1" x="1748"/>
        <item m="1" x="1837"/>
        <item m="1" x="1931"/>
        <item m="1" x="2030"/>
        <item m="1" x="2129"/>
        <item m="1" x="2215"/>
        <item m="1" x="2308"/>
        <item m="1" x="2398"/>
        <item m="1" x="2495"/>
        <item m="1" x="2583"/>
        <item m="1" x="2675"/>
        <item m="1" x="2770"/>
        <item m="1" x="2860"/>
        <item m="1" x="2949"/>
        <item m="1" x="3044"/>
        <item m="1" x="3134"/>
        <item m="1" x="3230"/>
        <item m="1" x="3318"/>
        <item m="1" x="3410"/>
        <item m="1" x="3503"/>
        <item m="1" x="3600"/>
        <item m="1" x="3690"/>
        <item m="1" x="3784"/>
        <item m="1" x="3878"/>
        <item m="1" x="3972"/>
        <item m="1" x="4060"/>
        <item m="1" x="4155"/>
        <item m="1" x="4247"/>
        <item m="1" x="4342"/>
        <item m="1" x="4430"/>
        <item m="1" x="4531"/>
        <item m="1" x="4622"/>
        <item m="1" x="4713"/>
        <item m="1" x="4803"/>
        <item m="1" x="4900"/>
        <item m="1" x="5000"/>
        <item m="1" x="5095"/>
        <item m="1" x="5184"/>
        <item m="1" x="5279"/>
        <item m="1" x="5369"/>
        <item m="1" x="5461"/>
        <item m="1" x="5554"/>
        <item m="1" x="5648"/>
        <item m="1" x="5743"/>
        <item m="1" x="5834"/>
        <item m="1" x="5924"/>
        <item m="1" x="6020"/>
        <item m="1" x="6112"/>
        <item m="1" x="6205"/>
        <item m="1" x="6298"/>
        <item m="1" x="6393"/>
        <item m="1" x="6485"/>
        <item m="1" x="6576"/>
        <item m="1" x="6668"/>
        <item m="1" x="6759"/>
        <item m="1" x="6851"/>
        <item m="1" x="6943"/>
        <item m="1" x="7037"/>
        <item m="1" x="7131"/>
        <item m="1" x="7221"/>
        <item m="1" x="7316"/>
        <item m="1" x="7409"/>
        <item m="1" x="7508"/>
        <item m="1" x="7600"/>
        <item m="1" x="7693"/>
        <item m="1" x="7783"/>
        <item m="1" x="7877"/>
        <item m="1" x="7971"/>
        <item m="1" x="68"/>
        <item m="1" x="157"/>
        <item m="1" x="254"/>
        <item m="1" x="342"/>
        <item m="1" x="439"/>
        <item m="1" x="534"/>
        <item m="1" x="630"/>
        <item m="1" x="723"/>
        <item m="1" x="817"/>
        <item m="1" x="913"/>
        <item m="1" x="1009"/>
        <item m="1" x="1097"/>
        <item m="1" x="1195"/>
        <item m="1" x="1288"/>
        <item m="1" x="1383"/>
        <item m="1" x="1474"/>
        <item m="1" x="1570"/>
        <item m="1" x="1662"/>
        <item m="1" x="1750"/>
        <item m="1" x="1841"/>
        <item m="1" x="1937"/>
        <item m="1" x="2035"/>
        <item m="1" x="2132"/>
        <item m="1" x="2219"/>
        <item m="1" x="2312"/>
        <item m="1" x="2403"/>
        <item m="1" x="2497"/>
        <item m="1" x="2588"/>
        <item m="1" x="2680"/>
        <item m="1" x="2775"/>
        <item m="1" x="2862"/>
        <item m="1" x="2954"/>
        <item m="1" x="3049"/>
        <item m="1" x="3139"/>
        <item m="1" x="3232"/>
        <item m="1" x="3322"/>
        <item m="1" x="3416"/>
        <item m="1" x="3508"/>
        <item m="1" x="3602"/>
        <item m="1" x="3693"/>
        <item m="1" x="3788"/>
        <item m="1" x="3882"/>
        <item m="1" x="3976"/>
        <item m="1" x="4063"/>
        <item m="1" x="4160"/>
        <item m="1" x="4250"/>
        <item m="1" x="4344"/>
        <item m="1" x="4435"/>
        <item m="1" x="4535"/>
        <item m="1" x="4626"/>
        <item m="1" x="4715"/>
        <item m="1" x="4806"/>
        <item m="1" x="4906"/>
        <item m="1" x="5003"/>
        <item m="1" x="5097"/>
        <item m="1" x="5188"/>
        <item m="1" x="5283"/>
        <item m="1" x="5372"/>
        <item m="1" x="5463"/>
        <item m="1" x="5558"/>
        <item m="1" x="5653"/>
        <item m="1" x="5746"/>
        <item m="1" x="5836"/>
        <item m="1" x="5929"/>
        <item m="1" x="6026"/>
        <item m="1" x="6115"/>
        <item m="1" x="6208"/>
        <item m="1" x="6301"/>
        <item m="1" x="6400"/>
        <item m="1" x="6489"/>
        <item m="1" x="6579"/>
        <item m="1" x="6672"/>
        <item m="1" x="6764"/>
        <item m="1" x="6854"/>
        <item m="1" x="6947"/>
        <item m="1" x="7040"/>
        <item m="1" x="7137"/>
        <item m="1" x="7225"/>
        <item m="1" x="7320"/>
        <item m="1" x="7416"/>
        <item m="1" x="7514"/>
        <item m="1" x="7604"/>
        <item m="1" x="7696"/>
        <item m="1" x="7786"/>
        <item m="1" x="7883"/>
        <item m="1" x="7974"/>
        <item m="1" x="71"/>
        <item m="1" x="161"/>
        <item m="1" x="258"/>
        <item m="1" x="345"/>
        <item m="1" x="442"/>
        <item m="1" x="537"/>
        <item m="1" x="634"/>
        <item m="1" x="726"/>
        <item m="1" x="820"/>
        <item m="1" x="918"/>
        <item m="1" x="1014"/>
        <item m="1" x="1100"/>
        <item m="1" x="1198"/>
        <item m="1" x="1291"/>
        <item m="1" x="1388"/>
        <item m="1" x="1479"/>
        <item m="1" x="6589"/>
        <item m="1" x="6683"/>
        <item m="1" x="2342"/>
        <item m="1" x="2435"/>
        <item m="1" x="2527"/>
        <item m="1" x="2622"/>
        <item m="1" x="5979"/>
        <item m="1" x="6070"/>
        <item m="1" x="6167"/>
        <item m="1" x="6260"/>
        <item m="1" x="6353"/>
        <item m="1" x="1916"/>
        <item m="1" x="1964"/>
        <item m="1" x="2012"/>
        <item m="1" x="2061"/>
        <item m="1" x="1070"/>
        <item m="1" x="1116"/>
        <item m="1" x="1167"/>
        <item m="1" x="1214"/>
        <item m="1" x="4749"/>
        <item m="1" x="4796"/>
        <item m="1" x="4848"/>
        <item m="1" x="4896"/>
        <item m="1" x="4941"/>
        <item m="1" x="4990"/>
        <item m="1" x="5041"/>
        <item m="1" x="5089"/>
        <item m="1" x="5132"/>
        <item m="1" x="403"/>
        <item m="1" x="452"/>
        <item m="1" x="496"/>
        <item m="1" x="548"/>
        <item m="1" x="594"/>
        <item m="1" x="641"/>
        <item m="1" x="685"/>
        <item m="1" x="736"/>
        <item m="1" x="785"/>
        <item m="1" x="835"/>
        <item m="1" x="4417"/>
        <item m="1" x="4470"/>
        <item m="1" x="4517"/>
        <item m="1" x="3482"/>
        <item m="1" x="3532"/>
        <item m="1" x="3581"/>
        <item m="1" x="3625"/>
        <item m="1" x="3671"/>
        <item m="1" x="3718"/>
        <item m="1" x="7170"/>
        <item m="1" x="7222"/>
        <item m="1" x="7271"/>
        <item m="1" x="7317"/>
        <item m="1" x="7362"/>
        <item m="1" x="7410"/>
        <item m="1" x="7459"/>
        <item m="1" x="7509"/>
        <item m="1" x="7550"/>
        <item m="1" x="7601"/>
        <item t="default"/>
      </items>
    </pivotField>
    <pivotField axis="axisRow" showAll="0" sortType="ascending">
      <items count="8001">
        <item sd="0" m="1" x="4852"/>
        <item sd="0" m="1" x="4854"/>
        <item sd="0" m="1" x="4855"/>
        <item sd="0" m="1" x="4858"/>
        <item sd="0" m="1" x="4859"/>
        <item sd="0" m="1" x="4862"/>
        <item sd="0" m="1" x="771"/>
        <item sd="0" m="1" x="1884"/>
        <item sd="0" m="1" x="1893"/>
        <item sd="0" m="1" x="776"/>
        <item sd="0" m="1" x="1894"/>
        <item sd="0" m="1" x="1898"/>
        <item sd="0" m="1" x="1899"/>
        <item sd="0" m="1" x="4901"/>
        <item sd="0" m="1" x="4902"/>
        <item sd="0" m="1" x="4904"/>
        <item sd="0" m="1" x="4905"/>
        <item sd="0" m="1" x="4907"/>
        <item sd="0" m="1" x="4908"/>
        <item sd="0" m="1" x="4910"/>
        <item sd="0" m="1" x="4913"/>
        <item sd="0" m="1" x="4914"/>
        <item sd="0" m="1" x="4916"/>
        <item sd="0" m="1" x="4919"/>
        <item sd="0" m="1" x="4921"/>
        <item sd="0" m="1" x="4922"/>
        <item sd="0" m="1" x="4315"/>
        <item sd="0" m="1" x="4501"/>
        <item sd="0" m="1" x="4686"/>
        <item sd="0" m="1" x="5444"/>
        <item sd="0" m="1" x="3413"/>
        <item sd="0" m="1" x="1409"/>
        <item sd="0" m="1" x="3950"/>
        <item sd="0" m="1" x="1965"/>
        <item sd="0" m="1" x="7813"/>
        <item sd="0" m="1" x="5610"/>
        <item sd="0" m="1" x="3618"/>
        <item sd="0" m="1" x="1578"/>
        <item sd="0" m="1" x="4126"/>
        <item sd="0" m="1" x="2121"/>
        <item sd="0" m="1" x="7975"/>
        <item sd="0" m="1" x="3057"/>
        <item sd="0" m="1" x="1084"/>
        <item sd="0" m="1" x="6668"/>
        <item sd="0" m="1" x="4716"/>
        <item sd="0" m="1" x="2745"/>
        <item sd="0" m="1" x="3240"/>
        <item sd="0" m="1" x="1260"/>
        <item sd="0" m="1" x="6883"/>
        <item m="1" x="4917"/>
        <item m="1" x="2897"/>
        <item sd="0" m="1" x="203"/>
        <item sd="0" m="1" x="6129"/>
        <item sd="0" m="1" x="4142"/>
        <item sd="0" m="1" x="2132"/>
        <item sd="0" m="1" x="426"/>
        <item sd="0" m="1" x="6311"/>
        <item sd="0" m="1" x="4309"/>
        <item sd="0" m="1" x="2339"/>
        <item sd="0" m="1" x="1602"/>
        <item sd="0" m="1" x="7446"/>
        <item sd="0" m="1" x="5473"/>
        <item sd="0" m="1" x="1805"/>
        <item sd="0" m="1" x="7661"/>
        <item sd="0" m="1" x="5636"/>
        <item sd="0" m="1" x="2008"/>
        <item sd="0" m="1" x="4949"/>
        <item sd="0" m="1" x="2917"/>
        <item sd="0" m="1" x="924"/>
        <item sd="0" m="1" x="6718"/>
        <item sd="0" m="1" x="4571"/>
        <item sd="0" m="1" x="5132"/>
        <item sd="0" m="1" x="3100"/>
        <item sd="0" m="1" x="1140"/>
        <item sd="0" m="1" x="6926"/>
        <item sd="0" m="1" x="4755"/>
        <item sd="0" m="1" x="5330"/>
        <item sd="0" m="1" x="3304"/>
        <item sd="0" m="1" x="1300"/>
        <item sd="0" m="1" x="6257"/>
        <item sd="0" m="1" x="4238"/>
        <item sd="0" m="1" x="2273"/>
        <item sd="0" m="1" x="122"/>
        <item sd="0" m="1" x="7930"/>
        <item sd="0" m="1" x="5881"/>
        <item sd="0" m="1" x="3923"/>
        <item sd="0" m="1" x="6418"/>
        <item sd="0" m="1" x="4424"/>
        <item sd="0" m="1" x="2479"/>
        <item sd="0" m="1" x="376"/>
        <item sd="0" m="1" x="138"/>
        <item sd="0" m="1" x="6083"/>
        <item sd="0" m="1" x="4102"/>
        <item sd="0" m="1" x="6580"/>
        <item sd="0" m="1" x="4608"/>
        <item sd="0" m="1" x="2646"/>
        <item sd="0" m="1" x="592"/>
        <item sd="0" m="1" x="5589"/>
        <item sd="0" m="1" x="3586"/>
        <item sd="0" m="1" x="1379"/>
        <item sd="0" m="1" x="7184"/>
        <item sd="0" m="1" x="5246"/>
        <item sd="0" m="1" x="3197"/>
        <item sd="0" m="1" x="5757"/>
        <item sd="0" m="1" x="3750"/>
        <item sd="0" m="1" x="1560"/>
        <item m="1" x="7392"/>
        <item m="1" x="5437"/>
        <item m="1" x="3404"/>
        <item m="1" x="5920"/>
        <item m="1" x="3945"/>
        <item sd="0" m="1" x="5475"/>
        <item sd="0" m="1" x="3440"/>
        <item sd="0" m="1" x="1435"/>
        <item sd="0" m="1" x="7255"/>
        <item sd="0" m="1" x="5113"/>
        <item sd="0" m="1" x="3088"/>
        <item sd="0" m="1" x="5640"/>
        <item sd="0" m="1" x="3655"/>
        <item sd="0" m="1" x="1622"/>
        <item sd="0" m="1" x="7469"/>
        <item sd="0" m="1" x="5317"/>
        <item sd="0" m="1" x="3292"/>
        <item sd="0" m="1" x="5808"/>
        <item sd="0" m="1" x="3827"/>
        <item sd="0" m="1" x="1820"/>
        <item sd="0" m="1" x="7673"/>
        <item sd="0" m="1" x="4744"/>
        <item sd="0" m="1" x="2769"/>
        <item sd="0" m="1" x="563"/>
        <item sd="0" m="1" x="6401"/>
        <item sd="0" m="1" x="4410"/>
        <item sd="0" m="1" x="2466"/>
        <item sd="0" m="1" x="4962"/>
        <item sd="0" m="1" x="2932"/>
        <item sd="0" m="1" x="756"/>
        <item sd="0" m="1" x="6568"/>
        <item sd="0" m="1" x="4590"/>
        <item sd="0" m="1" x="2637"/>
        <item sd="0" m="1" x="5150"/>
        <item sd="0" m="1" x="3114"/>
        <item sd="0" m="1" x="4092"/>
        <item sd="0" m="1" x="1936"/>
        <item sd="0" m="1" x="7781"/>
        <item sd="0" m="1" x="5745"/>
        <item sd="0" m="1" x="4251"/>
        <item sd="0" m="1" x="2103"/>
        <item sd="0" m="1" x="7952"/>
        <item sd="0" m="1" x="5906"/>
        <item sd="0" m="1" x="4440"/>
        <item sd="0" m="1" x="3201"/>
        <item sd="0" m="1" x="1230"/>
        <item sd="0" m="1" x="7033"/>
        <item sd="0" m="1" x="3408"/>
        <item sd="0" m="1" x="1404"/>
        <item sd="0" m="1" x="7209"/>
        <item sd="0" m="1" x="6495"/>
        <item sd="0" m="1" x="4524"/>
        <item sd="0" m="1" x="2576"/>
        <item sd="0" m="1" x="474"/>
        <item sd="0" m="1" x="6663"/>
        <item sd="0" m="1" x="4713"/>
        <item sd="0" m="1" x="2739"/>
        <item sd="0" m="1" x="686"/>
        <item sd="0" m="1" x="6880"/>
        <item m="1" x="4911"/>
        <item sd="0" m="1" x="624"/>
        <item sd="0" m="1" x="6452"/>
        <item sd="0" m="1" x="4289"/>
        <item sd="0" m="1" x="2322"/>
        <item sd="0" m="1" x="201"/>
        <item sd="0" m="1" x="815"/>
        <item sd="0" m="1" x="6618"/>
        <item sd="0" m="1" x="4484"/>
        <item sd="0" m="1" x="2534"/>
        <item sd="0" m="1" x="424"/>
        <item sd="0" m="1" x="1022"/>
        <item sd="0" m="1" x="6826"/>
        <item sd="0" m="1" x="7649"/>
        <item sd="0" m="1" x="5623"/>
        <item sd="0" m="1" x="3640"/>
        <item sd="0" m="1" x="1601"/>
        <item sd="0" m="1" x="7847"/>
        <item sd="0" m="1" x="5799"/>
        <item sd="0" m="1" x="3809"/>
        <item sd="0" m="1" x="1804"/>
        <item sd="0" m="1" x="7036"/>
        <item sd="0" m="1" x="5057"/>
        <item sd="0" m="1" x="3036"/>
        <item sd="0" m="1" x="1059"/>
        <item sd="0" m="1" x="858"/>
        <item sd="0" m="1" x="6654"/>
        <item sd="0" m="1" x="7212"/>
        <item sd="0" m="1" x="5263"/>
        <item sd="0" m="1" x="3223"/>
        <item sd="0" m="1" x="1247"/>
        <item sd="0" m="1" x="1079"/>
        <item sd="0" m="1" x="6875"/>
        <item sd="0" m="1" x="7412"/>
        <item sd="0" m="1" x="5452"/>
        <item sd="0" m="1" x="3421"/>
        <item sd="0" m="1" x="475"/>
        <item sd="0" m="1" x="6339"/>
        <item sd="0" m="1" x="4352"/>
        <item sd="0" m="1" x="2208"/>
        <item sd="0" m="1" x="53"/>
        <item sd="0" m="1" x="6019"/>
        <item sd="0" m="1" x="689"/>
        <item sd="0" m="1" x="6509"/>
        <item sd="0" m="1" x="4537"/>
        <item sd="0" m="1" x="2412"/>
        <item sd="0" m="1" x="314"/>
        <item sd="0" m="1" x="6214"/>
        <item sd="0" m="1" x="881"/>
        <item sd="0" m="1" x="6680"/>
        <item sd="0" m="1" x="4721"/>
        <item sd="0" m="1" x="7701"/>
        <item sd="0" m="1" x="5683"/>
        <item sd="0" m="1" x="3527"/>
        <item sd="0" m="1" x="1491"/>
        <item sd="0" m="1" x="7317"/>
        <item sd="0" m="1" x="7886"/>
        <item sd="0" m="1" x="5839"/>
        <item sd="0" m="1" x="3706"/>
        <item m="1" x="1694"/>
        <item m="1" x="7539"/>
        <item m="1" x="83"/>
        <item m="1" x="6040"/>
        <item sd="0" m="1" x="1603"/>
        <item sd="0" m="1" x="7447"/>
        <item sd="0" m="1" x="5474"/>
        <item sd="0" m="1" x="3265"/>
        <item sd="0" m="1" x="1806"/>
        <item sd="0" m="1" x="7662"/>
        <item sd="0" m="1" x="5637"/>
        <item sd="0" m="1" x="3464"/>
        <item sd="0" m="1" x="2009"/>
        <item sd="0" m="1" x="7854"/>
        <item sd="0" m="1" x="4950"/>
        <item sd="0" m="1" x="2918"/>
        <item sd="0" m="1" x="925"/>
        <item sd="0" m="1" x="6719"/>
        <item sd="0" m="1" x="4572"/>
        <item sd="0" m="1" x="2621"/>
        <item sd="0" m="1" x="5133"/>
        <item sd="0" m="1" x="3101"/>
        <item sd="0" m="1" x="1141"/>
        <item sd="0" m="1" x="6927"/>
        <item sd="0" m="1" x="4756"/>
        <item sd="0" m="1" x="2782"/>
        <item sd="0" m="1" x="5331"/>
        <item sd="0" m="1" x="3305"/>
        <item sd="0" m="1" x="1301"/>
        <item sd="0" m="1" x="7126"/>
        <item sd="0" m="1" x="4239"/>
        <item sd="0" m="1" x="2274"/>
        <item sd="0" m="1" x="123"/>
        <item sd="0" m="1" x="7931"/>
        <item sd="0" m="1" x="5882"/>
        <item sd="0" m="1" x="3924"/>
        <item sd="0" m="1" x="1934"/>
        <item sd="0" m="1" x="4425"/>
        <item sd="0" m="1" x="2480"/>
        <item sd="0" m="1" x="377"/>
        <item sd="0" m="1" x="139"/>
        <item sd="0" m="1" x="6084"/>
        <item sd="0" m="1" x="4103"/>
        <item sd="0" m="1" x="2101"/>
        <item sd="0" m="1" x="4609"/>
        <item sd="0" m="1" x="2647"/>
        <item sd="0" m="1" x="593"/>
        <item sd="0" m="1" x="3587"/>
        <item sd="0" m="1" x="1380"/>
        <item sd="0" m="1" x="7185"/>
        <item sd="0" m="1" x="5247"/>
        <item sd="0" m="1" x="3198"/>
        <item sd="0" m="1" x="3751"/>
        <item sd="0" m="1" x="1561"/>
        <item sd="0" m="1" x="7393"/>
        <item sd="0" m="1" x="5438"/>
        <item sd="0" m="1" x="3405"/>
        <item sd="0" m="1" x="3946"/>
        <item sd="0" m="1" x="2724"/>
        <item sd="0" m="1" x="668"/>
        <item sd="0" m="1" x="6493"/>
        <item sd="0" m="1" x="2887"/>
        <item sd="0" m="1" x="867"/>
        <item sd="0" m="1" x="6661"/>
        <item sd="0" m="1" x="480"/>
        <item sd="0" m="1" x="6342"/>
        <item sd="0" m="1" x="4357"/>
        <item sd="0" m="1" x="2216"/>
        <item sd="0" m="1" x="59"/>
        <item sd="0" m="1" x="696"/>
        <item sd="0" m="1" x="6513"/>
        <item sd="0" m="1" x="4540"/>
        <item sd="0" m="1" x="2418"/>
        <item sd="0" m="1" x="320"/>
        <item sd="0" m="1" x="885"/>
        <item sd="0" m="1" x="6684"/>
        <item sd="0" m="1" x="4723"/>
        <item sd="0" m="1" x="1855"/>
        <item sd="0" m="1" x="7706"/>
        <item sd="0" m="1" x="5688"/>
        <item sd="0" m="1" x="3535"/>
        <item sd="0" m="1" x="1497"/>
        <item sd="0" m="1" x="7323"/>
        <item sd="0" m="1" x="2055"/>
        <item sd="0" m="1" x="7892"/>
        <item sd="0" m="1" x="5844"/>
        <item sd="0" m="1" x="3711"/>
        <item sd="0" m="1" x="1702"/>
        <item sd="0" m="1" x="7547"/>
        <item sd="0" m="1" x="2243"/>
        <item sd="0" m="1" x="87"/>
        <item sd="0" m="1" x="6043"/>
        <item sd="0" m="1" x="1181"/>
        <item sd="0" m="1" x="6964"/>
        <item sd="0" m="1" x="6802"/>
        <item sd="0" m="1" x="4818"/>
        <item sd="0" m="1" x="2830"/>
        <item sd="0" m="1" x="808"/>
        <item sd="0" m="1" x="1346"/>
        <item sd="0" m="1" x="7153"/>
        <item sd="0" m="1" x="6985"/>
        <item sd="0" m="1" x="5026"/>
        <item sd="0" m="1" x="2997"/>
        <item sd="0" m="1" x="1015"/>
        <item sd="0" m="1" x="1527"/>
        <item sd="0" m="1" x="7351"/>
        <item sd="0" m="1" x="211"/>
        <item sd="0" m="1" x="6135"/>
        <item sd="0" m="1" x="4147"/>
        <item sd="0" m="1" x="2137"/>
        <item sd="0" m="1" x="430"/>
        <item sd="0" m="1" x="6314"/>
        <item sd="0" m="1" x="4316"/>
        <item sd="0" m="1" x="2345"/>
        <item sd="0" m="1" x="1607"/>
        <item sd="0" m="1" x="7451"/>
        <item sd="0" m="1" x="5481"/>
        <item sd="0" m="1" x="1809"/>
        <item sd="0" m="1" x="7664"/>
        <item sd="0" m="1" x="5644"/>
        <item m="1" x="2011"/>
        <item m="1" x="145"/>
        <item m="1" x="6584"/>
        <item sd="0" m="1" x="5591"/>
        <item sd="0" m="1" x="3592"/>
        <item sd="0" m="1" x="1387"/>
        <item sd="0" m="1" x="7192"/>
        <item sd="0" m="1" x="5252"/>
        <item sd="0" m="1" x="3205"/>
        <item sd="0" m="1" x="5761"/>
        <item sd="0" m="1" x="3755"/>
        <item sd="0" m="1" x="1565"/>
        <item sd="0" m="1" x="7398"/>
        <item sd="0" m="1" x="5442"/>
        <item sd="0" m="1" x="3410"/>
        <item sd="0" m="1" x="5925"/>
        <item sd="0" m="1" x="3949"/>
        <item sd="0" m="1" x="4888"/>
        <item sd="0" m="1" x="2729"/>
        <item sd="0" m="1" x="672"/>
        <item sd="0" m="1" x="6496"/>
        <item sd="0" m="1" x="5075"/>
        <item sd="0" m="1" x="2888"/>
        <item sd="0" m="1" x="870"/>
        <item sd="0" m="1" x="6665"/>
        <item sd="0" m="1" x="5275"/>
        <item sd="0" m="1" x="2139"/>
        <item sd="0" m="1" x="1"/>
        <item sd="0" m="1" x="5964"/>
        <item sd="0" m="1" x="3802"/>
        <item sd="0" m="1" x="2347"/>
        <item sd="0" m="1" x="239"/>
        <item sd="0" m="1" x="6156"/>
        <item sd="0" m="1" x="3999"/>
        <item sd="0" m="1" x="2549"/>
        <item sd="0" m="1" x="447"/>
        <item sd="0" m="1" x="5483"/>
        <item sd="0" m="1" x="3448"/>
        <item sd="0" m="1" x="1440"/>
        <item sd="0" m="1" x="7261"/>
        <item sd="0" m="1" x="5120"/>
        <item sd="0" m="1" x="3091"/>
        <item sd="0" m="1" x="5646"/>
        <item sd="0" m="1" x="3660"/>
        <item sd="0" m="1" x="1628"/>
        <item sd="0" m="1" x="7476"/>
        <item sd="0" m="1" x="5322"/>
        <item sd="0" m="1" x="3296"/>
        <item sd="0" m="1" x="5809"/>
        <item sd="0" m="1" x="3829"/>
        <item sd="0" m="1" x="1824"/>
        <item sd="0" m="1" x="7677"/>
        <item sd="0" m="1" x="4747"/>
        <item sd="0" m="1" x="2774"/>
        <item sd="0" m="1" x="568"/>
        <item sd="0" m="1" x="6405"/>
        <item sd="0" m="1" x="4413"/>
        <item sd="0" m="1" x="2471"/>
        <item sd="0" m="1" x="4967"/>
        <item sd="0" m="1" x="2938"/>
        <item sd="0" m="1" x="761"/>
        <item m="1" x="6572"/>
        <item m="1" x="4596"/>
        <item m="1" x="2641"/>
        <item m="1" x="5153"/>
        <item m="1" x="3117"/>
        <item sd="0" m="1" x="6498"/>
        <item sd="0" m="1" x="4527"/>
        <item sd="0" m="1" x="2578"/>
        <item sd="0" m="1" x="479"/>
        <item sd="0" m="1" x="6667"/>
        <item sd="0" m="1" x="4715"/>
        <item sd="0" m="1" x="2742"/>
        <item sd="0" m="1" x="693"/>
        <item sd="0" m="1" x="6882"/>
        <item sd="0" m="1" x="4915"/>
        <item sd="0" m="1" x="7879"/>
        <item sd="0" m="1" x="5833"/>
        <item sd="0" m="1" x="3871"/>
        <item sd="0" m="1" x="1681"/>
        <item sd="0" m="1" x="7526"/>
        <item sd="0" m="1" x="75"/>
        <item sd="0" m="1" x="6036"/>
        <item sd="0" m="1" x="4063"/>
        <item sd="0" m="1" x="1872"/>
        <item sd="0" m="1" x="7723"/>
        <item sd="0" m="1" x="331"/>
        <item sd="0" m="1" x="6228"/>
        <item sd="0" m="1" x="4220"/>
        <item sd="0" m="1" x="1331"/>
        <item sd="0" m="1" x="7145"/>
        <item sd="0" m="1" x="5196"/>
        <item sd="0" m="1" x="2979"/>
        <item sd="0" m="1" x="994"/>
        <item sd="0" m="1" x="6799"/>
        <item sd="0" m="1" x="1514"/>
        <item sd="0" m="1" x="7340"/>
        <item sd="0" m="1" x="5390"/>
        <item sd="0" m="1" x="3162"/>
        <item sd="0" m="1" x="1195"/>
        <item sd="0" m="1" x="6982"/>
        <item sd="0" m="1" x="1718"/>
        <item sd="0" m="1" x="7565"/>
        <item sd="0" m="1" x="5569"/>
        <item sd="0" m="1" x="627"/>
        <item sd="0" m="1" x="6460"/>
        <item sd="0" m="1" x="4292"/>
        <item sd="0" m="1" x="2324"/>
        <item sd="0" m="1" x="208"/>
        <item sd="0" m="1" x="820"/>
        <item sd="0" m="1" x="6624"/>
        <item sd="0" m="1" x="4487"/>
        <item sd="0" m="1" x="2536"/>
        <item sd="0" m="1" x="427"/>
        <item sd="0" m="1" x="1025"/>
        <item sd="0" m="1" x="6828"/>
        <item sd="0" m="1" x="7655"/>
        <item sd="0" m="1" x="5626"/>
        <item sd="0" m="1" x="3642"/>
        <item sd="0" m="1" x="1606"/>
        <item sd="0" m="1" x="7851"/>
        <item sd="0" m="1" x="5802"/>
        <item sd="0" m="1" x="3813"/>
        <item m="1" x="1808"/>
        <item m="1" x="2419"/>
        <item sd="0" m="1" x="7707"/>
        <item sd="0" m="1" x="5689"/>
        <item sd="0" m="1" x="3536"/>
        <item sd="0" m="1" x="1498"/>
        <item sd="0" m="1" x="7324"/>
        <item sd="0" m="1" x="7893"/>
        <item sd="0" m="1" x="5845"/>
        <item sd="0" m="1" x="3712"/>
        <item sd="0" m="1" x="1703"/>
        <item sd="0" m="1" x="7548"/>
        <item sd="0" m="1" x="88"/>
        <item sd="0" m="1" x="6044"/>
        <item sd="0" m="1" x="6965"/>
        <item sd="0" m="1" x="6803"/>
        <item sd="0" m="1" x="4819"/>
        <item sd="0" m="1" x="2831"/>
        <item sd="0" m="1" x="809"/>
        <item sd="0" m="1" x="7154"/>
        <item sd="0" m="1" x="6986"/>
        <item sd="0" m="1" x="5027"/>
        <item sd="0" m="1" x="2998"/>
        <item sd="0" m="1" x="1016"/>
        <item sd="0" m="1" x="7352"/>
        <item sd="0" m="1" x="212"/>
        <item sd="0" m="1" x="6136"/>
        <item sd="0" m="1" x="4148"/>
        <item sd="0" m="1" x="2138"/>
        <item sd="0" m="1" x="431"/>
        <item sd="0" m="1" x="6315"/>
        <item sd="0" m="1" x="4317"/>
        <item sd="0" m="1" x="2346"/>
        <item sd="0" m="1" x="648"/>
        <item sd="0" m="1" x="1608"/>
        <item sd="0" m="1" x="7452"/>
        <item sd="0" m="1" x="5482"/>
        <item sd="0" m="1" x="3273"/>
        <item sd="0" m="1" x="1810"/>
        <item sd="0" m="1" x="7665"/>
        <item sd="0" m="1" x="5645"/>
        <item sd="0" m="1" x="3472"/>
        <item sd="0" m="1" x="2012"/>
        <item sd="0" m="1" x="7856"/>
        <item sd="0" m="1" x="4954"/>
        <item sd="0" m="1" x="2922"/>
        <item sd="0" m="1" x="927"/>
        <item sd="0" m="1" x="6723"/>
        <item sd="0" m="1" x="4575"/>
        <item sd="0" m="1" x="2624"/>
        <item sd="0" m="1" x="5140"/>
        <item sd="0" m="1" x="3107"/>
        <item sd="0" m="1" x="1144"/>
        <item sd="0" m="1" x="6930"/>
        <item m="1" x="4760"/>
        <item m="1" x="2786"/>
        <item sd="0" m="1" x="5336"/>
        <item m="1" x="3309"/>
        <item m="1" x="1304"/>
        <item m="1" x="7127"/>
        <item sd="0" m="1" x="2730"/>
        <item sd="0" m="1" x="673"/>
        <item sd="0" m="1" x="6497"/>
        <item sd="0" m="1" x="2889"/>
        <item sd="0" m="1" x="871"/>
        <item sd="0" m="1" x="6666"/>
        <item sd="0" m="1" x="485"/>
        <item sd="0" m="1" x="6346"/>
        <item sd="0" m="1" x="4361"/>
        <item sd="0" m="1" x="2222"/>
        <item sd="0" m="1" x="63"/>
        <item sd="0" m="1" x="701"/>
        <item sd="0" m="1" x="6518"/>
        <item sd="0" m="1" x="4543"/>
        <item sd="0" m="1" x="2424"/>
        <item sd="0" m="1" x="324"/>
        <item sd="0" m="1" x="887"/>
        <item sd="0" m="1" x="6687"/>
        <item sd="0" m="1" x="4725"/>
        <item sd="0" m="1" x="1859"/>
        <item sd="0" m="1" x="7711"/>
        <item sd="0" m="1" x="5692"/>
        <item sd="0" m="1" x="3538"/>
        <item sd="0" m="1" x="1500"/>
        <item sd="0" m="1" x="7328"/>
        <item sd="0" m="1" x="2059"/>
        <item sd="0" m="1" x="7898"/>
        <item sd="0" m="1" x="5849"/>
        <item sd="0" m="1" x="3713"/>
        <item sd="0" m="1" x="1706"/>
        <item sd="0" m="1" x="7553"/>
        <item sd="0" m="1" x="2244"/>
        <item sd="0" m="1" x="90"/>
        <item sd="0" m="1" x="6046"/>
        <item sd="0" m="1" x="1186"/>
        <item sd="0" m="1" x="6971"/>
        <item sd="0" m="1" x="6809"/>
        <item sd="0" m="1" x="4824"/>
        <item sd="0" m="1" x="2833"/>
        <item sd="0" m="1" x="810"/>
        <item sd="0" m="1" x="1351"/>
        <item sd="0" m="1" x="7158"/>
        <item sd="0" m="1" x="6992"/>
        <item sd="0" m="1" x="5029"/>
        <item sd="0" m="1" x="3001"/>
        <item sd="0" m="1" x="1018"/>
        <item sd="0" m="1" x="1529"/>
        <item sd="0" m="1" x="7354"/>
        <item sd="0" m="1" x="220"/>
        <item sd="0" m="1" x="6141"/>
        <item sd="0" m="1" x="4152"/>
        <item sd="0" m="1" x="2142"/>
        <item sd="0" m="1" x="436"/>
        <item sd="0" m="1" x="6317"/>
        <item sd="0" m="1" x="4320"/>
        <item m="1" x="2349"/>
        <item m="1" x="5337"/>
        <item sd="0" m="1" x="6266"/>
        <item sd="0" m="1" x="4246"/>
        <item sd="0" m="1" x="2279"/>
        <item sd="0" m="1" x="132"/>
        <item sd="0" m="1" x="7942"/>
        <item sd="0" m="1" x="5896"/>
        <item sd="0" m="1" x="3932"/>
        <item sd="0" m="1" x="6429"/>
        <item sd="0" m="1" x="4435"/>
        <item sd="0" m="1" x="2487"/>
        <item sd="0" m="1" x="385"/>
        <item sd="0" m="1" x="152"/>
        <item sd="0" m="1" x="6095"/>
        <item sd="0" m="1" x="4113"/>
        <item sd="0" m="1" x="6585"/>
        <item sd="0" m="1" x="4615"/>
        <item sd="0" m="1" x="2650"/>
        <item sd="0" m="1" x="596"/>
        <item sd="0" m="1" x="5595"/>
        <item sd="0" m="1" x="3599"/>
        <item sd="0" m="1" x="1392"/>
        <item sd="0" m="1" x="7197"/>
        <item sd="0" m="1" x="5256"/>
        <item sd="0" m="1" x="3211"/>
        <item sd="0" m="1" x="5765"/>
        <item sd="0" m="1" x="3761"/>
        <item sd="0" m="1" x="1567"/>
        <item sd="0" m="1" x="7401"/>
        <item sd="0" m="1" x="5446"/>
        <item sd="0" m="1" x="3415"/>
        <item sd="0" m="1" x="5927"/>
        <item sd="0" m="1" x="3951"/>
        <item sd="0" m="1" x="4894"/>
        <item sd="0" m="1" x="2734"/>
        <item sd="0" m="1" x="676"/>
        <item sd="0" m="1" x="6499"/>
        <item sd="0" m="1" x="5081"/>
        <item sd="0" m="1" x="2891"/>
        <item sd="0" m="1" x="873"/>
        <item sd="0" m="1" x="6670"/>
        <item sd="0" m="1" x="5278"/>
        <item sd="0" m="1" x="2144"/>
        <item sd="0" m="1" x="5"/>
        <item sd="0" m="1" x="5968"/>
        <item sd="0" m="1" x="3806"/>
        <item sd="0" m="1" x="2352"/>
        <item sd="0" m="1" x="245"/>
        <item sd="0" m="1" x="6161"/>
        <item sd="0" m="1" x="4003"/>
        <item sd="0" m="1" x="2551"/>
        <item sd="0" m="1" x="450"/>
        <item sd="0" m="1" x="5489"/>
        <item sd="0" m="1" x="3454"/>
        <item sd="0" m="1" x="1445"/>
        <item sd="0" m="1" x="7267"/>
        <item sd="0" m="1" x="5124"/>
        <item sd="0" m="1" x="3094"/>
        <item sd="0" m="1" x="5651"/>
        <item sd="0" m="1" x="3664"/>
        <item sd="0" m="1" x="1633"/>
        <item sd="0" m="1" x="7481"/>
        <item m="1" x="5325"/>
        <item m="1" x="3298"/>
        <item sd="0" m="1" x="5812"/>
        <item m="1" x="3832"/>
        <item m="1" x="1826"/>
        <item m="1" x="7678"/>
        <item sd="0" m="1" x="3213"/>
        <item sd="0" m="1" x="1236"/>
        <item sd="0" m="1" x="7046"/>
        <item sd="0" m="1" x="3417"/>
        <item sd="0" m="1" x="1411"/>
        <item sd="0" m="1" x="7218"/>
        <item sd="0" m="1" x="6502"/>
        <item sd="0" m="1" x="4530"/>
        <item sd="0" m="1" x="2580"/>
        <item sd="0" m="1" x="484"/>
        <item sd="0" m="1" x="6673"/>
        <item sd="0" m="1" x="4718"/>
        <item sd="0" m="1" x="2747"/>
        <item sd="0" m="1" x="699"/>
        <item sd="0" m="1" x="6886"/>
        <item sd="0" m="1" x="4918"/>
        <item sd="0" m="1" x="7881"/>
        <item sd="0" m="1" x="5834"/>
        <item sd="0" m="1" x="3875"/>
        <item sd="0" m="1" x="1685"/>
        <item sd="0" m="1" x="7530"/>
        <item sd="0" m="1" x="79"/>
        <item sd="0" m="1" x="6038"/>
        <item sd="0" m="1" x="4067"/>
        <item sd="0" m="1" x="1877"/>
        <item sd="0" m="1" x="7728"/>
        <item sd="0" m="1" x="334"/>
        <item sd="0" m="1" x="6230"/>
        <item sd="0" m="1" x="4221"/>
        <item sd="0" m="1" x="1334"/>
        <item sd="0" m="1" x="7147"/>
        <item sd="0" m="1" x="5200"/>
        <item sd="0" m="1" x="2983"/>
        <item sd="0" m="1" x="999"/>
        <item sd="0" m="1" x="6806"/>
        <item sd="0" m="1" x="1519"/>
        <item sd="0" m="1" x="7344"/>
        <item sd="0" m="1" x="5395"/>
        <item sd="0" m="1" x="3165"/>
        <item sd="0" m="1" x="1199"/>
        <item sd="0" m="1" x="6989"/>
        <item sd="0" m="1" x="1721"/>
        <item sd="0" m="1" x="7568"/>
        <item sd="0" m="1" x="5570"/>
        <item sd="0" m="1" x="629"/>
        <item sd="0" m="1" x="6464"/>
        <item sd="0" m="1" x="4297"/>
        <item sd="0" m="1" x="2328"/>
        <item sd="0" m="1" x="217"/>
        <item sd="0" m="1" x="824"/>
        <item sd="0" m="1" x="6628"/>
        <item sd="0" m="1" x="4491"/>
        <item m="1" x="2539"/>
        <item m="1" x="432"/>
        <item m="1" x="1028"/>
        <item m="1" x="6829"/>
        <item m="1" x="1087"/>
        <item sd="0" m="1" x="486"/>
        <item sd="0" m="1" x="6347"/>
        <item sd="0" m="1" x="4362"/>
        <item sd="0" m="1" x="2223"/>
        <item sd="0" m="1" x="64"/>
        <item sd="0" m="1" x="6030"/>
        <item sd="0" m="1" x="702"/>
        <item sd="0" m="1" x="6519"/>
        <item sd="0" m="1" x="4544"/>
        <item sd="0" m="1" x="2425"/>
        <item sd="0" m="1" x="325"/>
        <item sd="0" m="1" x="6223"/>
        <item sd="0" m="1" x="888"/>
        <item sd="0" m="1" x="6688"/>
        <item sd="0" m="1" x="4726"/>
        <item sd="0" m="1" x="7712"/>
        <item sd="0" m="1" x="5693"/>
        <item sd="0" m="1" x="3539"/>
        <item sd="0" m="1" x="1501"/>
        <item sd="0" m="1" x="7329"/>
        <item sd="0" m="1" x="7899"/>
        <item sd="0" m="1" x="5850"/>
        <item sd="0" m="1" x="3714"/>
        <item sd="0" m="1" x="1707"/>
        <item sd="0" m="1" x="7554"/>
        <item sd="0" m="1" x="91"/>
        <item sd="0" m="1" x="6047"/>
        <item sd="0" m="1" x="6972"/>
        <item sd="0" m="1" x="6810"/>
        <item sd="0" m="1" x="4825"/>
        <item sd="0" m="1" x="2834"/>
        <item sd="0" m="1" x="811"/>
        <item sd="0" m="1" x="7159"/>
        <item sd="0" m="1" x="6993"/>
        <item sd="0" m="1" x="5030"/>
        <item sd="0" m="1" x="3002"/>
        <item sd="0" m="1" x="1019"/>
        <item sd="0" m="1" x="7355"/>
        <item sd="0" m="1" x="221"/>
        <item sd="0" m="1" x="6142"/>
        <item sd="0" m="1" x="4153"/>
        <item sd="0" m="1" x="2143"/>
        <item sd="0" m="1" x="437"/>
        <item sd="0" m="1" x="6318"/>
        <item sd="0" m="1" x="4321"/>
        <item sd="0" m="1" x="2350"/>
        <item sd="0" m="1" x="652"/>
        <item sd="0" m="1" x="1612"/>
        <item sd="0" m="1" x="7457"/>
        <item sd="0" m="1" x="5488"/>
        <item sd="0" m="1" x="3279"/>
        <item sd="0" m="1" x="1813"/>
        <item sd="0" m="1" x="7667"/>
        <item sd="0" m="1" x="5649"/>
        <item sd="0" m="1" x="3478"/>
        <item m="1" x="2015"/>
        <item sd="0" m="1" x="3600"/>
        <item sd="0" m="1" x="1393"/>
        <item sd="0" m="1" x="7198"/>
        <item sd="0" m="1" x="5257"/>
        <item sd="0" m="1" x="3212"/>
        <item sd="0" m="1" x="3762"/>
        <item sd="0" m="1" x="1568"/>
        <item sd="0" m="1" x="7402"/>
        <item sd="0" m="1" x="5447"/>
        <item sd="0" m="1" x="3416"/>
        <item sd="0" m="1" x="3952"/>
        <item sd="0" m="1" x="2735"/>
        <item sd="0" m="1" x="677"/>
        <item sd="0" m="1" x="6500"/>
        <item sd="0" m="1" x="2892"/>
        <item sd="0" m="1" x="874"/>
        <item sd="0" m="1" x="6671"/>
        <item sd="0" m="1" x="2145"/>
        <item sd="0" m="1" x="6"/>
        <item sd="0" m="1" x="5969"/>
        <item sd="0" m="1" x="3807"/>
        <item sd="0" m="1" x="1801"/>
        <item sd="0" m="1" x="2353"/>
        <item sd="0" m="1" x="246"/>
        <item sd="0" m="1" x="6162"/>
        <item sd="0" m="1" x="4004"/>
        <item sd="0" m="1" x="2007"/>
        <item sd="0" m="1" x="2552"/>
        <item sd="0" m="1" x="451"/>
        <item sd="0" m="1" x="6324"/>
        <item sd="0" m="1" x="3455"/>
        <item sd="0" m="1" x="1446"/>
        <item sd="0" m="1" x="7268"/>
        <item sd="0" m="1" x="5125"/>
        <item sd="0" m="1" x="3095"/>
        <item sd="0" m="1" x="1135"/>
        <item sd="0" m="1" x="3665"/>
        <item sd="0" m="1" x="1634"/>
        <item sd="0" m="1" x="7482"/>
        <item sd="0" m="1" x="5326"/>
        <item sd="0" m="1" x="3299"/>
        <item sd="0" m="1" x="1298"/>
        <item sd="0" m="1" x="3833"/>
        <item sd="0" m="1" x="1827"/>
        <item sd="0" m="1" x="7679"/>
        <item sd="0" m="1" x="491"/>
        <item sd="0" m="1" x="6350"/>
        <item sd="0" m="1" x="4366"/>
        <item sd="0" m="1" x="2229"/>
        <item sd="0" m="1" x="68"/>
        <item sd="0" m="1" x="707"/>
        <item sd="0" m="1" x="6523"/>
        <item sd="0" m="1" x="4547"/>
        <item sd="0" m="1" x="2429"/>
        <item m="1" x="327"/>
        <item m="1" x="891"/>
        <item m="1" x="6692"/>
        <item m="1" x="4728"/>
        <item sd="0" m="1" x="228"/>
        <item sd="0" m="1" x="6148"/>
        <item sd="0" m="1" x="4159"/>
        <item sd="0" m="1" x="2152"/>
        <item sd="0" m="1" x="441"/>
        <item sd="0" m="1" x="6320"/>
        <item sd="0" m="1" x="4325"/>
        <item sd="0" m="1" x="2357"/>
        <item sd="0" m="1" x="1617"/>
        <item sd="0" m="1" x="7463"/>
        <item sd="0" m="1" x="5493"/>
        <item sd="0" m="1" x="1816"/>
        <item sd="0" m="1" x="7670"/>
        <item sd="0" m="1" x="5653"/>
        <item sd="0" m="1" x="2017"/>
        <item sd="0" m="1" x="4958"/>
        <item sd="0" m="1" x="2926"/>
        <item sd="0" m="1" x="933"/>
        <item sd="0" m="1" x="6730"/>
        <item sd="0" m="1" x="4584"/>
        <item sd="0" m="1" x="5146"/>
        <item sd="0" m="1" x="3110"/>
        <item sd="0" m="1" x="1148"/>
        <item sd="0" m="1" x="6935"/>
        <item sd="0" m="1" x="4771"/>
        <item sd="0" m="1" x="5340"/>
        <item sd="0" m="1" x="3311"/>
        <item sd="0" m="1" x="1306"/>
        <item sd="0" m="1" x="6268"/>
        <item sd="0" m="1" x="4247"/>
        <item sd="0" m="1" x="2281"/>
        <item sd="0" m="1" x="134"/>
        <item sd="0" m="1" x="7947"/>
        <item sd="0" m="1" x="5901"/>
        <item sd="0" m="1" x="3935"/>
        <item sd="0" m="1" x="6431"/>
        <item sd="0" m="1" x="4437"/>
        <item sd="0" m="1" x="2490"/>
        <item sd="0" m="1" x="387"/>
        <item sd="0" m="1" x="157"/>
        <item sd="0" m="1" x="6098"/>
        <item sd="0" m="1" x="4115"/>
        <item sd="0" m="1" x="6587"/>
        <item sd="0" m="1" x="4617"/>
        <item sd="0" m="1" x="2652"/>
        <item sd="0" m="1" x="597"/>
        <item sd="0" m="1" x="5596"/>
        <item sd="0" m="1" x="3601"/>
        <item sd="0" m="1" x="1399"/>
        <item sd="0" m="1" x="7204"/>
        <item sd="0" m="1" x="5260"/>
        <item sd="0" m="1" x="3217"/>
        <item sd="0" m="1" x="5767"/>
        <item sd="0" m="1" x="3763"/>
        <item sd="0" m="1" x="1571"/>
        <item m="1" x="7406"/>
        <item m="1" x="5449"/>
        <item m="1" x="3418"/>
        <item m="1" x="5929"/>
        <item m="1" x="3953"/>
        <item sd="0" m="1" x="5495"/>
        <item sd="0" m="1" x="3462"/>
        <item sd="0" m="1" x="1453"/>
        <item sd="0" m="1" x="7276"/>
        <item sd="0" m="1" x="5130"/>
        <item sd="0" m="1" x="3099"/>
        <item sd="0" m="1" x="5656"/>
        <item sd="0" m="1" x="3670"/>
        <item sd="0" m="1" x="1643"/>
        <item sd="0" m="1" x="7490"/>
        <item sd="0" m="1" x="5328"/>
        <item sd="0" m="1" x="3302"/>
        <item sd="0" m="1" x="5815"/>
        <item sd="0" m="1" x="3836"/>
        <item sd="0" m="1" x="1831"/>
        <item sd="0" m="1" x="7682"/>
        <item sd="0" m="1" x="4753"/>
        <item sd="0" m="1" x="2781"/>
        <item sd="0" m="1" x="578"/>
        <item sd="0" m="1" x="6415"/>
        <item sd="0" m="1" x="4421"/>
        <item sd="0" m="1" x="2478"/>
        <item sd="0" m="1" x="4975"/>
        <item sd="0" m="1" x="2947"/>
        <item sd="0" m="1" x="768"/>
        <item sd="0" m="1" x="6577"/>
        <item sd="0" m="1" x="4604"/>
        <item sd="0" m="1" x="2644"/>
        <item sd="0" m="1" x="5158"/>
        <item sd="0" m="1" x="3122"/>
        <item sd="0" m="1" x="4101"/>
        <item sd="0" m="1" x="1949"/>
        <item sd="0" m="1" x="7795"/>
        <item sd="0" m="1" x="5754"/>
        <item sd="0" m="1" x="4263"/>
        <item sd="0" m="1" x="2111"/>
        <item sd="0" m="1" x="7964"/>
        <item sd="0" m="1" x="5917"/>
        <item sd="0" m="1" x="4448"/>
        <item sd="0" m="1" x="3219"/>
        <item sd="0" m="1" x="1241"/>
        <item sd="0" m="1" x="7051"/>
        <item sd="0" m="1" x="3420"/>
        <item sd="0" m="1" x="1415"/>
        <item sd="0" m="1" x="7222"/>
        <item sd="0" m="1" x="6505"/>
        <item sd="0" m="1" x="4533"/>
        <item sd="0" m="1" x="2582"/>
        <item sd="0" m="1" x="490"/>
        <item sd="0" m="1" x="6677"/>
        <item sd="0" m="1" x="4719"/>
        <item sd="0" m="1" x="2749"/>
        <item sd="0" m="1" x="704"/>
        <item sd="0" m="1" x="6889"/>
        <item m="1" x="4920"/>
        <item sd="0" m="1" x="631"/>
        <item sd="0" m="1" x="6467"/>
        <item sd="0" m="1" x="4303"/>
        <item sd="0" m="1" x="2333"/>
        <item sd="0" m="1" x="225"/>
        <item sd="0" m="1" x="826"/>
        <item sd="0" m="1" x="6631"/>
        <item sd="0" m="1" x="4495"/>
        <item sd="0" m="1" x="2543"/>
        <item sd="0" m="1" x="438"/>
        <item sd="0" m="1" x="1029"/>
        <item sd="0" m="1" x="6830"/>
        <item sd="0" m="1" x="7659"/>
        <item sd="0" m="1" x="5630"/>
        <item sd="0" m="1" x="3646"/>
        <item sd="0" m="1" x="1615"/>
        <item sd="0" m="1" x="7853"/>
        <item sd="0" m="1" x="5804"/>
        <item sd="0" m="1" x="3819"/>
        <item sd="0" m="1" x="1814"/>
        <item sd="0" m="1" x="7055"/>
        <item sd="0" m="1" x="5068"/>
        <item sd="0" m="1" x="3050"/>
        <item sd="0" m="1" x="1074"/>
        <item sd="0" m="1" x="866"/>
        <item sd="0" m="1" x="6659"/>
        <item sd="0" m="1" x="7226"/>
        <item sd="0" m="1" x="5270"/>
        <item sd="0" m="1" x="3235"/>
        <item sd="0" m="1" x="1255"/>
        <item sd="0" m="1" x="1092"/>
        <item sd="0" m="1" x="6878"/>
        <item sd="0" m="1" x="7422"/>
        <item sd="0" m="1" x="5458"/>
        <item sd="0" m="1" x="3429"/>
        <item sd="0" m="1" x="492"/>
        <item sd="0" m="1" x="6351"/>
        <item sd="0" m="1" x="4367"/>
        <item sd="0" m="1" x="2230"/>
        <item sd="0" m="1" x="69"/>
        <item sd="0" m="1" x="6032"/>
        <item sd="0" m="1" x="708"/>
        <item sd="0" m="1" x="6524"/>
        <item sd="0" m="1" x="4548"/>
        <item sd="0" m="1" x="2430"/>
        <item sd="0" m="1" x="328"/>
        <item sd="0" m="1" x="6225"/>
        <item sd="0" m="1" x="892"/>
        <item sd="0" m="1" x="6693"/>
        <item sd="0" m="1" x="4729"/>
        <item sd="0" m="1" x="7715"/>
        <item sd="0" m="1" x="5697"/>
        <item sd="0" m="1" x="3547"/>
        <item sd="0" m="1" x="1507"/>
        <item sd="0" m="1" x="7333"/>
        <item sd="0" m="1" x="7901"/>
        <item sd="0" m="1" x="5852"/>
        <item sd="0" m="1" x="3718"/>
        <item m="1" x="1711"/>
        <item m="1" x="7558"/>
        <item m="1" x="92"/>
        <item m="1" x="6048"/>
        <item sd="0" m="1" x="1618"/>
        <item sd="0" m="1" x="7464"/>
        <item sd="0" m="1" x="5494"/>
        <item sd="0" m="1" x="3285"/>
        <item sd="0" m="1" x="1817"/>
        <item sd="0" m="1" x="7671"/>
        <item sd="0" m="1" x="5654"/>
        <item sd="0" m="1" x="3485"/>
        <item sd="0" m="1" x="2018"/>
        <item sd="0" m="1" x="7860"/>
        <item sd="0" m="1" x="4959"/>
        <item sd="0" m="1" x="2927"/>
        <item sd="0" m="1" x="934"/>
        <item sd="0" m="1" x="6731"/>
        <item sd="0" m="1" x="4585"/>
        <item sd="0" m="1" x="2632"/>
        <item sd="0" m="1" x="5147"/>
        <item sd="0" m="1" x="3111"/>
        <item sd="0" m="1" x="1149"/>
        <item sd="0" m="1" x="6936"/>
        <item sd="0" m="1" x="4772"/>
        <item sd="0" m="1" x="2793"/>
        <item sd="0" m="1" x="5341"/>
        <item sd="0" m="1" x="3312"/>
        <item sd="0" m="1" x="1307"/>
        <item sd="0" m="1" x="7129"/>
        <item sd="0" m="1" x="4248"/>
        <item sd="0" m="1" x="2282"/>
        <item sd="0" m="1" x="135"/>
        <item sd="0" m="1" x="7948"/>
        <item sd="0" m="1" x="5902"/>
        <item sd="0" m="1" x="3936"/>
        <item sd="0" m="1" x="1948"/>
        <item sd="0" m="1" x="4438"/>
        <item sd="0" m="1" x="2491"/>
        <item sd="0" m="1" x="388"/>
        <item sd="0" m="1" x="158"/>
        <item sd="0" m="1" x="6099"/>
        <item sd="0" m="1" x="4116"/>
        <item sd="0" m="1" x="2110"/>
        <item sd="0" m="1" x="4618"/>
        <item sd="0" m="1" x="2653"/>
        <item sd="0" m="1" x="598"/>
        <item sd="0" m="1" x="3602"/>
        <item sd="0" m="1" x="1400"/>
        <item sd="0" m="1" x="7205"/>
        <item sd="0" m="1" x="5261"/>
        <item sd="0" m="1" x="3218"/>
        <item sd="0" m="1" x="3764"/>
        <item sd="0" m="1" x="1572"/>
        <item sd="0" m="1" x="7407"/>
        <item sd="0" m="1" x="5450"/>
        <item sd="0" m="1" x="3419"/>
        <item sd="0" m="1" x="3954"/>
        <item sd="0" m="1" x="2737"/>
        <item sd="0" m="1" x="681"/>
        <item sd="0" m="1" x="6503"/>
        <item sd="0" m="1" x="2893"/>
        <item sd="0" m="1" x="877"/>
        <item sd="0" m="1" x="6675"/>
        <item m="1" x="2434"/>
        <item sd="0" m="1" x="1870"/>
        <item sd="0" m="1" x="7722"/>
        <item sd="0" m="1" x="5703"/>
        <item sd="0" m="1" x="3551"/>
        <item sd="0" m="1" x="1512"/>
        <item sd="0" m="1" x="7338"/>
        <item sd="0" m="1" x="2067"/>
        <item sd="0" m="1" x="7906"/>
        <item sd="0" m="1" x="5857"/>
        <item sd="0" m="1" x="3721"/>
        <item sd="0" m="1" x="1715"/>
        <item sd="0" m="1" x="7562"/>
        <item sd="0" m="1" x="2245"/>
        <item sd="0" m="1" x="94"/>
        <item sd="0" m="1" x="6050"/>
        <item sd="0" m="1" x="1194"/>
        <item sd="0" m="1" x="6980"/>
        <item sd="0" m="1" x="6817"/>
        <item sd="0" m="1" x="4836"/>
        <item sd="0" m="1" x="2842"/>
        <item sd="0" m="1" x="818"/>
        <item sd="0" m="1" x="1360"/>
        <item sd="0" m="1" x="7165"/>
        <item sd="0" m="1" x="7000"/>
        <item sd="0" m="1" x="5033"/>
        <item sd="0" m="1" x="3006"/>
        <item sd="0" m="1" x="1023"/>
        <item sd="0" m="1" x="1531"/>
        <item sd="0" m="1" x="7357"/>
        <item sd="0" m="1" x="235"/>
        <item sd="0" m="1" x="6152"/>
        <item sd="0" m="1" x="4161"/>
        <item sd="0" m="1" x="2156"/>
        <item sd="0" m="1" x="445"/>
        <item sd="0" m="1" x="6321"/>
        <item sd="0" m="1" x="4327"/>
        <item sd="0" m="1" x="2360"/>
        <item sd="0" m="1" x="1623"/>
        <item sd="0" m="1" x="7470"/>
        <item sd="0" m="1" x="5498"/>
        <item sd="0" m="1" x="1821"/>
        <item sd="0" m="1" x="7674"/>
        <item sd="0" m="1" x="5657"/>
        <item sd="0" m="1" x="2020"/>
        <item sd="0" m="1" x="4963"/>
        <item sd="0" m="1" x="2933"/>
        <item sd="0" m="1" x="937"/>
        <item sd="0" m="1" x="6735"/>
        <item sd="0" m="1" x="4591"/>
        <item sd="0" m="1" x="5151"/>
        <item sd="0" m="1" x="3115"/>
        <item sd="0" m="1" x="1152"/>
        <item sd="0" m="1" x="6938"/>
        <item m="1" x="4777"/>
        <item sd="0" m="1" x="5344"/>
        <item m="1" x="3315"/>
        <item m="1" x="1309"/>
        <item sd="0" m="1" x="4900"/>
        <item sd="0" m="1" x="2740"/>
        <item sd="0" m="1" x="687"/>
        <item sd="0" m="1" x="6507"/>
        <item sd="0" m="1" x="5087"/>
        <item sd="0" m="1" x="2894"/>
        <item sd="0" m="1" x="879"/>
        <item sd="0" m="1" x="6678"/>
        <item sd="0" m="1" x="5280"/>
        <item sd="0" m="1" x="2158"/>
        <item sd="0" m="1" x="16"/>
        <item sd="0" m="1" x="5979"/>
        <item sd="0" m="1" x="3811"/>
        <item sd="0" m="1" x="2362"/>
        <item sd="0" m="1" x="257"/>
        <item sd="0" m="1" x="6170"/>
        <item sd="0" m="1" x="4007"/>
        <item sd="0" m="1" x="2554"/>
        <item sd="0" m="1" x="456"/>
        <item sd="0" m="1" x="5500"/>
        <item sd="0" m="1" x="3467"/>
        <item sd="0" m="1" x="1457"/>
        <item sd="0" m="1" x="7280"/>
        <item sd="0" m="1" x="5136"/>
        <item sd="0" m="1" x="3104"/>
        <item sd="0" m="1" x="5660"/>
        <item sd="0" m="1" x="3673"/>
        <item sd="0" m="1" x="1650"/>
        <item sd="0" m="1" x="7496"/>
        <item sd="0" m="1" x="5332"/>
        <item sd="0" m="1" x="3306"/>
        <item sd="0" m="1" x="5817"/>
        <item sd="0" m="1" x="3838"/>
        <item sd="0" m="1" x="1835"/>
        <item sd="0" m="1" x="7685"/>
        <item sd="0" m="1" x="4758"/>
        <item sd="0" m="1" x="2785"/>
        <item sd="0" m="1" x="585"/>
        <item sd="0" m="1" x="6422"/>
        <item sd="0" m="1" x="4428"/>
        <item sd="0" m="1" x="2483"/>
        <item sd="0" m="1" x="4978"/>
        <item sd="0" m="1" x="2950"/>
        <item sd="0" m="1" x="773"/>
        <item sd="0" m="1" x="6581"/>
        <item sd="0" m="1" x="4610"/>
        <item sd="0" m="1" x="2648"/>
        <item sd="0" m="1" x="5160"/>
        <item sd="0" m="1" x="3124"/>
        <item sd="0" m="1" x="4106"/>
        <item sd="0" m="1" x="1955"/>
        <item sd="0" m="1" x="7803"/>
        <item sd="0" m="1" x="5759"/>
        <item sd="0" m="1" x="4266"/>
        <item sd="0" m="1" x="2114"/>
        <item sd="0" m="1" x="7967"/>
        <item m="1" x="5921"/>
        <item m="1" x="4449"/>
        <item m="1" x="6891"/>
        <item sd="0" m="1" x="7887"/>
        <item sd="0" m="1" x="5840"/>
        <item sd="0" m="1" x="3883"/>
        <item sd="0" m="1" x="1695"/>
        <item sd="0" m="1" x="7540"/>
        <item sd="0" m="1" x="84"/>
        <item sd="0" m="1" x="6041"/>
        <item sd="0" m="1" x="4071"/>
        <item sd="0" m="1" x="1887"/>
        <item sd="0" m="1" x="7738"/>
        <item sd="0" m="1" x="338"/>
        <item sd="0" m="1" x="6232"/>
        <item sd="0" m="1" x="4222"/>
        <item sd="0" m="1" x="1340"/>
        <item sd="0" m="1" x="7149"/>
        <item sd="0" m="1" x="5209"/>
        <item sd="0" m="1" x="2991"/>
        <item sd="0" m="1" x="1009"/>
        <item sd="0" m="1" x="6814"/>
        <item sd="0" m="1" x="1524"/>
        <item sd="0" m="1" x="7348"/>
        <item sd="0" m="1" x="5403"/>
        <item sd="0" m="1" x="3170"/>
        <item sd="0" m="1" x="1205"/>
        <item sd="0" m="1" x="6997"/>
        <item sd="0" m="1" x="1725"/>
        <item sd="0" m="1" x="7572"/>
        <item sd="0" m="1" x="5571"/>
        <item sd="0" m="1" x="634"/>
        <item sd="0" m="1" x="6468"/>
        <item sd="0" m="1" x="4310"/>
        <item sd="0" m="1" x="2340"/>
        <item sd="0" m="1" x="232"/>
        <item sd="0" m="1" x="830"/>
        <item sd="0" m="1" x="6632"/>
        <item sd="0" m="1" x="4498"/>
        <item sd="0" m="1" x="2546"/>
        <item sd="0" m="1" x="442"/>
        <item sd="0" m="1" x="1032"/>
        <item sd="0" m="1" x="6831"/>
        <item sd="0" m="1" x="7663"/>
        <item sd="0" m="1" x="5638"/>
        <item sd="0" m="1" x="3652"/>
        <item sd="0" m="1" x="1621"/>
        <item sd="0" m="1" x="7855"/>
        <item sd="0" m="1" x="5806"/>
        <item sd="0" m="1" x="3824"/>
        <item sd="0" m="1" x="1819"/>
        <item sd="0" m="1" x="7061"/>
        <item sd="0" m="1" x="5074"/>
        <item sd="0" m="1" x="3054"/>
        <item sd="0" m="1" x="1080"/>
        <item sd="0" m="1" x="869"/>
        <item sd="0" m="1" x="6664"/>
        <item sd="0" m="1" x="7229"/>
        <item sd="0" m="1" x="5274"/>
        <item sd="0" m="1" x="3238"/>
        <item sd="0" m="1" x="1257"/>
        <item sd="0" m="1" x="1094"/>
        <item m="1" x="6881"/>
        <item sd="0" m="1" x="7425"/>
        <item m="1" x="5461"/>
        <item m="1" x="3432"/>
        <item sd="0" m="1" x="6981"/>
        <item sd="0" m="1" x="6818"/>
        <item sd="0" m="1" x="4837"/>
        <item sd="0" m="1" x="2843"/>
        <item sd="0" m="1" x="819"/>
        <item sd="0" m="1" x="7166"/>
        <item sd="0" m="1" x="7001"/>
        <item sd="0" m="1" x="5034"/>
        <item sd="0" m="1" x="3007"/>
        <item sd="0" m="1" x="1024"/>
        <item sd="0" m="1" x="7358"/>
        <item sd="0" m="1" x="236"/>
        <item sd="0" m="1" x="6153"/>
        <item sd="0" m="1" x="4162"/>
        <item sd="0" m="1" x="2157"/>
        <item sd="0" m="1" x="446"/>
        <item sd="0" m="1" x="6322"/>
        <item sd="0" m="1" x="4328"/>
        <item sd="0" m="1" x="2361"/>
        <item sd="0" m="1" x="657"/>
        <item sd="0" m="1" x="1624"/>
        <item sd="0" m="1" x="7471"/>
        <item sd="0" m="1" x="5499"/>
        <item sd="0" m="1" x="3293"/>
        <item sd="0" m="1" x="1822"/>
        <item sd="0" m="1" x="7675"/>
        <item sd="0" m="1" x="5658"/>
        <item sd="0" m="1" x="3494"/>
        <item sd="0" m="1" x="2021"/>
        <item sd="0" m="1" x="7862"/>
        <item sd="0" m="1" x="4964"/>
        <item sd="0" m="1" x="2934"/>
        <item sd="0" m="1" x="938"/>
        <item sd="0" m="1" x="6736"/>
        <item sd="0" m="1" x="4592"/>
        <item sd="0" m="1" x="2638"/>
        <item sd="0" m="1" x="5152"/>
        <item sd="0" m="1" x="3116"/>
        <item sd="0" m="1" x="1153"/>
        <item sd="0" m="1" x="6939"/>
        <item sd="0" m="1" x="4778"/>
        <item sd="0" m="1" x="2797"/>
        <item sd="0" m="1" x="5345"/>
        <item sd="0" m="1" x="3316"/>
        <item sd="0" m="1" x="1310"/>
        <item sd="0" m="1" x="7130"/>
        <item sd="0" m="1" x="4252"/>
        <item sd="0" m="1" x="2286"/>
        <item sd="0" m="1" x="142"/>
        <item sd="0" m="1" x="7953"/>
        <item sd="0" m="1" x="5907"/>
        <item sd="0" m="1" x="3940"/>
        <item sd="0" m="1" x="1954"/>
        <item sd="0" m="1" x="4441"/>
        <item sd="0" m="1" x="2495"/>
        <item sd="0" m="1" x="392"/>
        <item sd="0" m="1" x="160"/>
        <item m="1" x="6101"/>
        <item m="1" x="4118"/>
        <item m="1" x="2113"/>
        <item m="1" x="4620"/>
        <item m="1" x="2655"/>
        <item m="1" x="599"/>
        <item sd="0" m="1" x="2159"/>
        <item sd="0" m="1" x="17"/>
        <item sd="0" m="1" x="5980"/>
        <item sd="0" m="1" x="3812"/>
        <item sd="0" m="1" x="1807"/>
        <item sd="0" m="1" x="2363"/>
        <item sd="0" m="1" x="258"/>
        <item sd="0" m="1" x="6171"/>
        <item sd="0" m="1" x="4008"/>
        <item sd="0" m="1" x="2010"/>
        <item sd="0" m="1" x="2555"/>
        <item sd="0" m="1" x="457"/>
        <item sd="0" m="1" x="6328"/>
        <item sd="0" m="1" x="3468"/>
        <item sd="0" m="1" x="1458"/>
        <item sd="0" m="1" x="7281"/>
        <item sd="0" m="1" x="5137"/>
        <item sd="0" m="1" x="3105"/>
        <item sd="0" m="1" x="1142"/>
        <item sd="0" m="1" x="3674"/>
        <item sd="0" m="1" x="1651"/>
        <item sd="0" m="1" x="7497"/>
        <item sd="0" m="1" x="5333"/>
        <item sd="0" m="1" x="3307"/>
        <item sd="0" m="1" x="1302"/>
        <item sd="0" m="1" x="3839"/>
        <item sd="0" m="1" x="1836"/>
        <item sd="0" m="1" x="7686"/>
        <item sd="0" m="1" x="504"/>
        <item sd="0" m="1" x="6361"/>
        <item sd="0" m="1" x="4373"/>
        <item sd="0" m="1" x="2236"/>
        <item sd="0" m="1" x="77"/>
        <item sd="0" m="1" x="713"/>
        <item sd="0" m="1" x="6531"/>
        <item sd="0" m="1" x="4554"/>
        <item sd="0" m="1" x="2435"/>
        <item sd="0" m="1" x="332"/>
        <item sd="0" m="1" x="897"/>
        <item sd="0" m="1" x="6698"/>
        <item sd="0" m="1" x="4732"/>
        <item sd="0" m="1" x="1875"/>
        <item sd="0" m="1" x="7726"/>
        <item sd="0" m="1" x="5706"/>
        <item sd="0" m="1" x="3555"/>
        <item sd="0" m="1" x="1517"/>
        <item sd="0" m="1" x="7342"/>
        <item sd="0" m="1" x="2070"/>
        <item sd="0" m="1" x="7909"/>
        <item sd="0" m="1" x="5861"/>
        <item sd="0" m="1" x="3723"/>
        <item sd="0" m="1" x="1719"/>
        <item sd="0" m="1" x="7566"/>
        <item sd="0" m="1" x="2250"/>
        <item sd="0" m="1" x="98"/>
        <item sd="0" m="1" x="6054"/>
        <item sd="0" m="1" x="1198"/>
        <item sd="0" m="1" x="6987"/>
        <item sd="0" m="1" x="6820"/>
        <item sd="0" m="1" x="4842"/>
        <item sd="0" m="1" x="2847"/>
        <item sd="0" m="1" x="822"/>
        <item sd="0" m="1" x="1363"/>
        <item sd="0" m="1" x="7168"/>
        <item sd="0" m="1" x="7004"/>
        <item sd="0" m="1" x="5036"/>
        <item m="1" x="3009"/>
        <item m="1" x="1026"/>
        <item m="1" x="1534"/>
        <item m="1" x="7361"/>
        <item sd="0" m="1" x="4968"/>
        <item sd="0" m="1" x="2939"/>
        <item sd="0" m="1" x="944"/>
        <item sd="0" m="1" x="6743"/>
        <item sd="0" m="1" x="4597"/>
        <item sd="0" m="1" x="5154"/>
        <item sd="0" m="1" x="3118"/>
        <item sd="0" m="1" x="1155"/>
        <item sd="0" m="1" x="6942"/>
        <item sd="0" m="1" x="4782"/>
        <item sd="0" m="1" x="5347"/>
        <item sd="0" m="1" x="3318"/>
        <item sd="0" m="1" x="1311"/>
        <item sd="0" m="1" x="6273"/>
        <item sd="0" m="1" x="4254"/>
        <item sd="0" m="1" x="2290"/>
        <item sd="0" m="1" x="149"/>
        <item sd="0" m="1" x="7956"/>
        <item sd="0" m="1" x="5910"/>
        <item sd="0" m="1" x="3941"/>
        <item sd="0" m="1" x="6434"/>
        <item sd="0" m="1" x="4443"/>
        <item sd="0" m="1" x="2499"/>
        <item sd="0" m="1" x="396"/>
        <item sd="0" m="1" x="165"/>
        <item sd="0" m="1" x="6104"/>
        <item sd="0" m="1" x="4120"/>
        <item sd="0" m="1" x="6593"/>
        <item sd="0" m="1" x="4623"/>
        <item sd="0" m="1" x="2658"/>
        <item sd="0" m="1" x="601"/>
        <item sd="0" m="1" x="5600"/>
        <item sd="0" m="1" x="3606"/>
        <item sd="0" m="1" x="1407"/>
        <item sd="0" m="1" x="7214"/>
        <item sd="0" m="1" x="5264"/>
        <item sd="0" m="1" x="3226"/>
        <item sd="0" m="1" x="5769"/>
        <item sd="0" m="1" x="3768"/>
        <item sd="0" m="1" x="1576"/>
        <item sd="0" m="1" x="7413"/>
        <item sd="0" m="1" x="5453"/>
        <item sd="0" m="1" x="3422"/>
        <item sd="0" m="1" x="5932"/>
        <item sd="0" m="1" x="3956"/>
        <item sd="0" m="1" x="4903"/>
        <item sd="0" m="1" x="2743"/>
        <item sd="0" m="1" x="694"/>
        <item sd="0" m="1" x="6511"/>
        <item sd="0" m="1" x="5089"/>
        <item sd="0" m="1" x="2895"/>
        <item sd="0" m="1" x="883"/>
        <item sd="0" m="1" x="6682"/>
        <item sd="0" m="1" x="5283"/>
        <item sd="0" m="1" x="2163"/>
        <item sd="0" m="1" x="19"/>
        <item sd="0" m="1" x="5983"/>
        <item sd="0" m="1" x="3816"/>
        <item sd="0" m="1" x="2366"/>
        <item sd="0" m="1" x="259"/>
        <item sd="0" m="1" x="6172"/>
        <item m="1" x="4011"/>
        <item m="1" x="2557"/>
        <item m="1" x="458"/>
        <item sd="0" m="1" x="4110"/>
        <item sd="0" m="1" x="1958"/>
        <item sd="0" m="1" x="7809"/>
        <item sd="0" m="1" x="5764"/>
        <item sd="0" m="1" x="4272"/>
        <item sd="0" m="1" x="2116"/>
        <item sd="0" m="1" x="7971"/>
        <item sd="0" m="1" x="5926"/>
        <item sd="0" m="1" x="4452"/>
        <item sd="0" m="1" x="3228"/>
        <item sd="0" m="1" x="1250"/>
        <item sd="0" m="1" x="7065"/>
        <item sd="0" m="1" x="3424"/>
        <item sd="0" m="1" x="1420"/>
        <item sd="0" m="1" x="7230"/>
        <item sd="0" m="1" x="6514"/>
        <item sd="0" m="1" x="4541"/>
        <item sd="0" m="1" x="2591"/>
        <item sd="0" m="1" x="503"/>
        <item sd="0" m="1" x="6685"/>
        <item sd="0" m="1" x="4724"/>
        <item sd="0" m="1" x="2754"/>
        <item sd="0" m="1" x="712"/>
        <item sd="0" m="1" x="6896"/>
        <item sd="0" m="1" x="4925"/>
        <item sd="0" m="1" x="7894"/>
        <item sd="0" m="1" x="5846"/>
        <item sd="0" m="1" x="3885"/>
        <item sd="0" m="1" x="1704"/>
        <item sd="0" m="1" x="7549"/>
        <item sd="0" m="1" x="89"/>
        <item sd="0" m="1" x="6045"/>
        <item sd="0" m="1" x="4072"/>
        <item sd="0" m="1" x="1896"/>
        <item sd="0" m="1" x="7747"/>
        <item sd="0" m="1" x="344"/>
        <item sd="0" m="1" x="6236"/>
        <item sd="0" m="1" x="4225"/>
        <item sd="0" m="1" x="1347"/>
        <item sd="0" m="1" x="7155"/>
        <item sd="0" m="1" x="5214"/>
        <item sd="0" m="1" x="2999"/>
        <item sd="0" m="1" x="1017"/>
        <item sd="0" m="1" x="6819"/>
        <item sd="0" m="1" x="1528"/>
        <item sd="0" m="1" x="7353"/>
        <item sd="0" m="1" x="5407"/>
        <item sd="0" m="1" x="3174"/>
        <item m="1" x="1209"/>
        <item m="1" x="7003"/>
        <item m="1" x="1731"/>
        <item m="1" x="7577"/>
        <item m="1" x="5575"/>
        <item sd="0" m="1" x="7066"/>
        <item sd="0" m="1" x="5080"/>
        <item sd="0" m="1" x="3058"/>
        <item sd="0" m="1" x="1085"/>
        <item sd="0" m="1" x="872"/>
        <item sd="0" m="1" x="6669"/>
        <item sd="0" m="1" x="7231"/>
        <item sd="0" m="1" x="5277"/>
        <item sd="0" m="1" x="3241"/>
        <item sd="0" m="1" x="1261"/>
        <item sd="0" m="1" x="1096"/>
        <item sd="0" m="1" x="6884"/>
        <item sd="0" m="1" x="7428"/>
        <item sd="0" m="1" x="5462"/>
        <item sd="0" m="1" x="3434"/>
        <item sd="0" m="1" x="505"/>
        <item sd="0" m="1" x="6362"/>
        <item sd="0" m="1" x="4374"/>
        <item sd="0" m="1" x="2237"/>
        <item sd="0" m="1" x="78"/>
        <item sd="0" m="1" x="6037"/>
        <item sd="0" m="1" x="714"/>
        <item sd="0" m="1" x="6532"/>
        <item sd="0" m="1" x="4555"/>
        <item sd="0" m="1" x="2436"/>
        <item sd="0" m="1" x="333"/>
        <item sd="0" m="1" x="6229"/>
        <item sd="0" m="1" x="898"/>
        <item sd="0" m="1" x="6699"/>
        <item sd="0" m="1" x="4733"/>
        <item sd="0" m="1" x="7727"/>
        <item sd="0" m="1" x="5707"/>
        <item sd="0" m="1" x="3556"/>
        <item sd="0" m="1" x="1518"/>
        <item sd="0" m="1" x="7343"/>
        <item sd="0" m="1" x="7910"/>
        <item sd="0" m="1" x="5862"/>
        <item sd="0" m="1" x="3724"/>
        <item sd="0" m="1" x="1720"/>
        <item sd="0" m="1" x="7567"/>
        <item sd="0" m="1" x="99"/>
        <item sd="0" m="1" x="6055"/>
        <item sd="0" m="1" x="6988"/>
        <item sd="0" m="1" x="6821"/>
        <item sd="0" m="1" x="4843"/>
        <item sd="0" m="1" x="2848"/>
        <item sd="0" m="1" x="823"/>
        <item sd="0" m="1" x="7169"/>
        <item sd="0" m="1" x="7005"/>
        <item sd="0" m="1" x="5037"/>
        <item sd="0" m="1" x="3010"/>
        <item sd="0" m="1" x="1027"/>
        <item sd="0" m="1" x="7362"/>
        <item sd="0" m="1" x="240"/>
        <item sd="0" m="1" x="6157"/>
        <item sd="0" m="1" x="4166"/>
        <item sd="0" m="1" x="2162"/>
        <item sd="0" m="1" x="448"/>
        <item sd="0" m="1" x="6323"/>
        <item sd="0" m="1" x="4330"/>
        <item sd="0" m="1" x="2365"/>
        <item sd="0" m="1" x="659"/>
        <item m="1" x="5348"/>
        <item sd="0" m="1" x="4255"/>
        <item sd="0" m="1" x="2291"/>
        <item sd="0" m="1" x="150"/>
        <item sd="0" m="1" x="7957"/>
        <item sd="0" m="1" x="5911"/>
        <item sd="0" m="1" x="3942"/>
        <item sd="0" m="1" x="1957"/>
        <item sd="0" m="1" x="4444"/>
        <item sd="0" m="1" x="2500"/>
        <item sd="0" m="1" x="397"/>
        <item sd="0" m="1" x="166"/>
        <item sd="0" m="1" x="6105"/>
        <item sd="0" m="1" x="4121"/>
        <item sd="0" m="1" x="2115"/>
        <item sd="0" m="1" x="4624"/>
        <item sd="0" m="1" x="2659"/>
        <item sd="0" m="1" x="602"/>
        <item sd="0" m="1" x="3607"/>
        <item sd="0" m="1" x="1408"/>
        <item sd="0" m="1" x="7215"/>
        <item sd="0" m="1" x="5265"/>
        <item sd="0" m="1" x="3227"/>
        <item sd="0" m="1" x="3769"/>
        <item sd="0" m="1" x="1577"/>
        <item sd="0" m="1" x="7414"/>
        <item sd="0" m="1" x="5454"/>
        <item sd="0" m="1" x="3423"/>
        <item sd="0" m="1" x="3957"/>
        <item sd="0" m="1" x="2744"/>
        <item sd="0" m="1" x="695"/>
        <item sd="0" m="1" x="6512"/>
        <item sd="0" m="1" x="2896"/>
        <item sd="0" m="1" x="884"/>
        <item sd="0" m="1" x="6683"/>
        <item sd="0" m="1" x="2164"/>
        <item sd="0" m="1" x="20"/>
        <item sd="0" m="1" x="5984"/>
        <item sd="0" m="1" x="3817"/>
        <item sd="0" m="1" x="1811"/>
        <item sd="0" m="1" x="2367"/>
        <item sd="0" m="1" x="260"/>
        <item sd="0" m="1" x="6173"/>
        <item sd="0" m="1" x="4012"/>
        <item sd="0" m="1" x="2013"/>
        <item sd="0" m="1" x="2558"/>
        <item sd="0" m="1" x="459"/>
        <item sd="0" m="1" x="6329"/>
        <item sd="0" m="1" x="512"/>
        <item sd="0" m="1" x="6366"/>
        <item sd="0" m="1" x="4377"/>
        <item sd="0" m="1" x="2238"/>
        <item sd="0" m="1" x="80"/>
        <item sd="0" m="1" x="717"/>
        <item sd="0" m="1" x="6533"/>
        <item sd="0" m="1" x="4556"/>
        <item sd="0" m="1" x="2437"/>
        <item m="1" x="335"/>
        <item m="1" x="900"/>
        <item m="1" x="6700"/>
        <item m="1" x="4734"/>
        <item sd="0" m="1" x="247"/>
        <item sd="0" m="1" x="6163"/>
        <item sd="0" m="1" x="4170"/>
        <item sd="0" m="1" x="2168"/>
        <item sd="0" m="1" x="452"/>
        <item sd="0" m="1" x="6325"/>
        <item sd="0" m="1" x="4331"/>
        <item sd="0" m="1" x="2368"/>
        <item sd="0" m="1" x="1635"/>
        <item sd="0" m="1" x="7483"/>
        <item sd="0" m="1" x="5508"/>
        <item sd="0" m="1" x="1828"/>
        <item sd="0" m="1" x="7680"/>
        <item sd="0" m="1" x="5661"/>
        <item sd="0" m="1" x="2025"/>
        <item sd="0" m="1" x="4971"/>
        <item sd="0" m="1" x="2941"/>
        <item sd="0" m="1" x="948"/>
        <item sd="0" m="1" x="6748"/>
        <item sd="0" m="1" x="4601"/>
        <item sd="0" m="1" x="5156"/>
        <item sd="0" m="1" x="3120"/>
        <item sd="0" m="1" x="1156"/>
        <item sd="0" m="1" x="6943"/>
        <item sd="0" m="1" x="4786"/>
        <item sd="0" m="1" x="5351"/>
        <item sd="0" m="1" x="3322"/>
        <item sd="0" m="1" x="1313"/>
        <item sd="0" m="1" x="6278"/>
        <item sd="0" m="1" x="4259"/>
        <item sd="0" m="1" x="2294"/>
        <item sd="0" m="1" x="155"/>
        <item sd="0" m="1" x="7962"/>
        <item sd="0" m="1" x="5915"/>
        <item sd="0" m="1" x="3943"/>
        <item sd="0" m="1" x="6436"/>
        <item sd="0" m="1" x="4446"/>
        <item sd="0" m="1" x="2502"/>
        <item sd="0" m="1" x="398"/>
        <item sd="0" m="1" x="169"/>
        <item sd="0" m="1" x="6108"/>
        <item sd="0" m="1" x="4122"/>
        <item sd="0" m="1" x="6596"/>
        <item sd="0" m="1" x="4626"/>
        <item sd="0" m="1" x="2661"/>
        <item sd="0" m="1" x="606"/>
        <item sd="0" m="1" x="5603"/>
        <item sd="0" m="1" x="3608"/>
        <item sd="0" m="1" x="1412"/>
        <item sd="0" m="1" x="7219"/>
        <item sd="0" m="1" x="5266"/>
        <item sd="0" m="1" x="3230"/>
        <item sd="0" m="1" x="5770"/>
        <item sd="0" m="1" x="3770"/>
        <item sd="0" m="1" x="1579"/>
        <item m="1" x="7416"/>
        <item m="1" x="5455"/>
        <item m="1" x="3425"/>
        <item m="1" x="5934"/>
        <item m="1" x="3959"/>
        <item sd="0" m="1" x="5510"/>
        <item sd="0" m="1" x="3481"/>
        <item sd="0" m="1" x="1463"/>
        <item sd="0" m="1" x="7288"/>
        <item sd="0" m="1" x="5144"/>
        <item sd="0" m="1" x="3109"/>
        <item sd="0" m="1" x="5663"/>
        <item sd="0" m="1" x="3677"/>
        <item sd="0" m="1" x="1654"/>
        <item sd="0" m="1" x="7501"/>
        <item sd="0" m="1" x="5338"/>
        <item sd="0" m="1" x="3310"/>
        <item sd="0" m="1" x="5819"/>
        <item sd="0" m="1" x="3840"/>
        <item sd="0" m="1" x="1838"/>
        <item sd="0" m="1" x="7688"/>
        <item sd="0" m="1" x="4770"/>
        <item sd="0" m="1" x="2792"/>
        <item sd="0" m="1" x="590"/>
        <item sd="0" m="1" x="6430"/>
        <item sd="0" m="1" x="4436"/>
        <item sd="0" m="1" x="2489"/>
        <item sd="0" m="1" x="4984"/>
        <item sd="0" m="1" x="2955"/>
        <item sd="0" m="1" x="777"/>
        <item sd="0" m="1" x="6586"/>
        <item sd="0" m="1" x="4616"/>
        <item sd="0" m="1" x="2651"/>
        <item sd="0" m="1" x="5164"/>
        <item sd="0" m="1" x="3128"/>
        <item sd="0" m="1" x="4114"/>
        <item sd="0" m="1" x="1961"/>
        <item sd="0" m="1" x="7810"/>
        <item sd="0" m="1" x="5766"/>
        <item sd="0" m="1" x="4273"/>
        <item sd="0" m="1" x="2118"/>
        <item sd="0" m="1" x="7972"/>
        <item sd="0" m="1" x="5928"/>
        <item sd="0" m="1" x="4455"/>
        <item sd="0" m="1" x="3232"/>
        <item sd="0" m="1" x="1252"/>
        <item sd="0" m="1" x="7069"/>
        <item sd="0" m="1" x="3427"/>
        <item sd="0" m="1" x="1421"/>
        <item sd="0" m="1" x="7232"/>
        <item sd="0" m="1" x="6520"/>
        <item sd="0" m="1" x="4545"/>
        <item sd="0" m="1" x="2595"/>
        <item sd="0" m="1" x="511"/>
        <item sd="0" m="1" x="6689"/>
        <item sd="0" m="1" x="4727"/>
        <item sd="0" m="1" x="2755"/>
        <item sd="0" m="1" x="716"/>
        <item sd="0" m="1" x="6898"/>
        <item m="1" x="4927"/>
        <item sd="0" m="1" x="640"/>
        <item sd="0" m="1" x="6472"/>
        <item sd="0" m="1" x="4322"/>
        <item sd="0" m="1" x="2351"/>
        <item sd="0" m="1" x="244"/>
        <item sd="0" m="1" x="833"/>
        <item sd="0" m="1" x="6636"/>
        <item sd="0" m="1" x="4504"/>
        <item sd="0" m="1" x="2550"/>
        <item sd="0" m="1" x="449"/>
        <item sd="0" m="1" x="1037"/>
        <item sd="0" m="1" x="6835"/>
        <item sd="0" m="1" x="7668"/>
        <item sd="0" m="1" x="5650"/>
        <item sd="0" m="1" x="3663"/>
        <item sd="0" m="1" x="1632"/>
        <item sd="0" m="1" x="7858"/>
        <item sd="0" m="1" x="5811"/>
        <item sd="0" m="1" x="3831"/>
        <item sd="0" m="1" x="1825"/>
        <item sd="0" m="1" x="7070"/>
        <item sd="0" m="1" x="5083"/>
        <item sd="0" m="1" x="3060"/>
        <item sd="0" m="1" x="1088"/>
        <item sd="0" m="1" x="876"/>
        <item sd="0" m="1" x="6674"/>
        <item sd="0" m="1" x="7233"/>
        <item sd="0" m="1" x="5279"/>
        <item sd="0" m="1" x="3242"/>
        <item sd="0" m="1" x="1262"/>
        <item sd="0" m="1" x="1098"/>
        <item sd="0" m="1" x="6887"/>
        <item sd="0" m="1" x="7431"/>
        <item sd="0" m="1" x="5463"/>
        <item sd="0" m="1" x="3435"/>
        <item sd="0" m="1" x="513"/>
        <item sd="0" m="1" x="6367"/>
        <item sd="0" m="1" x="4378"/>
        <item sd="0" m="1" x="2239"/>
        <item sd="0" m="1" x="81"/>
        <item sd="0" m="1" x="6039"/>
        <item sd="0" m="1" x="718"/>
        <item sd="0" m="1" x="6534"/>
        <item sd="0" m="1" x="4557"/>
        <item sd="0" m="1" x="2438"/>
        <item sd="0" m="1" x="336"/>
        <item sd="0" m="1" x="6231"/>
        <item sd="0" m="1" x="901"/>
        <item sd="0" m="1" x="6701"/>
        <item sd="0" m="1" x="4735"/>
        <item sd="0" m="1" x="7732"/>
        <item sd="0" m="1" x="5711"/>
        <item sd="0" m="1" x="3559"/>
        <item sd="0" m="1" x="1520"/>
        <item sd="0" m="1" x="7345"/>
        <item sd="0" m="1" x="7912"/>
        <item sd="0" m="1" x="5864"/>
        <item sd="0" m="1" x="3725"/>
        <item m="1" x="1722"/>
        <item m="1" x="7569"/>
        <item m="1" x="100"/>
        <item m="1" x="6056"/>
        <item sd="0" m="1" x="1636"/>
        <item sd="0" m="1" x="7484"/>
        <item sd="0" m="1" x="5509"/>
        <item sd="0" m="1" x="3300"/>
        <item sd="0" m="1" x="1829"/>
        <item sd="0" m="1" x="7681"/>
        <item sd="0" m="1" x="5662"/>
        <item sd="0" m="1" x="3498"/>
        <item sd="0" m="1" x="2026"/>
        <item sd="0" m="1" x="7865"/>
        <item sd="0" m="1" x="4972"/>
        <item sd="0" m="1" x="2942"/>
        <item sd="0" m="1" x="949"/>
        <item sd="0" m="1" x="6749"/>
        <item sd="0" m="1" x="4602"/>
        <item sd="0" m="1" x="2643"/>
        <item sd="0" m="1" x="5157"/>
        <item sd="0" m="1" x="3121"/>
        <item sd="0" m="1" x="1157"/>
        <item sd="0" m="1" x="6944"/>
        <item sd="0" m="1" x="4787"/>
        <item sd="0" m="1" x="2801"/>
        <item sd="0" m="1" x="5352"/>
        <item sd="0" m="1" x="3323"/>
        <item sd="0" m="1" x="1314"/>
        <item sd="0" m="1" x="7133"/>
        <item sd="0" m="1" x="4260"/>
        <item sd="0" m="1" x="2295"/>
        <item sd="0" m="1" x="156"/>
        <item sd="0" m="1" x="7963"/>
        <item sd="0" m="1" x="5916"/>
        <item sd="0" m="1" x="3944"/>
        <item sd="0" m="1" x="1960"/>
        <item sd="0" m="1" x="4447"/>
        <item sd="0" m="1" x="2503"/>
        <item sd="0" m="1" x="399"/>
        <item sd="0" m="1" x="170"/>
        <item sd="0" m="1" x="6109"/>
        <item sd="0" m="1" x="4123"/>
        <item sd="0" m="1" x="2117"/>
        <item sd="0" m="1" x="4627"/>
        <item sd="0" m="1" x="2662"/>
        <item sd="0" m="1" x="607"/>
        <item sd="0" m="1" x="3609"/>
        <item sd="0" m="1" x="1413"/>
        <item sd="0" m="1" x="7220"/>
        <item sd="0" m="1" x="5267"/>
        <item sd="0" m="1" x="3231"/>
        <item sd="0" m="1" x="3771"/>
        <item sd="0" m="1" x="1580"/>
        <item sd="0" m="1" x="7417"/>
        <item sd="0" m="1" x="5456"/>
        <item sd="0" m="1" x="3426"/>
        <item sd="0" m="1" x="3960"/>
        <item sd="0" m="1" x="2748"/>
        <item sd="0" m="1" x="700"/>
        <item sd="0" m="1" x="6517"/>
        <item sd="0" m="1" x="2898"/>
        <item sd="0" m="1" x="886"/>
        <item sd="0" m="1" x="6686"/>
        <item sd="0" m="1" x="520"/>
        <item sd="0" m="1" x="6371"/>
        <item sd="0" m="1" x="4382"/>
        <item sd="0" m="1" x="2240"/>
        <item sd="0" m="1" x="82"/>
        <item sd="0" m="1" x="721"/>
        <item sd="0" m="1" x="6535"/>
        <item sd="0" m="1" x="4558"/>
        <item sd="0" m="1" x="2439"/>
        <item sd="0" m="1" x="337"/>
        <item sd="0" m="1" x="903"/>
        <item sd="0" m="1" x="6702"/>
        <item sd="0" m="1" x="4736"/>
        <item sd="0" m="1" x="1885"/>
        <item sd="0" m="1" x="7736"/>
        <item sd="0" m="1" x="5715"/>
        <item sd="0" m="1" x="3562"/>
        <item sd="0" m="1" x="1522"/>
        <item sd="0" m="1" x="7346"/>
        <item sd="0" m="1" x="2075"/>
        <item sd="0" m="1" x="7915"/>
        <item sd="0" m="1" x="5867"/>
        <item sd="0" m="1" x="3726"/>
        <item sd="0" m="1" x="1723"/>
        <item sd="0" m="1" x="7570"/>
        <item sd="0" m="1" x="2252"/>
        <item sd="0" m="1" x="102"/>
        <item sd="0" m="1" x="6058"/>
        <item sd="0" m="1" x="1204"/>
        <item sd="0" m="1" x="6995"/>
        <item sd="0" m="1" x="6824"/>
        <item sd="0" m="1" x="4847"/>
        <item sd="0" m="1" x="2851"/>
        <item sd="0" m="1" x="828"/>
        <item sd="0" m="1" x="1367"/>
        <item sd="0" m="1" x="7172"/>
        <item sd="0" m="1" x="7007"/>
        <item sd="0" m="1" x="5038"/>
        <item sd="0" m="1" x="3011"/>
        <item sd="0" m="1" x="1030"/>
        <item sd="0" m="1" x="1535"/>
        <item sd="0" m="1" x="7363"/>
        <item sd="0" m="1" x="252"/>
        <item sd="0" m="1" x="6166"/>
        <item sd="0" m="1" x="4174"/>
        <item sd="0" m="1" x="2171"/>
        <item sd="0" m="1" x="454"/>
        <item sd="0" m="1" x="6326"/>
        <item sd="0" m="1" x="4332"/>
        <item sd="0" m="1" x="2369"/>
        <item sd="0" m="1" x="1644"/>
        <item sd="0" m="1" x="7491"/>
        <item sd="0" m="1" x="5516"/>
        <item sd="0" m="1" x="1832"/>
        <item sd="0" m="1" x="7683"/>
        <item sd="0" m="1" x="5664"/>
        <item m="1" x="2029"/>
        <item m="1" x="171"/>
        <item m="1" x="6600"/>
        <item sd="0" m="1" x="5605"/>
        <item sd="0" m="1" x="3611"/>
        <item sd="0" m="1" x="1416"/>
        <item sd="0" m="1" x="7223"/>
        <item sd="0" m="1" x="5269"/>
        <item sd="0" m="1" x="3234"/>
        <item sd="0" m="1" x="5771"/>
        <item sd="0" m="1" x="3772"/>
        <item sd="0" m="1" x="1582"/>
        <item sd="0" m="1" x="7419"/>
        <item sd="0" m="1" x="5457"/>
        <item sd="0" m="1" x="3428"/>
        <item sd="0" m="1" x="5936"/>
        <item sd="0" m="1" x="3962"/>
        <item sd="0" m="1" x="4909"/>
        <item sd="0" m="1" x="2750"/>
        <item sd="0" m="1" x="705"/>
        <item sd="0" m="1" x="6521"/>
        <item sd="0" m="1" x="5091"/>
        <item sd="0" m="1" x="2899"/>
        <item sd="0" m="1" x="889"/>
        <item sd="0" m="1" x="6690"/>
        <item sd="0" m="1" x="5284"/>
        <item sd="0" m="1" x="2173"/>
        <item sd="0" m="1" x="25"/>
        <item sd="0" m="1" x="5987"/>
        <item sd="0" m="1" x="3822"/>
        <item sd="0" m="1" x="2371"/>
        <item sd="0" m="1" x="261"/>
        <item sd="0" m="1" x="6174"/>
        <item sd="0" m="1" x="4016"/>
        <item sd="0" m="1" x="2561"/>
        <item sd="0" m="1" x="460"/>
        <item sd="0" m="1" x="5518"/>
        <item sd="0" m="1" x="3490"/>
        <item sd="0" m="1" x="1468"/>
        <item sd="0" m="1" x="7291"/>
        <item sd="0" m="1" x="5148"/>
        <item sd="0" m="1" x="3112"/>
        <item sd="0" m="1" x="5666"/>
        <item sd="0" m="1" x="3678"/>
        <item sd="0" m="1" x="1655"/>
        <item sd="0" m="1" x="7502"/>
        <item sd="0" m="1" x="5342"/>
        <item sd="0" m="1" x="3313"/>
        <item sd="0" m="1" x="5821"/>
        <item sd="0" m="1" x="3841"/>
        <item sd="0" m="1" x="1839"/>
        <item sd="0" m="1" x="7689"/>
        <item sd="0" m="1" x="4776"/>
        <item sd="0" m="1" x="2796"/>
        <item sd="0" m="1" x="591"/>
        <item sd="0" m="1" x="6432"/>
        <item sd="0" m="1" x="4439"/>
        <item sd="0" m="1" x="2494"/>
        <item sd="0" m="1" x="4986"/>
        <item sd="0" m="1" x="2956"/>
        <item sd="0" m="1" x="778"/>
        <item m="1" x="6588"/>
        <item m="1" x="4619"/>
        <item m="1" x="2654"/>
        <item m="1" x="5166"/>
        <item m="1" x="3130"/>
        <item sd="0" m="1" x="6525"/>
        <item sd="0" m="1" x="4549"/>
        <item sd="0" m="1" x="2598"/>
        <item sd="0" m="1" x="519"/>
        <item sd="0" m="1" x="6694"/>
        <item sd="0" m="1" x="4730"/>
        <item sd="0" m="1" x="2756"/>
        <item sd="0" m="1" x="720"/>
        <item sd="0" m="1" x="6900"/>
        <item sd="0" m="1" x="4929"/>
        <item sd="0" m="1" x="7902"/>
        <item sd="0" m="1" x="5853"/>
        <item sd="0" m="1" x="3890"/>
        <item sd="0" m="1" x="1712"/>
        <item sd="0" m="1" x="7559"/>
        <item sd="0" m="1" x="93"/>
        <item sd="0" m="1" x="6049"/>
        <item sd="0" m="1" x="4074"/>
        <item sd="0" m="1" x="1902"/>
        <item sd="0" m="1" x="7752"/>
        <item sd="0" m="1" x="345"/>
        <item sd="0" m="1" x="6237"/>
        <item sd="0" m="1" x="4226"/>
        <item sd="0" m="1" x="1356"/>
        <item sd="0" m="1" x="7162"/>
        <item sd="0" m="1" x="5218"/>
        <item sd="0" m="1" x="3005"/>
        <item sd="0" m="1" x="1021"/>
        <item sd="0" m="1" x="6823"/>
        <item sd="0" m="1" x="1530"/>
        <item sd="0" m="1" x="7356"/>
        <item sd="0" m="1" x="5411"/>
        <item sd="0" m="1" x="3177"/>
        <item sd="0" m="1" x="1210"/>
        <item sd="0" m="1" x="7006"/>
        <item sd="0" m="1" x="1736"/>
        <item sd="0" m="1" x="7580"/>
        <item sd="0" m="1" x="5578"/>
        <item sd="0" m="1" x="644"/>
        <item sd="0" m="1" x="6474"/>
        <item sd="0" m="1" x="4326"/>
        <item sd="0" m="1" x="2358"/>
        <item sd="0" m="1" x="251"/>
        <item sd="0" m="1" x="834"/>
        <item sd="0" m="1" x="6638"/>
        <item sd="0" m="1" x="4507"/>
        <item sd="0" m="1" x="2553"/>
        <item sd="0" m="1" x="453"/>
        <item sd="0" m="1" x="1040"/>
        <item sd="0" m="1" x="6838"/>
        <item sd="0" m="1" x="7672"/>
        <item sd="0" m="1" x="5655"/>
        <item sd="0" m="1" x="3669"/>
        <item sd="0" m="1" x="1642"/>
        <item sd="0" m="1" x="7861"/>
        <item sd="0" m="1" x="5814"/>
        <item sd="0" m="1" x="3835"/>
        <item m="1" x="1830"/>
        <item m="1" x="2440"/>
        <item sd="0" m="1" x="7737"/>
        <item sd="0" m="1" x="5716"/>
        <item sd="0" m="1" x="3563"/>
        <item sd="0" m="1" x="1523"/>
        <item sd="0" m="1" x="7347"/>
        <item sd="0" m="1" x="7916"/>
        <item sd="0" m="1" x="5868"/>
        <item sd="0" m="1" x="3727"/>
        <item sd="0" m="1" x="1724"/>
        <item sd="0" m="1" x="7571"/>
        <item sd="0" m="1" x="103"/>
        <item sd="0" m="1" x="6059"/>
        <item sd="0" m="1" x="6996"/>
        <item sd="0" m="1" x="6825"/>
        <item sd="0" m="1" x="4848"/>
        <item sd="0" m="1" x="2852"/>
        <item sd="0" m="1" x="829"/>
        <item sd="0" m="1" x="7173"/>
        <item sd="0" m="1" x="7008"/>
        <item sd="0" m="1" x="5039"/>
        <item sd="0" m="1" x="3012"/>
        <item sd="0" m="1" x="1031"/>
        <item sd="0" m="1" x="7364"/>
        <item sd="0" m="1" x="253"/>
        <item sd="0" m="1" x="6167"/>
        <item sd="0" m="1" x="4175"/>
        <item sd="0" m="1" x="2172"/>
        <item sd="0" m="1" x="455"/>
        <item sd="0" m="1" x="6327"/>
        <item sd="0" m="1" x="4333"/>
        <item sd="0" m="1" x="2370"/>
        <item sd="0" m="1" x="662"/>
        <item sd="0" m="1" x="1645"/>
        <item sd="0" m="1" x="7492"/>
        <item sd="0" m="1" x="5517"/>
        <item sd="0" m="1" x="3303"/>
        <item sd="0" m="1" x="1833"/>
        <item sd="0" m="1" x="7684"/>
        <item sd="0" m="1" x="5665"/>
        <item sd="0" m="1" x="3500"/>
        <item sd="0" m="1" x="2030"/>
        <item sd="0" m="1" x="7867"/>
        <item sd="0" m="1" x="4976"/>
        <item sd="0" m="1" x="2948"/>
        <item sd="0" m="1" x="955"/>
        <item sd="0" m="1" x="6754"/>
        <item sd="0" m="1" x="4605"/>
        <item sd="0" m="1" x="2645"/>
        <item sd="0" m="1" x="5159"/>
        <item sd="0" m="1" x="3123"/>
        <item sd="0" m="1" x="1158"/>
        <item sd="0" m="1" x="6946"/>
        <item m="1" x="4789"/>
        <item m="1" x="2802"/>
        <item sd="0" m="1" x="5355"/>
        <item m="1" x="3327"/>
        <item m="1" x="1316"/>
        <item m="1" x="7136"/>
        <item sd="0" m="1" x="2751"/>
        <item sd="0" m="1" x="706"/>
        <item sd="0" m="1" x="6522"/>
        <item sd="0" m="1" x="2900"/>
        <item sd="0" m="1" x="890"/>
        <item sd="0" m="1" x="6691"/>
        <item sd="0" m="1" x="2174"/>
        <item sd="0" m="1" x="26"/>
        <item sd="0" m="1" x="5988"/>
        <item sd="0" m="1" x="3823"/>
        <item sd="0" m="1" x="1818"/>
        <item sd="0" m="1" x="2372"/>
        <item sd="0" m="1" x="262"/>
        <item sd="0" m="1" x="6175"/>
        <item sd="0" m="1" x="4017"/>
        <item sd="0" m="1" x="2019"/>
        <item sd="0" m="1" x="2562"/>
        <item sd="0" m="1" x="461"/>
        <item sd="0" m="1" x="6332"/>
        <item sd="0" m="1" x="3491"/>
        <item sd="0" m="1" x="1469"/>
        <item sd="0" m="1" x="7292"/>
        <item sd="0" m="1" x="5149"/>
        <item sd="0" m="1" x="3113"/>
        <item sd="0" m="1" x="1151"/>
        <item sd="0" m="1" x="3679"/>
        <item sd="0" m="1" x="1656"/>
        <item sd="0" m="1" x="7503"/>
        <item sd="0" m="1" x="5343"/>
        <item sd="0" m="1" x="3314"/>
        <item sd="0" m="1" x="1308"/>
        <item sd="0" m="1" x="3842"/>
        <item sd="0" m="1" x="1840"/>
        <item sd="0" m="1" x="7690"/>
        <item sd="0" m="1" x="528"/>
        <item sd="0" m="1" x="6376"/>
        <item sd="0" m="1" x="4386"/>
        <item sd="0" m="1" x="2241"/>
        <item sd="0" m="1" x="85"/>
        <item sd="0" m="1" x="724"/>
        <item sd="0" m="1" x="6537"/>
        <item sd="0" m="1" x="4559"/>
        <item sd="0" m="1" x="2442"/>
        <item sd="0" m="1" x="340"/>
        <item sd="0" m="1" x="908"/>
        <item sd="0" m="1" x="6705"/>
        <item sd="0" m="1" x="4738"/>
        <item sd="0" m="1" x="1895"/>
        <item sd="0" m="1" x="7745"/>
        <item sd="0" m="1" x="5720"/>
        <item sd="0" m="1" x="3565"/>
        <item sd="0" m="1" x="1525"/>
        <item sd="0" m="1" x="7349"/>
        <item sd="0" m="1" x="2078"/>
        <item sd="0" m="1" x="7918"/>
        <item sd="0" m="1" x="5870"/>
        <item m="1" x="3729"/>
        <item m="1" x="1727"/>
        <item m="1" x="7573"/>
        <item m="1" x="2257"/>
        <item m="1" x="106"/>
        <item m="1" x="6062"/>
        <item sd="0" m="1" x="1652"/>
        <item sd="0" m="1" x="7498"/>
        <item sd="0" m="1" x="5522"/>
        <item sd="0" m="1" x="1837"/>
        <item sd="0" m="1" x="7687"/>
        <item sd="0" m="1" x="5667"/>
        <item sd="0" m="1" x="2036"/>
        <item sd="0" m="1" x="4979"/>
        <item sd="0" m="1" x="2951"/>
        <item sd="0" m="1" x="958"/>
        <item sd="0" m="1" x="6758"/>
        <item sd="0" m="1" x="4611"/>
        <item sd="0" m="1" x="5161"/>
        <item sd="0" m="1" x="3125"/>
        <item sd="0" m="1" x="1159"/>
        <item sd="0" m="1" x="6948"/>
        <item sd="0" m="1" x="4792"/>
        <item sd="0" m="1" x="5357"/>
        <item sd="0" m="1" x="3331"/>
        <item sd="0" m="1" x="1319"/>
        <item sd="0" m="1" x="6284"/>
        <item sd="0" m="1" x="4267"/>
        <item sd="0" m="1" x="2300"/>
        <item sd="0" m="1" x="163"/>
        <item sd="0" m="1" x="7968"/>
        <item sd="0" m="1" x="5922"/>
        <item sd="0" m="1" x="3947"/>
        <item sd="0" m="1" x="6437"/>
        <item sd="0" m="1" x="4450"/>
        <item sd="0" m="1" x="2504"/>
        <item sd="0" m="1" x="401"/>
        <item sd="0" m="1" x="174"/>
        <item sd="0" m="1" x="6112"/>
        <item sd="0" m="1" x="4124"/>
        <item sd="0" m="1" x="6602"/>
        <item sd="0" m="1" x="4631"/>
        <item sd="0" m="1" x="2666"/>
        <item sd="0" m="1" x="613"/>
        <item sd="0" m="1" x="5608"/>
        <item sd="0" m="1" x="3614"/>
        <item sd="0" m="1" x="1418"/>
        <item sd="0" m="1" x="7227"/>
        <item sd="0" m="1" x="5272"/>
        <item sd="0" m="1" x="3236"/>
        <item sd="0" m="1" x="5772"/>
        <item sd="0" m="1" x="3773"/>
        <item sd="0" m="1" x="1584"/>
        <item sd="0" m="1" x="7423"/>
        <item sd="0" m="1" x="5459"/>
        <item sd="0" m="1" x="3430"/>
        <item sd="0" m="1" x="5938"/>
        <item sd="0" m="1" x="3965"/>
        <item sd="0" m="1" x="4912"/>
        <item sd="0" m="1" x="2752"/>
        <item sd="0" m="1" x="710"/>
        <item sd="0" m="1" x="6527"/>
        <item sd="0" m="1" x="5092"/>
        <item sd="0" m="1" x="2901"/>
        <item sd="0" m="1" x="893"/>
        <item m="1" x="6695"/>
        <item m="1" x="5286"/>
        <item m="1" x="5826"/>
        <item sd="0" m="1" x="4781"/>
        <item sd="0" m="1" x="2799"/>
        <item sd="0" m="1" x="594"/>
        <item sd="0" m="1" x="6433"/>
        <item sd="0" m="1" x="4442"/>
        <item sd="0" m="1" x="2498"/>
        <item sd="0" m="1" x="4989"/>
        <item sd="0" m="1" x="2957"/>
        <item sd="0" m="1" x="781"/>
        <item sd="0" m="1" x="6591"/>
        <item sd="0" m="1" x="4621"/>
        <item sd="0" m="1" x="2656"/>
        <item sd="0" m="1" x="5172"/>
        <item sd="0" m="1" x="3134"/>
        <item sd="0" m="1" x="4119"/>
        <item sd="0" m="1" x="1964"/>
        <item sd="0" m="1" x="7812"/>
        <item sd="0" m="1" x="5768"/>
        <item sd="0" m="1" x="4275"/>
        <item sd="0" m="1" x="2120"/>
        <item sd="0" m="1" x="7973"/>
        <item sd="0" m="1" x="5930"/>
        <item sd="0" m="1" x="4459"/>
        <item sd="0" m="1" x="3239"/>
        <item sd="0" m="1" x="1258"/>
        <item sd="0" m="1" x="7075"/>
        <item sd="0" m="1" x="3433"/>
        <item sd="0" m="1" x="1422"/>
        <item sd="0" m="1" x="7234"/>
        <item sd="0" m="1" x="6529"/>
        <item sd="0" m="1" x="4552"/>
        <item sd="0" m="1" x="2603"/>
        <item sd="0" m="1" x="527"/>
        <item sd="0" m="1" x="6697"/>
        <item sd="0" m="1" x="4731"/>
        <item sd="0" m="1" x="2757"/>
        <item sd="0" m="1" x="722"/>
        <item sd="0" m="1" x="6904"/>
        <item sd="0" m="1" x="4932"/>
        <item sd="0" m="1" x="7907"/>
        <item sd="0" m="1" x="5858"/>
        <item sd="0" m="1" x="3895"/>
        <item sd="0" m="1" x="1716"/>
        <item sd="0" m="1" x="7563"/>
        <item sd="0" m="1" x="95"/>
        <item sd="0" m="1" x="6051"/>
        <item sd="0" m="1" x="4075"/>
        <item sd="0" m="1" x="1905"/>
        <item m="1" x="7755"/>
        <item m="1" x="350"/>
        <item m="1" x="6241"/>
        <item m="1" x="4229"/>
        <item sd="0" m="1" x="7676"/>
        <item sd="0" m="1" x="5659"/>
        <item sd="0" m="1" x="3672"/>
        <item sd="0" m="1" x="1649"/>
        <item sd="0" m="1" x="7863"/>
        <item sd="0" m="1" x="5816"/>
        <item sd="0" m="1" x="3837"/>
        <item sd="0" m="1" x="1834"/>
        <item sd="0" m="1" x="7076"/>
        <item sd="0" m="1" x="5088"/>
        <item sd="0" m="1" x="3064"/>
        <item sd="0" m="1" x="1095"/>
        <item sd="0" m="1" x="882"/>
        <item sd="0" m="1" x="6681"/>
        <item sd="0" m="1" x="7236"/>
        <item sd="0" m="1" x="5282"/>
        <item sd="0" m="1" x="3243"/>
        <item sd="0" m="1" x="1263"/>
        <item sd="0" m="1" x="1102"/>
        <item sd="0" m="1" x="6893"/>
        <item sd="0" m="1" x="7437"/>
        <item sd="0" m="1" x="5466"/>
        <item sd="0" m="1" x="3436"/>
        <item sd="0" m="1" x="529"/>
        <item sd="0" m="1" x="6377"/>
        <item sd="0" m="1" x="4387"/>
        <item sd="0" m="1" x="2242"/>
        <item sd="0" m="1" x="86"/>
        <item sd="0" m="1" x="6042"/>
        <item sd="0" m="1" x="725"/>
        <item sd="0" m="1" x="6538"/>
        <item sd="0" m="1" x="4560"/>
        <item sd="0" m="1" x="2443"/>
        <item sd="0" m="1" x="341"/>
        <item sd="0" m="1" x="6233"/>
        <item sd="0" m="1" x="909"/>
        <item sd="0" m="1" x="6706"/>
        <item sd="0" m="1" x="4739"/>
        <item sd="0" m="1" x="7746"/>
        <item sd="0" m="1" x="5721"/>
        <item sd="0" m="1" x="3566"/>
        <item sd="0" m="1" x="1526"/>
        <item sd="0" m="1" x="7350"/>
        <item sd="0" m="1" x="7919"/>
        <item sd="0" m="1" x="5871"/>
        <item sd="0" m="1" x="3730"/>
        <item sd="0" m="1" x="1728"/>
        <item sd="0" m="1" x="7574"/>
        <item sd="0" m="1" x="107"/>
        <item sd="0" m="1" x="6063"/>
        <item sd="0" m="1" x="7002"/>
        <item sd="0" m="1" x="6827"/>
        <item sd="0" m="1" x="4851"/>
        <item sd="0" m="1" x="2854"/>
        <item sd="0" m="1" x="832"/>
        <item sd="0" m="1" x="7175"/>
        <item sd="0" m="1" x="7009"/>
        <item sd="0" m="1" x="5040"/>
        <item sd="0" m="1" x="3013"/>
        <item m="1" x="1033"/>
        <item m="1" x="7367"/>
        <item m="1" x="3501"/>
        <item sd="0" m="1" x="4980"/>
        <item sd="0" m="1" x="2952"/>
        <item sd="0" m="1" x="959"/>
        <item sd="0" m="1" x="6759"/>
        <item sd="0" m="1" x="4612"/>
        <item sd="0" m="1" x="2649"/>
        <item sd="0" m="1" x="5162"/>
        <item sd="0" m="1" x="3126"/>
        <item sd="0" m="1" x="1160"/>
        <item sd="0" m="1" x="6949"/>
        <item sd="0" m="1" x="4793"/>
        <item sd="0" m="1" x="2803"/>
        <item sd="0" m="1" x="5358"/>
        <item sd="0" m="1" x="3332"/>
        <item sd="0" m="1" x="1320"/>
        <item sd="0" m="1" x="7140"/>
        <item sd="0" m="1" x="4268"/>
        <item sd="0" m="1" x="2301"/>
        <item sd="0" m="1" x="164"/>
        <item sd="0" m="1" x="7969"/>
        <item sd="0" m="1" x="5923"/>
        <item sd="0" m="1" x="3948"/>
        <item sd="0" m="1" x="1963"/>
        <item sd="0" m="1" x="4451"/>
        <item sd="0" m="1" x="2505"/>
        <item sd="0" m="1" x="402"/>
        <item sd="0" m="1" x="175"/>
        <item sd="0" m="1" x="6113"/>
        <item sd="0" m="1" x="4125"/>
        <item sd="0" m="1" x="2119"/>
        <item sd="0" m="1" x="4632"/>
        <item sd="0" m="1" x="2667"/>
        <item sd="0" m="1" x="614"/>
        <item sd="0" m="1" x="3615"/>
        <item sd="0" m="1" x="1419"/>
        <item sd="0" m="1" x="7228"/>
        <item sd="0" m="1" x="5273"/>
        <item sd="0" m="1" x="3237"/>
        <item sd="0" m="1" x="3774"/>
        <item sd="0" m="1" x="1585"/>
        <item sd="0" m="1" x="7424"/>
        <item sd="0" m="1" x="5460"/>
        <item sd="0" m="1" x="3431"/>
        <item sd="0" m="1" x="3966"/>
        <item sd="0" m="1" x="2753"/>
        <item sd="0" m="1" x="711"/>
        <item sd="0" m="1" x="6528"/>
        <item sd="0" m="1" x="2902"/>
        <item sd="0" m="1" x="894"/>
        <item sd="0" m="1" x="6696"/>
        <item sd="0" m="1" x="2179"/>
        <item sd="0" m="1" x="30"/>
        <item sd="0" m="1" x="5991"/>
        <item sd="0" m="1" x="3828"/>
        <item sd="0" m="1" x="1823"/>
        <item sd="0" m="1" x="2373"/>
        <item sd="0" m="1" x="263"/>
        <item sd="0" m="1" x="6176"/>
        <item m="1" x="4020"/>
        <item m="1" x="2022"/>
        <item m="1" x="2566"/>
        <item m="1" x="462"/>
        <item m="1" x="6333"/>
        <item sd="0" m="1" x="798"/>
        <item sd="0" m="1" x="6448"/>
        <item sd="0" m="1" x="4466"/>
        <item sd="0" m="1" x="2516"/>
        <item sd="0" m="1" x="1004"/>
        <item sd="0" m="1" x="6615"/>
        <item sd="0" m="1" x="4659"/>
        <item sd="0" m="1" x="2682"/>
        <item sd="0" m="1" x="1202"/>
        <item sd="0" m="1" x="1988"/>
        <item sd="0" m="1" x="7832"/>
        <item sd="0" m="1" x="5786"/>
        <item sd="0" m="1" x="3785"/>
        <item sd="0" m="1" x="2148"/>
        <item sd="0" m="1" x="7"/>
        <item sd="0" m="1" x="5970"/>
        <item sd="0" m="1" x="3986"/>
        <item sd="0" m="1" x="2354"/>
        <item sd="0" m="1" x="3258"/>
        <item sd="0" m="1" x="1271"/>
        <item sd="0" m="1" x="7100"/>
        <item sd="0" m="1" x="5102"/>
        <item sd="0" m="1" x="4945"/>
        <item sd="0" m="1" x="3458"/>
        <item sd="0" m="1" x="1447"/>
        <item sd="0" m="1" x="7269"/>
        <item sd="0" m="1" x="5305"/>
        <item sd="0" m="1" x="5127"/>
        <item sd="0" m="1" x="3666"/>
        <item sd="0" m="1" x="1637"/>
        <item sd="0" m="1" x="4566"/>
        <item sd="0" m="1" x="2614"/>
        <item sd="0" m="1" x="552"/>
        <item sd="0" m="1" x="6253"/>
        <item sd="0" m="1" x="4236"/>
        <item sd="0" m="1" x="4751"/>
        <item sd="0" m="1" x="2777"/>
        <item sd="0" m="1" x="748"/>
        <item sd="0" m="1" x="6412"/>
        <item sd="0" m="1" x="4419"/>
        <item sd="0" m="1" x="4973"/>
        <item sd="0" m="1" x="2943"/>
        <item sd="0" m="1" x="950"/>
        <item sd="0" m="1" x="5879"/>
        <item sd="0" m="1" x="3919"/>
        <item sd="0" m="1" x="1927"/>
        <item sd="0" m="1" x="7592"/>
        <item sd="0" m="1" x="5587"/>
        <item sd="0" m="1" x="3582"/>
        <item sd="0" m="1" x="6081"/>
        <item sd="0" m="1" x="4099"/>
        <item sd="0" m="1" x="2097"/>
        <item m="1" x="7791"/>
        <item m="1" x="5752"/>
        <item m="1" x="3747"/>
        <item m="1" x="6280"/>
        <item m="1" x="4261"/>
        <item m="1" x="2296"/>
        <item sd="0" m="1" x="3787"/>
        <item sd="0" m="1" x="1792"/>
        <item sd="0" m="1" x="7647"/>
        <item sd="0" m="1" x="5470"/>
        <item sd="0" m="1" x="3437"/>
        <item sd="0" m="1" x="3990"/>
        <item sd="0" m="1" x="2001"/>
        <item sd="0" m="1" x="7846"/>
        <item sd="0" m="1" x="5632"/>
        <item sd="0" m="1" x="3649"/>
        <item sd="0" m="1" x="4173"/>
        <item sd="0" m="1" x="2170"/>
        <item sd="0" m="1" x="24"/>
        <item sd="0" m="1" x="5104"/>
        <item sd="0" m="1" x="3082"/>
        <item sd="0" m="1" x="1119"/>
        <item sd="0" m="1" x="6713"/>
        <item sd="0" m="1" x="4742"/>
        <item sd="0" m="1" x="2765"/>
        <item sd="0" m="1" x="5310"/>
        <item sd="0" m="1" x="3286"/>
        <item sd="0" m="1" x="1289"/>
        <item sd="0" m="1" x="6921"/>
        <item sd="0" m="1" x="4960"/>
        <item sd="0" m="1" x="2928"/>
        <item sd="0" m="1" x="5514"/>
        <item sd="0" m="1" x="3486"/>
        <item sd="0" m="1" x="1465"/>
        <item sd="0" m="1" x="4405"/>
        <item sd="0" m="1" x="2460"/>
        <item sd="0" m="1" x="118"/>
        <item sd="0" m="1" x="6072"/>
        <item sd="0" m="1" x="4087"/>
        <item sd="0" m="1" x="4586"/>
        <item sd="0" m="1" x="2633"/>
        <item sd="0" m="1" x="373"/>
        <item sd="0" m="1" x="6269"/>
        <item sd="0" m="1" x="4249"/>
        <item sd="0" m="1" x="4773"/>
        <item sd="0" m="1" x="2794"/>
        <item sd="0" m="1" x="3584"/>
        <item sd="0" m="1" x="1546"/>
        <item sd="0" m="1" x="7379"/>
        <item sd="0" m="1" x="5419"/>
        <item sd="0" m="1" x="3749"/>
        <item sd="0" m="1" x="1761"/>
        <item sd="0" m="1" x="7611"/>
        <item sd="0" m="1" x="5597"/>
        <item sd="0" m="1" x="4879"/>
        <item sd="0" m="1" x="2872"/>
        <item sd="0" m="1" x="850"/>
        <item sd="0" m="1" x="5065"/>
        <item sd="0" m="1" x="3046"/>
        <item sd="0" m="1" x="1069"/>
        <item m="1" x="5268"/>
        <item m="1" x="2060"/>
        <item sd="0" m="1" x="984"/>
        <item sd="0" m="1" x="6788"/>
        <item sd="0" m="1" x="4645"/>
        <item sd="0" m="1" x="2673"/>
        <item sd="0" m="1" x="622"/>
        <item sd="0" m="1" x="6447"/>
        <item sd="0" m="1" x="1188"/>
        <item sd="0" m="1" x="6974"/>
        <item sd="0" m="1" x="4827"/>
        <item sd="0" m="1" x="2836"/>
        <item sd="0" m="1" x="812"/>
        <item sd="0" m="1" x="6614"/>
        <item sd="0" m="1" x="1353"/>
        <item sd="0" m="1" x="7160"/>
        <item sd="0" m="1" x="194"/>
        <item sd="0" m="1" x="5953"/>
        <item sd="0" m="1" x="3977"/>
        <item sd="0" m="1" x="1986"/>
        <item sd="0" m="1" x="7831"/>
        <item sd="0" m="1" x="420"/>
        <item sd="0" m="1" x="6143"/>
        <item sd="0" m="1" x="4155"/>
        <item sd="0" m="1" x="2146"/>
        <item sd="0" m="1" x="641"/>
        <item sd="0" m="1" x="7247"/>
        <item sd="0" m="1" x="5294"/>
        <item sd="0" m="1" x="3256"/>
        <item sd="0" m="1" x="7458"/>
        <item sd="0" m="1" x="5490"/>
        <item sd="0" m="1" x="3456"/>
        <item sd="0" m="1" x="852"/>
        <item sd="0" m="1" x="6649"/>
        <item sd="0" m="1" x="4703"/>
        <item sd="0" m="1" x="2723"/>
        <item sd="0" m="1" x="469"/>
        <item sd="0" m="1" x="6336"/>
        <item sd="0" m="1" x="1072"/>
        <item sd="0" m="1" x="6870"/>
        <item sd="0" m="1" x="4896"/>
        <item sd="0" m="1" x="2883"/>
        <item sd="0" m="1" x="683"/>
        <item sd="0" m="1" x="6506"/>
        <item sd="0" m="1" x="1254"/>
        <item sd="0" m="1" x="7072"/>
        <item sd="0" m="1" x="5084"/>
        <item sd="0" m="1" x="3061"/>
        <item sd="0" m="1" x="50"/>
        <item sd="0" m="1" x="6015"/>
        <item sd="0" m="1" x="4035"/>
        <item sd="0" m="1" x="3861"/>
        <item sd="0" m="1" x="1847"/>
        <item sd="0" m="1" x="7697"/>
        <item sd="0" m="1" x="5676"/>
        <item sd="0" m="1" x="308"/>
        <item sd="0" m="1" x="6210"/>
        <item sd="0" m="1" x="4210"/>
        <item sd="0" m="1" x="4054"/>
        <item m="1" x="2048"/>
        <item m="1" x="7883"/>
        <item m="1" x="5836"/>
        <item m="1" x="515"/>
        <item m="1" x="6368"/>
        <item m="1" x="4379"/>
        <item sd="0" m="1" x="1989"/>
        <item sd="0" m="1" x="7833"/>
        <item sd="0" m="1" x="5787"/>
        <item sd="0" m="1" x="3786"/>
        <item sd="0" m="1" x="2149"/>
        <item sd="0" m="1" x="8"/>
        <item sd="0" m="1" x="5971"/>
        <item sd="0" m="1" x="3987"/>
        <item sd="0" m="1" x="2355"/>
        <item sd="0" m="1" x="248"/>
        <item sd="0" m="1" x="3259"/>
        <item sd="0" m="1" x="1272"/>
        <item sd="0" m="1" x="7101"/>
        <item sd="0" m="1" x="5103"/>
        <item sd="0" m="1" x="4946"/>
        <item sd="0" m="1" x="2914"/>
        <item sd="0" m="1" x="3459"/>
        <item sd="0" m="1" x="1448"/>
        <item sd="0" m="1" x="7270"/>
        <item sd="0" m="1" x="5306"/>
        <item sd="0" m="1" x="5128"/>
        <item sd="0" m="1" x="3097"/>
        <item sd="0" m="1" x="3667"/>
        <item sd="0" m="1" x="1638"/>
        <item sd="0" m="1" x="7485"/>
        <item sd="0" m="1" x="4567"/>
        <item sd="0" m="1" x="2615"/>
        <item sd="0" m="1" x="553"/>
        <item sd="0" m="1" x="6254"/>
        <item sd="0" m="1" x="4237"/>
        <item sd="0" m="1" x="2271"/>
        <item sd="0" m="1" x="4752"/>
        <item sd="0" m="1" x="2778"/>
        <item sd="0" m="1" x="749"/>
        <item sd="0" m="1" x="6413"/>
        <item sd="0" m="1" x="4420"/>
        <item sd="0" m="1" x="2476"/>
        <item sd="0" m="1" x="4974"/>
        <item sd="0" m="1" x="2944"/>
        <item sd="0" m="1" x="951"/>
        <item sd="0" m="1" x="3920"/>
        <item sd="0" m="1" x="1928"/>
        <item sd="0" m="1" x="7593"/>
        <item sd="0" m="1" x="5588"/>
        <item sd="0" m="1" x="3583"/>
        <item sd="0" m="1" x="4100"/>
        <item sd="0" m="1" x="2098"/>
        <item sd="0" m="1" x="7792"/>
        <item sd="0" m="1" x="5753"/>
        <item sd="0" m="1" x="3748"/>
        <item sd="0" m="1" x="4262"/>
        <item sd="0" m="1" x="2297"/>
        <item sd="0" m="1" x="3194"/>
        <item sd="0" m="1" x="3028"/>
        <item sd="0" m="1" x="1050"/>
        <item sd="0" m="1" x="6854"/>
        <item sd="0" m="1" x="4878"/>
        <item sd="0" m="1" x="3403"/>
        <item sd="0" m="1" x="3214"/>
        <item sd="0" m="1" x="1238"/>
        <item sd="0" m="1" x="7048"/>
        <item m="1" x="5064"/>
        <item m="1" x="3610"/>
        <item m="1" x="5633"/>
        <item sd="0" m="1" x="3083"/>
        <item sd="0" m="1" x="1120"/>
        <item sd="0" m="1" x="6714"/>
        <item sd="0" m="1" x="4743"/>
        <item sd="0" m="1" x="2766"/>
        <item sd="0" m="1" x="3287"/>
        <item sd="0" m="1" x="1290"/>
        <item sd="0" m="1" x="6922"/>
        <item sd="0" m="1" x="4961"/>
        <item sd="0" m="1" x="2929"/>
        <item sd="0" m="1" x="3487"/>
        <item sd="0" m="1" x="1466"/>
        <item sd="0" m="1" x="2209"/>
        <item sd="0" m="1" x="54"/>
        <item sd="0" m="1" x="6020"/>
        <item sd="0" m="1" x="4042"/>
        <item sd="0" m="1" x="3866"/>
        <item sd="0" m="1" x="1851"/>
        <item sd="0" m="1" x="7702"/>
        <item sd="0" m="1" x="2413"/>
        <item sd="0" m="1" x="315"/>
        <item sd="0" m="1" x="6215"/>
        <item sd="0" m="1" x="4215"/>
        <item sd="0" m="1" x="4058"/>
        <item sd="0" m="1" x="2051"/>
        <item sd="0" m="1" x="7888"/>
        <item sd="0" m="1" x="2600"/>
        <item sd="0" m="1" x="522"/>
        <item sd="0" m="1" x="6372"/>
        <item sd="0" m="1" x="4383"/>
        <item sd="0" m="1" x="1492"/>
        <item sd="0" m="1" x="7318"/>
        <item sd="0" m="1" x="5189"/>
        <item sd="0" m="1" x="3144"/>
        <item sd="0" m="1" x="1176"/>
        <item sd="0" m="1" x="6958"/>
        <item sd="0" m="1" x="1696"/>
        <item sd="0" m="1" x="7541"/>
        <item sd="0" m="1" x="5384"/>
        <item sd="0" m="1" x="3358"/>
        <item sd="0" m="1" x="1341"/>
        <item sd="0" m="1" x="7150"/>
        <item sd="0" m="1" x="1888"/>
        <item sd="0" m="1" x="7739"/>
        <item sd="0" m="1" x="804"/>
        <item sd="0" m="1" x="6454"/>
        <item sd="0" m="1" x="4470"/>
        <item sd="0" m="1" x="2521"/>
        <item sd="0" m="1" x="1010"/>
        <item sd="0" m="1" x="6620"/>
        <item sd="0" m="1" x="4663"/>
        <item sd="0" m="1" x="2686"/>
        <item sd="0" m="1" x="1206"/>
        <item sd="0" m="1" x="1993"/>
        <item sd="0" m="1" x="7838"/>
        <item sd="0" m="1" x="5791"/>
        <item sd="0" m="1" x="3793"/>
        <item sd="0" m="1" x="2154"/>
        <item sd="0" m="1" x="12"/>
        <item sd="0" m="1" x="5975"/>
        <item sd="0" m="1" x="3991"/>
        <item m="1" x="6419"/>
        <item sd="0" m="1" x="5883"/>
        <item sd="0" m="1" x="3925"/>
        <item sd="0" m="1" x="1935"/>
        <item sd="0" m="1" x="7596"/>
        <item sd="0" m="1" x="5590"/>
        <item sd="0" m="1" x="3588"/>
        <item sd="0" m="1" x="6085"/>
        <item sd="0" m="1" x="4104"/>
        <item sd="0" m="1" x="2102"/>
        <item sd="0" m="1" x="7798"/>
        <item sd="0" m="1" x="5758"/>
        <item sd="0" m="1" x="3752"/>
        <item sd="0" m="1" x="6282"/>
        <item sd="0" m="1" x="4264"/>
        <item sd="0" m="1" x="2298"/>
        <item sd="0" m="1" x="5248"/>
        <item sd="0" m="1" x="3199"/>
        <item sd="0" m="1" x="3031"/>
        <item sd="0" m="1" x="1053"/>
        <item sd="0" m="1" x="6857"/>
        <item sd="0" m="1" x="4882"/>
        <item sd="0" m="1" x="5439"/>
        <item sd="0" m="1" x="3406"/>
        <item sd="0" m="1" x="3220"/>
        <item sd="0" m="1" x="1243"/>
        <item sd="0" m="1" x="7056"/>
        <item sd="0" m="1" x="5069"/>
        <item sd="0" m="1" x="5606"/>
        <item sd="0" m="1" x="3612"/>
        <item sd="0" m="1" x="4347"/>
        <item sd="0" m="1" x="2384"/>
        <item sd="0" m="1" x="289"/>
        <item sd="0" m="1" x="6192"/>
        <item sd="0" m="1" x="4534"/>
        <item sd="0" m="1" x="2583"/>
        <item sd="0" m="1" x="493"/>
        <item sd="0" m="1" x="6352"/>
        <item sd="0" m="1" x="3795"/>
        <item sd="0" m="1" x="1797"/>
        <item sd="0" m="1" x="7653"/>
        <item sd="0" m="1" x="5476"/>
        <item sd="0" m="1" x="3441"/>
        <item sd="0" m="1" x="3995"/>
        <item sd="0" m="1" x="2003"/>
        <item sd="0" m="1" x="7848"/>
        <item sd="0" m="1" x="5641"/>
        <item sd="0" m="1" x="3656"/>
        <item sd="0" m="1" x="4178"/>
        <item sd="0" m="1" x="2176"/>
        <item sd="0" m="1" x="27"/>
        <item sd="0" m="1" x="5114"/>
        <item sd="0" m="1" x="3089"/>
        <item sd="0" m="1" x="1128"/>
        <item sd="0" m="1" x="6720"/>
        <item sd="0" m="1" x="4745"/>
        <item sd="0" m="1" x="2770"/>
        <item sd="0" m="1" x="5318"/>
        <item sd="0" m="1" x="3294"/>
        <item sd="0" m="1" x="1294"/>
        <item m="1" x="6928"/>
        <item m="1" x="4965"/>
        <item m="1" x="2935"/>
        <item m="1" x="5521"/>
        <item m="1" x="3495"/>
        <item m="1" x="1470"/>
        <item sd="0" m="1" x="4884"/>
        <item sd="0" m="1" x="2875"/>
        <item sd="0" m="1" x="855"/>
        <item sd="0" m="1" x="5071"/>
        <item sd="0" m="1" x="3051"/>
        <item sd="0" m="1" x="1076"/>
        <item sd="0" m="1" x="5271"/>
        <item sd="0" m="1" x="6194"/>
        <item sd="0" m="1" x="4199"/>
        <item sd="0" m="1" x="2205"/>
        <item sd="0" m="1" x="7876"/>
        <item sd="0" m="1" x="6354"/>
        <item sd="0" m="1" x="4368"/>
        <item sd="0" m="1" x="2408"/>
        <item sd="0" m="1" x="72"/>
        <item sd="0" m="1" x="6526"/>
        <item sd="0" m="1" x="4550"/>
        <item sd="0" m="1" x="1673"/>
        <item sd="0" m="1" x="7518"/>
        <item sd="0" m="1" x="5545"/>
        <item sd="0" m="1" x="3526"/>
        <item sd="0" m="1" x="1329"/>
        <item sd="0" m="1" x="7144"/>
        <item sd="0" m="1" x="1865"/>
        <item sd="0" m="1" x="7716"/>
        <item sd="0" m="1" x="5698"/>
        <item sd="0" m="1" x="3704"/>
        <item sd="0" m="1" x="1511"/>
        <item sd="0" m="1" x="7337"/>
        <item sd="0" m="1" x="2064"/>
        <item sd="0" m="1" x="7903"/>
        <item sd="0" m="1" x="5854"/>
        <item sd="0" m="1" x="3891"/>
        <item sd="0" m="1" x="989"/>
        <item sd="0" m="1" x="6794"/>
        <item sd="0" m="1" x="4649"/>
        <item sd="0" m="1" x="2676"/>
        <item sd="0" m="1" x="625"/>
        <item sd="0" m="1" x="6453"/>
        <item sd="0" m="1" x="1192"/>
        <item sd="0" m="1" x="6978"/>
        <item sd="0" m="1" x="4832"/>
        <item sd="0" m="1" x="2840"/>
        <item sd="0" m="1" x="816"/>
        <item sd="0" m="1" x="6619"/>
        <item sd="0" m="1" x="1358"/>
        <item sd="0" m="1" x="7163"/>
        <item sd="0" m="1" x="202"/>
        <item sd="0" m="1" x="5957"/>
        <item sd="0" m="1" x="3980"/>
        <item sd="0" m="1" x="1992"/>
        <item sd="0" m="1" x="425"/>
        <item sd="0" m="1" x="6149"/>
        <item sd="0" m="1" x="4160"/>
        <item m="1" x="2153"/>
        <item m="1" x="645"/>
        <item m="1" x="1256"/>
        <item sd="0" m="1" x="55"/>
        <item sd="0" m="1" x="6021"/>
        <item sd="0" m="1" x="4043"/>
        <item sd="0" m="1" x="3867"/>
        <item sd="0" m="1" x="1852"/>
        <item sd="0" m="1" x="7703"/>
        <item sd="0" m="1" x="5684"/>
        <item sd="0" m="1" x="316"/>
        <item sd="0" m="1" x="6216"/>
        <item sd="0" m="1" x="4216"/>
        <item sd="0" m="1" x="4059"/>
        <item sd="0" m="1" x="2052"/>
        <item sd="0" m="1" x="7889"/>
        <item sd="0" m="1" x="5841"/>
        <item sd="0" m="1" x="523"/>
        <item sd="0" m="1" x="6373"/>
        <item sd="0" m="1" x="4384"/>
        <item sd="0" m="1" x="7319"/>
        <item sd="0" m="1" x="5190"/>
        <item sd="0" m="1" x="3145"/>
        <item sd="0" m="1" x="1177"/>
        <item sd="0" m="1" x="6959"/>
        <item sd="0" m="1" x="7542"/>
        <item sd="0" m="1" x="5385"/>
        <item sd="0" m="1" x="3359"/>
        <item sd="0" m="1" x="1342"/>
        <item sd="0" m="1" x="7151"/>
        <item sd="0" m="1" x="7740"/>
        <item sd="0" m="1" x="6455"/>
        <item sd="0" m="1" x="4471"/>
        <item sd="0" m="1" x="2522"/>
        <item sd="0" m="1" x="6621"/>
        <item sd="0" m="1" x="4664"/>
        <item sd="0" m="1" x="2687"/>
        <item sd="0" m="1" x="1994"/>
        <item sd="0" m="1" x="7839"/>
        <item sd="0" m="1" x="5792"/>
        <item sd="0" m="1" x="3794"/>
        <item sd="0" m="1" x="2155"/>
        <item sd="0" m="1" x="13"/>
        <item sd="0" m="1" x="5976"/>
        <item sd="0" m="1" x="3992"/>
        <item sd="0" m="1" x="2359"/>
        <item sd="0" m="1" x="254"/>
        <item sd="0" m="1" x="3266"/>
        <item sd="0" m="1" x="1277"/>
        <item sd="0" m="1" x="7109"/>
        <item sd="0" m="1" x="5112"/>
        <item sd="0" m="1" x="4951"/>
        <item sd="0" m="1" x="2919"/>
        <item sd="0" m="1" x="3465"/>
        <item sd="0" m="1" x="1454"/>
        <item sd="0" m="1" x="7277"/>
        <item sd="0" m="1" x="5314"/>
        <item sd="0" m="1" x="5134"/>
        <item m="1" x="3102"/>
        <item sd="0" m="1" x="3671"/>
        <item m="1" x="1646"/>
        <item m="1" x="7493"/>
        <item sd="0" m="1" x="3200"/>
        <item sd="0" m="1" x="3032"/>
        <item sd="0" m="1" x="1054"/>
        <item sd="0" m="1" x="6858"/>
        <item sd="0" m="1" x="4883"/>
        <item sd="0" m="1" x="3407"/>
        <item sd="0" m="1" x="3221"/>
        <item sd="0" m="1" x="1244"/>
        <item sd="0" m="1" x="7057"/>
        <item sd="0" m="1" x="5070"/>
        <item sd="0" m="1" x="3613"/>
        <item sd="0" m="1" x="4348"/>
        <item sd="0" m="1" x="2385"/>
        <item sd="0" m="1" x="290"/>
        <item sd="0" m="1" x="6193"/>
        <item sd="0" m="1" x="4535"/>
        <item sd="0" m="1" x="2584"/>
        <item sd="0" m="1" x="494"/>
        <item sd="0" m="1" x="6353"/>
        <item sd="0" m="1" x="4720"/>
        <item sd="0" m="1" x="3796"/>
        <item sd="0" m="1" x="1798"/>
        <item sd="0" m="1" x="7654"/>
        <item sd="0" m="1" x="5477"/>
        <item sd="0" m="1" x="3442"/>
        <item sd="0" m="1" x="1436"/>
        <item sd="0" m="1" x="3996"/>
        <item sd="0" m="1" x="2004"/>
        <item sd="0" m="1" x="7849"/>
        <item sd="0" m="1" x="5642"/>
        <item sd="0" m="1" x="3657"/>
        <item sd="0" m="1" x="1625"/>
        <item sd="0" m="1" x="4179"/>
        <item sd="0" m="1" x="2177"/>
        <item sd="0" m="1" x="28"/>
        <item sd="0" m="1" x="2217"/>
        <item sd="0" m="1" x="60"/>
        <item sd="0" m="1" x="6026"/>
        <item sd="0" m="1" x="4048"/>
        <item sd="0" m="1" x="3872"/>
        <item sd="0" m="1" x="1856"/>
        <item sd="0" m="1" x="7708"/>
        <item sd="0" m="1" x="2420"/>
        <item sd="0" m="1" x="321"/>
        <item sd="0" m="1" x="6220"/>
        <item sd="0" m="1" x="4218"/>
        <item sd="0" m="1" x="4064"/>
        <item sd="0" m="1" x="2056"/>
        <item sd="0" m="1" x="7895"/>
        <item sd="0" m="1" x="2604"/>
        <item sd="0" m="1" x="530"/>
        <item sd="0" m="1" x="6378"/>
        <item sd="0" m="1" x="4388"/>
        <item sd="0" m="1" x="1499"/>
        <item sd="0" m="1" x="7325"/>
        <item sd="0" m="1" x="5197"/>
        <item sd="0" m="1" x="3150"/>
        <item sd="0" m="1" x="1182"/>
        <item sd="0" m="1" x="6966"/>
        <item sd="0" m="1" x="1705"/>
        <item sd="0" m="1" x="7550"/>
        <item sd="0" m="1" x="5391"/>
        <item m="1" x="3365"/>
        <item m="1" x="1348"/>
        <item m="1" x="7156"/>
        <item m="1" x="1897"/>
        <item m="1" x="7748"/>
        <item m="1" x="2364"/>
        <item sd="0" m="1" x="3274"/>
        <item sd="0" m="1" x="1281"/>
        <item sd="0" m="1" x="7112"/>
        <item sd="0" m="1" x="5119"/>
        <item sd="0" m="1" x="4955"/>
        <item sd="0" m="1" x="3473"/>
        <item sd="0" m="1" x="1459"/>
        <item sd="0" m="1" x="7282"/>
        <item sd="0" m="1" x="5321"/>
        <item sd="0" m="1" x="5141"/>
        <item sd="0" m="1" x="3675"/>
        <item sd="0" m="1" x="1653"/>
        <item sd="0" m="1" x="4576"/>
        <item sd="0" m="1" x="2625"/>
        <item sd="0" m="1" x="566"/>
        <item sd="0" m="1" x="6261"/>
        <item sd="0" m="1" x="4242"/>
        <item sd="0" m="1" x="4761"/>
        <item sd="0" m="1" x="2787"/>
        <item sd="0" m="1" x="758"/>
        <item sd="0" m="1" x="6425"/>
        <item sd="0" m="1" x="4431"/>
        <item sd="0" m="1" x="4981"/>
        <item sd="0" m="1" x="2953"/>
        <item sd="0" m="1" x="960"/>
        <item sd="0" m="1" x="5888"/>
        <item sd="0" m="1" x="3927"/>
        <item sd="0" m="1" x="1939"/>
        <item sd="0" m="1" x="7602"/>
        <item sd="0" m="1" x="5592"/>
        <item sd="0" m="1" x="3593"/>
        <item sd="0" m="1" x="6089"/>
        <item sd="0" m="1" x="4107"/>
        <item sd="0" m="1" x="2105"/>
        <item sd="0" m="1" x="7805"/>
        <item sd="0" m="1" x="5762"/>
        <item sd="0" m="1" x="3756"/>
        <item sd="0" m="1" x="6286"/>
        <item sd="0" m="1" x="4269"/>
        <item sd="0" m="1" x="2302"/>
        <item sd="0" m="1" x="5253"/>
        <item sd="0" m="1" x="3206"/>
        <item sd="0" m="1" x="3038"/>
        <item sd="0" m="1" x="1061"/>
        <item sd="0" m="1" x="6863"/>
        <item sd="0" m="1" x="4889"/>
        <item sd="0" m="1" x="5443"/>
        <item sd="0" m="1" x="3411"/>
        <item sd="0" m="1" x="3224"/>
        <item sd="0" m="1" x="1248"/>
        <item sd="0" m="1" x="7062"/>
        <item sd="0" m="1" x="5076"/>
        <item sd="0" m="1" x="5609"/>
        <item sd="0" m="1" x="3616"/>
        <item sd="0" m="1" x="4354"/>
        <item sd="0" m="1" x="2392"/>
        <item sd="0" m="1" x="297"/>
        <item sd="0" m="1" x="6201"/>
        <item sd="0" m="1" x="4538"/>
        <item sd="0" m="1" x="2588"/>
        <item sd="0" m="1" x="500"/>
        <item m="1" x="6358"/>
        <item sd="0" m="1" x="4414"/>
        <item sd="0" m="1" x="2472"/>
        <item sd="0" m="1" x="127"/>
        <item sd="0" m="1" x="6076"/>
        <item sd="0" m="1" x="4096"/>
        <item sd="0" m="1" x="4598"/>
        <item sd="0" m="1" x="2642"/>
        <item sd="0" m="1" x="380"/>
        <item sd="0" m="1" x="6274"/>
        <item sd="0" m="1" x="4256"/>
        <item sd="0" m="1" x="4783"/>
        <item sd="0" m="1" x="2800"/>
        <item sd="0" m="1" x="3595"/>
        <item sd="0" m="1" x="1552"/>
        <item sd="0" m="1" x="7385"/>
        <item sd="0" m="1" x="5429"/>
        <item sd="0" m="1" x="3758"/>
        <item sd="0" m="1" x="1767"/>
        <item sd="0" m="1" x="7617"/>
        <item sd="0" m="1" x="5601"/>
        <item sd="0" m="1" x="4891"/>
        <item sd="0" m="1" x="2879"/>
        <item sd="0" m="1" x="859"/>
        <item sd="0" m="1" x="5078"/>
        <item sd="0" m="1" x="3055"/>
        <item sd="0" m="1" x="1081"/>
        <item sd="0" m="1" x="5276"/>
        <item sd="0" m="1" x="6203"/>
        <item sd="0" m="1" x="4204"/>
        <item sd="0" m="1" x="2215"/>
        <item sd="0" m="1" x="7880"/>
        <item sd="0" m="1" x="6360"/>
        <item sd="0" m="1" x="4372"/>
        <item sd="0" m="1" x="2417"/>
        <item sd="0" m="1" x="76"/>
        <item sd="0" m="1" x="6530"/>
        <item sd="0" m="1" x="4553"/>
        <item sd="0" m="1" x="1682"/>
        <item sd="0" m="1" x="7527"/>
        <item sd="0" m="1" x="5552"/>
        <item sd="0" m="1" x="3534"/>
        <item sd="0" m="1" x="1332"/>
        <item sd="0" m="1" x="7146"/>
        <item sd="0" m="1" x="1873"/>
        <item sd="0" m="1" x="7724"/>
        <item sd="0" m="1" x="5704"/>
        <item sd="0" m="1" x="3710"/>
        <item m="1" x="1515"/>
        <item m="1" x="7341"/>
        <item sd="0" m="1" x="2068"/>
        <item m="1" x="7908"/>
        <item m="1" x="5859"/>
        <item m="1" x="3896"/>
        <item sd="0" m="1" x="7256"/>
        <item sd="0" m="1" x="5298"/>
        <item sd="0" m="1" x="3270"/>
        <item sd="0" m="1" x="7472"/>
        <item sd="0" m="1" x="5501"/>
        <item sd="0" m="1" x="3469"/>
        <item sd="0" m="1" x="861"/>
        <item sd="0" m="1" x="6656"/>
        <item sd="0" m="1" x="4708"/>
        <item sd="0" m="1" x="2731"/>
        <item sd="0" m="1" x="481"/>
        <item sd="0" m="1" x="6343"/>
        <item sd="0" m="1" x="1083"/>
        <item sd="0" m="1" x="6876"/>
        <item sd="0" m="1" x="4906"/>
        <item sd="0" m="1" x="2890"/>
        <item sd="0" m="1" x="697"/>
        <item sd="0" m="1" x="6515"/>
        <item sd="0" m="1" x="1259"/>
        <item sd="0" m="1" x="7077"/>
        <item sd="0" m="1" x="5090"/>
        <item sd="0" m="1" x="3065"/>
        <item sd="0" m="1" x="61"/>
        <item sd="0" m="1" x="6027"/>
        <item sd="0" m="1" x="4049"/>
        <item sd="0" m="1" x="3873"/>
        <item sd="0" m="1" x="1857"/>
        <item sd="0" m="1" x="7709"/>
        <item sd="0" m="1" x="5690"/>
        <item sd="0" m="1" x="322"/>
        <item sd="0" m="1" x="6221"/>
        <item sd="0" m="1" x="4219"/>
        <item sd="0" m="1" x="4065"/>
        <item sd="0" m="1" x="2057"/>
        <item sd="0" m="1" x="7896"/>
        <item sd="0" m="1" x="5847"/>
        <item sd="0" m="1" x="531"/>
        <item sd="0" m="1" x="6379"/>
        <item sd="0" m="1" x="4389"/>
        <item sd="0" m="1" x="7326"/>
        <item sd="0" m="1" x="5198"/>
        <item sd="0" m="1" x="3151"/>
        <item sd="0" m="1" x="1183"/>
        <item sd="0" m="1" x="6967"/>
        <item sd="0" m="1" x="7551"/>
        <item sd="0" m="1" x="5392"/>
        <item sd="0" m="1" x="3366"/>
        <item sd="0" m="1" x="1349"/>
        <item sd="0" m="1" x="7157"/>
        <item sd="0" m="1" x="7749"/>
        <item sd="0" m="1" x="6461"/>
        <item sd="0" m="1" x="4477"/>
        <item sd="0" m="1" x="2527"/>
        <item sd="0" m="1" x="6625"/>
        <item sd="0" m="1" x="4670"/>
        <item sd="0" m="1" x="2692"/>
        <item m="1" x="5142"/>
        <item m="1" x="3676"/>
        <item m="1" x="2276"/>
        <item m="1" x="4762"/>
        <item m="1" x="2788"/>
        <item m="1" x="759"/>
        <item sd="0" m="1" x="6426"/>
        <item sd="0" m="1" x="4432"/>
        <item sd="0" m="1" x="2484"/>
        <item sd="0" m="1" x="4982"/>
        <item sd="0" m="1" x="2954"/>
        <item sd="0" m="1" x="961"/>
        <item sd="0" m="1" x="3928"/>
        <item sd="0" m="1" x="1940"/>
        <item sd="0" m="1" x="7603"/>
        <item sd="0" m="1" x="5593"/>
        <item sd="0" m="1" x="3594"/>
        <item sd="0" m="1" x="4108"/>
        <item sd="0" m="1" x="2106"/>
        <item sd="0" m="1" x="7806"/>
        <item sd="0" m="1" x="5763"/>
        <item sd="0" m="1" x="3757"/>
        <item sd="0" m="1" x="4270"/>
        <item sd="0" m="1" x="2303"/>
        <item sd="0" m="1" x="3207"/>
        <item sd="0" m="1" x="3039"/>
        <item sd="0" m="1" x="1062"/>
        <item sd="0" m="1" x="6864"/>
        <item sd="0" m="1" x="4890"/>
        <item sd="0" m="1" x="3412"/>
        <item sd="0" m="1" x="3225"/>
        <item sd="0" m="1" x="1249"/>
        <item sd="0" m="1" x="7063"/>
        <item sd="0" m="1" x="5077"/>
        <item sd="0" m="1" x="3617"/>
        <item sd="0" m="1" x="4355"/>
        <item sd="0" m="1" x="2393"/>
        <item sd="0" m="1" x="298"/>
        <item sd="0" m="1" x="6202"/>
        <item sd="0" m="1" x="4539"/>
        <item sd="0" m="1" x="2589"/>
        <item sd="0" m="1" x="501"/>
        <item sd="0" m="1" x="6359"/>
        <item sd="0" m="1" x="4722"/>
        <item sd="0" m="1" x="3803"/>
        <item sd="0" m="1" x="1800"/>
        <item sd="0" m="1" x="7657"/>
        <item sd="0" m="1" x="5484"/>
        <item sd="0" m="1" x="3449"/>
        <item sd="0" m="1" x="1441"/>
        <item sd="0" m="1" x="4000"/>
        <item sd="0" m="1" x="2006"/>
        <item sd="0" m="1" x="7852"/>
        <item sd="0" m="1" x="5647"/>
        <item m="1" x="3661"/>
        <item m="1" x="1629"/>
        <item m="1" x="4180"/>
        <item m="1" x="2180"/>
        <item m="1" x="31"/>
        <item sd="0" m="1" x="7368"/>
        <item sd="0" m="1" x="2084"/>
        <item sd="0" m="1" x="7932"/>
        <item sd="0" m="1" x="5884"/>
        <item sd="0" m="1" x="3740"/>
        <item sd="0" m="1" x="1751"/>
        <item sd="0" m="1" x="7597"/>
        <item sd="0" m="1" x="2285"/>
        <item sd="0" m="1" x="140"/>
        <item sd="0" m="1" x="6086"/>
        <item sd="0" m="1" x="1214"/>
        <item sd="0" m="1" x="7012"/>
        <item sd="0" m="1" x="6844"/>
        <item sd="0" m="1" x="4863"/>
        <item sd="0" m="1" x="2860"/>
        <item sd="0" m="1" x="837"/>
        <item sd="0" m="1" x="1381"/>
        <item sd="0" m="1" x="7186"/>
        <item sd="0" m="1" x="7031"/>
        <item sd="0" m="1" x="5055"/>
        <item sd="0" m="1" x="3033"/>
        <item sd="0" m="1" x="1055"/>
        <item sd="0" m="1" x="1562"/>
        <item sd="0" m="1" x="7394"/>
        <item sd="0" m="1" x="273"/>
        <item sd="0" m="1" x="6177"/>
        <item sd="0" m="1" x="4184"/>
        <item sd="0" m="1" x="2181"/>
        <item sd="0" m="1" x="472"/>
        <item sd="0" m="1" x="6337"/>
        <item sd="0" m="1" x="4349"/>
        <item sd="0" m="1" x="2386"/>
        <item sd="0" m="1" x="1659"/>
        <item sd="0" m="1" x="7506"/>
        <item sd="0" m="1" x="5529"/>
        <item sd="0" m="1" x="1849"/>
        <item sd="0" m="1" x="7698"/>
        <item sd="0" m="1" x="5677"/>
        <item sd="0" m="1" x="2049"/>
        <item sd="0" m="1" x="4996"/>
        <item sd="0" m="1" x="2961"/>
        <item sd="0" m="1" x="974"/>
        <item sd="0" m="1" x="6775"/>
        <item sd="0" m="1" x="4633"/>
        <item sd="0" m="1" x="5186"/>
        <item sd="0" m="1" x="3142"/>
        <item sd="0" m="1" x="1173"/>
        <item sd="0" m="1" x="6956"/>
        <item m="1" x="4807"/>
        <item sd="0" m="1" x="5382"/>
        <item m="1" x="3356"/>
        <item m="1" x="1338"/>
        <item sd="0" m="1" x="4933"/>
        <item sd="0" m="1" x="2759"/>
        <item sd="0" m="1" x="727"/>
        <item sd="0" m="1" x="6540"/>
        <item sd="0" m="1" x="5106"/>
        <item sd="0" m="1" x="2916"/>
        <item sd="0" m="1" x="922"/>
        <item sd="0" m="1" x="6716"/>
        <item sd="0" m="1" x="5312"/>
        <item sd="0" m="1" x="2183"/>
        <item sd="0" m="1" x="38"/>
        <item sd="0" m="1" x="6002"/>
        <item sd="0" m="1" x="3849"/>
        <item sd="0" m="1" x="2389"/>
        <item sd="0" m="1" x="292"/>
        <item sd="0" m="1" x="6195"/>
        <item sd="0" m="1" x="4038"/>
        <item sd="0" m="1" x="2586"/>
        <item sd="0" m="1" x="496"/>
        <item sd="0" m="1" x="5531"/>
        <item sd="0" m="1" x="3506"/>
        <item sd="0" m="1" x="1480"/>
        <item sd="0" m="1" x="7303"/>
        <item sd="0" m="1" x="5173"/>
        <item sd="0" m="1" x="3135"/>
        <item sd="0" m="1" x="5680"/>
        <item sd="0" m="1" x="3693"/>
        <item sd="0" m="1" x="1674"/>
        <item sd="0" m="1" x="7519"/>
        <item sd="0" m="1" x="5370"/>
        <item sd="0" m="1" x="3346"/>
        <item sd="0" m="1" x="5838"/>
        <item sd="0" m="1" x="3881"/>
        <item sd="0" m="1" x="1866"/>
        <item sd="0" m="1" x="7717"/>
        <item sd="0" m="1" x="4799"/>
        <item sd="0" m="1" x="2815"/>
        <item sd="0" m="1" x="617"/>
        <item sd="0" m="1" x="6442"/>
        <item sd="0" m="1" x="4460"/>
        <item sd="0" m="1" x="2509"/>
        <item sd="0" m="1" x="5006"/>
        <item sd="0" m="1" x="2976"/>
        <item sd="0" m="1" x="801"/>
        <item sd="0" m="1" x="6611"/>
        <item sd="0" m="1" x="4650"/>
        <item sd="0" m="1" x="2677"/>
        <item sd="0" m="1" x="5207"/>
        <item sd="0" m="1" x="3159"/>
        <item sd="0" m="1" x="4129"/>
        <item sd="0" m="1" x="1974"/>
        <item sd="0" m="1" x="7821"/>
        <item sd="0" m="1" x="5779"/>
        <item sd="0" m="1" x="4290"/>
        <item sd="0" m="1" x="2130"/>
        <item sd="0" m="1" x="7994"/>
        <item m="1" x="5958"/>
        <item m="1" x="4485"/>
        <item m="1" x="6925"/>
        <item sd="0" m="1" x="7921"/>
        <item sd="0" m="1" x="5873"/>
        <item sd="0" m="1" x="3908"/>
        <item sd="0" m="1" x="1741"/>
        <item sd="0" m="1" x="7584"/>
        <item sd="0" m="1" x="120"/>
        <item sd="0" m="1" x="6074"/>
        <item sd="0" m="1" x="4088"/>
        <item sd="0" m="1" x="1929"/>
        <item sd="0" m="1" x="7776"/>
        <item sd="0" m="1" x="375"/>
        <item sd="0" m="1" x="6271"/>
        <item sd="0" m="1" x="4250"/>
        <item sd="0" m="1" x="1371"/>
        <item sd="0" m="1" x="7177"/>
        <item sd="0" m="1" x="5231"/>
        <item sd="0" m="1" x="3021"/>
        <item sd="0" m="1" x="1044"/>
        <item sd="0" m="1" x="6842"/>
        <item sd="0" m="1" x="1547"/>
        <item sd="0" m="1" x="7380"/>
        <item sd="0" m="1" x="5421"/>
        <item sd="0" m="1" x="3195"/>
        <item sd="0" m="1" x="1228"/>
        <item sd="0" m="1" x="7029"/>
        <item sd="0" m="1" x="1763"/>
        <item sd="0" m="1" x="7613"/>
        <item sd="0" m="1" x="5598"/>
        <item sd="0" m="1" x="665"/>
        <item sd="0" m="1" x="6485"/>
        <item sd="0" m="1" x="4339"/>
        <item sd="0" m="1" x="2379"/>
        <item sd="0" m="1" x="271"/>
        <item sd="0" m="1" x="853"/>
        <item sd="0" m="1" x="6650"/>
        <item sd="0" m="1" x="4522"/>
        <item sd="0" m="1" x="2574"/>
        <item sd="0" m="1" x="470"/>
        <item sd="0" m="1" x="1075"/>
        <item sd="0" m="1" x="6874"/>
        <item sd="0" m="1" x="7693"/>
        <item sd="0" m="1" x="5671"/>
        <item sd="0" m="1" x="3685"/>
        <item sd="0" m="1" x="1658"/>
        <item sd="0" m="1" x="7875"/>
        <item sd="0" m="1" x="5831"/>
        <item sd="0" m="1" x="3863"/>
        <item sd="0" m="1" x="1848"/>
        <item sd="0" m="1" x="7089"/>
        <item sd="0" m="1" x="5095"/>
        <item sd="0" m="1" x="3073"/>
        <item sd="0" m="1" x="1109"/>
        <item sd="0" m="1" x="913"/>
        <item sd="0" m="1" x="6707"/>
        <item sd="0" m="1" x="7254"/>
        <item sd="0" m="1" x="5297"/>
        <item sd="0" m="1" x="3267"/>
        <item sd="0" m="1" x="1278"/>
        <item sd="0" m="1" x="1126"/>
        <item m="1" x="6915"/>
        <item sd="0" m="1" x="7468"/>
        <item m="1" x="5497"/>
        <item m="1" x="3466"/>
        <item sd="0" m="1" x="7013"/>
        <item sd="0" m="1" x="6845"/>
        <item sd="0" m="1" x="4864"/>
        <item sd="0" m="1" x="2861"/>
        <item sd="0" m="1" x="838"/>
        <item sd="0" m="1" x="7187"/>
        <item sd="0" m="1" x="7032"/>
        <item sd="0" m="1" x="5056"/>
        <item sd="0" m="1" x="3034"/>
        <item sd="0" m="1" x="1056"/>
        <item sd="0" m="1" x="7395"/>
        <item sd="0" m="1" x="274"/>
        <item sd="0" m="1" x="6178"/>
        <item sd="0" m="1" x="4185"/>
        <item sd="0" m="1" x="2182"/>
        <item sd="0" m="1" x="473"/>
        <item sd="0" m="1" x="6338"/>
        <item sd="0" m="1" x="4350"/>
        <item sd="0" m="1" x="2387"/>
        <item sd="0" m="1" x="685"/>
        <item sd="0" m="1" x="1660"/>
        <item sd="0" m="1" x="7507"/>
        <item sd="0" m="1" x="5530"/>
        <item sd="0" m="1" x="3335"/>
        <item sd="0" m="1" x="1850"/>
        <item sd="0" m="1" x="7699"/>
        <item sd="0" m="1" x="5678"/>
        <item sd="0" m="1" x="3524"/>
        <item sd="0" m="1" x="2050"/>
        <item sd="0" m="1" x="7884"/>
        <item sd="0" m="1" x="4997"/>
        <item sd="0" m="1" x="2962"/>
        <item sd="0" m="1" x="975"/>
        <item sd="0" m="1" x="6776"/>
        <item sd="0" m="1" x="4634"/>
        <item sd="0" m="1" x="2668"/>
        <item sd="0" m="1" x="5187"/>
        <item sd="0" m="1" x="3143"/>
        <item sd="0" m="1" x="1174"/>
        <item sd="0" m="1" x="6957"/>
        <item sd="0" m="1" x="4808"/>
        <item sd="0" m="1" x="2823"/>
        <item sd="0" m="1" x="5383"/>
        <item sd="0" m="1" x="3357"/>
        <item sd="0" m="1" x="1339"/>
        <item sd="0" m="1" x="7148"/>
        <item sd="0" m="1" x="4278"/>
        <item sd="0" m="1" x="2311"/>
        <item sd="0" m="1" x="183"/>
        <item sd="0" m="1" x="7979"/>
        <item sd="0" m="1" x="5939"/>
        <item sd="0" m="1" x="3967"/>
        <item sd="0" m="1" x="1971"/>
        <item sd="0" m="1" x="4468"/>
        <item sd="0" m="1" x="2518"/>
        <item sd="0" m="1" x="409"/>
        <item sd="0" m="1" x="197"/>
        <item m="1" x="6124"/>
        <item m="1" x="4138"/>
        <item m="1" x="2127"/>
        <item m="1" x="4662"/>
        <item m="1" x="2685"/>
        <item m="1" x="633"/>
        <item sd="0" m="1" x="2184"/>
        <item sd="0" m="1" x="39"/>
        <item sd="0" m="1" x="6003"/>
        <item sd="0" m="1" x="3850"/>
        <item sd="0" m="1" x="1843"/>
        <item sd="0" m="1" x="2390"/>
        <item sd="0" m="1" x="293"/>
        <item sd="0" m="1" x="6196"/>
        <item sd="0" m="1" x="4039"/>
        <item sd="0" m="1" x="2044"/>
        <item sd="0" m="1" x="2587"/>
        <item sd="0" m="1" x="497"/>
        <item sd="0" m="1" x="6355"/>
        <item sd="0" m="1" x="3507"/>
        <item sd="0" m="1" x="1481"/>
        <item sd="0" m="1" x="7304"/>
        <item sd="0" m="1" x="5174"/>
        <item sd="0" m="1" x="3136"/>
        <item sd="0" m="1" x="1166"/>
        <item sd="0" m="1" x="3694"/>
        <item sd="0" m="1" x="1675"/>
        <item sd="0" m="1" x="7520"/>
        <item sd="0" m="1" x="5371"/>
        <item sd="0" m="1" x="3347"/>
        <item sd="0" m="1" x="1330"/>
        <item sd="0" m="1" x="3882"/>
        <item sd="0" m="1" x="1867"/>
        <item sd="0" m="1" x="7718"/>
        <item sd="0" m="1" x="542"/>
        <item sd="0" m="1" x="6386"/>
        <item sd="0" m="1" x="4399"/>
        <item sd="0" m="1" x="2264"/>
        <item sd="0" m="1" x="111"/>
        <item sd="0" m="1" x="740"/>
        <item sd="0" m="1" x="6554"/>
        <item sd="0" m="1" x="4577"/>
        <item sd="0" m="1" x="2468"/>
        <item sd="0" m="1" x="366"/>
        <item sd="0" m="1" x="942"/>
        <item sd="0" m="1" x="6740"/>
        <item sd="0" m="1" x="4763"/>
        <item sd="0" m="1" x="1917"/>
        <item sd="0" m="1" x="7766"/>
        <item sd="0" m="1" x="5731"/>
        <item sd="0" m="1" x="3575"/>
        <item sd="0" m="1" x="1540"/>
        <item sd="0" m="1" x="7372"/>
        <item sd="0" m="1" x="2088"/>
        <item sd="0" m="1" x="7936"/>
        <item sd="0" m="1" x="5889"/>
        <item sd="0" m="1" x="3742"/>
        <item sd="0" m="1" x="1755"/>
        <item sd="0" m="1" x="7604"/>
        <item sd="0" m="1" x="2289"/>
        <item sd="0" m="1" x="146"/>
        <item sd="0" m="1" x="6090"/>
        <item sd="0" m="1" x="1219"/>
        <item sd="0" m="1" x="7018"/>
        <item sd="0" m="1" x="6848"/>
        <item sd="0" m="1" x="4868"/>
        <item sd="0" m="1" x="2864"/>
        <item sd="0" m="1" x="842"/>
        <item sd="0" m="1" x="1388"/>
        <item sd="0" m="1" x="7193"/>
        <item sd="0" m="1" x="7039"/>
        <item sd="0" m="1" x="5059"/>
        <item m="1" x="3040"/>
        <item m="1" x="1063"/>
        <item m="1" x="1566"/>
        <item m="1" x="7399"/>
        <item sd="0" m="1" x="4998"/>
        <item sd="0" m="1" x="2965"/>
        <item sd="0" m="1" x="978"/>
        <item sd="0" m="1" x="6780"/>
        <item sd="0" m="1" x="4638"/>
        <item sd="0" m="1" x="5193"/>
        <item sd="0" m="1" x="3149"/>
        <item sd="0" m="1" x="1180"/>
        <item sd="0" m="1" x="6962"/>
        <item sd="0" m="1" x="4813"/>
        <item sd="0" m="1" x="5388"/>
        <item sd="0" m="1" x="3364"/>
        <item sd="0" m="1" x="1345"/>
        <item sd="0" m="1" x="6292"/>
        <item sd="0" m="1" x="4280"/>
        <item sd="0" m="1" x="2314"/>
        <item sd="0" m="1" x="187"/>
        <item sd="0" m="1" x="7983"/>
        <item sd="0" m="1" x="5944"/>
        <item sd="0" m="1" x="3971"/>
        <item sd="0" m="1" x="6457"/>
        <item sd="0" m="1" x="4473"/>
        <item sd="0" m="1" x="2524"/>
        <item sd="0" m="1" x="413"/>
        <item sd="0" m="1" x="204"/>
        <item sd="0" m="1" x="6130"/>
        <item sd="0" m="1" x="4143"/>
        <item sd="0" m="1" x="6623"/>
        <item sd="0" m="1" x="4668"/>
        <item sd="0" m="1" x="2690"/>
        <item sd="0" m="1" x="636"/>
        <item sd="0" m="1" x="5616"/>
        <item sd="0" m="1" x="3632"/>
        <item sd="0" m="1" x="1427"/>
        <item sd="0" m="1" x="7241"/>
        <item sd="0" m="1" x="5289"/>
        <item sd="0" m="1" x="3247"/>
        <item sd="0" m="1" x="5793"/>
        <item sd="0" m="1" x="3797"/>
        <item sd="0" m="1" x="1604"/>
        <item sd="0" m="1" x="7448"/>
        <item sd="0" m="1" x="5478"/>
        <item sd="0" m="1" x="3443"/>
        <item sd="0" m="1" x="5981"/>
        <item sd="0" m="1" x="3997"/>
        <item sd="0" m="1" x="4939"/>
        <item sd="0" m="1" x="2761"/>
        <item sd="0" m="1" x="729"/>
        <item sd="0" m="1" x="6542"/>
        <item sd="0" m="1" x="5115"/>
        <item sd="0" m="1" x="2921"/>
        <item sd="0" m="1" x="926"/>
        <item sd="0" m="1" x="6721"/>
        <item sd="0" m="1" x="5319"/>
        <item sd="0" m="1" x="2189"/>
        <item sd="0" m="1" x="42"/>
        <item sd="0" m="1" x="6007"/>
        <item sd="0" m="1" x="3856"/>
        <item sd="0" m="1" x="2395"/>
        <item sd="0" m="1" x="299"/>
        <item sd="0" m="1" x="6204"/>
        <item m="1" x="4047"/>
        <item m="1" x="2590"/>
        <item m="1" x="502"/>
        <item sd="0" m="1" x="4131"/>
        <item sd="0" m="1" x="1980"/>
        <item sd="0" m="1" x="7825"/>
        <item sd="0" m="1" x="5782"/>
        <item sd="0" m="1" x="4293"/>
        <item sd="0" m="1" x="2136"/>
        <item sd="0" m="1" x="7997"/>
        <item sd="0" m="1" x="5961"/>
        <item sd="0" m="1" x="4488"/>
        <item sd="0" m="1" x="3251"/>
        <item sd="0" m="1" x="1268"/>
        <item sd="0" m="1" x="7091"/>
        <item sd="0" m="1" x="3447"/>
        <item sd="0" m="1" x="1437"/>
        <item sd="0" m="1" x="7257"/>
        <item sd="0" m="1" x="6543"/>
        <item sd="0" m="1" x="4562"/>
        <item sd="0" m="1" x="2610"/>
        <item sd="0" m="1" x="541"/>
        <item sd="0" m="1" x="6722"/>
        <item sd="0" m="1" x="4746"/>
        <item sd="0" m="1" x="2771"/>
        <item sd="0" m="1" x="737"/>
        <item sd="0" m="1" x="6929"/>
        <item sd="0" m="1" x="4966"/>
        <item sd="0" m="1" x="7924"/>
        <item sd="0" m="1" x="5875"/>
        <item sd="0" m="1" x="3913"/>
        <item sd="0" m="1" x="1746"/>
        <item sd="0" m="1" x="7589"/>
        <item sd="0" m="1" x="125"/>
        <item sd="0" m="1" x="6075"/>
        <item sd="0" m="1" x="4093"/>
        <item sd="0" m="1" x="1938"/>
        <item sd="0" m="1" x="7784"/>
        <item sd="0" m="1" x="379"/>
        <item sd="0" m="1" x="6272"/>
        <item sd="0" m="1" x="4253"/>
        <item sd="0" m="1" x="1374"/>
        <item sd="0" m="1" x="7179"/>
        <item sd="0" m="1" x="5237"/>
        <item sd="0" m="1" x="3023"/>
        <item sd="0" m="1" x="1046"/>
        <item sd="0" m="1" x="6846"/>
        <item sd="0" m="1" x="1551"/>
        <item sd="0" m="1" x="7384"/>
        <item sd="0" m="1" x="5427"/>
        <item sd="0" m="1" x="3202"/>
        <item m="1" x="1232"/>
        <item m="1" x="7037"/>
        <item m="1" x="1766"/>
        <item m="1" x="7616"/>
        <item m="1" x="5599"/>
        <item sd="0" m="1" x="7092"/>
        <item sd="0" m="1" x="5097"/>
        <item sd="0" m="1" x="3077"/>
        <item sd="0" m="1" x="1113"/>
        <item sd="0" m="1" x="916"/>
        <item sd="0" m="1" x="6709"/>
        <item sd="0" m="1" x="7260"/>
        <item sd="0" m="1" x="5301"/>
        <item sd="0" m="1" x="3275"/>
        <item sd="0" m="1" x="1282"/>
        <item sd="0" m="1" x="1130"/>
        <item sd="0" m="1" x="6917"/>
        <item sd="0" m="1" x="7475"/>
        <item sd="0" m="1" x="5504"/>
        <item sd="0" m="1" x="3474"/>
        <item sd="0" m="1" x="543"/>
        <item sd="0" m="1" x="6387"/>
        <item sd="0" m="1" x="4400"/>
        <item sd="0" m="1" x="2265"/>
        <item sd="0" m="1" x="112"/>
        <item sd="0" m="1" x="6067"/>
        <item sd="0" m="1" x="741"/>
        <item sd="0" m="1" x="6555"/>
        <item sd="0" m="1" x="4578"/>
        <item sd="0" m="1" x="2469"/>
        <item sd="0" m="1" x="367"/>
        <item sd="0" m="1" x="6262"/>
        <item sd="0" m="1" x="943"/>
        <item sd="0" m="1" x="6741"/>
        <item sd="0" m="1" x="4764"/>
        <item sd="0" m="1" x="7767"/>
        <item sd="0" m="1" x="5732"/>
        <item sd="0" m="1" x="3576"/>
        <item sd="0" m="1" x="1541"/>
        <item sd="0" m="1" x="7373"/>
        <item sd="0" m="1" x="7937"/>
        <item sd="0" m="1" x="5890"/>
        <item sd="0" m="1" x="3743"/>
        <item sd="0" m="1" x="1756"/>
        <item sd="0" m="1" x="7605"/>
        <item sd="0" m="1" x="147"/>
        <item sd="0" m="1" x="6091"/>
        <item sd="0" m="1" x="7019"/>
        <item sd="0" m="1" x="6849"/>
        <item sd="0" m="1" x="4869"/>
        <item sd="0" m="1" x="2865"/>
        <item sd="0" m="1" x="843"/>
        <item sd="0" m="1" x="7194"/>
        <item sd="0" m="1" x="7040"/>
        <item sd="0" m="1" x="5060"/>
        <item sd="0" m="1" x="3041"/>
        <item sd="0" m="1" x="1064"/>
        <item sd="0" m="1" x="7400"/>
        <item sd="0" m="1" x="279"/>
        <item sd="0" m="1" x="6182"/>
        <item sd="0" m="1" x="4189"/>
        <item sd="0" m="1" x="2188"/>
        <item sd="0" m="1" x="478"/>
        <item sd="0" m="1" x="6341"/>
        <item sd="0" m="1" x="4356"/>
        <item sd="0" m="1" x="2394"/>
        <item sd="0" m="1" x="692"/>
        <item m="1" x="5389"/>
        <item sd="0" m="1" x="4281"/>
        <item sd="0" m="1" x="2315"/>
        <item sd="0" m="1" x="188"/>
        <item sd="0" m="1" x="7984"/>
        <item sd="0" m="1" x="5945"/>
        <item sd="0" m="1" x="3972"/>
        <item sd="0" m="1" x="1977"/>
        <item sd="0" m="1" x="4474"/>
        <item sd="0" m="1" x="2525"/>
        <item sd="0" m="1" x="414"/>
        <item sd="0" m="1" x="205"/>
        <item sd="0" m="1" x="6131"/>
        <item sd="0" m="1" x="4144"/>
        <item sd="0" m="1" x="2133"/>
        <item sd="0" m="1" x="4669"/>
        <item sd="0" m="1" x="2691"/>
        <item sd="0" m="1" x="637"/>
        <item sd="0" m="1" x="3633"/>
        <item sd="0" m="1" x="1428"/>
        <item sd="0" m="1" x="7242"/>
        <item sd="0" m="1" x="5290"/>
        <item sd="0" m="1" x="3248"/>
        <item sd="0" m="1" x="3798"/>
        <item sd="0" m="1" x="1605"/>
        <item sd="0" m="1" x="7449"/>
        <item sd="0" m="1" x="5479"/>
        <item sd="0" m="1" x="3444"/>
        <item sd="0" m="1" x="3998"/>
        <item sd="0" m="1" x="546"/>
        <item sd="0" m="1" x="6389"/>
        <item sd="0" m="1" x="4401"/>
        <item sd="0" m="1" x="2268"/>
        <item sd="0" m="1" x="116"/>
        <item sd="0" m="1" x="745"/>
        <item sd="0" m="1" x="6560"/>
        <item sd="0" m="1" x="4582"/>
        <item sd="0" m="1" x="2474"/>
        <item sd="0" m="1" x="371"/>
        <item sd="0" m="1" x="946"/>
        <item sd="0" m="1" x="6746"/>
        <item sd="0" m="1" x="4768"/>
        <item sd="0" m="1" x="1922"/>
        <item sd="0" m="1" x="7771"/>
        <item sd="0" m="1" x="5736"/>
        <item sd="0" m="1" x="3579"/>
        <item sd="0" m="1" x="1543"/>
        <item sd="0" m="1" x="7376"/>
        <item sd="0" m="1" x="2093"/>
        <item sd="0" m="1" x="7943"/>
        <item sd="0" m="1" x="5897"/>
        <item sd="0" m="1" x="3745"/>
        <item sd="0" m="1" x="1759"/>
        <item sd="0" m="1" x="7609"/>
        <item sd="0" m="1" x="2293"/>
        <item sd="0" m="1" x="153"/>
        <item sd="0" m="1" x="6096"/>
        <item sd="0" m="1" x="1223"/>
        <item sd="0" m="1" x="7023"/>
        <item sd="0" m="1" x="6852"/>
        <item sd="0" m="1" x="4873"/>
        <item sd="0" m="1" x="2868"/>
        <item sd="0" m="1" x="846"/>
        <item sd="0" m="1" x="1394"/>
        <item sd="0" m="1" x="7199"/>
        <item sd="0" m="1" x="7044"/>
        <item sd="0" m="1" x="5062"/>
        <item m="1" x="3043"/>
        <item m="1" x="1066"/>
        <item m="1" x="1569"/>
        <item m="1" x="7403"/>
        <item sd="0" m="1" x="5000"/>
        <item sd="0" m="1" x="2968"/>
        <item sd="0" m="1" x="981"/>
        <item sd="0" m="1" x="6785"/>
        <item sd="0" m="1" x="4642"/>
        <item sd="0" m="1" x="5199"/>
        <item sd="0" m="1" x="3152"/>
        <item sd="0" m="1" x="1184"/>
        <item sd="0" m="1" x="6969"/>
        <item sd="0" m="1" x="4821"/>
        <item sd="0" m="1" x="5393"/>
        <item sd="0" m="1" x="3367"/>
        <item sd="0" m="1" x="1350"/>
        <item sd="0" m="1" x="6296"/>
        <item sd="0" m="1" x="4283"/>
        <item sd="0" m="1" x="2317"/>
        <item sd="0" m="1" x="191"/>
        <item sd="0" m="1" x="7987"/>
        <item sd="0" m="1" x="5949"/>
        <item sd="0" m="1" x="3975"/>
        <item sd="0" m="1" x="6463"/>
        <item sd="0" m="1" x="4479"/>
        <item sd="0" m="1" x="2529"/>
        <item sd="0" m="1" x="417"/>
        <item sd="0" m="1" x="213"/>
        <item sd="0" m="1" x="6137"/>
        <item sd="0" m="1" x="4150"/>
        <item sd="0" m="1" x="6627"/>
        <item sd="0" m="1" x="4672"/>
        <item sd="0" m="1" x="2694"/>
        <item sd="0" m="1" x="638"/>
        <item sd="0" m="1" x="5619"/>
        <item sd="0" m="1" x="3637"/>
        <item sd="0" m="1" x="1429"/>
        <item sd="0" m="1" x="7244"/>
        <item sd="0" m="1" x="5292"/>
        <item sd="0" m="1" x="3252"/>
        <item sd="0" m="1" x="5797"/>
        <item sd="0" m="1" x="3804"/>
        <item sd="0" m="1" x="1609"/>
        <item sd="0" m="1" x="7453"/>
        <item sd="0" m="1" x="5485"/>
        <item sd="0" m="1" x="3450"/>
        <item sd="0" m="1" x="5985"/>
        <item sd="0" m="1" x="4001"/>
        <item sd="0" m="1" x="4943"/>
        <item sd="0" m="1" x="2763"/>
        <item sd="0" m="1" x="730"/>
        <item sd="0" m="1" x="6544"/>
        <item sd="0" m="1" x="5122"/>
        <item sd="0" m="1" x="2924"/>
        <item sd="0" m="1" x="929"/>
        <item sd="0" m="1" x="6725"/>
        <item sd="0" m="1" x="5324"/>
        <item sd="0" m="1" x="2194"/>
        <item sd="0" m="1" x="45"/>
        <item sd="0" m="1" x="6010"/>
        <item sd="0" m="1" x="3859"/>
        <item sd="0" m="1" x="2399"/>
        <item sd="0" m="1" x="302"/>
        <item sd="0" m="1" x="6206"/>
        <item m="1" x="4052"/>
        <item m="1" x="2593"/>
        <item m="1" x="507"/>
        <item sd="0" m="1" x="4134"/>
        <item sd="0" m="1" x="1983"/>
        <item sd="0" m="1" x="7827"/>
        <item sd="0" m="1" x="5783"/>
        <item sd="0" m="1" x="4298"/>
        <item sd="0" m="1" x="2141"/>
        <item sd="0" m="1" x="2"/>
        <item sd="0" m="1" x="5965"/>
        <item sd="0" m="1" x="4492"/>
        <item sd="0" m="1" x="3254"/>
        <item sd="0" m="1" x="1269"/>
        <item sd="0" m="1" x="7094"/>
        <item sd="0" m="1" x="3452"/>
        <item sd="0" m="1" x="1442"/>
        <item sd="0" m="1" x="7262"/>
        <item sd="0" m="1" x="6546"/>
        <item sd="0" m="1" x="4563"/>
        <item sd="0" m="1" x="2611"/>
        <item sd="0" m="1" x="545"/>
        <item sd="0" m="1" x="6727"/>
        <item sd="0" m="1" x="4748"/>
        <item sd="0" m="1" x="2775"/>
        <item sd="0" m="1" x="743"/>
        <item sd="0" m="1" x="6932"/>
        <item sd="0" m="1" x="4969"/>
        <item sd="0" m="1" x="7927"/>
        <item sd="0" m="1" x="5877"/>
        <item sd="0" m="1" x="3917"/>
        <item sd="0" m="1" x="1747"/>
        <item sd="0" m="1" x="7590"/>
        <item sd="0" m="1" x="130"/>
        <item sd="0" m="1" x="6078"/>
        <item sd="0" m="1" x="4097"/>
        <item sd="0" m="1" x="1942"/>
        <item sd="0" m="1" x="7787"/>
        <item sd="0" m="1" x="383"/>
        <item sd="0" m="1" x="6276"/>
        <item sd="0" m="1" x="4257"/>
        <item sd="0" m="1" x="1375"/>
        <item sd="0" m="1" x="7180"/>
        <item sd="0" m="1" x="5241"/>
        <item sd="0" m="1" x="3025"/>
        <item sd="0" m="1" x="1048"/>
        <item sd="0" m="1" x="6850"/>
        <item sd="0" m="1" x="1555"/>
        <item sd="0" m="1" x="7388"/>
        <item sd="0" m="1" x="5432"/>
        <item sd="0" m="1" x="3208"/>
        <item m="1" x="1234"/>
        <item m="1" x="7042"/>
        <item m="1" x="1770"/>
        <item m="1" x="7620"/>
        <item m="1" x="5602"/>
        <item sd="0" m="1" x="7096"/>
        <item sd="0" m="1" x="5099"/>
        <item sd="0" m="1" x="3079"/>
        <item sd="0" m="1" x="1115"/>
        <item sd="0" m="1" x="919"/>
        <item sd="0" m="1" x="6711"/>
        <item sd="0" m="1" x="7266"/>
        <item sd="0" m="1" x="5304"/>
        <item sd="0" m="1" x="3280"/>
        <item sd="0" m="1" x="1285"/>
        <item sd="0" m="1" x="1134"/>
        <item sd="0" m="1" x="6919"/>
        <item sd="0" m="1" x="7480"/>
        <item sd="0" m="1" x="5507"/>
        <item sd="0" m="1" x="3479"/>
        <item sd="0" m="1" x="547"/>
        <item sd="0" m="1" x="6390"/>
        <item sd="0" m="1" x="4402"/>
        <item sd="0" m="1" x="2269"/>
        <item sd="0" m="1" x="117"/>
        <item sd="0" m="1" x="6071"/>
        <item sd="0" m="1" x="746"/>
        <item sd="0" m="1" x="6561"/>
        <item sd="0" m="1" x="4583"/>
        <item sd="0" m="1" x="2475"/>
        <item sd="0" m="1" x="372"/>
        <item sd="0" m="1" x="6267"/>
        <item sd="0" m="1" x="947"/>
        <item sd="0" m="1" x="6747"/>
        <item sd="0" m="1" x="4769"/>
        <item sd="0" m="1" x="7772"/>
        <item sd="0" m="1" x="5737"/>
        <item sd="0" m="1" x="3580"/>
        <item sd="0" m="1" x="1544"/>
        <item sd="0" m="1" x="7377"/>
        <item sd="0" m="1" x="7944"/>
        <item sd="0" m="1" x="5898"/>
        <item sd="0" m="1" x="3746"/>
        <item sd="0" m="1" x="1760"/>
        <item sd="0" m="1" x="7610"/>
        <item sd="0" m="1" x="154"/>
        <item sd="0" m="1" x="6097"/>
        <item sd="0" m="1" x="7024"/>
        <item sd="0" m="1" x="6853"/>
        <item sd="0" m="1" x="4874"/>
        <item sd="0" m="1" x="2869"/>
        <item sd="0" m="1" x="847"/>
        <item sd="0" m="1" x="7200"/>
        <item sd="0" m="1" x="7045"/>
        <item sd="0" m="1" x="5063"/>
        <item sd="0" m="1" x="3044"/>
        <item sd="0" m="1" x="1067"/>
        <item sd="0" m="1" x="7404"/>
        <item sd="0" m="1" x="283"/>
        <item sd="0" m="1" x="6186"/>
        <item sd="0" m="1" x="4193"/>
        <item sd="0" m="1" x="2193"/>
        <item sd="0" m="1" x="483"/>
        <item sd="0" m="1" x="6345"/>
        <item sd="0" m="1" x="4359"/>
        <item sd="0" m="1" x="2397"/>
        <item m="1" x="5394"/>
        <item sd="0" m="1" x="4284"/>
        <item sd="0" m="1" x="2318"/>
        <item sd="0" m="1" x="192"/>
        <item sd="0" m="1" x="7988"/>
        <item sd="0" m="1" x="5950"/>
        <item sd="0" m="1" x="3976"/>
        <item sd="0" m="1" x="1982"/>
        <item sd="0" m="1" x="4480"/>
        <item sd="0" m="1" x="2530"/>
        <item sd="0" m="1" x="418"/>
        <item sd="0" m="1" x="214"/>
        <item sd="0" m="1" x="6138"/>
        <item sd="0" m="1" x="4151"/>
        <item sd="0" m="1" x="2140"/>
        <item sd="0" m="1" x="4673"/>
        <item sd="0" m="1" x="2695"/>
        <item sd="0" m="1" x="639"/>
        <item sd="0" m="1" x="3638"/>
        <item sd="0" m="1" x="1430"/>
        <item sd="0" m="1" x="7245"/>
        <item sd="0" m="1" x="5293"/>
        <item sd="0" m="1" x="3253"/>
        <item sd="0" m="1" x="3805"/>
        <item sd="0" m="1" x="1610"/>
        <item sd="0" m="1" x="7454"/>
        <item sd="0" m="1" x="5486"/>
        <item sd="0" m="1" x="3451"/>
        <item sd="0" m="1" x="4002"/>
        <item sd="0" m="1" x="2764"/>
        <item sd="0" m="1" x="731"/>
        <item sd="0" m="1" x="6545"/>
        <item sd="0" m="1" x="2925"/>
        <item sd="0" m="1" x="930"/>
        <item sd="0" m="1" x="6726"/>
        <item sd="0" m="1" x="2195"/>
        <item sd="0" m="1" x="46"/>
        <item sd="0" m="1" x="6011"/>
        <item sd="0" m="1" x="3860"/>
        <item sd="0" m="1" x="1846"/>
        <item sd="0" m="1" x="2400"/>
        <item sd="0" m="1" x="303"/>
        <item sd="0" m="1" x="6207"/>
        <item sd="0" m="1" x="4053"/>
        <item sd="0" m="1" x="2047"/>
        <item sd="0" m="1" x="2594"/>
        <item sd="0" m="1" x="508"/>
        <item sd="0" m="1" x="6363"/>
        <item sd="0" m="1" x="3517"/>
        <item sd="0" m="1" x="1486"/>
        <item sd="0" m="1" x="7311"/>
        <item sd="0" m="1" x="5179"/>
        <item sd="0" m="1" x="3138"/>
        <item sd="0" m="1" x="1170"/>
        <item sd="0" m="1" x="3700"/>
        <item sd="0" m="1" x="1686"/>
        <item sd="0" m="1" x="7531"/>
        <item m="1" x="5376"/>
        <item m="1" x="3350"/>
        <item m="1" x="1335"/>
        <item m="1" x="3887"/>
        <item m="1" x="1878"/>
        <item m="1" x="7729"/>
        <item sd="0" m="1" x="1227"/>
        <item sd="0" m="1" x="7028"/>
        <item sd="0" m="1" x="6856"/>
        <item sd="0" m="1" x="4880"/>
        <item sd="0" m="1" x="2873"/>
        <item sd="0" m="1" x="851"/>
        <item sd="0" m="1" x="1401"/>
        <item sd="0" m="1" x="7206"/>
        <item sd="0" m="1" x="7050"/>
        <item sd="0" m="1" x="5066"/>
        <item sd="0" m="1" x="3047"/>
        <item sd="0" m="1" x="1070"/>
        <item sd="0" m="1" x="1573"/>
        <item sd="0" m="1" x="7408"/>
        <item sd="0" m="1" x="286"/>
        <item sd="0" m="1" x="6189"/>
        <item sd="0" m="1" x="4196"/>
        <item sd="0" m="1" x="2201"/>
        <item sd="0" m="1" x="488"/>
        <item sd="0" m="1" x="6348"/>
        <item sd="0" m="1" x="4363"/>
        <item sd="0" m="1" x="2403"/>
        <item sd="0" m="1" x="1667"/>
        <item sd="0" m="1" x="7514"/>
        <item sd="0" m="1" x="5540"/>
        <item sd="0" m="1" x="1861"/>
        <item sd="0" m="1" x="7713"/>
        <item sd="0" m="1" x="5694"/>
        <item sd="0" m="1" x="2061"/>
        <item sd="0" m="1" x="5001"/>
        <item sd="0" m="1" x="2970"/>
        <item sd="0" m="1" x="985"/>
        <item sd="0" m="1" x="6789"/>
        <item sd="0" m="1" x="4646"/>
        <item sd="0" m="1" x="5203"/>
        <item sd="0" m="1" x="3155"/>
        <item sd="0" m="1" x="1189"/>
        <item sd="0" m="1" x="6975"/>
        <item sd="0" m="1" x="4828"/>
        <item sd="0" m="1" x="5398"/>
        <item sd="0" m="1" x="3370"/>
        <item sd="0" m="1" x="1354"/>
        <item sd="0" m="1" x="6298"/>
        <item sd="0" m="1" x="4285"/>
        <item sd="0" m="1" x="2319"/>
        <item sd="0" m="1" x="195"/>
        <item sd="0" m="1" x="7991"/>
        <item sd="0" m="1" x="5954"/>
        <item sd="0" m="1" x="3978"/>
        <item sd="0" m="1" x="6466"/>
        <item sd="0" m="1" x="4482"/>
        <item sd="0" m="1" x="2532"/>
        <item sd="0" m="1" x="421"/>
        <item sd="0" m="1" x="222"/>
        <item m="1" x="6144"/>
        <item m="1" x="4156"/>
        <item sd="0" m="1" x="6630"/>
        <item m="1" x="4675"/>
        <item m="1" x="2697"/>
        <item m="1" x="642"/>
        <item sd="0" m="1" x="2203"/>
        <item sd="0" m="1" x="51"/>
        <item sd="0" m="1" x="6016"/>
        <item sd="0" m="1" x="3862"/>
        <item sd="0" m="1" x="2406"/>
        <item sd="0" m="1" x="309"/>
        <item sd="0" m="1" x="6211"/>
        <item sd="0" m="1" x="4055"/>
        <item sd="0" m="1" x="2597"/>
        <item sd="0" m="1" x="516"/>
        <item sd="0" m="1" x="5542"/>
        <item sd="0" m="1" x="3521"/>
        <item sd="0" m="1" x="1489"/>
        <item sd="0" m="1" x="7315"/>
        <item sd="0" m="1" x="5184"/>
        <item sd="0" m="1" x="3141"/>
        <item sd="0" m="1" x="5696"/>
        <item sd="0" m="1" x="3703"/>
        <item sd="0" m="1" x="1691"/>
        <item sd="0" m="1" x="7536"/>
        <item sd="0" m="1" x="5379"/>
        <item sd="0" m="1" x="3353"/>
        <item sd="0" m="1" x="5851"/>
        <item sd="0" m="1" x="3888"/>
        <item sd="0" m="1" x="1881"/>
        <item sd="0" m="1" x="7733"/>
        <item sd="0" m="1" x="4806"/>
        <item sd="0" m="1" x="2822"/>
        <item sd="0" m="1" x="623"/>
        <item sd="0" m="1" x="6449"/>
        <item sd="0" m="1" x="4467"/>
        <item sd="0" m="1" x="2517"/>
        <item sd="0" m="1" x="5018"/>
        <item sd="0" m="1" x="2988"/>
        <item sd="0" m="1" x="813"/>
        <item sd="0" m="1" x="6616"/>
        <item sd="0" m="1" x="4660"/>
        <item sd="0" m="1" x="2683"/>
        <item sd="0" m="1" x="5217"/>
        <item sd="0" m="1" x="3168"/>
        <item sd="0" m="1" x="4137"/>
        <item sd="0" m="1" x="1990"/>
        <item sd="0" m="1" x="7834"/>
        <item sd="0" m="1" x="5788"/>
        <item sd="0" m="1" x="4304"/>
        <item sd="0" m="1" x="2150"/>
        <item sd="0" m="1" x="9"/>
        <item sd="0" m="1" x="5972"/>
        <item sd="0" m="1" x="4496"/>
        <item sd="0" m="1" x="3260"/>
        <item sd="0" m="1" x="1273"/>
        <item sd="0" m="1" x="7102"/>
        <item sd="0" m="1" x="3460"/>
        <item sd="0" m="1" x="1449"/>
        <item sd="0" m="1" x="7271"/>
        <item m="1" x="1945"/>
        <item sd="0" m="1" x="1376"/>
        <item sd="0" m="1" x="7181"/>
        <item sd="0" m="1" x="5244"/>
        <item sd="0" m="1" x="3029"/>
        <item sd="0" m="1" x="1051"/>
        <item sd="0" m="1" x="6855"/>
        <item sd="0" m="1" x="1556"/>
        <item sd="0" m="1" x="7389"/>
        <item sd="0" m="1" x="5435"/>
        <item sd="0" m="1" x="3215"/>
        <item sd="0" m="1" x="1239"/>
        <item sd="0" m="1" x="7049"/>
        <item sd="0" m="1" x="1771"/>
        <item sd="0" m="1" x="7621"/>
        <item sd="0" m="1" x="5604"/>
        <item sd="0" m="1" x="667"/>
        <item sd="0" m="1" x="6491"/>
        <item sd="0" m="1" x="4345"/>
        <item sd="0" m="1" x="2383"/>
        <item sd="0" m="1" x="285"/>
        <item sd="0" m="1" x="863"/>
        <item sd="0" m="1" x="6658"/>
        <item sd="0" m="1" x="4531"/>
        <item sd="0" m="1" x="2581"/>
        <item sd="0" m="1" x="487"/>
        <item sd="0" m="1" x="1089"/>
        <item sd="0" m="1" x="6877"/>
        <item sd="0" m="1" x="7696"/>
        <item sd="0" m="1" x="5673"/>
        <item sd="0" m="1" x="3689"/>
        <item sd="0" m="1" x="1666"/>
        <item sd="0" m="1" x="7882"/>
        <item sd="0" m="1" x="5835"/>
        <item sd="0" m="1" x="3877"/>
        <item sd="0" m="1" x="1860"/>
        <item sd="0" m="1" x="7103"/>
        <item sd="0" m="1" x="5105"/>
        <item sd="0" m="1" x="3084"/>
        <item sd="0" m="1" x="1121"/>
        <item sd="0" m="1" x="921"/>
        <item sd="0" m="1" x="6715"/>
        <item sd="0" m="1" x="7275"/>
        <item sd="0" m="1" x="5311"/>
        <item sd="0" m="1" x="3288"/>
        <item sd="0" m="1" x="1291"/>
        <item sd="0" m="1" x="1138"/>
        <item sd="0" m="1" x="6923"/>
        <item sd="0" m="1" x="7489"/>
        <item sd="0" m="1" x="5515"/>
        <item sd="0" m="1" x="3488"/>
        <item sd="0" m="1" x="554"/>
        <item sd="0" m="1" x="6394"/>
        <item sd="0" m="1" x="4406"/>
        <item sd="0" m="1" x="2272"/>
        <item sd="0" m="1" x="119"/>
        <item sd="0" m="1" x="6073"/>
        <item sd="0" m="1" x="752"/>
        <item sd="0" m="1" x="6564"/>
        <item sd="0" m="1" x="4587"/>
        <item sd="0" m="1" x="2477"/>
        <item m="1" x="374"/>
        <item m="1" x="6270"/>
        <item m="1" x="954"/>
        <item m="1" x="6752"/>
        <item m="1" x="4774"/>
        <item sd="0" m="1" x="287"/>
        <item sd="0" m="1" x="6190"/>
        <item sd="0" m="1" x="4197"/>
        <item sd="0" m="1" x="2202"/>
        <item sd="0" m="1" x="489"/>
        <item sd="0" m="1" x="6349"/>
        <item sd="0" m="1" x="4364"/>
        <item sd="0" m="1" x="2404"/>
        <item sd="0" m="1" x="703"/>
        <item sd="0" m="1" x="1668"/>
        <item sd="0" m="1" x="7515"/>
        <item sd="0" m="1" x="5541"/>
        <item sd="0" m="1" x="3342"/>
        <item sd="0" m="1" x="1862"/>
        <item sd="0" m="1" x="7714"/>
        <item sd="0" m="1" x="5695"/>
        <item sd="0" m="1" x="3542"/>
        <item sd="0" m="1" x="2062"/>
        <item sd="0" m="1" x="7900"/>
        <item sd="0" m="1" x="5002"/>
        <item sd="0" m="1" x="2971"/>
        <item sd="0" m="1" x="986"/>
        <item sd="0" m="1" x="6790"/>
        <item sd="0" m="1" x="4647"/>
        <item sd="0" m="1" x="2674"/>
        <item sd="0" m="1" x="5204"/>
        <item sd="0" m="1" x="3156"/>
        <item sd="0" m="1" x="1190"/>
        <item sd="0" m="1" x="6976"/>
        <item sd="0" m="1" x="4829"/>
        <item sd="0" m="1" x="2837"/>
        <item sd="0" m="1" x="5399"/>
        <item sd="0" m="1" x="3371"/>
        <item sd="0" m="1" x="1355"/>
        <item sd="0" m="1" x="7161"/>
        <item sd="0" m="1" x="4286"/>
        <item sd="0" m="1" x="2320"/>
        <item sd="0" m="1" x="196"/>
        <item sd="0" m="1" x="7992"/>
        <item sd="0" m="1" x="5955"/>
        <item sd="0" m="1" x="3979"/>
        <item sd="0" m="1" x="1987"/>
        <item sd="0" m="1" x="4483"/>
        <item sd="0" m="1" x="2533"/>
        <item sd="0" m="1" x="422"/>
        <item sd="0" m="1" x="223"/>
        <item sd="0" m="1" x="6145"/>
        <item sd="0" m="1" x="4157"/>
        <item sd="0" m="1" x="2147"/>
        <item sd="0" m="1" x="4676"/>
        <item sd="0" m="1" x="2698"/>
        <item sd="0" m="1" x="643"/>
        <item sd="0" m="1" x="3639"/>
        <item sd="0" m="1" x="1431"/>
        <item sd="0" m="1" x="7248"/>
        <item sd="0" m="1" x="5295"/>
        <item sd="0" m="1" x="3257"/>
        <item sd="0" m="1" x="3808"/>
        <item sd="0" m="1" x="1613"/>
        <item sd="0" m="1" x="7459"/>
        <item m="1" x="5491"/>
        <item m="1" x="3457"/>
        <item m="1" x="4005"/>
        <item sd="0" m="1" x="564"/>
        <item sd="0" m="1" x="6402"/>
        <item sd="0" m="1" x="4411"/>
        <item sd="0" m="1" x="2275"/>
        <item sd="0" m="1" x="124"/>
        <item sd="0" m="1" x="757"/>
        <item sd="0" m="1" x="6569"/>
        <item sd="0" m="1" x="4593"/>
        <item sd="0" m="1" x="2481"/>
        <item sd="0" m="1" x="378"/>
        <item sd="0" m="1" x="957"/>
        <item sd="0" m="1" x="6756"/>
        <item sd="0" m="1" x="4779"/>
        <item sd="0" m="1" x="1937"/>
        <item sd="0" m="1" x="7782"/>
        <item sd="0" m="1" x="5746"/>
        <item sd="0" m="1" x="3589"/>
        <item sd="0" m="1" x="1549"/>
        <item sd="0" m="1" x="7382"/>
        <item sd="0" m="1" x="2104"/>
        <item sd="0" m="1" x="7954"/>
        <item sd="0" m="1" x="5908"/>
        <item sd="0" m="1" x="3753"/>
        <item sd="0" m="1" x="1764"/>
        <item sd="0" m="1" x="7614"/>
        <item sd="0" m="1" x="2299"/>
        <item sd="0" m="1" x="161"/>
        <item sd="0" m="1" x="6102"/>
        <item sd="0" m="1" x="1231"/>
        <item sd="0" m="1" x="7034"/>
        <item sd="0" m="1" x="6860"/>
        <item sd="0" m="1" x="4885"/>
        <item sd="0" m="1" x="2876"/>
        <item sd="0" m="1" x="856"/>
        <item sd="0" m="1" x="1405"/>
        <item sd="0" m="1" x="7210"/>
        <item sd="0" m="1" x="7059"/>
        <item sd="0" m="1" x="5072"/>
        <item sd="0" m="1" x="3052"/>
        <item sd="0" m="1" x="1077"/>
        <item sd="0" m="1" x="1575"/>
        <item sd="0" m="1" x="7410"/>
        <item sd="0" m="1" x="294"/>
        <item sd="0" m="1" x="6197"/>
        <item sd="0" m="1" x="4200"/>
        <item sd="0" m="1" x="2206"/>
        <item sd="0" m="1" x="498"/>
        <item sd="0" m="1" x="6356"/>
        <item sd="0" m="1" x="4369"/>
        <item sd="0" m="1" x="2409"/>
        <item sd="0" m="1" x="1676"/>
        <item sd="0" m="1" x="7521"/>
        <item sd="0" m="1" x="5546"/>
        <item sd="0" m="1" x="1868"/>
        <item sd="0" m="1" x="7719"/>
        <item sd="0" m="1" x="5699"/>
        <item m="1" x="2065"/>
        <item m="1" x="229"/>
        <item sd="0" m="1" x="5624"/>
        <item sd="0" m="1" x="3641"/>
        <item sd="0" m="1" x="1433"/>
        <item sd="0" m="1" x="7251"/>
        <item sd="0" m="1" x="5296"/>
        <item sd="0" m="1" x="3264"/>
        <item sd="0" m="1" x="5800"/>
        <item sd="0" m="1" x="3810"/>
        <item sd="0" m="1" x="1619"/>
        <item sd="0" m="1" x="7465"/>
        <item sd="0" m="1" x="5496"/>
        <item sd="0" m="1" x="3463"/>
        <item sd="0" m="1" x="5989"/>
        <item sd="0" m="1" x="4006"/>
        <item sd="0" m="1" x="4948"/>
        <item sd="0" m="1" x="2767"/>
        <item sd="0" m="1" x="734"/>
        <item sd="0" m="1" x="6548"/>
        <item sd="0" m="1" x="5131"/>
        <item sd="0" m="1" x="2930"/>
        <item sd="0" m="1" x="935"/>
        <item sd="0" m="1" x="6732"/>
        <item sd="0" m="1" x="5329"/>
        <item sd="0" m="1" x="2210"/>
        <item sd="0" m="1" x="56"/>
        <item sd="0" m="1" x="6022"/>
        <item sd="0" m="1" x="3868"/>
        <item sd="0" m="1" x="2414"/>
        <item sd="0" m="1" x="317"/>
        <item sd="0" m="1" x="6217"/>
        <item sd="0" m="1" x="4060"/>
        <item sd="0" m="1" x="2601"/>
        <item sd="0" m="1" x="524"/>
        <item sd="0" m="1" x="5548"/>
        <item sd="0" m="1" x="3528"/>
        <item sd="0" m="1" x="1493"/>
        <item sd="0" m="1" x="7320"/>
        <item sd="0" m="1" x="5191"/>
        <item sd="0" m="1" x="3146"/>
        <item sd="0" m="1" x="5702"/>
        <item sd="0" m="1" x="3707"/>
        <item sd="0" m="1" x="1697"/>
        <item sd="0" m="1" x="7543"/>
        <item sd="0" m="1" x="5386"/>
        <item sd="0" m="1" x="3360"/>
        <item sd="0" m="1" x="5856"/>
        <item sd="0" m="1" x="3893"/>
        <item sd="0" m="1" x="1889"/>
        <item sd="0" m="1" x="7741"/>
        <item sd="0" m="1" x="4811"/>
        <item sd="0" m="1" x="2826"/>
        <item sd="0" m="1" x="626"/>
        <item sd="0" m="1" x="6456"/>
        <item sd="0" m="1" x="4472"/>
        <item sd="0" m="1" x="2523"/>
        <item sd="0" m="1" x="5021"/>
        <item sd="0" m="1" x="2992"/>
        <item sd="0" m="1" x="817"/>
        <item m="1" x="6622"/>
        <item m="1" x="4665"/>
        <item m="1" x="2688"/>
        <item m="1" x="5219"/>
        <item m="1" x="3171"/>
        <item sd="0" m="1" x="6550"/>
        <item sd="0" m="1" x="4573"/>
        <item sd="0" m="1" x="2622"/>
        <item sd="0" m="1" x="562"/>
        <item sd="0" m="1" x="6734"/>
        <item sd="0" m="1" x="4757"/>
        <item sd="0" m="1" x="2783"/>
        <item sd="0" m="1" x="754"/>
        <item sd="0" m="1" x="6937"/>
        <item sd="0" m="1" x="4977"/>
        <item sd="0" m="1" x="7933"/>
        <item sd="0" m="1" x="5885"/>
        <item sd="0" m="1" x="3926"/>
        <item sd="0" m="1" x="1752"/>
        <item sd="0" m="1" x="7598"/>
        <item sd="0" m="1" x="141"/>
        <item sd="0" m="1" x="6087"/>
        <item sd="0" m="1" x="4105"/>
        <item sd="0" m="1" x="1951"/>
        <item sd="0" m="1" x="7799"/>
        <item sd="0" m="1" x="391"/>
        <item sd="0" m="1" x="6283"/>
        <item sd="0" m="1" x="4265"/>
        <item sd="0" m="1" x="1382"/>
        <item sd="0" m="1" x="7188"/>
        <item sd="0" m="1" x="5249"/>
        <item sd="0" m="1" x="3035"/>
        <item sd="0" m="1" x="1057"/>
        <item sd="0" m="1" x="6859"/>
        <item sd="0" m="1" x="1563"/>
        <item sd="0" m="1" x="7396"/>
        <item sd="0" m="1" x="5440"/>
        <item sd="0" m="1" x="3222"/>
        <item sd="0" m="1" x="1245"/>
        <item sd="0" m="1" x="7058"/>
        <item sd="0" m="1" x="1774"/>
        <item sd="0" m="1" x="7624"/>
        <item sd="0" m="1" x="5607"/>
        <item sd="0" m="1" x="669"/>
        <item sd="0" m="1" x="6494"/>
        <item sd="0" m="1" x="4351"/>
        <item sd="0" m="1" x="2388"/>
        <item sd="0" m="1" x="291"/>
        <item sd="0" m="1" x="868"/>
        <item sd="0" m="1" x="6662"/>
        <item sd="0" m="1" x="4536"/>
        <item sd="0" m="1" x="2585"/>
        <item sd="0" m="1" x="495"/>
        <item sd="0" m="1" x="1093"/>
        <item sd="0" m="1" x="6879"/>
        <item sd="0" m="1" x="7700"/>
        <item sd="0" m="1" x="5679"/>
        <item sd="0" m="1" x="3692"/>
        <item sd="0" m="1" x="1672"/>
        <item sd="0" m="1" x="7885"/>
        <item sd="0" m="1" x="5837"/>
        <item sd="0" m="1" x="3880"/>
        <item m="1" x="1864"/>
        <item m="1" x="2482"/>
        <item sd="0" m="1" x="7783"/>
        <item sd="0" m="1" x="5747"/>
        <item sd="0" m="1" x="3590"/>
        <item sd="0" m="1" x="1550"/>
        <item sd="0" m="1" x="7383"/>
        <item sd="0" m="1" x="7955"/>
        <item sd="0" m="1" x="5909"/>
        <item sd="0" m="1" x="3754"/>
        <item sd="0" m="1" x="1765"/>
        <item sd="0" m="1" x="7615"/>
        <item sd="0" m="1" x="162"/>
        <item sd="0" m="1" x="6103"/>
        <item sd="0" m="1" x="7035"/>
        <item sd="0" m="1" x="6861"/>
        <item sd="0" m="1" x="4886"/>
        <item sd="0" m="1" x="2877"/>
        <item sd="0" m="1" x="857"/>
        <item sd="0" m="1" x="7211"/>
        <item sd="0" m="1" x="7060"/>
        <item sd="0" m="1" x="5073"/>
        <item sd="0" m="1" x="3053"/>
        <item sd="0" m="1" x="1078"/>
        <item sd="0" m="1" x="7411"/>
        <item sd="0" m="1" x="295"/>
        <item sd="0" m="1" x="6198"/>
        <item sd="0" m="1" x="4201"/>
        <item sd="0" m="1" x="2207"/>
        <item sd="0" m="1" x="499"/>
        <item sd="0" m="1" x="6357"/>
        <item sd="0" m="1" x="4370"/>
        <item sd="0" m="1" x="2410"/>
        <item sd="0" m="1" x="709"/>
        <item sd="0" m="1" x="1677"/>
        <item sd="0" m="1" x="7522"/>
        <item sd="0" m="1" x="5547"/>
        <item sd="0" m="1" x="3348"/>
        <item sd="0" m="1" x="1869"/>
        <item sd="0" m="1" x="7720"/>
        <item sd="0" m="1" x="5700"/>
        <item sd="0" m="1" x="3550"/>
        <item sd="0" m="1" x="2066"/>
        <item sd="0" m="1" x="7904"/>
        <item sd="0" m="1" x="5007"/>
        <item sd="0" m="1" x="2977"/>
        <item sd="0" m="1" x="990"/>
        <item sd="0" m="1" x="6795"/>
        <item sd="0" m="1" x="4651"/>
        <item sd="0" m="1" x="2678"/>
        <item sd="0" m="1" x="5208"/>
        <item sd="0" m="1" x="3160"/>
        <item sd="0" m="1" x="1193"/>
        <item sd="0" m="1" x="6979"/>
        <item m="1" x="4833"/>
        <item m="1" x="2841"/>
        <item sd="0" m="1" x="5402"/>
        <item m="1" x="3374"/>
        <item m="1" x="1359"/>
        <item m="1" x="7164"/>
        <item sd="0" m="1" x="2768"/>
        <item sd="0" m="1" x="735"/>
        <item sd="0" m="1" x="6549"/>
        <item sd="0" m="1" x="2931"/>
        <item sd="0" m="1" x="936"/>
        <item sd="0" m="1" x="6733"/>
        <item sd="0" m="1" x="2211"/>
        <item sd="0" m="1" x="57"/>
        <item sd="0" m="1" x="6023"/>
        <item sd="0" m="1" x="3869"/>
        <item sd="0" m="1" x="1853"/>
        <item sd="0" m="1" x="2415"/>
        <item sd="0" m="1" x="318"/>
        <item sd="0" m="1" x="6218"/>
        <item sd="0" m="1" x="4061"/>
        <item sd="0" m="1" x="2053"/>
        <item sd="0" m="1" x="2602"/>
        <item sd="0" m="1" x="525"/>
        <item sd="0" m="1" x="6374"/>
        <item sd="0" m="1" x="3529"/>
        <item sd="0" m="1" x="1494"/>
        <item sd="0" m="1" x="7321"/>
        <item sd="0" m="1" x="5192"/>
        <item sd="0" m="1" x="3147"/>
        <item sd="0" m="1" x="1178"/>
        <item sd="0" m="1" x="3708"/>
        <item sd="0" m="1" x="1698"/>
        <item sd="0" m="1" x="7544"/>
        <item sd="0" m="1" x="5387"/>
        <item sd="0" m="1" x="3361"/>
        <item sd="0" m="1" x="1343"/>
        <item sd="0" m="1" x="3894"/>
        <item sd="0" m="1" x="1890"/>
        <item sd="0" m="1" x="7742"/>
        <item sd="0" m="1" x="569"/>
        <item sd="0" m="1" x="6406"/>
        <item sd="0" m="1" x="4415"/>
        <item sd="0" m="1" x="2277"/>
        <item sd="0" m="1" x="128"/>
        <item sd="0" m="1" x="762"/>
        <item sd="0" m="1" x="6573"/>
        <item sd="0" m="1" x="4599"/>
        <item sd="0" m="1" x="2485"/>
        <item sd="0" m="1" x="381"/>
        <item sd="0" m="1" x="962"/>
        <item sd="0" m="1" x="6760"/>
        <item sd="0" m="1" x="4784"/>
        <item sd="0" m="1" x="1941"/>
        <item sd="0" m="1" x="7785"/>
        <item sd="0" m="1" x="5748"/>
        <item sd="0" m="1" x="3596"/>
        <item sd="0" m="1" x="1553"/>
        <item sd="0" m="1" x="7386"/>
        <item sd="0" m="1" x="2107"/>
        <item sd="0" m="1" x="7958"/>
        <item sd="0" m="1" x="5912"/>
        <item m="1" x="3759"/>
        <item m="1" x="1768"/>
        <item m="1" x="7618"/>
        <item m="1" x="2304"/>
        <item m="1" x="167"/>
        <item m="1" x="6106"/>
        <item sd="0" m="1" x="1683"/>
        <item sd="0" m="1" x="7528"/>
        <item sd="0" m="1" x="5553"/>
        <item sd="0" m="1" x="1874"/>
        <item sd="0" m="1" x="7725"/>
        <item sd="0" m="1" x="5705"/>
        <item sd="0" m="1" x="2069"/>
        <item sd="0" m="1" x="5010"/>
        <item sd="0" m="1" x="2980"/>
        <item sd="0" m="1" x="995"/>
        <item sd="0" m="1" x="6800"/>
        <item sd="0" m="1" x="4654"/>
        <item sd="0" m="1" x="5212"/>
        <item sd="0" m="1" x="3163"/>
        <item sd="0" m="1" x="1196"/>
        <item sd="0" m="1" x="6983"/>
        <item sd="0" m="1" x="4839"/>
        <item sd="0" m="1" x="5405"/>
        <item sd="0" m="1" x="3376"/>
        <item sd="0" m="1" x="1361"/>
        <item sd="0" m="1" x="6303"/>
        <item sd="0" m="1" x="4294"/>
        <item sd="0" m="1" x="2325"/>
        <item sd="0" m="1" x="209"/>
        <item sd="0" m="1" x="7998"/>
        <item sd="0" m="1" x="5962"/>
        <item sd="0" m="1" x="3981"/>
        <item sd="0" m="1" x="6470"/>
        <item sd="0" m="1" x="4489"/>
        <item sd="0" m="1" x="2537"/>
        <item sd="0" m="1" x="428"/>
        <item sd="0" m="1" x="237"/>
        <item sd="0" m="1" x="6154"/>
        <item sd="0" m="1" x="4164"/>
        <item sd="0" m="1" x="6634"/>
        <item sd="0" m="1" x="4678"/>
        <item sd="0" m="1" x="2700"/>
        <item sd="0" m="1" x="646"/>
        <item sd="0" m="1" x="5627"/>
        <item sd="0" m="1" x="3643"/>
        <item sd="0" m="1" x="1438"/>
        <item sd="0" m="1" x="7258"/>
        <item sd="0" m="1" x="5299"/>
        <item sd="0" m="1" x="3271"/>
        <item sd="0" m="1" x="5803"/>
        <item sd="0" m="1" x="3814"/>
        <item sd="0" m="1" x="1626"/>
        <item sd="0" m="1" x="7473"/>
        <item sd="0" m="1" x="5502"/>
        <item sd="0" m="1" x="3470"/>
        <item sd="0" m="1" x="5992"/>
        <item sd="0" m="1" x="4009"/>
        <item sd="0" m="1" x="4953"/>
        <item sd="0" m="1" x="2772"/>
        <item sd="0" m="1" x="738"/>
        <item sd="0" m="1" x="6552"/>
        <item sd="0" m="1" x="5139"/>
        <item sd="0" m="1" x="2936"/>
        <item sd="0" m="1" x="940"/>
        <item m="1" x="6738"/>
        <item m="1" x="5335"/>
        <item m="1" x="5860"/>
        <item sd="0" m="1" x="4820"/>
        <item sd="0" m="1" x="2832"/>
        <item sd="0" m="1" x="628"/>
        <item sd="0" m="1" x="6462"/>
        <item sd="0" m="1" x="4478"/>
        <item sd="0" m="1" x="2528"/>
        <item sd="0" m="1" x="5028"/>
        <item sd="0" m="1" x="3000"/>
        <item sd="0" m="1" x="821"/>
        <item sd="0" m="1" x="6626"/>
        <item sd="0" m="1" x="4671"/>
        <item sd="0" m="1" x="2693"/>
        <item sd="0" m="1" x="5222"/>
        <item sd="0" m="1" x="3175"/>
        <item sd="0" m="1" x="4149"/>
        <item sd="0" m="1" x="1996"/>
        <item sd="0" m="1" x="7842"/>
        <item sd="0" m="1" x="5796"/>
        <item sd="0" m="1" x="4318"/>
        <item sd="0" m="1" x="2161"/>
        <item sd="0" m="1" x="18"/>
        <item sd="0" m="1" x="5982"/>
        <item sd="0" m="1" x="4502"/>
        <item sd="0" m="1" x="3276"/>
        <item sd="0" m="1" x="1283"/>
        <item sd="0" m="1" x="7113"/>
        <item sd="0" m="1" x="3475"/>
        <item sd="0" m="1" x="1460"/>
        <item sd="0" m="1" x="7283"/>
        <item sd="0" m="1" x="6556"/>
        <item sd="0" m="1" x="4579"/>
        <item sd="0" m="1" x="2626"/>
        <item sd="0" m="1" x="567"/>
        <item sd="0" m="1" x="6742"/>
        <item sd="0" m="1" x="4765"/>
        <item sd="0" m="1" x="2789"/>
        <item sd="0" m="1" x="760"/>
        <item sd="0" m="1" x="6941"/>
        <item sd="0" m="1" x="4983"/>
        <item sd="0" m="1" x="7938"/>
        <item sd="0" m="1" x="5891"/>
        <item sd="0" m="1" x="3929"/>
        <item sd="0" m="1" x="1757"/>
        <item sd="0" m="1" x="7606"/>
        <item sd="0" m="1" x="148"/>
        <item sd="0" m="1" x="6092"/>
        <item sd="0" m="1" x="4109"/>
        <item sd="0" m="1" x="1956"/>
        <item m="1" x="7807"/>
        <item m="1" x="395"/>
        <item m="1" x="6287"/>
        <item m="1" x="4271"/>
        <item sd="0" m="1" x="7705"/>
        <item sd="0" m="1" x="5686"/>
        <item sd="0" m="1" x="3698"/>
        <item sd="0" m="1" x="1680"/>
        <item sd="0" m="1" x="7891"/>
        <item sd="0" m="1" x="5843"/>
        <item sd="0" m="1" x="3884"/>
        <item sd="0" m="1" x="1871"/>
        <item sd="0" m="1" x="7114"/>
        <item sd="0" m="1" x="5121"/>
        <item sd="0" m="1" x="3092"/>
        <item sd="0" m="1" x="1132"/>
        <item sd="0" m="1" x="928"/>
        <item sd="0" m="1" x="6724"/>
        <item sd="0" m="1" x="7284"/>
        <item sd="0" m="1" x="5323"/>
        <item sd="0" m="1" x="3297"/>
        <item sd="0" m="1" x="1297"/>
        <item sd="0" m="1" x="1145"/>
        <item sd="0" m="1" x="6931"/>
        <item sd="0" m="1" x="7499"/>
        <item sd="0" m="1" x="5523"/>
        <item sd="0" m="1" x="3497"/>
        <item sd="0" m="1" x="570"/>
        <item sd="0" m="1" x="6407"/>
        <item sd="0" m="1" x="4416"/>
        <item sd="0" m="1" x="2278"/>
        <item sd="0" m="1" x="129"/>
        <item sd="0" m="1" x="6077"/>
        <item sd="0" m="1" x="763"/>
        <item sd="0" m="1" x="6574"/>
        <item sd="0" m="1" x="4600"/>
        <item sd="0" m="1" x="2486"/>
        <item sd="0" m="1" x="382"/>
        <item sd="0" m="1" x="6275"/>
        <item sd="0" m="1" x="963"/>
        <item sd="0" m="1" x="6761"/>
        <item sd="0" m="1" x="4785"/>
        <item sd="0" m="1" x="7786"/>
        <item sd="0" m="1" x="5749"/>
        <item sd="0" m="1" x="3597"/>
        <item sd="0" m="1" x="1554"/>
        <item sd="0" m="1" x="7387"/>
        <item sd="0" m="1" x="7959"/>
        <item sd="0" m="1" x="5913"/>
        <item sd="0" m="1" x="3760"/>
        <item sd="0" m="1" x="1769"/>
        <item sd="0" m="1" x="7619"/>
        <item sd="0" m="1" x="168"/>
        <item sd="0" m="1" x="6107"/>
        <item sd="0" m="1" x="7041"/>
        <item sd="0" m="1" x="6865"/>
        <item sd="0" m="1" x="4892"/>
        <item sd="0" m="1" x="2880"/>
        <item sd="0" m="1" x="860"/>
        <item sd="0" m="1" x="7216"/>
        <item sd="0" m="1" x="7064"/>
        <item sd="0" m="1" x="5079"/>
        <item sd="0" m="1" x="3056"/>
        <item m="1" x="1082"/>
        <item m="1" x="7415"/>
        <item m="1" x="3553"/>
        <item sd="0" m="1" x="5011"/>
        <item sd="0" m="1" x="2981"/>
        <item sd="0" m="1" x="996"/>
        <item sd="0" m="1" x="6801"/>
        <item sd="0" m="1" x="4655"/>
        <item sd="0" m="1" x="2679"/>
        <item sd="0" m="1" x="5213"/>
        <item sd="0" m="1" x="3164"/>
        <item sd="0" m="1" x="1197"/>
        <item sd="0" m="1" x="6984"/>
        <item sd="0" m="1" x="4840"/>
        <item sd="0" m="1" x="2845"/>
        <item sd="0" m="1" x="5406"/>
        <item sd="0" m="1" x="3377"/>
        <item sd="0" m="1" x="1362"/>
        <item sd="0" m="1" x="7167"/>
        <item sd="0" m="1" x="4295"/>
        <item sd="0" m="1" x="2326"/>
        <item sd="0" m="1" x="210"/>
        <item sd="0" m="1" x="7999"/>
        <item sd="0" m="1" x="5963"/>
        <item sd="0" m="1" x="3982"/>
        <item sd="0" m="1" x="1995"/>
        <item sd="0" m="1" x="4490"/>
        <item sd="0" m="1" x="2538"/>
        <item sd="0" m="1" x="429"/>
        <item sd="0" m="1" x="238"/>
        <item sd="0" m="1" x="6155"/>
        <item sd="0" m="1" x="4165"/>
        <item sd="0" m="1" x="2160"/>
        <item sd="0" m="1" x="4679"/>
        <item sd="0" m="1" x="2701"/>
        <item sd="0" m="1" x="647"/>
        <item sd="0" m="1" x="3644"/>
        <item sd="0" m="1" x="1439"/>
        <item sd="0" m="1" x="7259"/>
        <item sd="0" m="1" x="5300"/>
        <item sd="0" m="1" x="3272"/>
        <item sd="0" m="1" x="3815"/>
        <item sd="0" m="1" x="1627"/>
        <item sd="0" m="1" x="7474"/>
        <item sd="0" m="1" x="5503"/>
        <item sd="0" m="1" x="3471"/>
        <item sd="0" m="1" x="4010"/>
        <item sd="0" m="1" x="2773"/>
        <item sd="0" m="1" x="739"/>
        <item sd="0" m="1" x="6553"/>
        <item sd="0" m="1" x="2937"/>
        <item sd="0" m="1" x="941"/>
        <item sd="0" m="1" x="6739"/>
        <item sd="0" m="1" x="2218"/>
        <item sd="0" m="1" x="62"/>
        <item sd="0" m="1" x="6028"/>
        <item sd="0" m="1" x="3874"/>
        <item sd="0" m="1" x="1858"/>
        <item sd="0" m="1" x="2421"/>
        <item sd="0" m="1" x="323"/>
        <item sd="0" m="1" x="6222"/>
        <item m="1" x="4066"/>
        <item m="1" x="2058"/>
        <item m="1" x="2605"/>
        <item m="1" x="532"/>
        <item m="1" x="6380"/>
        <item sd="0" m="1" x="1237"/>
        <item sd="0" m="1" x="7047"/>
        <item sd="0" m="1" x="6868"/>
        <item sd="0" m="1" x="4895"/>
        <item sd="0" m="1" x="2882"/>
        <item sd="0" m="1" x="862"/>
        <item sd="0" m="1" x="1414"/>
        <item sd="0" m="1" x="7221"/>
        <item sd="0" m="1" x="7068"/>
        <item sd="0" m="1" x="5082"/>
        <item sd="0" m="1" x="3059"/>
        <item sd="0" m="1" x="1086"/>
        <item sd="0" m="1" x="1581"/>
        <item sd="0" m="1" x="7418"/>
        <item sd="0" m="1" x="304"/>
        <item sd="0" m="1" x="6208"/>
        <item sd="0" m="1" x="4206"/>
        <item sd="0" m="1" x="2220"/>
        <item sd="0" m="1" x="509"/>
        <item sd="0" m="1" x="6364"/>
        <item sd="0" m="1" x="4375"/>
        <item sd="0" m="1" x="2422"/>
        <item sd="0" m="1" x="1687"/>
        <item sd="0" m="1" x="7532"/>
        <item sd="0" m="1" x="5555"/>
        <item sd="0" m="1" x="1879"/>
        <item sd="0" m="1" x="7730"/>
        <item sd="0" m="1" x="5708"/>
        <item sd="0" m="1" x="2071"/>
        <item sd="0" m="1" x="5014"/>
        <item sd="0" m="1" x="2984"/>
        <item sd="0" m="1" x="1000"/>
        <item sd="0" m="1" x="6807"/>
        <item sd="0" m="1" x="4657"/>
        <item sd="0" m="1" x="5215"/>
        <item sd="0" m="1" x="3166"/>
        <item sd="0" m="1" x="1200"/>
        <item sd="0" m="1" x="6990"/>
        <item sd="0" m="1" x="4844"/>
        <item sd="0" m="1" x="5408"/>
        <item sd="0" m="1" x="3378"/>
        <item sd="0" m="1" x="1364"/>
        <item sd="0" m="1" x="6306"/>
        <item sd="0" m="1" x="4299"/>
        <item sd="0" m="1" x="2329"/>
        <item sd="0" m="1" x="218"/>
        <item sd="0" m="1" x="3"/>
        <item sd="0" m="1" x="5966"/>
        <item sd="0" m="1" x="3983"/>
        <item sd="0" m="1" x="6471"/>
        <item sd="0" m="1" x="4493"/>
        <item sd="0" m="1" x="2540"/>
        <item sd="0" m="1" x="433"/>
        <item sd="0" m="1" x="241"/>
        <item m="1" x="6158"/>
        <item m="1" x="4167"/>
        <item sd="0" m="1" x="6635"/>
        <item m="1" x="4680"/>
        <item m="1" x="2702"/>
        <item m="1" x="649"/>
        <item sd="0" m="1" x="2224"/>
        <item sd="0" m="1" x="65"/>
        <item sd="0" m="1" x="6031"/>
        <item sd="0" m="1" x="3876"/>
        <item sd="0" m="1" x="2426"/>
        <item sd="0" m="1" x="326"/>
        <item sd="0" m="1" x="6224"/>
        <item sd="0" m="1" x="4068"/>
        <item sd="0" m="1" x="2606"/>
        <item sd="0" m="1" x="533"/>
        <item sd="0" m="1" x="5557"/>
        <item sd="0" m="1" x="3540"/>
        <item sd="0" m="1" x="1502"/>
        <item sd="0" m="1" x="7330"/>
        <item sd="0" m="1" x="5201"/>
        <item sd="0" m="1" x="3153"/>
        <item sd="0" m="1" x="5710"/>
        <item sd="0" m="1" x="3715"/>
        <item sd="0" m="1" x="1708"/>
        <item sd="0" m="1" x="7555"/>
        <item sd="0" m="1" x="5396"/>
        <item sd="0" m="1" x="3368"/>
        <item sd="0" m="1" x="5863"/>
        <item sd="0" m="1" x="3897"/>
        <item sd="0" m="1" x="1900"/>
        <item sd="0" m="1" x="7750"/>
        <item sd="0" m="1" x="4826"/>
        <item sd="0" m="1" x="2835"/>
        <item sd="0" m="1" x="630"/>
        <item sd="0" m="1" x="6465"/>
        <item sd="0" m="1" x="4481"/>
        <item sd="0" m="1" x="2531"/>
        <item sd="0" m="1" x="5031"/>
        <item sd="0" m="1" x="3003"/>
        <item sd="0" m="1" x="825"/>
        <item sd="0" m="1" x="6629"/>
        <item sd="0" m="1" x="4674"/>
        <item sd="0" m="1" x="2696"/>
        <item sd="0" m="1" x="5223"/>
        <item sd="0" m="1" x="3176"/>
        <item sd="0" m="1" x="4154"/>
        <item sd="0" m="1" x="1999"/>
        <item sd="0" m="1" x="7844"/>
        <item sd="0" m="1" x="5798"/>
        <item sd="0" m="1" x="4323"/>
        <item sd="0" m="1" x="2167"/>
        <item sd="0" m="1" x="22"/>
        <item sd="0" m="1" x="5986"/>
        <item sd="0" m="1" x="4505"/>
        <item sd="0" m="1" x="3281"/>
        <item sd="0" m="1" x="1286"/>
        <item sd="0" m="1" x="7117"/>
        <item sd="0" m="1" x="3480"/>
        <item sd="0" m="1" x="1462"/>
        <item sd="0" m="1" x="7286"/>
        <item m="1" x="1959"/>
        <item sd="0" m="1" x="1395"/>
        <item sd="0" m="1" x="7201"/>
        <item sd="0" m="1" x="5258"/>
        <item sd="0" m="1" x="3045"/>
        <item sd="0" m="1" x="1068"/>
        <item sd="0" m="1" x="6867"/>
        <item sd="0" m="1" x="1570"/>
        <item sd="0" m="1" x="7405"/>
        <item sd="0" m="1" x="5448"/>
        <item sd="0" m="1" x="3229"/>
        <item sd="0" m="1" x="1251"/>
        <item sd="0" m="1" x="7067"/>
        <item sd="0" m="1" x="1776"/>
        <item sd="0" m="1" x="7626"/>
        <item sd="0" m="1" x="5611"/>
        <item sd="0" m="1" x="678"/>
        <item sd="0" m="1" x="6501"/>
        <item sd="0" m="1" x="4360"/>
        <item sd="0" m="1" x="2398"/>
        <item sd="0" m="1" x="301"/>
        <item sd="0" m="1" x="875"/>
        <item sd="0" m="1" x="6672"/>
        <item sd="0" m="1" x="4542"/>
        <item sd="0" m="1" x="2592"/>
        <item sd="0" m="1" x="506"/>
        <item sd="0" m="1" x="1097"/>
        <item sd="0" m="1" x="6885"/>
        <item sd="0" m="1" x="7710"/>
        <item sd="0" m="1" x="5691"/>
        <item sd="0" m="1" x="3699"/>
        <item sd="0" m="1" x="1684"/>
        <item sd="0" m="1" x="7897"/>
        <item sd="0" m="1" x="5848"/>
        <item sd="0" m="1" x="3886"/>
        <item sd="0" m="1" x="1876"/>
        <item sd="0" m="1" x="7118"/>
        <item sd="0" m="1" x="5126"/>
        <item sd="0" m="1" x="3096"/>
        <item sd="0" m="1" x="1136"/>
        <item sd="0" m="1" x="932"/>
        <item sd="0" m="1" x="6729"/>
        <item sd="0" m="1" x="7287"/>
        <item sd="0" m="1" x="5327"/>
        <item sd="0" m="1" x="3301"/>
        <item sd="0" m="1" x="1299"/>
        <item sd="0" m="1" x="1147"/>
        <item sd="0" m="1" x="6934"/>
        <item sd="0" m="1" x="7500"/>
        <item sd="0" m="1" x="5524"/>
        <item sd="0" m="1" x="3499"/>
        <item sd="0" m="1" x="574"/>
        <item sd="0" m="1" x="6411"/>
        <item sd="0" m="1" x="4418"/>
        <item sd="0" m="1" x="2280"/>
        <item sd="0" m="1" x="133"/>
        <item sd="0" m="1" x="6080"/>
        <item sd="0" m="1" x="766"/>
        <item sd="0" m="1" x="6576"/>
        <item sd="0" m="1" x="4603"/>
        <item sd="0" m="1" x="2488"/>
        <item m="1" x="386"/>
        <item m="1" x="6279"/>
        <item m="1" x="964"/>
        <item m="1" x="6762"/>
        <item m="1" x="4788"/>
        <item sd="0" m="1" x="305"/>
        <item sd="0" m="1" x="6209"/>
        <item sd="0" m="1" x="4207"/>
        <item sd="0" m="1" x="2221"/>
        <item sd="0" m="1" x="510"/>
        <item sd="0" m="1" x="6365"/>
        <item sd="0" m="1" x="4376"/>
        <item sd="0" m="1" x="2423"/>
        <item sd="0" m="1" x="715"/>
        <item sd="0" m="1" x="1688"/>
        <item sd="0" m="1" x="7533"/>
        <item sd="0" m="1" x="5556"/>
        <item sd="0" m="1" x="3351"/>
        <item sd="0" m="1" x="1880"/>
        <item sd="0" m="1" x="7731"/>
        <item sd="0" m="1" x="5709"/>
        <item sd="0" m="1" x="3557"/>
        <item sd="0" m="1" x="2072"/>
        <item sd="0" m="1" x="7911"/>
        <item sd="0" m="1" x="5015"/>
        <item sd="0" m="1" x="2985"/>
        <item sd="0" m="1" x="1001"/>
        <item sd="0" m="1" x="6808"/>
        <item sd="0" m="1" x="4658"/>
        <item sd="0" m="1" x="2681"/>
        <item sd="0" m="1" x="5216"/>
        <item sd="0" m="1" x="3167"/>
        <item sd="0" m="1" x="1201"/>
        <item sd="0" m="1" x="6991"/>
        <item sd="0" m="1" x="4845"/>
        <item sd="0" m="1" x="2849"/>
        <item sd="0" m="1" x="5409"/>
        <item sd="0" m="1" x="3379"/>
        <item sd="0" m="1" x="1365"/>
        <item sd="0" m="1" x="7170"/>
        <item sd="0" m="1" x="4300"/>
        <item sd="0" m="1" x="2330"/>
        <item sd="0" m="1" x="219"/>
        <item sd="0" m="1" x="4"/>
        <item sd="0" m="1" x="5967"/>
        <item sd="0" m="1" x="3984"/>
        <item sd="0" m="1" x="1997"/>
        <item sd="0" m="1" x="4494"/>
        <item sd="0" m="1" x="2541"/>
        <item sd="0" m="1" x="434"/>
        <item sd="0" m="1" x="242"/>
        <item sd="0" m="1" x="6159"/>
        <item sd="0" m="1" x="4168"/>
        <item sd="0" m="1" x="2165"/>
        <item sd="0" m="1" x="4681"/>
        <item sd="0" m="1" x="2703"/>
        <item sd="0" m="1" x="650"/>
        <item sd="0" m="1" x="3645"/>
        <item sd="0" m="1" x="1443"/>
        <item sd="0" m="1" x="7263"/>
        <item sd="0" m="1" x="5302"/>
        <item sd="0" m="1" x="3277"/>
        <item sd="0" m="1" x="3818"/>
        <item sd="0" m="1" x="1630"/>
        <item sd="0" m="1" x="7477"/>
        <item m="1" x="5505"/>
        <item m="1" x="3476"/>
        <item m="1" x="4013"/>
        <item sd="0" m="1" x="3541"/>
        <item sd="0" m="1" x="1503"/>
        <item sd="0" m="1" x="7331"/>
        <item sd="0" m="1" x="5202"/>
        <item sd="0" m="1" x="3154"/>
        <item sd="0" m="1" x="1187"/>
        <item sd="0" m="1" x="3716"/>
        <item sd="0" m="1" x="1709"/>
        <item sd="0" m="1" x="7556"/>
        <item sd="0" m="1" x="5397"/>
        <item sd="0" m="1" x="3369"/>
        <item sd="0" m="1" x="1352"/>
        <item sd="0" m="1" x="3898"/>
        <item sd="0" m="1" x="1901"/>
        <item sd="0" m="1" x="7751"/>
        <item sd="0" m="1" x="579"/>
        <item sd="0" m="1" x="6416"/>
        <item sd="0" m="1" x="4422"/>
        <item sd="0" m="1" x="2283"/>
        <item sd="0" m="1" x="136"/>
        <item sd="0" m="1" x="769"/>
        <item sd="0" m="1" x="6578"/>
        <item sd="0" m="1" x="4606"/>
        <item sd="0" m="1" x="2492"/>
        <item sd="0" m="1" x="389"/>
        <item sd="0" m="1" x="965"/>
        <item sd="0" m="1" x="6763"/>
        <item sd="0" m="1" x="4790"/>
        <item sd="0" m="1" x="1950"/>
        <item sd="0" m="1" x="7796"/>
        <item sd="0" m="1" x="5755"/>
        <item sd="0" m="1" x="3603"/>
        <item sd="0" m="1" x="1557"/>
        <item sd="0" m="1" x="7390"/>
        <item sd="0" m="1" x="2112"/>
        <item sd="0" m="1" x="7965"/>
        <item sd="0" m="1" x="5918"/>
        <item sd="0" m="1" x="3765"/>
        <item sd="0" m="1" x="1772"/>
        <item sd="0" m="1" x="7622"/>
        <item sd="0" m="1" x="2305"/>
        <item sd="0" m="1" x="172"/>
        <item sd="0" m="1" x="6110"/>
        <item sd="0" m="1" x="1242"/>
        <item sd="0" m="1" x="7052"/>
        <item sd="0" m="1" x="6871"/>
        <item sd="0" m="1" x="4897"/>
        <item sd="0" m="1" x="2884"/>
        <item sd="0" m="1" x="864"/>
        <item sd="0" m="1" x="1417"/>
        <item sd="0" m="1" x="7224"/>
        <item sd="0" m="1" x="7073"/>
        <item sd="0" m="1" x="5085"/>
        <item sd="0" m="1" x="3062"/>
        <item sd="0" m="1" x="1090"/>
        <item sd="0" m="1" x="1583"/>
        <item sd="0" m="1" x="7420"/>
        <item sd="0" m="1" x="310"/>
        <item sd="0" m="1" x="6212"/>
        <item sd="0" m="1" x="4211"/>
        <item sd="0" m="1" x="2227"/>
        <item sd="0" m="1" x="517"/>
        <item sd="0" m="1" x="6369"/>
        <item sd="0" m="1" x="4380"/>
        <item m="1" x="2427"/>
        <item m="1" x="5410"/>
        <item sd="0" m="1" x="6308"/>
        <item sd="0" m="1" x="4305"/>
        <item sd="0" m="1" x="2334"/>
        <item sd="0" m="1" x="226"/>
        <item sd="0" m="1" x="10"/>
        <item sd="0" m="1" x="5973"/>
        <item sd="0" m="1" x="3988"/>
        <item sd="0" m="1" x="6473"/>
        <item sd="0" m="1" x="4497"/>
        <item sd="0" m="1" x="2544"/>
        <item sd="0" m="1" x="439"/>
        <item sd="0" m="1" x="249"/>
        <item sd="0" m="1" x="6164"/>
        <item sd="0" m="1" x="4171"/>
        <item sd="0" m="1" x="6637"/>
        <item sd="0" m="1" x="4682"/>
        <item sd="0" m="1" x="2705"/>
        <item sd="0" m="1" x="653"/>
        <item sd="0" m="1" x="5631"/>
        <item sd="0" m="1" x="3647"/>
        <item sd="0" m="1" x="1450"/>
        <item sd="0" m="1" x="7272"/>
        <item sd="0" m="1" x="5307"/>
        <item sd="0" m="1" x="3282"/>
        <item sd="0" m="1" x="5805"/>
        <item sd="0" m="1" x="3820"/>
        <item sd="0" m="1" x="1639"/>
        <item sd="0" m="1" x="7486"/>
        <item sd="0" m="1" x="5511"/>
        <item sd="0" m="1" x="3482"/>
        <item sd="0" m="1" x="5993"/>
        <item sd="0" m="1" x="4014"/>
        <item sd="0" m="1" x="4957"/>
        <item sd="0" m="1" x="2779"/>
        <item sd="0" m="1" x="750"/>
        <item sd="0" m="1" x="6562"/>
        <item sd="0" m="1" x="5145"/>
        <item sd="0" m="1" x="2945"/>
        <item sd="0" m="1" x="952"/>
        <item sd="0" m="1" x="6750"/>
        <item sd="0" m="1" x="5339"/>
        <item sd="0" m="1" x="2231"/>
        <item sd="0" m="1" x="70"/>
        <item sd="0" m="1" x="6033"/>
        <item sd="0" m="1" x="3878"/>
        <item sd="0" m="1" x="2431"/>
        <item sd="0" m="1" x="329"/>
        <item sd="0" m="1" x="6226"/>
        <item sd="0" m="1" x="4069"/>
        <item sd="0" m="1" x="2607"/>
        <item sd="0" m="1" x="534"/>
        <item sd="0" m="1" x="5562"/>
        <item sd="0" m="1" x="3548"/>
        <item sd="0" m="1" x="1508"/>
        <item sd="0" m="1" x="7334"/>
        <item sd="0" m="1" x="5205"/>
        <item sd="0" m="1" x="3157"/>
        <item sd="0" m="1" x="5714"/>
        <item sd="0" m="1" x="3719"/>
        <item sd="0" m="1" x="1713"/>
        <item sd="0" m="1" x="7560"/>
        <item m="1" x="5400"/>
        <item m="1" x="3372"/>
        <item sd="0" m="1" x="5866"/>
        <item m="1" x="3899"/>
        <item m="1" x="1903"/>
        <item m="1" x="7753"/>
        <item sd="0" m="1" x="3289"/>
        <item sd="0" m="1" x="1292"/>
        <item sd="0" m="1" x="7121"/>
        <item sd="0" m="1" x="3489"/>
        <item sd="0" m="1" x="1467"/>
        <item sd="0" m="1" x="7290"/>
        <item sd="0" m="1" x="6565"/>
        <item sd="0" m="1" x="4588"/>
        <item sd="0" m="1" x="2634"/>
        <item sd="0" m="1" x="577"/>
        <item sd="0" m="1" x="6753"/>
        <item sd="0" m="1" x="4775"/>
        <item sd="0" m="1" x="2795"/>
        <item sd="0" m="1" x="767"/>
        <item sd="0" m="1" x="6945"/>
        <item sd="0" m="1" x="4985"/>
        <item sd="0" m="1" x="7949"/>
        <item sd="0" m="1" x="5903"/>
        <item sd="0" m="1" x="3937"/>
        <item sd="0" m="1" x="1762"/>
        <item sd="0" m="1" x="7612"/>
        <item sd="0" m="1" x="159"/>
        <item sd="0" m="1" x="6100"/>
        <item sd="0" m="1" x="4117"/>
        <item sd="0" m="1" x="1962"/>
        <item sd="0" m="1" x="7811"/>
        <item sd="0" m="1" x="400"/>
        <item sd="0" m="1" x="6288"/>
        <item sd="0" m="1" x="4274"/>
        <item sd="0" m="1" x="1402"/>
        <item sd="0" m="1" x="7207"/>
        <item sd="0" m="1" x="5262"/>
        <item sd="0" m="1" x="3048"/>
        <item sd="0" m="1" x="1071"/>
        <item sd="0" m="1" x="6869"/>
        <item sd="0" m="1" x="1574"/>
        <item sd="0" m="1" x="7409"/>
        <item sd="0" m="1" x="5451"/>
        <item sd="0" m="1" x="3233"/>
        <item sd="0" m="1" x="1253"/>
        <item sd="0" m="1" x="7071"/>
        <item sd="0" m="1" x="1777"/>
        <item sd="0" m="1" x="7627"/>
        <item sd="0" m="1" x="5612"/>
        <item sd="0" m="1" x="682"/>
        <item sd="0" m="1" x="6504"/>
        <item sd="0" m="1" x="4365"/>
        <item sd="0" m="1" x="2405"/>
        <item sd="0" m="1" x="307"/>
        <item sd="0" m="1" x="878"/>
        <item sd="0" m="1" x="6676"/>
        <item sd="0" m="1" x="4546"/>
        <item m="1" x="2596"/>
        <item m="1" x="514"/>
        <item m="1" x="1099"/>
        <item m="1" x="6888"/>
        <item m="1" x="1150"/>
        <item sd="0" m="1" x="580"/>
        <item sd="0" m="1" x="6417"/>
        <item sd="0" m="1" x="4423"/>
        <item sd="0" m="1" x="2284"/>
        <item sd="0" m="1" x="137"/>
        <item sd="0" m="1" x="6082"/>
        <item sd="0" m="1" x="770"/>
        <item sd="0" m="1" x="6579"/>
        <item sd="0" m="1" x="4607"/>
        <item sd="0" m="1" x="2493"/>
        <item sd="0" m="1" x="390"/>
        <item sd="0" m="1" x="6281"/>
        <item sd="0" m="1" x="966"/>
        <item sd="0" m="1" x="6764"/>
        <item sd="0" m="1" x="4791"/>
        <item sd="0" m="1" x="7797"/>
        <item sd="0" m="1" x="5756"/>
        <item sd="0" m="1" x="3604"/>
        <item sd="0" m="1" x="1558"/>
        <item sd="0" m="1" x="7391"/>
        <item sd="0" m="1" x="7966"/>
        <item sd="0" m="1" x="5919"/>
        <item sd="0" m="1" x="3766"/>
        <item sd="0" m="1" x="1773"/>
        <item sd="0" m="1" x="7623"/>
        <item sd="0" m="1" x="173"/>
        <item sd="0" m="1" x="6111"/>
        <item sd="0" m="1" x="7053"/>
        <item sd="0" m="1" x="6872"/>
        <item sd="0" m="1" x="4898"/>
        <item sd="0" m="1" x="2885"/>
        <item sd="0" m="1" x="865"/>
        <item sd="0" m="1" x="7225"/>
        <item sd="0" m="1" x="7074"/>
        <item sd="0" m="1" x="5086"/>
        <item sd="0" m="1" x="3063"/>
        <item sd="0" m="1" x="1091"/>
        <item sd="0" m="1" x="7421"/>
        <item sd="0" m="1" x="311"/>
        <item sd="0" m="1" x="6213"/>
        <item sd="0" m="1" x="4212"/>
        <item sd="0" m="1" x="2228"/>
        <item sd="0" m="1" x="518"/>
        <item sd="0" m="1" x="6370"/>
        <item sd="0" m="1" x="4381"/>
        <item sd="0" m="1" x="2428"/>
        <item sd="0" m="1" x="719"/>
        <item sd="0" m="1" x="1692"/>
        <item sd="0" m="1" x="7537"/>
        <item sd="0" m="1" x="5560"/>
        <item sd="0" m="1" x="3354"/>
        <item sd="0" m="1" x="1882"/>
        <item sd="0" m="1" x="7734"/>
        <item sd="0" m="1" x="5712"/>
        <item sd="0" m="1" x="3560"/>
        <item m="1" x="2073"/>
        <item m="1" x="7913"/>
        <item sd="0" m="1" x="3648"/>
        <item sd="0" m="1" x="1451"/>
        <item sd="0" m="1" x="7273"/>
        <item sd="0" m="1" x="5308"/>
        <item sd="0" m="1" x="3283"/>
        <item sd="0" m="1" x="3821"/>
        <item sd="0" m="1" x="1640"/>
        <item sd="0" m="1" x="7487"/>
        <item sd="0" m="1" x="5512"/>
        <item sd="0" m="1" x="3483"/>
        <item sd="0" m="1" x="4015"/>
        <item sd="0" m="1" x="2780"/>
        <item sd="0" m="1" x="751"/>
        <item sd="0" m="1" x="6563"/>
        <item sd="0" m="1" x="2946"/>
        <item sd="0" m="1" x="953"/>
        <item sd="0" m="1" x="6751"/>
        <item sd="0" m="1" x="2232"/>
        <item sd="0" m="1" x="71"/>
        <item sd="0" m="1" x="6034"/>
        <item sd="0" m="1" x="3879"/>
        <item sd="0" m="1" x="1863"/>
        <item sd="0" m="1" x="2432"/>
        <item sd="0" m="1" x="330"/>
        <item sd="0" m="1" x="6227"/>
        <item sd="0" m="1" x="4070"/>
        <item sd="0" m="1" x="2063"/>
        <item sd="0" m="1" x="2608"/>
        <item sd="0" m="1" x="535"/>
        <item sd="0" m="1" x="6381"/>
        <item sd="0" m="1" x="3549"/>
        <item sd="0" m="1" x="1509"/>
        <item sd="0" m="1" x="7335"/>
        <item sd="0" m="1" x="5206"/>
        <item sd="0" m="1" x="3158"/>
        <item sd="0" m="1" x="1191"/>
        <item sd="0" m="1" x="3720"/>
        <item sd="0" m="1" x="1714"/>
        <item sd="0" m="1" x="7561"/>
        <item sd="0" m="1" x="5401"/>
        <item sd="0" m="1" x="3373"/>
        <item sd="0" m="1" x="1357"/>
        <item sd="0" m="1" x="3900"/>
        <item sd="0" m="1" x="1904"/>
        <item sd="0" m="1" x="7754"/>
        <item sd="0" m="1" x="586"/>
        <item sd="0" m="1" x="6423"/>
        <item sd="0" m="1" x="4429"/>
        <item sd="0" m="1" x="2287"/>
        <item sd="0" m="1" x="143"/>
        <item sd="0" m="1" x="774"/>
        <item sd="0" m="1" x="6582"/>
        <item sd="0" m="1" x="4613"/>
        <item sd="0" m="1" x="2496"/>
        <item m="1" x="393"/>
        <item m="1" x="967"/>
        <item m="1" x="6765"/>
        <item m="1" x="4794"/>
        <item sd="0" m="1" x="319"/>
        <item sd="0" m="1" x="6219"/>
        <item sd="0" m="1" x="4217"/>
        <item sd="0" m="1" x="2235"/>
        <item sd="0" m="1" x="526"/>
        <item sd="0" m="1" x="6375"/>
        <item sd="0" m="1" x="4385"/>
        <item sd="0" m="1" x="2433"/>
        <item sd="0" m="1" x="1699"/>
        <item sd="0" m="1" x="7545"/>
        <item sd="0" m="1" x="5563"/>
        <item sd="0" m="1" x="1891"/>
        <item sd="0" m="1" x="7743"/>
        <item sd="0" m="1" x="5717"/>
        <item sd="0" m="1" x="2076"/>
        <item sd="0" m="1" x="5022"/>
        <item sd="0" m="1" x="2993"/>
        <item sd="0" m="1" x="1011"/>
        <item sd="0" m="1" x="6815"/>
        <item sd="0" m="1" x="4666"/>
        <item sd="0" m="1" x="5220"/>
        <item sd="0" m="1" x="3172"/>
        <item sd="0" m="1" x="1207"/>
        <item sd="0" m="1" x="6998"/>
        <item sd="0" m="1" x="4849"/>
        <item sd="0" m="1" x="5412"/>
        <item sd="0" m="1" x="3381"/>
        <item sd="0" m="1" x="1368"/>
        <item sd="0" m="1" x="6312"/>
        <item sd="0" m="1" x="4311"/>
        <item sd="0" m="1" x="2341"/>
        <item sd="0" m="1" x="233"/>
        <item sd="0" m="1" x="14"/>
        <item sd="0" m="1" x="5977"/>
        <item sd="0" m="1" x="3993"/>
        <item sd="0" m="1" x="6475"/>
        <item sd="0" m="1" x="4499"/>
        <item sd="0" m="1" x="2547"/>
        <item sd="0" m="1" x="443"/>
        <item sd="0" m="1" x="255"/>
        <item sd="0" m="1" x="6168"/>
        <item sd="0" m="1" x="4176"/>
        <item sd="0" m="1" x="6639"/>
        <item sd="0" m="1" x="4683"/>
        <item sd="0" m="1" x="2707"/>
        <item sd="0" m="1" x="655"/>
        <item sd="0" m="1" x="5639"/>
        <item sd="0" m="1" x="3653"/>
        <item sd="0" m="1" x="1455"/>
        <item sd="0" m="1" x="7278"/>
        <item sd="0" m="1" x="5315"/>
        <item sd="0" m="1" x="3290"/>
        <item sd="0" m="1" x="5807"/>
        <item sd="0" m="1" x="3825"/>
        <item sd="0" m="1" x="1647"/>
        <item m="1" x="7494"/>
        <item m="1" x="5519"/>
        <item m="1" x="3492"/>
        <item m="1" x="5994"/>
        <item m="1" x="4018"/>
        <item sd="0" m="1" x="5565"/>
        <item sd="0" m="1" x="3552"/>
        <item sd="0" m="1" x="1513"/>
        <item sd="0" m="1" x="7339"/>
        <item sd="0" m="1" x="5210"/>
        <item sd="0" m="1" x="3161"/>
        <item sd="0" m="1" x="5719"/>
        <item sd="0" m="1" x="3722"/>
        <item sd="0" m="1" x="1717"/>
        <item sd="0" m="1" x="7564"/>
        <item sd="0" m="1" x="5404"/>
        <item sd="0" m="1" x="3375"/>
        <item sd="0" m="1" x="5869"/>
        <item sd="0" m="1" x="3901"/>
        <item sd="0" m="1" x="1906"/>
        <item sd="0" m="1" x="7756"/>
        <item sd="0" m="1" x="4838"/>
        <item sd="0" m="1" x="2844"/>
        <item sd="0" m="1" x="635"/>
        <item sd="0" m="1" x="6469"/>
        <item sd="0" m="1" x="4486"/>
        <item sd="0" m="1" x="2535"/>
        <item sd="0" m="1" x="5035"/>
        <item sd="0" m="1" x="3008"/>
        <item sd="0" m="1" x="831"/>
        <item sd="0" m="1" x="6633"/>
        <item sd="0" m="1" x="4677"/>
        <item sd="0" m="1" x="2699"/>
        <item sd="0" m="1" x="5225"/>
        <item sd="0" m="1" x="3178"/>
        <item sd="0" m="1" x="4163"/>
        <item sd="0" m="1" x="2005"/>
        <item sd="0" m="1" x="7850"/>
        <item sd="0" m="1" x="5801"/>
        <item sd="0" m="1" x="4329"/>
        <item sd="0" m="1" x="2178"/>
        <item sd="0" m="1" x="29"/>
        <item sd="0" m="1" x="5990"/>
        <item sd="0" m="1" x="4508"/>
        <item sd="0" m="1" x="3295"/>
        <item sd="0" m="1" x="1295"/>
        <item sd="0" m="1" x="7123"/>
        <item sd="0" m="1" x="3496"/>
        <item sd="0" m="1" x="1471"/>
        <item sd="0" m="1" x="7293"/>
        <item sd="0" m="1" x="6570"/>
        <item sd="0" m="1" x="4594"/>
        <item sd="0" m="1" x="2639"/>
        <item sd="0" m="1" x="584"/>
        <item sd="0" m="1" x="6757"/>
        <item sd="0" m="1" x="4780"/>
        <item sd="0" m="1" x="2798"/>
        <item sd="0" m="1" x="772"/>
        <item sd="0" m="1" x="6947"/>
        <item m="1" x="4987"/>
        <item sd="0" m="1" x="688"/>
        <item sd="0" m="1" x="6508"/>
        <item sd="0" m="1" x="4371"/>
        <item sd="0" m="1" x="2411"/>
        <item sd="0" m="1" x="313"/>
        <item sd="0" m="1" x="880"/>
        <item sd="0" m="1" x="6679"/>
        <item sd="0" m="1" x="4551"/>
        <item sd="0" m="1" x="2599"/>
        <item sd="0" m="1" x="521"/>
        <item sd="0" m="1" x="1100"/>
        <item sd="0" m="1" x="6890"/>
        <item sd="0" m="1" x="7721"/>
        <item sd="0" m="1" x="5701"/>
        <item sd="0" m="1" x="3705"/>
        <item sd="0" m="1" x="1693"/>
        <item sd="0" m="1" x="7905"/>
        <item sd="0" m="1" x="5855"/>
        <item sd="0" m="1" x="3892"/>
        <item sd="0" m="1" x="1886"/>
        <item sd="0" m="1" x="7124"/>
        <item sd="0" m="1" x="5138"/>
        <item sd="0" m="1" x="3106"/>
        <item sd="0" m="1" x="1143"/>
        <item sd="0" m="1" x="939"/>
        <item sd="0" m="1" x="6737"/>
        <item sd="0" m="1" x="7294"/>
        <item sd="0" m="1" x="5334"/>
        <item sd="0" m="1" x="3308"/>
        <item sd="0" m="1" x="1303"/>
        <item sd="0" m="1" x="1154"/>
        <item sd="0" m="1" x="6940"/>
        <item sd="0" m="1" x="7504"/>
        <item sd="0" m="1" x="5525"/>
        <item sd="0" m="1" x="3502"/>
        <item sd="0" m="1" x="587"/>
        <item sd="0" m="1" x="6424"/>
        <item sd="0" m="1" x="4430"/>
        <item sd="0" m="1" x="2288"/>
        <item sd="0" m="1" x="144"/>
        <item sd="0" m="1" x="6088"/>
        <item sd="0" m="1" x="775"/>
        <item sd="0" m="1" x="6583"/>
        <item sd="0" m="1" x="4614"/>
        <item sd="0" m="1" x="2497"/>
        <item sd="0" m="1" x="394"/>
        <item sd="0" m="1" x="6285"/>
        <item sd="0" m="1" x="968"/>
        <item sd="0" m="1" x="6766"/>
        <item sd="0" m="1" x="4795"/>
        <item sd="0" m="1" x="7804"/>
        <item sd="0" m="1" x="5760"/>
        <item sd="0" m="1" x="3605"/>
        <item sd="0" m="1" x="1564"/>
        <item sd="0" m="1" x="7397"/>
        <item sd="0" m="1" x="7970"/>
        <item sd="0" m="1" x="5924"/>
        <item sd="0" m="1" x="3767"/>
        <item m="1" x="1775"/>
        <item m="1" x="7625"/>
        <item m="1" x="176"/>
        <item m="1" x="6114"/>
        <item sd="0" m="1" x="1700"/>
        <item sd="0" m="1" x="7546"/>
        <item sd="0" m="1" x="5564"/>
        <item sd="0" m="1" x="3362"/>
        <item sd="0" m="1" x="1892"/>
        <item sd="0" m="1" x="7744"/>
        <item sd="0" m="1" x="5718"/>
        <item sd="0" m="1" x="3564"/>
        <item sd="0" m="1" x="2077"/>
        <item sd="0" m="1" x="7917"/>
        <item sd="0" m="1" x="5023"/>
        <item sd="0" m="1" x="2994"/>
        <item sd="0" m="1" x="1012"/>
        <item sd="0" m="1" x="6816"/>
        <item sd="0" m="1" x="4667"/>
        <item sd="0" m="1" x="2689"/>
        <item sd="0" m="1" x="5221"/>
        <item sd="0" m="1" x="3173"/>
        <item sd="0" m="1" x="1208"/>
        <item sd="0" m="1" x="6999"/>
        <item sd="0" m="1" x="4850"/>
        <item sd="0" m="1" x="2853"/>
        <item sd="0" m="1" x="5413"/>
        <item sd="0" m="1" x="3382"/>
        <item sd="0" m="1" x="1369"/>
        <item sd="0" m="1" x="7174"/>
        <item sd="0" m="1" x="4312"/>
        <item sd="0" m="1" x="2342"/>
        <item sd="0" m="1" x="234"/>
        <item sd="0" m="1" x="15"/>
        <item sd="0" m="1" x="5978"/>
        <item sd="0" m="1" x="3994"/>
        <item sd="0" m="1" x="2002"/>
        <item sd="0" m="1" x="4500"/>
        <item sd="0" m="1" x="2548"/>
        <item sd="0" m="1" x="444"/>
        <item sd="0" m="1" x="256"/>
        <item sd="0" m="1" x="6169"/>
        <item sd="0" m="1" x="4177"/>
        <item sd="0" m="1" x="2175"/>
        <item sd="0" m="1" x="4684"/>
        <item sd="0" m="1" x="2708"/>
        <item sd="0" m="1" x="656"/>
        <item sd="0" m="1" x="3654"/>
        <item sd="0" m="1" x="1456"/>
        <item sd="0" m="1" x="7279"/>
        <item sd="0" m="1" x="5316"/>
        <item sd="0" m="1" x="3291"/>
        <item sd="0" m="1" x="3826"/>
        <item sd="0" m="1" x="1648"/>
        <item sd="0" m="1" x="7495"/>
        <item sd="0" m="1" x="5520"/>
        <item sd="0" m="1" x="3493"/>
        <item sd="0" m="1" x="4019"/>
        <item sd="0" m="1" x="2784"/>
        <item sd="0" m="1" x="755"/>
        <item sd="0" m="1" x="6567"/>
        <item sd="0" m="1" x="2949"/>
        <item sd="0" m="1" x="956"/>
        <item sd="0" m="1" x="6755"/>
        <item m="1" x="4084"/>
        <item sd="0" m="1" x="1536"/>
        <item sd="0" m="1" x="7365"/>
        <item sd="0" m="1" x="5228"/>
        <item sd="0" m="1" x="3181"/>
        <item sd="0" m="1" x="1212"/>
        <item sd="0" m="1" x="7010"/>
        <item sd="0" m="1" x="1749"/>
        <item sd="0" m="1" x="7594"/>
        <item sd="0" m="1" x="5417"/>
        <item sd="0" m="1" x="3390"/>
        <item sd="0" m="1" x="1377"/>
        <item sd="0" m="1" x="7182"/>
        <item sd="0" m="1" x="1946"/>
        <item sd="0" m="1" x="7793"/>
        <item sd="0" m="1" x="835"/>
        <item sd="0" m="1" x="6482"/>
        <item sd="0" m="1" x="4512"/>
        <item sd="0" m="1" x="2563"/>
        <item sd="0" m="1" x="1052"/>
        <item sd="0" m="1" x="6646"/>
        <item sd="0" m="1" x="4700"/>
        <item sd="0" m="1" x="2720"/>
        <item sd="0" m="1" x="1240"/>
        <item sd="0" m="1" x="2033"/>
        <item sd="0" m="1" x="7868"/>
        <item sd="0" m="1" x="5822"/>
        <item sd="0" m="1" x="3843"/>
        <item sd="0" m="1" x="2198"/>
        <item sd="0" m="1" x="47"/>
        <item sd="0" m="1" x="6012"/>
        <item sd="0" m="1" x="4031"/>
        <item sd="0" m="1" x="2401"/>
        <item sd="0" m="1" x="3329"/>
        <item sd="0" m="1" x="1317"/>
        <item sd="0" m="1" x="7137"/>
        <item sd="0" m="1" x="5167"/>
        <item sd="0" m="1" x="4993"/>
        <item sd="0" m="1" x="3519"/>
        <item sd="0" m="1" x="1487"/>
        <item sd="0" m="1" x="7312"/>
        <item sd="0" m="1" x="5365"/>
        <item sd="0" m="1" x="5182"/>
        <item sd="0" m="1" x="3701"/>
        <item sd="0" m="1" x="1689"/>
        <item sd="0" m="1" x="4629"/>
        <item sd="0" m="1" x="2664"/>
        <item sd="0" m="1" x="611"/>
        <item sd="0" m="1" x="6289"/>
        <item sd="0" m="1" x="4276"/>
        <item sd="0" m="1" x="4804"/>
        <item sd="0" m="1" x="2820"/>
        <item sd="0" m="1" x="796"/>
        <item sd="0" m="1" x="6445"/>
        <item m="1" x="4464"/>
        <item m="1" x="5016"/>
        <item m="1" x="2986"/>
        <item m="1" x="1002"/>
        <item sd="0" m="1" x="4391"/>
        <item sd="0" m="1" x="2444"/>
        <item sd="0" m="1" x="346"/>
        <item sd="0" m="1" x="6238"/>
        <item sd="0" m="1" x="4564"/>
        <item sd="0" m="1" x="2612"/>
        <item sd="0" m="1" x="548"/>
        <item sd="0" m="1" x="6391"/>
        <item sd="0" m="1" x="3845"/>
        <item sd="0" m="1" x="1841"/>
        <item sd="0" m="1" x="7691"/>
        <item sd="0" m="1" x="5526"/>
        <item sd="0" m="1" x="3503"/>
        <item sd="0" m="1" x="4033"/>
        <item sd="0" m="1" x="2042"/>
        <item sd="0" m="1" x="7873"/>
        <item sd="0" m="1" x="5674"/>
        <item sd="0" m="1" x="3690"/>
        <item sd="0" m="1" x="4208"/>
        <item sd="0" m="1" x="2225"/>
        <item sd="0" m="1" x="66"/>
        <item sd="0" m="1" x="5169"/>
        <item sd="0" m="1" x="3131"/>
        <item sd="0" m="1" x="1163"/>
        <item sd="0" m="1" x="6769"/>
        <item sd="0" m="1" x="4796"/>
        <item sd="0" m="1" x="2810"/>
        <item sd="0" m="1" x="5367"/>
        <item sd="0" m="1" x="3343"/>
        <item sd="0" m="1" x="1326"/>
        <item sd="0" m="1" x="6952"/>
        <item sd="0" m="1" x="5003"/>
        <item sd="0" m="1" x="2972"/>
        <item sd="0" m="1" x="5558"/>
        <item sd="0" m="1" x="3543"/>
        <item sd="0" m="1" x="1504"/>
        <item sd="0" m="1" x="4458"/>
        <item sd="0" m="1" x="2506"/>
        <item sd="0" m="1" x="181"/>
        <item sd="0" m="1" x="6117"/>
        <item sd="0" m="1" x="4127"/>
        <item sd="0" m="1" x="4648"/>
        <item sd="0" m="1" x="2675"/>
        <item sd="0" m="1" x="407"/>
        <item sd="0" m="1" x="6299"/>
        <item sd="0" m="1" x="4287"/>
        <item sd="0" m="1" x="4830"/>
        <item sd="0" m="1" x="2838"/>
        <item sd="0" m="1" x="3625"/>
        <item sd="0" m="1" x="1591"/>
        <item sd="0" m="1" x="7434"/>
        <item sd="0" m="1" x="5464"/>
        <item sd="0" m="1" x="3783"/>
        <item sd="0" m="1" x="1790"/>
        <item sd="0" m="1" x="7645"/>
        <item m="1" x="5621"/>
        <item sd="0" m="1" x="1738"/>
        <item sd="0" m="1" x="7581"/>
        <item sd="0" m="1" x="5579"/>
        <item sd="0" m="1" x="3569"/>
        <item sd="0" m="1" x="1370"/>
        <item sd="0" m="1" x="7176"/>
        <item sd="0" m="1" x="1924"/>
        <item sd="0" m="1" x="7773"/>
        <item sd="0" m="1" x="5738"/>
        <item sd="0" m="1" x="3737"/>
        <item sd="0" m="1" x="1545"/>
        <item sd="0" m="1" x="7378"/>
        <item sd="0" m="1" x="2094"/>
        <item sd="0" m="1" x="7945"/>
        <item sd="0" m="1" x="5899"/>
        <item sd="0" m="1" x="3933"/>
        <item sd="0" m="1" x="1041"/>
        <item sd="0" m="1" x="6839"/>
        <item sd="0" m="1" x="4691"/>
        <item sd="0" m="1" x="2712"/>
        <item sd="0" m="1" x="663"/>
        <item sd="0" m="1" x="6481"/>
        <item sd="0" m="1" x="1224"/>
        <item sd="0" m="1" x="7025"/>
        <item sd="0" m="1" x="4875"/>
        <item sd="0" m="1" x="2870"/>
        <item sd="0" m="1" x="848"/>
        <item sd="0" m="1" x="6645"/>
        <item sd="0" m="1" x="1396"/>
        <item sd="0" m="1" x="7202"/>
        <item sd="0" m="1" x="268"/>
        <item sd="0" m="1" x="5999"/>
        <item sd="0" m="1" x="4025"/>
        <item sd="0" m="1" x="2031"/>
        <item sd="0" m="1" x="467"/>
        <item sd="0" m="1" x="6187"/>
        <item sd="0" m="1" x="4194"/>
        <item sd="0" m="1" x="2196"/>
        <item sd="0" m="1" x="679"/>
        <item sd="0" m="1" x="7300"/>
        <item sd="0" m="1" x="5356"/>
        <item sd="0" m="1" x="3328"/>
        <item sd="0" m="1" x="7513"/>
        <item sd="0" m="1" x="5539"/>
        <item sd="0" m="1" x="3518"/>
        <item sd="0" m="1" x="906"/>
        <item sd="0" m="1" x="6703"/>
        <item sd="0" m="1" x="4737"/>
        <item sd="0" m="1" x="2758"/>
        <item sd="0" m="1" x="536"/>
        <item sd="0" m="1" x="6382"/>
        <item sd="0" m="1" x="1118"/>
        <item sd="0" m="1" x="6913"/>
        <item sd="0" m="1" x="4947"/>
        <item sd="0" m="1" x="2915"/>
        <item m="1" x="732"/>
        <item m="1" x="6547"/>
        <item sd="0" m="1" x="1287"/>
        <item m="1" x="7119"/>
        <item m="1" x="5129"/>
        <item m="1" x="3098"/>
        <item sd="0" m="1" x="6483"/>
        <item sd="0" m="1" x="4513"/>
        <item sd="0" m="1" x="2564"/>
        <item sd="0" m="1" x="6647"/>
        <item sd="0" m="1" x="4701"/>
        <item sd="0" m="1" x="2721"/>
        <item sd="0" m="1" x="2034"/>
        <item sd="0" m="1" x="7869"/>
        <item sd="0" m="1" x="5823"/>
        <item sd="0" m="1" x="3844"/>
        <item sd="0" m="1" x="2199"/>
        <item sd="0" m="1" x="48"/>
        <item sd="0" m="1" x="6013"/>
        <item sd="0" m="1" x="4032"/>
        <item sd="0" m="1" x="2402"/>
        <item sd="0" m="1" x="306"/>
        <item sd="0" m="1" x="3330"/>
        <item sd="0" m="1" x="1318"/>
        <item sd="0" m="1" x="7138"/>
        <item sd="0" m="1" x="5168"/>
        <item sd="0" m="1" x="4994"/>
        <item sd="0" m="1" x="2958"/>
        <item sd="0" m="1" x="3520"/>
        <item sd="0" m="1" x="1488"/>
        <item sd="0" m="1" x="7313"/>
        <item sd="0" m="1" x="5366"/>
        <item sd="0" m="1" x="5183"/>
        <item sd="0" m="1" x="3140"/>
        <item sd="0" m="1" x="3702"/>
        <item sd="0" m="1" x="1690"/>
        <item sd="0" m="1" x="7534"/>
        <item sd="0" m="1" x="4630"/>
        <item sd="0" m="1" x="2665"/>
        <item sd="0" m="1" x="612"/>
        <item sd="0" m="1" x="6290"/>
        <item sd="0" m="1" x="4277"/>
        <item sd="0" m="1" x="2310"/>
        <item sd="0" m="1" x="4805"/>
        <item sd="0" m="1" x="2821"/>
        <item sd="0" m="1" x="797"/>
        <item sd="0" m="1" x="6446"/>
        <item sd="0" m="1" x="4465"/>
        <item sd="0" m="1" x="2515"/>
        <item sd="0" m="1" x="5017"/>
        <item sd="0" m="1" x="2987"/>
        <item sd="0" m="1" x="1003"/>
        <item sd="0" m="1" x="3963"/>
        <item sd="0" m="1" x="1968"/>
        <item sd="0" m="1" x="7631"/>
        <item sd="0" m="1" x="5613"/>
        <item sd="0" m="1" x="3624"/>
        <item sd="0" m="1" x="4135"/>
        <item sd="0" m="1" x="2125"/>
        <item sd="0" m="1" x="7829"/>
        <item m="1" x="5785"/>
        <item m="1" x="3782"/>
        <item m="1" x="4301"/>
        <item m="1" x="2331"/>
        <item sd="0" m="1" x="4750"/>
        <item sd="0" m="1" x="3846"/>
        <item sd="0" m="1" x="1842"/>
        <item sd="0" m="1" x="7692"/>
        <item sd="0" m="1" x="5527"/>
        <item sd="0" m="1" x="3504"/>
        <item sd="0" m="1" x="1477"/>
        <item sd="0" m="1" x="4034"/>
        <item sd="0" m="1" x="2043"/>
        <item sd="0" m="1" x="7874"/>
        <item sd="0" m="1" x="5675"/>
        <item sd="0" m="1" x="3691"/>
        <item sd="0" m="1" x="1669"/>
        <item sd="0" m="1" x="4209"/>
        <item sd="0" m="1" x="2226"/>
        <item sd="0" m="1" x="67"/>
        <item sd="0" m="1" x="3132"/>
        <item sd="0" m="1" x="1164"/>
        <item sd="0" m="1" x="6770"/>
        <item sd="0" m="1" x="4797"/>
        <item sd="0" m="1" x="2811"/>
        <item sd="0" m="1" x="3344"/>
        <item sd="0" m="1" x="1327"/>
        <item sd="0" m="1" x="6953"/>
        <item sd="0" m="1" x="5004"/>
        <item sd="0" m="1" x="2973"/>
        <item sd="0" m="1" x="3544"/>
        <item sd="0" m="1" x="1505"/>
        <item sd="0" m="1" x="2261"/>
        <item sd="0" m="1" x="108"/>
        <item sd="0" m="1" x="6064"/>
        <item sd="0" m="1" x="4078"/>
        <item sd="0" m="1" x="3909"/>
        <item sd="0" m="1" x="1913"/>
        <item sd="0" m="1" x="7763"/>
        <item sd="0" m="1" x="2464"/>
        <item sd="0" m="1" x="363"/>
        <item sd="0" m="1" x="6258"/>
        <item sd="0" m="1" x="4240"/>
        <item sd="0" m="1" x="4089"/>
        <item sd="0" m="1" x="2085"/>
        <item sd="0" m="1" x="7934"/>
        <item sd="0" m="1" x="2635"/>
        <item sd="0" m="1" x="581"/>
        <item sd="0" m="1" x="6420"/>
        <item sd="0" m="1" x="4426"/>
        <item sd="0" m="1" x="1538"/>
        <item sd="0" m="1" x="7369"/>
        <item sd="0" m="1" x="5232"/>
        <item sd="0" m="1" x="3184"/>
        <item sd="0" m="1" x="1215"/>
        <item sd="0" m="1" x="7014"/>
        <item sd="0" m="1" x="1753"/>
        <item sd="0" m="1" x="7599"/>
        <item sd="0" m="1" x="5422"/>
        <item sd="0" m="1" x="3393"/>
        <item sd="0" m="1" x="1383"/>
        <item sd="0" m="1" x="7189"/>
        <item sd="0" m="1" x="1952"/>
        <item sd="0" m="1" x="7800"/>
        <item sd="0" m="1" x="839"/>
        <item sd="0" m="1" x="6487"/>
        <item sd="0" m="1" x="4515"/>
        <item sd="0" m="1" x="2567"/>
        <item sd="0" m="1" x="1058"/>
        <item sd="0" m="1" x="6652"/>
        <item sd="0" m="1" x="4704"/>
        <item m="1" x="2725"/>
        <item m="1" x="1246"/>
        <item m="1" x="5188"/>
        <item sd="0" m="1" x="4635"/>
        <item sd="0" m="1" x="2669"/>
        <item sd="0" m="1" x="615"/>
        <item sd="0" m="1" x="6291"/>
        <item sd="0" m="1" x="4279"/>
        <item sd="0" m="1" x="4809"/>
        <item sd="0" m="1" x="2824"/>
        <item sd="0" m="1" x="799"/>
        <item sd="0" m="1" x="6450"/>
        <item sd="0" m="1" x="4469"/>
        <item sd="0" m="1" x="5019"/>
        <item sd="0" m="1" x="2990"/>
        <item sd="0" m="1" x="1006"/>
        <item sd="0" m="1" x="5940"/>
        <item sd="0" m="1" x="3968"/>
        <item sd="0" m="1" x="1972"/>
        <item sd="0" m="1" x="7633"/>
        <item sd="0" m="1" x="5614"/>
        <item sd="0" m="1" x="3627"/>
        <item sd="0" m="1" x="6125"/>
        <item sd="0" m="1" x="4139"/>
        <item sd="0" m="1" x="2128"/>
        <item sd="0" m="1" x="7835"/>
        <item sd="0" m="1" x="5789"/>
        <item sd="0" m="1" x="3788"/>
        <item sd="0" m="1" x="6309"/>
        <item sd="0" m="1" x="4306"/>
        <item sd="0" m="1" x="2336"/>
        <item sd="0" m="1" x="5287"/>
        <item sd="0" m="1" x="3245"/>
        <item sd="0" m="1" x="3068"/>
        <item sd="0" m="1" x="1104"/>
        <item sd="0" m="1" x="6905"/>
        <item sd="0" m="1" x="4934"/>
        <item sd="0" m="1" x="5471"/>
        <item sd="0" m="1" x="3438"/>
        <item sd="0" m="1" x="3261"/>
        <item sd="0" m="1" x="1274"/>
        <item sd="0" m="1" x="7104"/>
        <item sd="0" m="1" x="5107"/>
        <item sd="0" m="1" x="5634"/>
        <item sd="0" m="1" x="3650"/>
        <item sd="0" m="1" x="4393"/>
        <item sd="0" m="1" x="2446"/>
        <item sd="0" m="1" x="351"/>
        <item sd="0" m="1" x="6242"/>
        <item sd="0" m="1" x="4568"/>
        <item sd="0" m="1" x="2616"/>
        <item sd="0" m="1" x="555"/>
        <item sd="0" m="1" x="6395"/>
        <item sd="0" m="1" x="3851"/>
        <item sd="0" m="1" x="1844"/>
        <item sd="0" m="1" x="7694"/>
        <item sd="0" m="1" x="5532"/>
        <item sd="0" m="1" x="3508"/>
        <item sd="0" m="1" x="4040"/>
        <item sd="0" m="1" x="2045"/>
        <item sd="0" m="1" x="7877"/>
        <item sd="0" m="1" x="5681"/>
        <item m="1" x="3695"/>
        <item m="1" x="4213"/>
        <item m="1" x="2233"/>
        <item m="1" x="73"/>
        <item sd="0" m="1" x="3629"/>
        <item sd="0" m="1" x="1594"/>
        <item sd="0" m="1" x="7438"/>
        <item sd="0" m="1" x="5467"/>
        <item sd="0" m="1" x="3790"/>
        <item sd="0" m="1" x="1794"/>
        <item sd="0" m="1" x="7650"/>
        <item sd="0" m="1" x="5625"/>
        <item sd="0" m="1" x="4936"/>
        <item sd="0" m="1" x="2909"/>
        <item sd="0" m="1" x="910"/>
        <item sd="0" m="1" x="5109"/>
        <item sd="0" m="1" x="3085"/>
        <item sd="0" m="1" x="1123"/>
        <item sd="0" m="1" x="5313"/>
        <item sd="0" m="1" x="6244"/>
        <item sd="0" m="1" x="4230"/>
        <item sd="0" m="1" x="2258"/>
        <item sd="0" m="1" x="7922"/>
        <item sd="0" m="1" x="6397"/>
        <item sd="0" m="1" x="4407"/>
        <item sd="0" m="1" x="2461"/>
        <item sd="0" m="1" x="121"/>
        <item sd="0" m="1" x="6566"/>
        <item sd="0" m="1" x="4589"/>
        <item sd="0" m="1" x="1742"/>
        <item sd="0" m="1" x="7585"/>
        <item sd="0" m="1" x="5583"/>
        <item sd="0" m="1" x="3572"/>
        <item sd="0" m="1" x="1372"/>
        <item sd="0" m="1" x="7178"/>
        <item sd="0" m="1" x="1930"/>
        <item sd="0" m="1" x="7777"/>
        <item sd="0" m="1" x="5742"/>
        <item sd="0" m="1" x="3739"/>
        <item sd="0" m="1" x="1548"/>
        <item sd="0" m="1" x="7381"/>
        <item sd="0" m="1" x="2099"/>
        <item sd="0" m="1" x="7950"/>
        <item sd="0" m="1" x="5904"/>
        <item sd="0" m="1" x="3938"/>
        <item sd="0" m="1" x="1045"/>
        <item sd="0" m="1" x="6843"/>
        <item sd="0" m="1" x="4694"/>
        <item sd="0" m="1" x="2714"/>
        <item sd="0" m="1" x="666"/>
        <item sd="0" m="1" x="6486"/>
        <item sd="0" m="1" x="1229"/>
        <item sd="0" m="1" x="7030"/>
        <item sd="0" m="1" x="4881"/>
        <item m="1" x="2874"/>
        <item m="1" x="854"/>
        <item m="1" x="6651"/>
        <item m="1" x="1403"/>
        <item m="1" x="7208"/>
        <item sd="0" m="1" x="914"/>
        <item sd="0" m="1" x="6708"/>
        <item sd="0" m="1" x="4740"/>
        <item sd="0" m="1" x="2760"/>
        <item sd="0" m="1" x="540"/>
        <item sd="0" m="1" x="6385"/>
        <item sd="0" m="1" x="1127"/>
        <item sd="0" m="1" x="6916"/>
        <item sd="0" m="1" x="4952"/>
        <item sd="0" m="1" x="2920"/>
        <item sd="0" m="1" x="736"/>
        <item sd="0" m="1" x="6551"/>
        <item sd="0" m="1" x="1293"/>
        <item sd="0" m="1" x="7122"/>
        <item sd="0" m="1" x="5135"/>
        <item sd="0" m="1" x="3103"/>
        <item sd="0" m="1" x="109"/>
        <item sd="0" m="1" x="6065"/>
        <item sd="0" m="1" x="4079"/>
        <item sd="0" m="1" x="3910"/>
        <item sd="0" m="1" x="1914"/>
        <item sd="0" m="1" x="7764"/>
        <item sd="0" m="1" x="5729"/>
        <item sd="0" m="1" x="364"/>
        <item sd="0" m="1" x="6259"/>
        <item sd="0" m="1" x="4241"/>
        <item sd="0" m="1" x="4090"/>
        <item sd="0" m="1" x="2086"/>
        <item sd="0" m="1" x="7935"/>
        <item sd="0" m="1" x="5886"/>
        <item sd="0" m="1" x="582"/>
        <item sd="0" m="1" x="6421"/>
        <item sd="0" m="1" x="4427"/>
        <item sd="0" m="1" x="7370"/>
        <item sd="0" m="1" x="5233"/>
        <item sd="0" m="1" x="3185"/>
        <item sd="0" m="1" x="1216"/>
        <item sd="0" m="1" x="7015"/>
        <item sd="0" m="1" x="7600"/>
        <item sd="0" m="1" x="5423"/>
        <item sd="0" m="1" x="3394"/>
        <item sd="0" m="1" x="1384"/>
        <item sd="0" m="1" x="7190"/>
        <item sd="0" m="1" x="7801"/>
        <item sd="0" m="1" x="6488"/>
        <item sd="0" m="1" x="4516"/>
        <item sd="0" m="1" x="2568"/>
        <item sd="0" m="1" x="6653"/>
        <item sd="0" m="1" x="4705"/>
        <item sd="0" m="1" x="2726"/>
        <item sd="0" m="1" x="2037"/>
        <item sd="0" m="1" x="7871"/>
        <item sd="0" m="1" x="5827"/>
        <item sd="0" m="1" x="3848"/>
        <item sd="0" m="1" x="2204"/>
        <item sd="0" m="1" x="52"/>
        <item sd="0" m="1" x="6018"/>
        <item sd="0" m="1" x="4037"/>
        <item sd="0" m="1" x="2407"/>
        <item m="1" x="312"/>
        <item m="1" x="6451"/>
        <item sd="0" m="1" x="3969"/>
        <item sd="0" m="1" x="1973"/>
        <item sd="0" m="1" x="7634"/>
        <item sd="0" m="1" x="5615"/>
        <item sd="0" m="1" x="3628"/>
        <item sd="0" m="1" x="4140"/>
        <item sd="0" m="1" x="2129"/>
        <item sd="0" m="1" x="7836"/>
        <item sd="0" m="1" x="5790"/>
        <item sd="0" m="1" x="3789"/>
        <item sd="0" m="1" x="4307"/>
        <item sd="0" m="1" x="2337"/>
        <item sd="0" m="1" x="3246"/>
        <item sd="0" m="1" x="3069"/>
        <item sd="0" m="1" x="1105"/>
        <item sd="0" m="1" x="6906"/>
        <item sd="0" m="1" x="4935"/>
        <item sd="0" m="1" x="3439"/>
        <item sd="0" m="1" x="3262"/>
        <item sd="0" m="1" x="1275"/>
        <item sd="0" m="1" x="7105"/>
        <item sd="0" m="1" x="5108"/>
        <item sd="0" m="1" x="3651"/>
        <item sd="0" m="1" x="4394"/>
        <item sd="0" m="1" x="2447"/>
        <item sd="0" m="1" x="352"/>
        <item sd="0" m="1" x="6243"/>
        <item sd="0" m="1" x="4569"/>
        <item sd="0" m="1" x="2617"/>
        <item sd="0" m="1" x="556"/>
        <item sd="0" m="1" x="6396"/>
        <item sd="0" m="1" x="4754"/>
        <item sd="0" m="1" x="3852"/>
        <item sd="0" m="1" x="1845"/>
        <item sd="0" m="1" x="7695"/>
        <item sd="0" m="1" x="5533"/>
        <item sd="0" m="1" x="3509"/>
        <item sd="0" m="1" x="1482"/>
        <item sd="0" m="1" x="4041"/>
        <item sd="0" m="1" x="2046"/>
        <item sd="0" m="1" x="7878"/>
        <item sd="0" m="1" x="5682"/>
        <item sd="0" m="1" x="3696"/>
        <item sd="0" m="1" x="1678"/>
        <item sd="0" m="1" x="4214"/>
        <item sd="0" m="1" x="2234"/>
        <item sd="0" m="1" x="74"/>
        <item sd="0" m="1" x="2266"/>
        <item sd="0" m="1" x="113"/>
        <item sd="0" m="1" x="6068"/>
        <item sd="0" m="1" x="4080"/>
        <item sd="0" m="1" x="3914"/>
        <item sd="0" m="1" x="1918"/>
        <item sd="0" m="1" x="7768"/>
        <item sd="0" m="1" x="2470"/>
        <item sd="0" m="1" x="368"/>
        <item sd="0" m="1" x="6263"/>
        <item sd="0" m="1" x="4243"/>
        <item sd="0" m="1" x="4094"/>
        <item m="1" x="2089"/>
        <item m="1" x="7939"/>
        <item sd="0" m="1" x="2640"/>
        <item m="1" x="588"/>
        <item m="1" x="6427"/>
        <item m="1" x="4433"/>
        <item sd="0" m="1" x="2040"/>
        <item sd="0" m="1" x="7872"/>
        <item sd="0" m="1" x="5829"/>
        <item sd="0" m="1" x="3855"/>
        <item sd="0" m="1" x="2214"/>
        <item sd="0" m="1" x="58"/>
        <item sd="0" m="1" x="6025"/>
        <item sd="0" m="1" x="4046"/>
        <item sd="0" m="1" x="2416"/>
        <item sd="0" m="1" x="3339"/>
        <item sd="0" m="1" x="1323"/>
        <item sd="0" m="1" x="7142"/>
        <item sd="0" m="1" x="5176"/>
        <item sd="0" m="1" x="4999"/>
        <item sd="0" m="1" x="3532"/>
        <item sd="0" m="1" x="1496"/>
        <item sd="0" m="1" x="7322"/>
        <item sd="0" m="1" x="5373"/>
        <item sd="0" m="1" x="5194"/>
        <item sd="0" m="1" x="3709"/>
        <item sd="0" m="1" x="1701"/>
        <item sd="0" m="1" x="4639"/>
        <item sd="0" m="1" x="2672"/>
        <item sd="0" m="1" x="621"/>
        <item sd="0" m="1" x="6293"/>
        <item sd="0" m="1" x="4282"/>
        <item sd="0" m="1" x="4814"/>
        <item sd="0" m="1" x="2828"/>
        <item sd="0" m="1" x="806"/>
        <item sd="0" m="1" x="6458"/>
        <item sd="0" m="1" x="4475"/>
        <item sd="0" m="1" x="5024"/>
        <item sd="0" m="1" x="2995"/>
        <item sd="0" m="1" x="1013"/>
        <item sd="0" m="1" x="5946"/>
        <item sd="0" m="1" x="3973"/>
        <item sd="0" m="1" x="1978"/>
        <item sd="0" m="1" x="7638"/>
        <item sd="0" m="1" x="5617"/>
        <item sd="0" m="1" x="3634"/>
        <item sd="0" m="1" x="6132"/>
        <item sd="0" m="1" x="4145"/>
        <item sd="0" m="1" x="2134"/>
        <item sd="0" m="1" x="7840"/>
        <item sd="0" m="1" x="5794"/>
        <item sd="0" m="1" x="3799"/>
        <item sd="0" m="1" x="6313"/>
        <item sd="0" m="1" x="4313"/>
        <item sd="0" m="1" x="2343"/>
        <item sd="0" m="1" x="5291"/>
        <item sd="0" m="1" x="3249"/>
        <item sd="0" m="1" x="3074"/>
        <item sd="0" m="1" x="1110"/>
        <item sd="0" m="1" x="6910"/>
        <item sd="0" m="1" x="4940"/>
        <item sd="0" m="1" x="5480"/>
        <item sd="0" m="1" x="3445"/>
        <item sd="0" m="1" x="3268"/>
        <item sd="0" m="1" x="1279"/>
        <item m="1" x="7110"/>
        <item m="1" x="5116"/>
        <item m="1" x="5643"/>
        <item m="1" x="3658"/>
        <item m="1" x="5687"/>
        <item sd="0" m="1" x="5177"/>
        <item sd="0" m="1" x="3137"/>
        <item sd="0" m="1" x="1168"/>
        <item sd="0" m="1" x="6781"/>
        <item sd="0" m="1" x="4802"/>
        <item sd="0" m="1" x="2818"/>
        <item sd="0" m="1" x="5374"/>
        <item sd="0" m="1" x="3349"/>
        <item sd="0" m="1" x="1333"/>
        <item sd="0" m="1" x="6963"/>
        <item sd="0" m="1" x="5012"/>
        <item sd="0" m="1" x="2982"/>
        <item sd="0" m="1" x="5566"/>
        <item sd="0" m="1" x="3554"/>
        <item sd="0" m="1" x="1516"/>
        <item sd="0" m="1" x="4463"/>
        <item sd="0" m="1" x="2512"/>
        <item sd="0" m="1" x="189"/>
        <item sd="0" m="1" x="6121"/>
        <item sd="0" m="1" x="4132"/>
        <item sd="0" m="1" x="4656"/>
        <item sd="0" m="1" x="2680"/>
        <item sd="0" m="1" x="415"/>
        <item sd="0" m="1" x="6304"/>
        <item sd="0" m="1" x="4296"/>
        <item sd="0" m="1" x="4841"/>
        <item sd="0" m="1" x="2846"/>
        <item sd="0" m="1" x="3636"/>
        <item sd="0" m="1" x="1597"/>
        <item sd="0" m="1" x="7441"/>
        <item sd="0" m="1" x="5468"/>
        <item sd="0" m="1" x="3801"/>
        <item sd="0" m="1" x="1799"/>
        <item sd="0" m="1" x="7656"/>
        <item sd="0" m="1" x="5628"/>
        <item sd="0" m="1" x="4942"/>
        <item sd="0" m="1" x="2912"/>
        <item sd="0" m="1" x="915"/>
        <item sd="0" m="1" x="5118"/>
        <item sd="0" m="1" x="3090"/>
        <item sd="0" m="1" x="1129"/>
        <item sd="0" m="1" x="5320"/>
        <item sd="0" m="1" x="6250"/>
        <item sd="0" m="1" x="4233"/>
        <item sd="0" m="1" x="2263"/>
        <item sd="0" m="1" x="7925"/>
        <item sd="0" m="1" x="6404"/>
        <item sd="0" m="1" x="4412"/>
        <item sd="0" m="1" x="2467"/>
        <item sd="0" m="1" x="126"/>
        <item m="1" x="6571"/>
        <item m="1" x="4595"/>
        <item sd="0" m="1" x="277"/>
        <item sd="0" m="1" x="6004"/>
        <item sd="0" m="1" x="4028"/>
        <item sd="0" m="1" x="2038"/>
        <item sd="0" m="1" x="476"/>
        <item sd="0" m="1" x="6199"/>
        <item sd="0" m="1" x="4202"/>
        <item sd="0" m="1" x="2212"/>
        <item sd="0" m="1" x="690"/>
        <item sd="0" m="1" x="7305"/>
        <item sd="0" m="1" x="5361"/>
        <item sd="0" m="1" x="3337"/>
        <item sd="0" m="1" x="7523"/>
        <item sd="0" m="1" x="5549"/>
        <item sd="0" m="1" x="3530"/>
        <item sd="0" m="1" x="917"/>
        <item sd="0" m="1" x="6710"/>
        <item sd="0" m="1" x="4741"/>
        <item sd="0" m="1" x="2762"/>
        <item sd="0" m="1" x="544"/>
        <item sd="0" m="1" x="6388"/>
        <item sd="0" m="1" x="1131"/>
        <item sd="0" m="1" x="6918"/>
        <item sd="0" m="1" x="4956"/>
        <item sd="0" m="1" x="2923"/>
        <item sd="0" m="1" x="742"/>
        <item sd="0" m="1" x="6557"/>
        <item sd="0" m="1" x="1296"/>
        <item sd="0" m="1" x="7125"/>
        <item sd="0" m="1" x="5143"/>
        <item sd="0" m="1" x="3108"/>
        <item sd="0" m="1" x="114"/>
        <item sd="0" m="1" x="6069"/>
        <item sd="0" m="1" x="4081"/>
        <item sd="0" m="1" x="3915"/>
        <item sd="0" m="1" x="1919"/>
        <item sd="0" m="1" x="7769"/>
        <item sd="0" m="1" x="5733"/>
        <item sd="0" m="1" x="369"/>
        <item sd="0" m="1" x="6264"/>
        <item sd="0" m="1" x="4244"/>
        <item sd="0" m="1" x="4095"/>
        <item sd="0" m="1" x="2090"/>
        <item sd="0" m="1" x="7940"/>
        <item sd="0" m="1" x="5892"/>
        <item sd="0" m="1" x="589"/>
        <item sd="0" m="1" x="6428"/>
        <item sd="0" m="1" x="4434"/>
        <item sd="0" m="1" x="7374"/>
        <item sd="0" m="1" x="5238"/>
        <item sd="0" m="1" x="3189"/>
        <item sd="0" m="1" x="1220"/>
        <item sd="0" m="1" x="7020"/>
        <item sd="0" m="1" x="7607"/>
        <item sd="0" m="1" x="5428"/>
        <item sd="0" m="1" x="3398"/>
        <item m="1" x="1389"/>
        <item m="1" x="7195"/>
        <item m="1" x="7808"/>
        <item m="1" x="5195"/>
        <item m="1" x="6294"/>
        <item sd="0" m="1" x="2316"/>
        <item sd="0" m="1" x="4815"/>
        <item sd="0" m="1" x="2829"/>
        <item sd="0" m="1" x="807"/>
        <item sd="0" m="1" x="6459"/>
        <item sd="0" m="1" x="4476"/>
        <item sd="0" m="1" x="2526"/>
        <item sd="0" m="1" x="5025"/>
        <item sd="0" m="1" x="2996"/>
        <item sd="0" m="1" x="1014"/>
        <item sd="0" m="1" x="3974"/>
        <item sd="0" m="1" x="1979"/>
        <item sd="0" m="1" x="7639"/>
        <item sd="0" m="1" x="5618"/>
        <item sd="0" m="1" x="3635"/>
        <item sd="0" m="1" x="4146"/>
        <item sd="0" m="1" x="2135"/>
        <item sd="0" m="1" x="7841"/>
        <item sd="0" m="1" x="5795"/>
        <item sd="0" m="1" x="3800"/>
        <item sd="0" m="1" x="4314"/>
        <item sd="0" m="1" x="2344"/>
        <item sd="0" m="1" x="3250"/>
        <item sd="0" m="1" x="3075"/>
        <item sd="0" m="1" x="1111"/>
        <item sd="0" m="1" x="6911"/>
        <item sd="0" m="1" x="4941"/>
        <item sd="0" m="1" x="3446"/>
        <item sd="0" m="1" x="3269"/>
        <item sd="0" m="1" x="1280"/>
        <item sd="0" m="1" x="7111"/>
        <item sd="0" m="1" x="5117"/>
        <item sd="0" m="1" x="3659"/>
        <item sd="0" m="1" x="4398"/>
        <item sd="0" m="1" x="2453"/>
        <item sd="0" m="1" x="358"/>
        <item sd="0" m="1" x="6249"/>
        <item sd="0" m="1" x="4574"/>
        <item sd="0" m="1" x="2623"/>
        <item sd="0" m="1" x="565"/>
        <item sd="0" m="1" x="6403"/>
        <item sd="0" m="1" x="4759"/>
        <item m="1" x="2507"/>
        <item sd="0" m="1" x="7426"/>
        <item sd="0" m="1" x="2122"/>
        <item sd="0" m="1" x="7980"/>
        <item sd="0" m="1" x="5941"/>
        <item sd="0" m="1" x="3775"/>
        <item sd="0" m="1" x="1782"/>
        <item sd="0" m="1" x="7635"/>
        <item sd="0" m="1" x="2321"/>
        <item sd="0" m="1" x="198"/>
        <item sd="0" m="1" x="6126"/>
        <item sd="0" m="1" x="1264"/>
        <item sd="0" m="1" x="7078"/>
        <item sd="0" m="1" x="6894"/>
        <item sd="0" m="1" x="4923"/>
        <item sd="0" m="1" x="2903"/>
        <item sd="0" m="1" x="895"/>
        <item sd="0" m="1" x="1425"/>
        <item sd="0" m="1" x="7238"/>
        <item sd="0" m="1" x="7085"/>
        <item sd="0" m="1" x="5093"/>
        <item sd="0" m="1" x="3070"/>
        <item sd="0" m="1" x="1106"/>
        <item sd="0" m="1" x="1599"/>
        <item sd="0" m="1" x="7443"/>
        <item sd="0" m="1" x="342"/>
        <item sd="0" m="1" x="6234"/>
        <item sd="0" m="1" x="4223"/>
        <item sd="0" m="1" x="2246"/>
        <item sd="0" m="1" x="538"/>
        <item sd="0" m="1" x="6383"/>
        <item sd="0" m="1" x="4395"/>
        <item sd="0" m="1" x="2448"/>
        <item sd="0" m="1" x="1729"/>
        <item sd="0" m="1" x="7575"/>
        <item sd="0" m="1" x="5572"/>
        <item sd="0" m="1" x="1911"/>
        <item sd="0" m="1" x="7761"/>
        <item sd="0" m="1" x="5726"/>
        <item m="1" x="2082"/>
        <item m="1" x="270"/>
        <item sd="0" m="1" x="5668"/>
        <item sd="0" m="1" x="3680"/>
        <item sd="0" m="1" x="1472"/>
        <item sd="0" m="1" x="7295"/>
        <item sd="0" m="1" x="5346"/>
        <item sd="0" m="1" x="3317"/>
        <item sd="0" m="1" x="5825"/>
        <item sd="0" m="1" x="3847"/>
        <item sd="0" m="1" x="1657"/>
        <item sd="0" m="1" x="7505"/>
        <item sd="0" m="1" x="5528"/>
        <item sd="0" m="1" x="3505"/>
        <item sd="0" m="1" x="6017"/>
        <item sd="0" m="1" x="4036"/>
        <item sd="0" m="1" x="4988"/>
        <item sd="0" m="1" x="2804"/>
        <item sd="0" m="1" x="779"/>
        <item sd="0" m="1" x="6589"/>
        <item sd="0" m="1" x="5171"/>
        <item sd="0" m="1" x="2959"/>
        <item sd="0" m="1" x="972"/>
        <item sd="0" m="1" x="6772"/>
        <item sd="0" m="1" x="5369"/>
        <item sd="0" m="1" x="2248"/>
        <item sd="0" m="1" x="96"/>
        <item sd="0" m="1" x="6052"/>
        <item sd="0" m="1" x="3902"/>
        <item sd="0" m="1" x="2451"/>
        <item sd="0" m="1" x="354"/>
        <item sd="0" m="1" x="6245"/>
        <item sd="0" m="1" x="4076"/>
        <item sd="0" m="1" x="2619"/>
        <item sd="0" m="1" x="558"/>
        <item sd="0" m="1" x="5574"/>
        <item sd="0" m="1" x="3567"/>
        <item sd="0" m="1" x="1532"/>
        <item sd="0" m="1" x="7359"/>
        <item sd="0" m="1" x="5226"/>
        <item sd="0" m="1" x="3179"/>
        <item sd="0" m="1" x="5728"/>
        <item sd="0" m="1" x="3734"/>
        <item sd="0" m="1" x="1743"/>
        <item sd="0" m="1" x="7586"/>
        <item sd="0" m="1" x="5414"/>
        <item sd="0" m="1" x="3385"/>
        <item sd="0" m="1" x="5880"/>
        <item sd="0" m="1" x="3921"/>
        <item sd="0" m="1" x="1931"/>
        <item sd="0" m="1" x="7778"/>
        <item sd="0" m="1" x="4853"/>
        <item sd="0" m="1" x="2855"/>
        <item sd="0" m="1" x="658"/>
        <item sd="0" m="1" x="6478"/>
        <item sd="0" m="1" x="4509"/>
        <item sd="0" m="1" x="2556"/>
        <item sd="0" m="1" x="5048"/>
        <item sd="0" m="1" x="3022"/>
        <item sd="0" m="1" x="836"/>
        <item m="1" x="6640"/>
        <item m="1" x="4695"/>
        <item m="1" x="2715"/>
        <item m="1" x="5245"/>
        <item m="1" x="3196"/>
        <item sd="0" m="1" x="6592"/>
        <item sd="0" m="1" x="4622"/>
        <item sd="0" m="1" x="2657"/>
        <item sd="0" m="1" x="600"/>
        <item sd="0" m="1" x="6774"/>
        <item sd="0" m="1" x="4798"/>
        <item sd="0" m="1" x="2812"/>
        <item sd="0" m="1" x="786"/>
        <item sd="0" m="1" x="6955"/>
        <item sd="0" m="1" x="5005"/>
        <item sd="0" m="1" x="7974"/>
        <item sd="0" m="1" x="5931"/>
        <item sd="0" m="1" x="3955"/>
        <item sd="0" m="1" x="1778"/>
        <item sd="0" m="1" x="7628"/>
        <item sd="0" m="1" x="182"/>
        <item sd="0" m="1" x="6118"/>
        <item sd="0" m="1" x="4128"/>
        <item sd="0" m="1" x="1970"/>
        <item sd="0" m="1" x="7820"/>
        <item sd="0" m="1" x="408"/>
        <item sd="0" m="1" x="6300"/>
        <item sd="0" m="1" x="4288"/>
        <item sd="0" m="1" x="1423"/>
        <item sd="0" m="1" x="7235"/>
        <item sd="0" m="1" x="5281"/>
        <item sd="0" m="1" x="3066"/>
        <item sd="0" m="1" x="1101"/>
        <item sd="0" m="1" x="6892"/>
        <item sd="0" m="1" x="1593"/>
        <item sd="0" m="1" x="7436"/>
        <item sd="0" m="1" x="5465"/>
        <item sd="0" m="1" x="3244"/>
        <item sd="0" m="1" x="1266"/>
        <item sd="0" m="1" x="7084"/>
        <item sd="0" m="1" x="1793"/>
        <item sd="0" m="1" x="7648"/>
        <item sd="0" m="1" x="5622"/>
        <item sd="0" m="1" x="723"/>
        <item sd="0" m="1" x="6536"/>
        <item sd="0" m="1" x="4390"/>
        <item sd="0" m="1" x="2441"/>
        <item sd="0" m="1" x="339"/>
        <item sd="0" m="1" x="907"/>
        <item sd="0" m="1" x="6704"/>
        <item sd="0" m="1" x="4561"/>
        <item sd="0" m="1" x="2609"/>
        <item sd="0" m="1" x="537"/>
        <item sd="0" m="1" x="1122"/>
        <item sd="0" m="1" x="6914"/>
        <item sd="0" m="1" x="7757"/>
        <item sd="0" m="1" x="5722"/>
        <item sd="0" m="1" x="3728"/>
        <item sd="0" m="1" x="1726"/>
        <item sd="0" m="1" x="7920"/>
        <item sd="0" m="1" x="5872"/>
        <item sd="0" m="1" x="3907"/>
        <item m="1" x="1910"/>
        <item m="1" x="2508"/>
        <item sd="0" m="1" x="7814"/>
        <item sd="0" m="1" x="5773"/>
        <item sd="0" m="1" x="3619"/>
        <item sd="0" m="1" x="1586"/>
        <item sd="0" m="1" x="7427"/>
        <item sd="0" m="1" x="7981"/>
        <item sd="0" m="1" x="5942"/>
        <item sd="0" m="1" x="3776"/>
        <item sd="0" m="1" x="1783"/>
        <item sd="0" m="1" x="7636"/>
        <item sd="0" m="1" x="199"/>
        <item sd="0" m="1" x="6127"/>
        <item sd="0" m="1" x="7079"/>
        <item sd="0" m="1" x="6895"/>
        <item sd="0" m="1" x="4924"/>
        <item sd="0" m="1" x="2904"/>
        <item sd="0" m="1" x="896"/>
        <item sd="0" m="1" x="7239"/>
        <item sd="0" m="1" x="7086"/>
        <item sd="0" m="1" x="5094"/>
        <item sd="0" m="1" x="3071"/>
        <item sd="0" m="1" x="1107"/>
        <item sd="0" m="1" x="7444"/>
        <item sd="0" m="1" x="343"/>
        <item sd="0" m="1" x="6235"/>
        <item sd="0" m="1" x="4224"/>
        <item sd="0" m="1" x="2247"/>
        <item sd="0" m="1" x="539"/>
        <item sd="0" m="1" x="6384"/>
        <item sd="0" m="1" x="4396"/>
        <item sd="0" m="1" x="2449"/>
        <item sd="0" m="1" x="733"/>
        <item sd="0" m="1" x="1730"/>
        <item sd="0" m="1" x="7576"/>
        <item sd="0" m="1" x="5573"/>
        <item sd="0" m="1" x="3383"/>
        <item sd="0" m="1" x="1912"/>
        <item sd="0" m="1" x="7762"/>
        <item sd="0" m="1" x="5727"/>
        <item sd="0" m="1" x="3571"/>
        <item sd="0" m="1" x="2083"/>
        <item sd="0" m="1" x="7929"/>
        <item sd="0" m="1" x="5041"/>
        <item sd="0" m="1" x="3014"/>
        <item sd="0" m="1" x="1034"/>
        <item sd="0" m="1" x="6832"/>
        <item sd="0" m="1" x="4685"/>
        <item sd="0" m="1" x="2709"/>
        <item sd="0" m="1" x="5230"/>
        <item sd="0" m="1" x="3183"/>
        <item sd="0" m="1" x="1213"/>
        <item sd="0" m="1" x="7011"/>
        <item m="1" x="4861"/>
        <item m="1" x="2859"/>
        <item sd="0" m="1" x="5420"/>
        <item m="1" x="3392"/>
        <item m="1" x="1378"/>
        <item m="1" x="7183"/>
        <item sd="0" m="1" x="2805"/>
        <item sd="0" m="1" x="780"/>
        <item sd="0" m="1" x="6590"/>
        <item sd="0" m="1" x="2960"/>
        <item sd="0" m="1" x="973"/>
        <item sd="0" m="1" x="6773"/>
        <item sd="0" m="1" x="2249"/>
        <item sd="0" m="1" x="97"/>
        <item sd="0" m="1" x="6053"/>
        <item sd="0" m="1" x="3903"/>
        <item sd="0" m="1" x="1907"/>
        <item sd="0" m="1" x="2452"/>
        <item sd="0" m="1" x="355"/>
        <item sd="0" m="1" x="6246"/>
        <item sd="0" m="1" x="4077"/>
        <item sd="0" m="1" x="2079"/>
        <item sd="0" m="1" x="2620"/>
        <item sd="0" m="1" x="559"/>
        <item sd="0" m="1" x="6398"/>
        <item sd="0" m="1" x="3568"/>
        <item sd="0" m="1" x="1533"/>
        <item sd="0" m="1" x="7360"/>
        <item sd="0" m="1" x="5227"/>
        <item sd="0" m="1" x="3180"/>
        <item sd="0" m="1" x="1211"/>
        <item sd="0" m="1" x="3735"/>
        <item sd="0" m="1" x="1744"/>
        <item sd="0" m="1" x="7587"/>
        <item sd="0" m="1" x="5415"/>
        <item sd="0" m="1" x="3386"/>
        <item sd="0" m="1" x="1373"/>
        <item sd="0" m="1" x="3922"/>
        <item sd="0" m="1" x="1932"/>
        <item sd="0" m="1" x="7779"/>
        <item sd="0" m="1" x="604"/>
        <item sd="0" m="1" x="6438"/>
        <item sd="0" m="1" x="4453"/>
        <item sd="0" m="1" x="2306"/>
        <item sd="0" m="1" x="177"/>
        <item sd="0" m="1" x="791"/>
        <item sd="0" m="1" x="6607"/>
        <item sd="0" m="1" x="4640"/>
        <item sd="0" m="1" x="2510"/>
        <item sd="0" m="1" x="403"/>
        <item sd="0" m="1" x="992"/>
        <item sd="0" m="1" x="6797"/>
        <item sd="0" m="1" x="4816"/>
        <item sd="0" m="1" x="1966"/>
        <item sd="0" m="1" x="7815"/>
        <item sd="0" m="1" x="5774"/>
        <item sd="0" m="1" x="3620"/>
        <item sd="0" m="1" x="1587"/>
        <item sd="0" m="1" x="7429"/>
        <item sd="0" m="1" x="2123"/>
        <item sd="0" m="1" x="7985"/>
        <item sd="0" m="1" x="5947"/>
        <item m="1" x="3777"/>
        <item m="1" x="1785"/>
        <item m="1" x="7640"/>
        <item m="1" x="2323"/>
        <item m="1" x="206"/>
        <item m="1" x="6133"/>
        <item sd="0" m="1" x="1733"/>
        <item sd="0" m="1" x="7578"/>
        <item sd="0" m="1" x="5576"/>
        <item sd="0" m="1" x="1916"/>
        <item sd="0" m="1" x="7765"/>
        <item sd="0" m="1" x="5730"/>
        <item sd="0" m="1" x="2087"/>
        <item sd="0" m="1" x="5042"/>
        <item sd="0" m="1" x="3015"/>
        <item sd="0" m="1" x="1035"/>
        <item sd="0" m="1" x="6833"/>
        <item sd="0" m="1" x="4687"/>
        <item sd="0" m="1" x="5235"/>
        <item sd="0" m="1" x="3187"/>
        <item sd="0" m="1" x="1217"/>
        <item sd="0" m="1" x="7016"/>
        <item sd="0" m="1" x="4865"/>
        <item sd="0" m="1" x="5425"/>
        <item sd="0" m="1" x="3396"/>
        <item sd="0" m="1" x="1385"/>
        <item sd="0" m="1" x="6330"/>
        <item sd="0" m="1" x="4334"/>
        <item sd="0" m="1" x="2374"/>
        <item sd="0" m="1" x="264"/>
        <item sd="0" m="1" x="32"/>
        <item sd="0" m="1" x="5995"/>
        <item sd="0" m="1" x="4021"/>
        <item sd="0" m="1" x="6489"/>
        <item sd="0" m="1" x="4517"/>
        <item sd="0" m="1" x="2569"/>
        <item sd="0" m="1" x="463"/>
        <item sd="0" m="1" x="275"/>
        <item sd="0" m="1" x="6179"/>
        <item sd="0" m="1" x="4186"/>
        <item sd="0" m="1" x="6655"/>
        <item sd="0" m="1" x="4706"/>
        <item sd="0" m="1" x="2727"/>
        <item sd="0" m="1" x="670"/>
        <item sd="0" m="1" x="5669"/>
        <item sd="0" m="1" x="3681"/>
        <item sd="0" m="1" x="1473"/>
        <item sd="0" m="1" x="7296"/>
        <item sd="0" m="1" x="5349"/>
        <item sd="0" m="1" x="3319"/>
        <item sd="0" m="1" x="5828"/>
        <item sd="0" m="1" x="3853"/>
        <item sd="0" m="1" x="1661"/>
        <item sd="0" m="1" x="7508"/>
        <item sd="0" m="1" x="5534"/>
        <item sd="0" m="1" x="3510"/>
        <item sd="0" m="1" x="6024"/>
        <item sd="0" m="1" x="4044"/>
        <item sd="0" m="1" x="4990"/>
        <item sd="0" m="1" x="2806"/>
        <item sd="0" m="1" x="782"/>
        <item sd="0" m="1" x="6594"/>
        <item sd="0" m="1" x="5175"/>
        <item sd="0" m="1" x="2963"/>
        <item sd="0" m="1" x="976"/>
        <item m="1" x="6777"/>
        <item m="1" x="5372"/>
        <item m="1" x="5887"/>
        <item sd="0" m="1" x="4856"/>
        <item sd="0" m="1" x="2856"/>
        <item sd="0" m="1" x="660"/>
        <item sd="0" m="1" x="6479"/>
        <item sd="0" m="1" x="4510"/>
        <item sd="0" m="1" x="2559"/>
        <item sd="0" m="1" x="5049"/>
        <item sd="0" m="1" x="3024"/>
        <item sd="0" m="1" x="840"/>
        <item sd="0" m="1" x="6641"/>
        <item sd="0" m="1" x="4696"/>
        <item sd="0" m="1" x="2716"/>
        <item sd="0" m="1" x="5250"/>
        <item sd="0" m="1" x="3203"/>
        <item sd="0" m="1" x="4181"/>
        <item sd="0" m="1" x="2024"/>
        <item sd="0" m="1" x="7864"/>
        <item sd="0" m="1" x="5818"/>
        <item sd="0" m="1" x="4341"/>
        <item sd="0" m="1" x="2186"/>
        <item sd="0" m="1" x="40"/>
        <item sd="0" m="1" x="6005"/>
        <item sd="0" m="1" x="4525"/>
        <item sd="0" m="1" x="3321"/>
        <item sd="0" m="1" x="1312"/>
        <item sd="0" m="1" x="7131"/>
        <item sd="0" m="1" x="3512"/>
        <item sd="0" m="1" x="1483"/>
        <item sd="0" m="1" x="7306"/>
        <item sd="0" m="1" x="6595"/>
        <item sd="0" m="1" x="4625"/>
        <item sd="0" m="1" x="2660"/>
        <item sd="0" m="1" x="603"/>
        <item sd="0" m="1" x="6778"/>
        <item sd="0" m="1" x="4800"/>
        <item sd="0" m="1" x="2816"/>
        <item sd="0" m="1" x="789"/>
        <item sd="0" m="1" x="6960"/>
        <item sd="0" m="1" x="5008"/>
        <item sd="0" m="1" x="7976"/>
        <item sd="0" m="1" x="5933"/>
        <item sd="0" m="1" x="3958"/>
        <item sd="0" m="1" x="1779"/>
        <item sd="0" m="1" x="7629"/>
        <item sd="0" m="1" x="186"/>
        <item sd="0" m="1" x="6120"/>
        <item sd="0" m="1" x="4130"/>
        <item sd="0" m="1" x="1976"/>
        <item m="1" x="7824"/>
        <item m="1" x="412"/>
        <item m="1" x="6302"/>
        <item m="1" x="4291"/>
        <item sd="0" m="1" x="7758"/>
        <item sd="0" m="1" x="5723"/>
        <item sd="0" m="1" x="3731"/>
        <item sd="0" m="1" x="1732"/>
        <item sd="0" m="1" x="7923"/>
        <item sd="0" m="1" x="5874"/>
        <item sd="0" m="1" x="3912"/>
        <item sd="0" m="1" x="1915"/>
        <item sd="0" m="1" x="7132"/>
        <item sd="0" m="1" x="5163"/>
        <item sd="0" m="1" x="3127"/>
        <item sd="0" m="1" x="1161"/>
        <item sd="0" m="1" x="969"/>
        <item sd="0" m="1" x="6767"/>
        <item sd="0" m="1" x="7308"/>
        <item sd="0" m="1" x="5363"/>
        <item sd="0" m="1" x="3340"/>
        <item sd="0" m="1" x="1324"/>
        <item sd="0" m="1" x="1167"/>
        <item sd="0" m="1" x="6950"/>
        <item sd="0" m="1" x="7525"/>
        <item sd="0" m="1" x="5551"/>
        <item sd="0" m="1" x="3533"/>
        <item sd="0" m="1" x="605"/>
        <item sd="0" m="1" x="6439"/>
        <item sd="0" m="1" x="4454"/>
        <item sd="0" m="1" x="2307"/>
        <item sd="0" m="1" x="178"/>
        <item sd="0" m="1" x="6115"/>
        <item sd="0" m="1" x="792"/>
        <item sd="0" m="1" x="6608"/>
        <item sd="0" m="1" x="4641"/>
        <item sd="0" m="1" x="2511"/>
        <item sd="0" m="1" x="404"/>
        <item sd="0" m="1" x="6295"/>
        <item sd="0" m="1" x="993"/>
        <item sd="0" m="1" x="6798"/>
        <item sd="0" m="1" x="4817"/>
        <item sd="0" m="1" x="7816"/>
        <item sd="0" m="1" x="5775"/>
        <item sd="0" m="1" x="3621"/>
        <item sd="0" m="1" x="1588"/>
        <item sd="0" m="1" x="7430"/>
        <item sd="0" m="1" x="7986"/>
        <item sd="0" m="1" x="5948"/>
        <item sd="0" m="1" x="3778"/>
        <item sd="0" m="1" x="1786"/>
        <item sd="0" m="1" x="7641"/>
        <item sd="0" m="1" x="207"/>
        <item sd="0" m="1" x="6134"/>
        <item sd="0" m="1" x="7080"/>
        <item sd="0" m="1" x="6897"/>
        <item sd="0" m="1" x="4926"/>
        <item sd="0" m="1" x="2905"/>
        <item sd="0" m="1" x="899"/>
        <item sd="0" m="1" x="7243"/>
        <item sd="0" m="1" x="7090"/>
        <item sd="0" m="1" x="5096"/>
        <item sd="0" m="1" x="3076"/>
        <item m="1" x="1112"/>
        <item m="1" x="7450"/>
        <item m="1" x="3574"/>
        <item sd="0" m="1" x="5043"/>
        <item sd="0" m="1" x="3016"/>
        <item sd="0" m="1" x="1036"/>
        <item sd="0" m="1" x="6834"/>
        <item sd="0" m="1" x="4688"/>
        <item sd="0" m="1" x="2710"/>
        <item sd="0" m="1" x="5236"/>
        <item sd="0" m="1" x="3188"/>
        <item sd="0" m="1" x="1218"/>
        <item sd="0" m="1" x="7017"/>
        <item sd="0" m="1" x="4866"/>
        <item sd="0" m="1" x="2862"/>
        <item sd="0" m="1" x="5426"/>
        <item sd="0" m="1" x="3397"/>
        <item sd="0" m="1" x="1386"/>
        <item sd="0" m="1" x="7191"/>
        <item sd="0" m="1" x="4335"/>
        <item sd="0" m="1" x="2375"/>
        <item sd="0" m="1" x="265"/>
        <item sd="0" m="1" x="33"/>
        <item sd="0" m="1" x="5996"/>
        <item sd="0" m="1" x="4022"/>
        <item sd="0" m="1" x="2023"/>
        <item sd="0" m="1" x="4518"/>
        <item sd="0" m="1" x="2570"/>
        <item sd="0" m="1" x="464"/>
        <item sd="0" m="1" x="276"/>
        <item sd="0" m="1" x="6180"/>
        <item sd="0" m="1" x="4187"/>
        <item sd="0" m="1" x="2185"/>
        <item sd="0" m="1" x="4707"/>
        <item sd="0" m="1" x="2728"/>
        <item sd="0" m="1" x="671"/>
        <item sd="0" m="1" x="3682"/>
        <item sd="0" m="1" x="1474"/>
        <item sd="0" m="1" x="7297"/>
        <item sd="0" m="1" x="5350"/>
        <item sd="0" m="1" x="3320"/>
        <item sd="0" m="1" x="3854"/>
        <item sd="0" m="1" x="1662"/>
        <item sd="0" m="1" x="7509"/>
        <item sd="0" m="1" x="5535"/>
        <item sd="0" m="1" x="3511"/>
        <item sd="0" m="1" x="4045"/>
        <item sd="0" m="1" x="609"/>
        <item sd="0" m="1" x="6440"/>
        <item sd="0" m="1" x="4456"/>
        <item sd="0" m="1" x="2308"/>
        <item sd="0" m="1" x="179"/>
        <item sd="0" m="1" x="794"/>
        <item sd="0" m="1" x="6609"/>
        <item sd="0" m="1" x="4643"/>
        <item sd="0" m="1" x="2513"/>
        <item sd="0" m="1" x="405"/>
        <item sd="0" m="1" x="997"/>
        <item sd="0" m="1" x="6804"/>
        <item sd="0" m="1" x="4822"/>
        <item sd="0" m="1" x="1967"/>
        <item sd="0" m="1" x="7817"/>
        <item sd="0" m="1" x="5776"/>
        <item sd="0" m="1" x="3622"/>
        <item sd="0" m="1" x="1589"/>
        <item sd="0" m="1" x="7432"/>
        <item sd="0" m="1" x="2124"/>
        <item sd="0" m="1" x="7989"/>
        <item sd="0" m="1" x="5951"/>
        <item m="1" x="3779"/>
        <item m="1" x="1787"/>
        <item m="1" x="7642"/>
        <item m="1" x="2327"/>
        <item m="1" x="215"/>
        <item m="1" x="6139"/>
        <item sd="0" m="1" x="1735"/>
        <item sd="0" m="1" x="7579"/>
        <item sd="0" m="1" x="5577"/>
        <item sd="0" m="1" x="1921"/>
        <item sd="0" m="1" x="7770"/>
        <item sd="0" m="1" x="5734"/>
        <item sd="0" m="1" x="2091"/>
        <item sd="0" m="1" x="5044"/>
        <item sd="0" m="1" x="3017"/>
        <item sd="0" m="1" x="1038"/>
        <item sd="0" m="1" x="6836"/>
        <item sd="0" m="1" x="4689"/>
        <item sd="0" m="1" x="5239"/>
        <item sd="0" m="1" x="3190"/>
        <item sd="0" m="1" x="1221"/>
        <item sd="0" m="1" x="7021"/>
        <item sd="0" m="1" x="4870"/>
        <item sd="0" m="1" x="5430"/>
        <item sd="0" m="1" x="3399"/>
        <item sd="0" m="1" x="1390"/>
        <item sd="0" m="1" x="6331"/>
        <item sd="0" m="1" x="4336"/>
        <item sd="0" m="1" x="2376"/>
        <item sd="0" m="1" x="266"/>
        <item sd="0" m="1" x="34"/>
        <item sd="0" m="1" x="5997"/>
        <item sd="0" m="1" x="4023"/>
        <item sd="0" m="1" x="6490"/>
        <item sd="0" m="1" x="4519"/>
        <item sd="0" m="1" x="2571"/>
        <item sd="0" m="1" x="465"/>
        <item sd="0" m="1" x="280"/>
        <item sd="0" m="1" x="6183"/>
        <item sd="0" m="1" x="4190"/>
        <item sd="0" m="1" x="6657"/>
        <item sd="0" m="1" x="4709"/>
        <item sd="0" m="1" x="2732"/>
        <item sd="0" m="1" x="674"/>
        <item sd="0" m="1" x="5670"/>
        <item sd="0" m="1" x="3683"/>
        <item sd="0" m="1" x="1475"/>
        <item sd="0" m="1" x="7298"/>
        <item sd="0" m="1" x="5353"/>
        <item sd="0" m="1" x="3324"/>
        <item sd="0" m="1" x="5830"/>
        <item sd="0" m="1" x="3857"/>
        <item sd="0" m="1" x="1664"/>
        <item sd="0" m="1" x="7511"/>
        <item sd="0" m="1" x="5537"/>
        <item sd="0" m="1" x="3514"/>
        <item sd="0" m="1" x="6029"/>
        <item sd="0" m="1" x="4050"/>
        <item sd="0" m="1" x="4991"/>
        <item sd="0" m="1" x="2807"/>
        <item sd="0" m="1" x="783"/>
        <item sd="0" m="1" x="6597"/>
        <item sd="0" m="1" x="5178"/>
        <item sd="0" m="1" x="2966"/>
        <item sd="0" m="1" x="979"/>
        <item m="1" x="6782"/>
        <item m="1" x="5375"/>
        <item m="1" x="5893"/>
        <item sd="0" m="1" x="7788"/>
        <item sd="0" m="1" x="4857"/>
        <item sd="0" m="1" x="2857"/>
        <item sd="0" m="1" x="661"/>
        <item sd="0" m="1" x="6480"/>
        <item sd="0" m="1" x="4511"/>
        <item sd="0" m="1" x="2560"/>
        <item sd="0" m="1" x="5051"/>
        <item sd="0" m="1" x="3026"/>
        <item sd="0" m="1" x="844"/>
        <item sd="0" m="1" x="6643"/>
        <item sd="0" m="1" x="4698"/>
        <item sd="0" m="1" x="2718"/>
        <item sd="0" m="1" x="5254"/>
        <item sd="0" m="1" x="3209"/>
        <item sd="0" m="1" x="4182"/>
        <item sd="0" m="1" x="2028"/>
        <item sd="0" m="1" x="7866"/>
        <item sd="0" m="1" x="5820"/>
        <item sd="0" m="1" x="4343"/>
        <item sd="0" m="1" x="2191"/>
        <item sd="0" m="1" x="43"/>
        <item sd="0" m="1" x="6008"/>
        <item sd="0" m="1" x="4528"/>
        <item sd="0" m="1" x="3326"/>
        <item sd="0" m="1" x="1315"/>
        <item sd="0" m="1" x="7134"/>
        <item sd="0" m="1" x="3516"/>
        <item sd="0" m="1" x="1485"/>
        <item sd="0" m="1" x="7309"/>
        <item sd="0" m="1" x="6599"/>
        <item sd="0" m="1" x="4628"/>
        <item sd="0" m="1" x="2663"/>
        <item sd="0" m="1" x="608"/>
        <item sd="0" m="1" x="6784"/>
        <item sd="0" m="1" x="4803"/>
        <item sd="0" m="1" x="2819"/>
        <item sd="0" m="1" x="793"/>
        <item sd="0" m="1" x="6968"/>
        <item sd="0" m="1" x="5013"/>
        <item sd="0" m="1" x="7977"/>
        <item sd="0" m="1" x="5935"/>
        <item sd="0" m="1" x="3961"/>
        <item sd="0" m="1" x="1780"/>
        <item sd="0" m="1" x="7630"/>
        <item sd="0" m="1" x="190"/>
        <item sd="0" m="1" x="6122"/>
        <item sd="0" m="1" x="4133"/>
        <item sd="0" m="1" x="1981"/>
        <item m="1" x="7826"/>
        <item m="1" x="416"/>
        <item m="1" x="6305"/>
        <item sd="0" m="1" x="7759"/>
        <item sd="0" m="1" x="5724"/>
        <item sd="0" m="1" x="3732"/>
        <item sd="0" m="1" x="1734"/>
        <item sd="0" m="1" x="7926"/>
        <item sd="0" m="1" x="5876"/>
        <item sd="0" m="1" x="3916"/>
        <item sd="0" m="1" x="1920"/>
        <item sd="0" m="1" x="7135"/>
        <item sd="0" m="1" x="5165"/>
        <item sd="0" m="1" x="3129"/>
        <item sd="0" m="1" x="1162"/>
        <item sd="0" m="1" x="970"/>
        <item sd="0" m="1" x="6768"/>
        <item sd="0" m="1" x="7310"/>
        <item sd="0" m="1" x="5364"/>
        <item sd="0" m="1" x="3341"/>
        <item sd="0" m="1" x="1325"/>
        <item sd="0" m="1" x="1169"/>
        <item sd="0" m="1" x="6951"/>
        <item sd="0" m="1" x="7529"/>
        <item sd="0" m="1" x="5554"/>
        <item sd="0" m="1" x="3537"/>
        <item sd="0" m="1" x="610"/>
        <item sd="0" m="1" x="6441"/>
        <item sd="0" m="1" x="4457"/>
        <item sd="0" m="1" x="2309"/>
        <item sd="0" m="1" x="180"/>
        <item sd="0" m="1" x="6116"/>
        <item sd="0" m="1" x="795"/>
        <item sd="0" m="1" x="6610"/>
        <item sd="0" m="1" x="4644"/>
        <item sd="0" m="1" x="2514"/>
        <item sd="0" m="1" x="406"/>
        <item sd="0" m="1" x="6297"/>
        <item sd="0" m="1" x="998"/>
        <item sd="0" m="1" x="6805"/>
        <item sd="0" m="1" x="4823"/>
        <item sd="0" m="1" x="7818"/>
        <item sd="0" m="1" x="5777"/>
        <item sd="0" m="1" x="3623"/>
        <item sd="0" m="1" x="1590"/>
        <item sd="0" m="1" x="7433"/>
        <item sd="0" m="1" x="7990"/>
        <item sd="0" m="1" x="5952"/>
        <item sd="0" m="1" x="3780"/>
        <item sd="0" m="1" x="1788"/>
        <item sd="0" m="1" x="7643"/>
        <item sd="0" m="1" x="216"/>
        <item sd="0" m="1" x="6140"/>
        <item sd="0" m="1" x="7081"/>
        <item sd="0" m="1" x="6899"/>
        <item sd="0" m="1" x="4928"/>
        <item sd="0" m="1" x="2906"/>
        <item sd="0" m="1" x="902"/>
        <item sd="0" m="1" x="7246"/>
        <item sd="0" m="1" x="7093"/>
        <item sd="0" m="1" x="5098"/>
        <item sd="0" m="1" x="3078"/>
        <item m="1" x="1114"/>
        <item m="1" x="7455"/>
        <item m="1" x="3577"/>
        <item sd="0" m="1" x="5045"/>
        <item sd="0" m="1" x="3018"/>
        <item sd="0" m="1" x="1039"/>
        <item sd="0" m="1" x="6837"/>
        <item sd="0" m="1" x="4690"/>
        <item sd="0" m="1" x="2711"/>
        <item sd="0" m="1" x="5240"/>
        <item sd="0" m="1" x="3191"/>
        <item sd="0" m="1" x="1222"/>
        <item sd="0" m="1" x="7022"/>
        <item sd="0" m="1" x="4871"/>
        <item sd="0" m="1" x="2866"/>
        <item sd="0" m="1" x="5431"/>
        <item sd="0" m="1" x="3400"/>
        <item sd="0" m="1" x="1391"/>
        <item sd="0" m="1" x="7196"/>
        <item sd="0" m="1" x="4337"/>
        <item sd="0" m="1" x="2377"/>
        <item sd="0" m="1" x="267"/>
        <item sd="0" m="1" x="35"/>
        <item sd="0" m="1" x="5998"/>
        <item sd="0" m="1" x="4024"/>
        <item sd="0" m="1" x="2027"/>
        <item sd="0" m="1" x="4520"/>
        <item sd="0" m="1" x="2572"/>
        <item sd="0" m="1" x="466"/>
        <item sd="0" m="1" x="281"/>
        <item sd="0" m="1" x="6184"/>
        <item sd="0" m="1" x="4191"/>
        <item sd="0" m="1" x="2190"/>
        <item sd="0" m="1" x="4710"/>
        <item sd="0" m="1" x="2733"/>
        <item sd="0" m="1" x="675"/>
        <item sd="0" m="1" x="3684"/>
        <item sd="0" m="1" x="1476"/>
        <item sd="0" m="1" x="7299"/>
        <item sd="0" m="1" x="5354"/>
        <item sd="0" m="1" x="3325"/>
        <item sd="0" m="1" x="3858"/>
        <item sd="0" m="1" x="1665"/>
        <item sd="0" m="1" x="7512"/>
        <item sd="0" m="1" x="5538"/>
        <item sd="0" m="1" x="3515"/>
        <item sd="0" m="1" x="4051"/>
        <item sd="0" m="1" x="2808"/>
        <item sd="0" m="1" x="784"/>
        <item sd="0" m="1" x="6598"/>
        <item sd="0" m="1" x="2967"/>
        <item sd="0" m="1" x="980"/>
        <item sd="0" m="1" x="6783"/>
        <item sd="0" m="1" x="2251"/>
        <item sd="0" m="1" x="101"/>
        <item sd="0" m="1" x="6057"/>
        <item sd="0" m="1" x="3904"/>
        <item sd="0" m="1" x="1908"/>
        <item sd="0" m="1" x="2454"/>
        <item sd="0" m="1" x="359"/>
        <item sd="0" m="1" x="6251"/>
        <item m="1" x="4082"/>
        <item m="1" x="2080"/>
        <item m="1" x="2627"/>
        <item m="1" x="571"/>
        <item m="1" x="6408"/>
        <item sd="0" m="1" x="1969"/>
        <item sd="0" m="1" x="7819"/>
        <item sd="0" m="1" x="5778"/>
        <item sd="0" m="1" x="3626"/>
        <item sd="0" m="1" x="1592"/>
        <item sd="0" m="1" x="7435"/>
        <item sd="0" m="1" x="2126"/>
        <item sd="0" m="1" x="7993"/>
        <item sd="0" m="1" x="5956"/>
        <item sd="0" m="1" x="3784"/>
        <item sd="0" m="1" x="1791"/>
        <item sd="0" m="1" x="7646"/>
        <item sd="0" m="1" x="2332"/>
        <item sd="0" m="1" x="224"/>
        <item sd="0" m="1" x="6146"/>
        <item sd="0" m="1" x="1265"/>
        <item sd="0" m="1" x="7082"/>
        <item sd="0" m="1" x="6902"/>
        <item sd="0" m="1" x="4930"/>
        <item sd="0" m="1" x="2907"/>
        <item sd="0" m="1" x="904"/>
        <item sd="0" m="1" x="1432"/>
        <item sd="0" m="1" x="7249"/>
        <item sd="0" m="1" x="7098"/>
        <item sd="0" m="1" x="5100"/>
        <item sd="0" m="1" x="3080"/>
        <item sd="0" m="1" x="1116"/>
        <item sd="0" m="1" x="1614"/>
        <item sd="0" m="1" x="7460"/>
        <item sd="0" m="1" x="348"/>
        <item sd="0" m="1" x="6239"/>
        <item sd="0" m="1" x="4227"/>
        <item sd="0" m="1" x="2253"/>
        <item sd="0" m="1" x="550"/>
        <item sd="0" m="1" x="6392"/>
        <item sd="0" m="1" x="4403"/>
        <item sd="0" m="1" x="2456"/>
        <item sd="0" m="1" x="1739"/>
        <item sd="0" m="1" x="7582"/>
        <item sd="0" m="1" x="5580"/>
        <item sd="0" m="1" x="1925"/>
        <item sd="0" m="1" x="7774"/>
        <item sd="0" m="1" x="5739"/>
        <item sd="0" m="1" x="2095"/>
        <item sd="0" m="1" x="5046"/>
        <item sd="0" m="1" x="3019"/>
        <item sd="0" m="1" x="1042"/>
        <item sd="0" m="1" x="6840"/>
        <item sd="0" m="1" x="4692"/>
        <item sd="0" m="1" x="5242"/>
        <item sd="0" m="1" x="3192"/>
        <item sd="0" m="1" x="1225"/>
        <item sd="0" m="1" x="7026"/>
        <item m="1" x="4876"/>
        <item sd="0" m="1" x="5433"/>
        <item m="1" x="3401"/>
        <item m="1" x="1397"/>
        <item sd="0" m="1" x="4992"/>
        <item sd="0" m="1" x="2809"/>
        <item sd="0" m="1" x="785"/>
        <item sd="0" m="1" x="6601"/>
        <item sd="0" m="1" x="5181"/>
        <item sd="0" m="1" x="2969"/>
        <item sd="0" m="1" x="983"/>
        <item sd="0" m="1" x="6787"/>
        <item sd="0" m="1" x="5378"/>
        <item sd="0" m="1" x="2255"/>
        <item sd="0" m="1" x="104"/>
        <item sd="0" m="1" x="6060"/>
        <item sd="0" m="1" x="3905"/>
        <item sd="0" m="1" x="2458"/>
        <item sd="0" m="1" x="361"/>
        <item sd="0" m="1" x="6255"/>
        <item sd="0" m="1" x="4085"/>
        <item sd="0" m="1" x="2630"/>
        <item sd="0" m="1" x="575"/>
        <item sd="0" m="1" x="5582"/>
        <item sd="0" m="1" x="3570"/>
        <item sd="0" m="1" x="1537"/>
        <item sd="0" m="1" x="7366"/>
        <item sd="0" m="1" x="5229"/>
        <item sd="0" m="1" x="3182"/>
        <item sd="0" m="1" x="5741"/>
        <item sd="0" m="1" x="3738"/>
        <item sd="0" m="1" x="1750"/>
        <item sd="0" m="1" x="7595"/>
        <item sd="0" m="1" x="5418"/>
        <item sd="0" m="1" x="3391"/>
        <item sd="0" m="1" x="5900"/>
        <item sd="0" m="1" x="3934"/>
        <item sd="0" m="1" x="1947"/>
        <item sd="0" m="1" x="7794"/>
        <item sd="0" m="1" x="4860"/>
        <item sd="0" m="1" x="2858"/>
        <item sd="0" m="1" x="664"/>
        <item sd="0" m="1" x="6484"/>
        <item sd="0" m="1" x="4514"/>
        <item sd="0" m="1" x="2565"/>
        <item sd="0" m="1" x="5053"/>
        <item sd="0" m="1" x="3030"/>
        <item sd="0" m="1" x="849"/>
        <item sd="0" m="1" x="6648"/>
        <item sd="0" m="1" x="4702"/>
        <item sd="0" m="1" x="2722"/>
        <item sd="0" m="1" x="5259"/>
        <item sd="0" m="1" x="3216"/>
        <item sd="0" m="1" x="4183"/>
        <item sd="0" m="1" x="2035"/>
        <item sd="0" m="1" x="7870"/>
        <item sd="0" m="1" x="5824"/>
        <item sd="0" m="1" x="4346"/>
        <item sd="0" m="1" x="2200"/>
        <item sd="0" m="1" x="49"/>
        <item m="1" x="6014"/>
        <item m="1" x="4532"/>
        <item m="1" x="6973"/>
        <item sd="0" m="1" x="7978"/>
        <item sd="0" m="1" x="5937"/>
        <item sd="0" m="1" x="3964"/>
        <item sd="0" m="1" x="1781"/>
        <item sd="0" m="1" x="7632"/>
        <item sd="0" m="1" x="193"/>
        <item sd="0" m="1" x="6123"/>
        <item sd="0" m="1" x="4136"/>
        <item sd="0" m="1" x="1985"/>
        <item sd="0" m="1" x="7830"/>
        <item sd="0" m="1" x="419"/>
        <item sd="0" m="1" x="6307"/>
        <item sd="0" m="1" x="4302"/>
        <item sd="0" m="1" x="1424"/>
        <item sd="0" m="1" x="7237"/>
        <item sd="0" m="1" x="5285"/>
        <item sd="0" m="1" x="3067"/>
        <item sd="0" m="1" x="1103"/>
        <item sd="0" m="1" x="6901"/>
        <item sd="0" m="1" x="1598"/>
        <item sd="0" m="1" x="7442"/>
        <item sd="0" m="1" x="5469"/>
        <item sd="0" m="1" x="3255"/>
        <item sd="0" m="1" x="1270"/>
        <item sd="0" m="1" x="7097"/>
        <item sd="0" m="1" x="1802"/>
        <item sd="0" m="1" x="7658"/>
        <item sd="0" m="1" x="5629"/>
        <item sd="0" m="1" x="726"/>
        <item sd="0" m="1" x="6539"/>
        <item sd="0" m="1" x="4392"/>
        <item sd="0" m="1" x="2445"/>
        <item sd="0" m="1" x="347"/>
        <item sd="0" m="1" x="920"/>
        <item sd="0" m="1" x="6712"/>
        <item sd="0" m="1" x="4565"/>
        <item sd="0" m="1" x="2613"/>
        <item sd="0" m="1" x="549"/>
        <item sd="0" m="1" x="1137"/>
        <item sd="0" m="1" x="6920"/>
        <item sd="0" m="1" x="7760"/>
        <item sd="0" m="1" x="5725"/>
        <item sd="0" m="1" x="3733"/>
        <item sd="0" m="1" x="1737"/>
        <item sd="0" m="1" x="7928"/>
        <item sd="0" m="1" x="5878"/>
        <item sd="0" m="1" x="3918"/>
        <item sd="0" m="1" x="1923"/>
        <item sd="0" m="1" x="7139"/>
        <item sd="0" m="1" x="5170"/>
        <item sd="0" m="1" x="3133"/>
        <item sd="0" m="1" x="1165"/>
        <item sd="0" m="1" x="971"/>
        <item sd="0" m="1" x="6771"/>
        <item sd="0" m="1" x="7314"/>
        <item sd="0" m="1" x="5368"/>
        <item sd="0" m="1" x="3345"/>
        <item sd="0" m="1" x="1328"/>
        <item sd="0" m="1" x="1172"/>
        <item m="1" x="6954"/>
        <item sd="0" m="1" x="7535"/>
        <item m="1" x="5559"/>
        <item m="1" x="3545"/>
        <item sd="0" m="1" x="7083"/>
        <item sd="0" m="1" x="6903"/>
        <item sd="0" m="1" x="4931"/>
        <item sd="0" m="1" x="2908"/>
        <item sd="0" m="1" x="905"/>
        <item sd="0" m="1" x="7250"/>
        <item sd="0" m="1" x="7099"/>
        <item sd="0" m="1" x="5101"/>
        <item sd="0" m="1" x="3081"/>
        <item sd="0" m="1" x="1117"/>
        <item sd="0" m="1" x="7461"/>
        <item sd="0" m="1" x="349"/>
        <item sd="0" m="1" x="6240"/>
        <item sd="0" m="1" x="4228"/>
        <item sd="0" m="1" x="2254"/>
        <item sd="0" m="1" x="551"/>
        <item sd="0" m="1" x="6393"/>
        <item sd="0" m="1" x="4404"/>
        <item sd="0" m="1" x="2457"/>
        <item sd="0" m="1" x="747"/>
        <item sd="0" m="1" x="1740"/>
        <item sd="0" m="1" x="7583"/>
        <item sd="0" m="1" x="5581"/>
        <item sd="0" m="1" x="3384"/>
        <item sd="0" m="1" x="1926"/>
        <item sd="0" m="1" x="7775"/>
        <item sd="0" m="1" x="5740"/>
        <item sd="0" m="1" x="3581"/>
        <item sd="0" m="1" x="2096"/>
        <item sd="0" m="1" x="7946"/>
        <item sd="0" m="1" x="5047"/>
        <item sd="0" m="1" x="3020"/>
        <item sd="0" m="1" x="1043"/>
        <item sd="0" m="1" x="6841"/>
        <item sd="0" m="1" x="4693"/>
        <item sd="0" m="1" x="2713"/>
        <item sd="0" m="1" x="5243"/>
        <item sd="0" m="1" x="3193"/>
        <item sd="0" m="1" x="1226"/>
        <item sd="0" m="1" x="7027"/>
        <item sd="0" m="1" x="4877"/>
        <item sd="0" m="1" x="2871"/>
        <item sd="0" m="1" x="5434"/>
        <item sd="0" m="1" x="3402"/>
        <item sd="0" m="1" x="1398"/>
        <item sd="0" m="1" x="7203"/>
        <item sd="0" m="1" x="4338"/>
        <item sd="0" m="1" x="2378"/>
        <item sd="0" m="1" x="269"/>
        <item sd="0" m="1" x="36"/>
        <item sd="0" m="1" x="6000"/>
        <item sd="0" m="1" x="4026"/>
        <item sd="0" m="1" x="2032"/>
        <item sd="0" m="1" x="4521"/>
        <item sd="0" m="1" x="2573"/>
        <item sd="0" m="1" x="468"/>
        <item sd="0" m="1" x="284"/>
        <item m="1" x="6188"/>
        <item m="1" x="4195"/>
        <item m="1" x="2197"/>
        <item m="1" x="4711"/>
        <item m="1" x="2736"/>
        <item m="1" x="680"/>
        <item sd="0" m="1" x="2256"/>
        <item sd="0" m="1" x="105"/>
        <item sd="0" m="1" x="6061"/>
        <item sd="0" m="1" x="3906"/>
        <item sd="0" m="1" x="1909"/>
        <item sd="0" m="1" x="2459"/>
        <item sd="0" m="1" x="362"/>
        <item sd="0" m="1" x="6256"/>
        <item sd="0" m="1" x="4086"/>
        <item sd="0" m="1" x="2081"/>
        <item sd="0" m="1" x="2631"/>
        <item sd="0" m="1" x="576"/>
        <item sd="0" m="1" x="6414"/>
        <item sd="0" m="1" x="618"/>
        <item sd="0" m="1" x="6443"/>
        <item sd="0" m="1" x="4461"/>
        <item sd="0" m="1" x="2312"/>
        <item sd="0" m="1" x="184"/>
        <item sd="0" m="1" x="802"/>
        <item sd="0" m="1" x="6612"/>
        <item sd="0" m="1" x="4652"/>
        <item sd="0" m="1" x="2519"/>
        <item sd="0" m="1" x="410"/>
        <item sd="0" m="1" x="1007"/>
        <item sd="0" m="1" x="6812"/>
        <item sd="0" m="1" x="4834"/>
        <item sd="0" m="1" x="1975"/>
        <item sd="0" m="1" x="7822"/>
        <item sd="0" m="1" x="5780"/>
        <item sd="0" m="1" x="3630"/>
        <item sd="0" m="1" x="1595"/>
        <item sd="0" m="1" x="7439"/>
        <item sd="0" m="1" x="2131"/>
        <item sd="0" m="1" x="7995"/>
        <item sd="0" m="1" x="5959"/>
        <item sd="0" m="1" x="3791"/>
        <item sd="0" m="1" x="1795"/>
        <item sd="0" m="1" x="7651"/>
        <item sd="0" m="1" x="2338"/>
        <item sd="0" m="1" x="230"/>
        <item sd="0" m="1" x="6150"/>
        <item sd="0" m="1" x="1267"/>
        <item sd="0" m="1" x="7087"/>
        <item sd="0" m="1" x="6908"/>
        <item sd="0" m="1" x="4937"/>
        <item sd="0" m="1" x="2910"/>
        <item sd="0" m="1" x="911"/>
        <item sd="0" m="1" x="1434"/>
        <item sd="0" m="1" x="7252"/>
        <item sd="0" m="1" x="7107"/>
        <item sd="0" m="1" x="5110"/>
        <item sd="0" m="1" x="3086"/>
        <item sd="0" m="1" x="1124"/>
        <item sd="0" m="1" x="1620"/>
        <item sd="0" m="1" x="7466"/>
        <item sd="0" m="1" x="356"/>
        <item sd="0" m="1" x="6247"/>
        <item sd="0" m="1" x="4231"/>
        <item sd="0" m="1" x="2259"/>
        <item sd="0" m="1" x="560"/>
        <item sd="0" m="1" x="6399"/>
        <item sd="0" m="1" x="4408"/>
        <item m="1" x="2462"/>
        <item m="1" x="5436"/>
        <item sd="0" m="1" x="6334"/>
        <item sd="0" m="1" x="4340"/>
        <item sd="0" m="1" x="2380"/>
        <item sd="0" m="1" x="272"/>
        <item sd="0" m="1" x="37"/>
        <item sd="0" m="1" x="6001"/>
        <item sd="0" m="1" x="4027"/>
        <item sd="0" m="1" x="6492"/>
        <item sd="0" m="1" x="4523"/>
        <item sd="0" m="1" x="2575"/>
        <item sd="0" m="1" x="471"/>
        <item sd="0" m="1" x="288"/>
        <item sd="0" m="1" x="6191"/>
        <item sd="0" m="1" x="4198"/>
        <item sd="0" m="1" x="6660"/>
        <item sd="0" m="1" x="4712"/>
        <item sd="0" m="1" x="2738"/>
        <item sd="0" m="1" x="684"/>
        <item sd="0" m="1" x="5672"/>
        <item sd="0" m="1" x="3686"/>
        <item sd="0" m="1" x="1478"/>
        <item sd="0" m="1" x="7301"/>
        <item sd="0" m="1" x="5359"/>
        <item sd="0" m="1" x="3333"/>
        <item sd="0" m="1" x="5832"/>
        <item sd="0" m="1" x="3864"/>
        <item sd="0" m="1" x="1670"/>
        <item sd="0" m="1" x="7516"/>
        <item sd="0" m="1" x="5543"/>
        <item sd="0" m="1" x="3522"/>
        <item sd="0" m="1" x="6035"/>
        <item sd="0" m="1" x="4056"/>
        <item sd="0" m="1" x="4995"/>
        <item sd="0" m="1" x="2813"/>
        <item sd="0" m="1" x="787"/>
        <item sd="0" m="1" x="6603"/>
        <item sd="0" m="1" x="5185"/>
        <item sd="0" m="1" x="2974"/>
        <item sd="0" m="1" x="987"/>
        <item sd="0" m="1" x="6791"/>
        <item sd="0" m="1" x="5381"/>
        <item sd="0" m="1" x="2262"/>
        <item sd="0" m="1" x="110"/>
        <item sd="0" m="1" x="6066"/>
        <item sd="0" m="1" x="3911"/>
        <item sd="0" m="1" x="2465"/>
        <item sd="0" m="1" x="365"/>
        <item sd="0" m="1" x="6260"/>
        <item sd="0" m="1" x="4091"/>
        <item sd="0" m="1" x="2636"/>
        <item sd="0" m="1" x="583"/>
        <item sd="0" m="1" x="5585"/>
        <item sd="0" m="1" x="3573"/>
        <item sd="0" m="1" x="1539"/>
        <item sd="0" m="1" x="7371"/>
        <item sd="0" m="1" x="5234"/>
        <item sd="0" m="1" x="3186"/>
        <item sd="0" m="1" x="5744"/>
        <item sd="0" m="1" x="3741"/>
        <item sd="0" m="1" x="1754"/>
        <item sd="0" m="1" x="7601"/>
        <item m="1" x="5424"/>
        <item m="1" x="3395"/>
        <item sd="0" m="1" x="5905"/>
        <item m="1" x="3939"/>
        <item m="1" x="1953"/>
        <item m="1" x="7802"/>
        <item sd="0" m="1" x="3336"/>
        <item sd="0" m="1" x="1321"/>
        <item sd="0" m="1" x="7141"/>
        <item sd="0" m="1" x="3525"/>
        <item sd="0" m="1" x="1490"/>
        <item sd="0" m="1" x="7316"/>
        <item sd="0" m="1" x="6605"/>
        <item sd="0" m="1" x="4636"/>
        <item sd="0" m="1" x="2670"/>
        <item sd="0" m="1" x="616"/>
        <item sd="0" m="1" x="6793"/>
        <item sd="0" m="1" x="4810"/>
        <item sd="0" m="1" x="2825"/>
        <item sd="0" m="1" x="800"/>
        <item sd="0" m="1" x="6977"/>
        <item sd="0" m="1" x="5020"/>
        <item sd="0" m="1" x="7982"/>
        <item sd="0" m="1" x="5943"/>
        <item sd="0" m="1" x="3970"/>
        <item sd="0" m="1" x="1784"/>
        <item sd="0" m="1" x="7637"/>
        <item sd="0" m="1" x="200"/>
        <item sd="0" m="1" x="6128"/>
        <item sd="0" m="1" x="4141"/>
        <item sd="0" m="1" x="1991"/>
        <item sd="0" m="1" x="7837"/>
        <item sd="0" m="1" x="423"/>
        <item sd="0" m="1" x="6310"/>
        <item sd="0" m="1" x="4308"/>
        <item sd="0" m="1" x="1426"/>
        <item sd="0" m="1" x="7240"/>
        <item sd="0" m="1" x="5288"/>
        <item sd="0" m="1" x="3072"/>
        <item sd="0" m="1" x="1108"/>
        <item sd="0" m="1" x="6907"/>
        <item sd="0" m="1" x="1600"/>
        <item sd="0" m="1" x="7445"/>
        <item sd="0" m="1" x="5472"/>
        <item sd="0" m="1" x="3263"/>
        <item sd="0" m="1" x="1276"/>
        <item sd="0" m="1" x="7106"/>
        <item sd="0" m="1" x="1803"/>
        <item sd="0" m="1" x="7660"/>
        <item sd="0" m="1" x="5635"/>
        <item sd="0" m="1" x="728"/>
        <item sd="0" m="1" x="6541"/>
        <item sd="0" m="1" x="4397"/>
        <item sd="0" m="1" x="2450"/>
        <item sd="0" m="1" x="353"/>
        <item sd="0" m="1" x="923"/>
        <item sd="0" m="1" x="6717"/>
        <item sd="0" m="1" x="4570"/>
        <item m="1" x="2618"/>
        <item m="1" x="557"/>
        <item m="1" x="1139"/>
        <item m="1" x="6924"/>
        <item m="1" x="1175"/>
        <item sd="0" m="1" x="619"/>
        <item sd="0" m="1" x="6444"/>
        <item sd="0" m="1" x="4462"/>
        <item sd="0" m="1" x="2313"/>
        <item sd="0" m="1" x="185"/>
        <item sd="0" m="1" x="6119"/>
        <item sd="0" m="1" x="803"/>
        <item sd="0" m="1" x="6613"/>
        <item sd="0" m="1" x="4653"/>
        <item sd="0" m="1" x="2520"/>
        <item sd="0" m="1" x="411"/>
        <item sd="0" m="1" x="6301"/>
        <item sd="0" m="1" x="1008"/>
        <item sd="0" m="1" x="6813"/>
        <item sd="0" m="1" x="4835"/>
        <item sd="0" m="1" x="7823"/>
        <item sd="0" m="1" x="5781"/>
        <item sd="0" m="1" x="3631"/>
        <item sd="0" m="1" x="1596"/>
        <item sd="0" m="1" x="7440"/>
        <item sd="0" m="1" x="7996"/>
        <item sd="0" m="1" x="5960"/>
        <item sd="0" m="1" x="3792"/>
        <item sd="0" m="1" x="1796"/>
        <item sd="0" m="1" x="7652"/>
        <item sd="0" m="1" x="231"/>
        <item sd="0" m="1" x="6151"/>
        <item sd="0" m="1" x="7088"/>
        <item sd="0" m="1" x="6909"/>
        <item sd="0" m="1" x="4938"/>
        <item sd="0" m="1" x="2911"/>
        <item sd="0" m="1" x="912"/>
        <item sd="0" m="1" x="7253"/>
        <item sd="0" m="1" x="7108"/>
        <item sd="0" m="1" x="5111"/>
        <item sd="0" m="1" x="3087"/>
        <item sd="0" m="1" x="1125"/>
        <item sd="0" m="1" x="7467"/>
        <item sd="0" m="1" x="357"/>
        <item sd="0" m="1" x="6248"/>
        <item sd="0" m="1" x="4232"/>
        <item sd="0" m="1" x="2260"/>
        <item sd="0" m="1" x="561"/>
        <item sd="0" m="1" x="6400"/>
        <item sd="0" m="1" x="4409"/>
        <item sd="0" m="1" x="2463"/>
        <item sd="0" m="1" x="753"/>
        <item sd="0" m="1" x="1745"/>
        <item sd="0" m="1" x="7588"/>
        <item sd="0" m="1" x="5584"/>
        <item sd="0" m="1" x="3387"/>
        <item sd="0" m="1" x="1933"/>
        <item sd="0" m="1" x="7780"/>
        <item sd="0" m="1" x="5743"/>
        <item sd="0" m="1" x="3585"/>
        <item m="1" x="2100"/>
        <item m="1" x="7951"/>
        <item sd="0" m="1" x="3687"/>
        <item sd="0" m="1" x="1479"/>
        <item sd="0" m="1" x="7302"/>
        <item sd="0" m="1" x="5360"/>
        <item sd="0" m="1" x="3334"/>
        <item sd="0" m="1" x="3865"/>
        <item sd="0" m="1" x="1671"/>
        <item sd="0" m="1" x="7517"/>
        <item sd="0" m="1" x="5544"/>
        <item sd="0" m="1" x="3523"/>
        <item sd="0" m="1" x="4057"/>
        <item sd="0" m="1" x="2814"/>
        <item sd="0" m="1" x="788"/>
        <item sd="0" m="1" x="6604"/>
        <item sd="0" m="1" x="2975"/>
        <item sd="0" m="1" x="988"/>
        <item sd="0" m="1" x="6792"/>
        <item sd="0" m="1" x="3388"/>
        <item sd="0" m="1" x="3591"/>
        <item sd="0" m="1" x="5050"/>
        <item m="1" x="1047"/>
        <item m="1" x="6847"/>
        <item m="1" x="4867"/>
        <item m="1" x="2863"/>
        <item m="1" x="841"/>
        <item m="1" x="6642"/>
        <item m="1" x="4697"/>
        <item m="1" x="2717"/>
        <item sd="0" m="1" x="5251"/>
        <item m="1" x="3204"/>
        <item m="1" x="1233"/>
        <item m="1" x="7038"/>
        <item m="1" x="5058"/>
        <item m="1" x="3037"/>
        <item m="1" x="1060"/>
        <item m="1" x="6862"/>
        <item m="1" x="4887"/>
        <item m="1" x="2878"/>
        <item sd="0" m="1" x="5441"/>
        <item m="1" x="3409"/>
        <item m="1" x="1406"/>
        <item m="1" x="7213"/>
        <item m="1" x="4342"/>
        <item m="1" x="2381"/>
        <item m="1" x="278"/>
        <item m="1" x="6181"/>
        <item m="1" x="4188"/>
        <item m="1" x="2187"/>
        <item sd="0" m="1" x="41"/>
        <item m="1" x="6006"/>
        <item m="1" x="4029"/>
        <item m="1" x="2039"/>
        <item m="1" x="4526"/>
        <item m="1" x="2577"/>
        <item m="1" x="477"/>
        <item m="1" x="6340"/>
        <item m="1" x="4353"/>
        <item m="1" x="2391"/>
        <item sd="0" m="1" x="296"/>
        <item m="1" x="6200"/>
        <item m="1" x="4203"/>
        <item m="1" x="2213"/>
        <item m="1" x="4714"/>
        <item m="1" x="2741"/>
        <item m="1" x="691"/>
        <item m="1" x="6510"/>
        <item m="1" x="3688"/>
        <item m="1" x="1663"/>
        <item m="1" x="7510"/>
        <item m="1" x="5536"/>
        <item m="1" x="3513"/>
        <item sd="0" m="1" x="1484"/>
        <item m="1" x="7307"/>
        <item m="1" x="5362"/>
        <item m="1" x="3338"/>
        <item m="1" x="1322"/>
        <item m="1" x="3870"/>
        <item m="1" x="1854"/>
        <item m="1" x="7704"/>
        <item m="1" x="5685"/>
        <item m="1" x="3697"/>
        <item sd="0" m="1" x="1679"/>
        <item m="1" x="7524"/>
        <item m="1" x="5550"/>
        <item m="1" x="3531"/>
        <item m="1" x="1495"/>
        <item m="1" x="4062"/>
        <item m="1" x="2054"/>
        <item m="1" x="7890"/>
        <item m="1" x="5842"/>
        <item m="1" x="2964"/>
        <item m="1" x="977"/>
        <item m="1" x="6779"/>
        <item m="1" x="4801"/>
        <item m="1" x="2817"/>
        <item m="1" x="790"/>
        <item m="1" x="6606"/>
        <item m="1" x="4637"/>
        <item m="1" x="2671"/>
        <item m="1" x="620"/>
        <item m="1" x="3148"/>
        <item m="1" x="1179"/>
        <item m="1" x="6961"/>
        <item m="1" x="5009"/>
        <item m="1" x="2978"/>
        <item m="1" x="991"/>
        <item m="1" x="6796"/>
        <item m="1" x="4812"/>
        <item m="1" x="2827"/>
        <item m="1" x="805"/>
        <item m="1" x="3363"/>
        <item m="1" x="1344"/>
        <item m="1" x="7152"/>
        <item m="1" x="5211"/>
        <item m="1" x="1984"/>
        <item m="1" x="7828"/>
        <item m="1" x="5784"/>
        <item m="1" x="3781"/>
        <item m="1" x="1789"/>
        <item m="1" x="7644"/>
        <item m="1" x="5620"/>
        <item m="1" x="7143"/>
        <item m="1" x="5180"/>
        <item m="1" x="3139"/>
        <item m="1" x="1171"/>
        <item m="1" x="982"/>
        <item m="1" x="6786"/>
        <item m="1" x="7327"/>
        <item m="1" x="5377"/>
        <item m="1" x="3352"/>
        <item m="1" x="1336"/>
        <item m="1" x="1185"/>
        <item m="1" x="6970"/>
        <item m="1" x="7552"/>
        <item m="1" x="5567"/>
        <item m="1" x="3558"/>
        <item m="1" x="7095"/>
        <item sd="0" m="1" x="6912"/>
        <item m="1" x="4944"/>
        <item m="1" x="2913"/>
        <item m="1" x="918"/>
        <item m="1" x="7264"/>
        <item sd="0" m="1" x="7115"/>
        <item m="1" x="5123"/>
        <item m="1" x="3093"/>
        <item m="1" x="1133"/>
        <item m="1" x="7478"/>
        <item m="1" x="2455"/>
        <item sd="0" m="1" x="360"/>
        <item m="1" x="6252"/>
        <item m="1" x="4234"/>
        <item m="1" x="2267"/>
        <item m="1" x="115"/>
        <item m="1" x="6070"/>
        <item m="1" x="4083"/>
        <item m="1" x="6558"/>
        <item m="1" x="4580"/>
        <item m="1" x="2628"/>
        <item sd="0" m="1" x="572"/>
        <item m="1" x="6409"/>
        <item m="1" x="4417"/>
        <item m="1" x="2473"/>
        <item m="1" x="370"/>
        <item m="1" x="6265"/>
        <item m="1" x="4245"/>
        <item m="1" x="6744"/>
        <item m="1" x="4766"/>
        <item m="1" x="2790"/>
        <item m="1" x="764"/>
        <item m="1" x="5735"/>
        <item m="1" x="3736"/>
        <item m="1" x="1748"/>
        <item m="1" x="7591"/>
        <item m="1" x="5586"/>
        <item m="1" x="3578"/>
        <item m="1" x="1542"/>
        <item m="1" x="7375"/>
        <item m="1" x="5416"/>
        <item sd="0" m="1" x="3389"/>
        <item m="1" x="5894"/>
        <item m="1" x="3930"/>
        <item m="1" x="1943"/>
        <item m="1" x="7789"/>
        <item m="1" x="5750"/>
        <item m="1" x="3744"/>
        <item m="1" x="1758"/>
        <item m="1" x="7608"/>
        <item m="1" x="5594"/>
        <item sd="0" m="1" x="3598"/>
        <item m="1" x="6093"/>
        <item m="1" x="4111"/>
        <item m="1" x="2108"/>
        <item m="1" x="7960"/>
        <item sd="0" m="1" x="5052"/>
        <item m="1" x="3027"/>
        <item m="1" x="1049"/>
        <item m="1" x="6851"/>
        <item m="1" x="4872"/>
        <item m="1" x="2867"/>
        <item m="1" x="845"/>
        <item m="1" x="6644"/>
        <item m="1" x="4699"/>
        <item m="1" x="2719"/>
        <item sd="0" m="1" x="5255"/>
        <item m="1" x="3210"/>
        <item m="1" x="1235"/>
        <item m="1" x="7043"/>
        <item m="1" x="5061"/>
        <item m="1" x="3042"/>
        <item m="1" x="1065"/>
        <item m="1" x="6866"/>
        <item m="1" x="4893"/>
        <item m="1" x="2881"/>
        <item sd="0" m="1" x="5445"/>
        <item m="1" x="3414"/>
        <item m="1" x="1410"/>
        <item m="1" x="7217"/>
        <item m="1" x="4344"/>
        <item m="1" x="2382"/>
        <item m="1" x="282"/>
        <item m="1" x="6185"/>
        <item m="1" x="4192"/>
        <item m="1" x="2192"/>
        <item sd="0" m="1" x="44"/>
        <item m="1" x="6009"/>
        <item m="1" x="4030"/>
        <item m="1" x="2041"/>
        <item m="1" x="4529"/>
        <item m="1" x="2579"/>
        <item m="1" x="482"/>
        <item m="1" x="6344"/>
        <item m="1" x="4358"/>
        <item m="1" x="2396"/>
        <item sd="0" m="1" x="300"/>
        <item m="1" x="6205"/>
        <item m="1" x="4205"/>
        <item m="1" x="2219"/>
        <item m="1" x="4717"/>
        <item m="1" x="2746"/>
        <item m="1" x="698"/>
        <item m="1" x="6516"/>
        <item m="1" x="4235"/>
        <item m="1" x="2270"/>
        <item sd="0" m="1" x="5054"/>
        <item sd="0" m="1" x="6335"/>
        <item m="1" x="3985"/>
        <item m="1" x="1998"/>
        <item m="1" x="7843"/>
        <item m="1" x="2542"/>
        <item m="1" x="435"/>
        <item m="1" x="6316"/>
        <item m="1" x="4319"/>
        <item m="1" x="2348"/>
        <item m="1" x="243"/>
        <item m="1" x="6160"/>
        <item m="1" x="4169"/>
        <item m="1" x="2166"/>
        <item m="1" x="21"/>
        <item m="1" x="2704"/>
        <item m="1" x="651"/>
        <item m="1" x="6476"/>
        <item m="1" x="4503"/>
        <item m="1" x="1611"/>
        <item m="1" x="7456"/>
        <item m="1" x="5487"/>
        <item m="1" x="3453"/>
        <item m="1" x="1444"/>
        <item m="1" x="7265"/>
        <item m="1" x="5303"/>
        <item m="1" x="3278"/>
        <item m="1" x="1284"/>
        <item m="1" x="7116"/>
        <item m="1" x="1812"/>
        <item m="1" x="7666"/>
        <item m="1" x="5648"/>
        <item m="1" x="3662"/>
        <item m="1" x="1631"/>
        <item m="1" x="7479"/>
        <item m="1" x="5506"/>
        <item m="1" x="3477"/>
        <item m="1" x="1461"/>
        <item m="1" x="7285"/>
        <item m="1" x="2014"/>
        <item m="1" x="7857"/>
        <item m="1" x="5810"/>
        <item m="1" x="3830"/>
        <item m="1" x="931"/>
        <item m="1" x="6728"/>
        <item m="1" x="4749"/>
        <item m="1" x="2776"/>
        <item m="1" x="744"/>
        <item m="1" x="6559"/>
        <item m="1" x="4581"/>
        <item m="1" x="2629"/>
        <item m="1" x="573"/>
        <item m="1" x="6410"/>
        <item m="1" x="1146"/>
        <item m="1" x="6933"/>
        <item m="1" x="4970"/>
        <item m="1" x="2940"/>
        <item m="1" x="945"/>
        <item m="1" x="6745"/>
        <item m="1" x="4767"/>
        <item m="1" x="2791"/>
        <item m="1" x="765"/>
        <item m="1" x="6575"/>
        <item m="1" x="1305"/>
        <item m="1" x="7128"/>
        <item m="1" x="5155"/>
        <item m="1" x="3119"/>
        <item m="1" x="131"/>
        <item m="1" x="6079"/>
        <item m="1" x="4098"/>
        <item m="1" x="2092"/>
        <item m="1" x="7941"/>
        <item m="1" x="5895"/>
        <item m="1" x="3931"/>
        <item m="1" x="1944"/>
        <item m="1" x="7790"/>
        <item m="1" x="5751"/>
        <item m="1" x="384"/>
        <item m="1" x="6277"/>
        <item m="1" x="4258"/>
        <item m="1" x="2292"/>
        <item m="1" x="151"/>
        <item m="1" x="6094"/>
        <item m="1" x="4112"/>
        <item m="1" x="2109"/>
        <item m="1" x="7961"/>
        <item m="1" x="5914"/>
        <item m="1" x="595"/>
        <item m="1" x="6435"/>
        <item m="1" x="4445"/>
        <item m="1" x="2501"/>
        <item m="1" x="7054"/>
        <item m="1" x="5067"/>
        <item m="1" x="3049"/>
        <item m="1" x="1073"/>
        <item m="1" x="6873"/>
        <item m="1" x="4899"/>
        <item m="1" x="2886"/>
        <item m="1" x="7538"/>
        <item m="1" x="5561"/>
        <item m="1" x="3546"/>
        <item m="1" x="1506"/>
        <item m="1" x="7332"/>
        <item m="1" x="5380"/>
        <item m="1" x="3355"/>
        <item m="1" x="1337"/>
        <item m="1" x="3889"/>
        <item m="1" x="1883"/>
        <item m="1" x="7735"/>
        <item m="1" x="5713"/>
        <item m="1" x="3717"/>
        <item m="1" x="1710"/>
        <item m="1" x="7557"/>
        <item m="1" x="5568"/>
        <item m="1" x="3561"/>
        <item m="1" x="1521"/>
        <item m="1" x="4073"/>
        <item m="1" x="2074"/>
        <item m="1" x="7914"/>
        <item m="1" x="5865"/>
        <item m="1" x="2989"/>
        <item m="1" x="1005"/>
        <item m="1" x="6811"/>
        <item m="1" x="4831"/>
        <item m="1" x="2839"/>
        <item m="1" x="814"/>
        <item m="1" x="6617"/>
        <item m="1" x="4661"/>
        <item m="1" x="2684"/>
        <item m="1" x="632"/>
        <item m="1" x="3169"/>
        <item m="1" x="1203"/>
        <item m="1" x="6994"/>
        <item m="1" x="5032"/>
        <item m="1" x="3004"/>
        <item m="1" x="1020"/>
        <item m="1" x="6822"/>
        <item m="1" x="4846"/>
        <item m="1" x="2850"/>
        <item m="1" x="827"/>
        <item m="1" x="3380"/>
        <item m="1" x="1366"/>
        <item m="1" x="7171"/>
        <item m="1" x="5224"/>
        <item m="1" x="2335"/>
        <item m="1" x="227"/>
        <item m="1" x="6147"/>
        <item m="1" x="4158"/>
        <item m="1" x="2151"/>
        <item m="1" x="11"/>
        <item m="1" x="5974"/>
        <item m="1" x="3989"/>
        <item m="1" x="2000"/>
        <item m="1" x="7845"/>
        <item m="1" x="2545"/>
        <item m="1" x="440"/>
        <item m="1" x="6319"/>
        <item m="1" x="4324"/>
        <item m="1" x="2356"/>
        <item m="1" x="250"/>
        <item m="1" x="6165"/>
        <item m="1" x="4172"/>
        <item m="1" x="2169"/>
        <item m="1" x="23"/>
        <item m="1" x="2706"/>
        <item m="1" x="654"/>
        <item m="1" x="6477"/>
        <item m="1" x="4506"/>
        <item m="1" x="1616"/>
        <item m="1" x="7462"/>
        <item m="1" x="5492"/>
        <item m="1" x="3461"/>
        <item m="1" x="1452"/>
        <item m="1" x="7274"/>
        <item m="1" x="5309"/>
        <item m="1" x="3284"/>
        <item m="1" x="1288"/>
        <item m="1" x="7120"/>
        <item m="1" x="1815"/>
        <item m="1" x="7669"/>
        <item m="1" x="5652"/>
        <item m="1" x="3668"/>
        <item m="1" x="1641"/>
        <item m="1" x="7488"/>
        <item m="1" x="5513"/>
        <item m="1" x="3484"/>
        <item m="1" x="1464"/>
        <item m="1" x="7289"/>
        <item m="1" x="2016"/>
        <item m="1" x="7859"/>
        <item m="1" x="5813"/>
        <item m="1" x="3834"/>
        <item m="1" x="1510"/>
        <item m="1" x="7336"/>
        <item sd="0" m="1" x="1559"/>
        <item sd="0" m="1" x="0"/>
        <item t="default" sd="0"/>
      </items>
    </pivotField>
    <pivotField showAll="0">
      <items count="11">
        <item m="1" x="0"/>
        <item m="1" x="8"/>
        <item m="1" x="6"/>
        <item m="1" x="2"/>
        <item m="1" x="5"/>
        <item m="1" x="9"/>
        <item m="1" x="1"/>
        <item m="1" x="3"/>
        <item m="1" x="4"/>
        <item m="1" x="7"/>
        <item t="default"/>
      </items>
    </pivotField>
    <pivotField showAll="0" defaultSubtotal="0"/>
    <pivotField showAll="0"/>
    <pivotField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2">
    <field x="9"/>
    <field x="8"/>
  </rowFields>
  <colFields count="1">
    <field x="-2"/>
  </colFields>
  <dataFields count="3">
    <dataField name="Average of ACTUALTR" fld="15" subtotal="average" baseField="8" baseItem="50" numFmtId="164"/>
    <dataField name="Average of PREDICTEDTR" fld="16" subtotal="average" baseField="8" baseItem="50" numFmtId="164"/>
    <dataField name="Average of ERRORTR" fld="17" subtotal="average" baseField="8" baseItem="50" numFmtId="164"/>
  </dataFields>
  <chartFormats count="3">
    <chartFormat chart="5" format="12"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5" fieldListSortAscending="1">
  <location ref="A1:B1" firstHeaderRow="0" firstDataRow="1" firstDataCol="1"/>
  <pivotFields count="21">
    <pivotField showAll="0">
      <items count="403">
        <item m="1" x="167"/>
        <item m="1" x="227"/>
        <item m="1" x="124"/>
        <item m="1" x="248"/>
        <item m="1" x="308"/>
        <item m="1" x="176"/>
        <item m="1" x="64"/>
        <item m="1" x="187"/>
        <item m="1" x="287"/>
        <item m="1" x="279"/>
        <item m="1" x="49"/>
        <item m="1" x="129"/>
        <item m="1" x="182"/>
        <item m="1" x="208"/>
        <item m="1" x="256"/>
        <item m="1" x="304"/>
        <item m="1" x="350"/>
        <item m="1" x="236"/>
        <item m="1" x="97"/>
        <item m="1" x="138"/>
        <item m="1" x="90"/>
        <item m="1" x="104"/>
        <item m="1" x="252"/>
        <item m="1" x="24"/>
        <item m="1" x="151"/>
        <item m="1" x="56"/>
        <item m="1" x="117"/>
        <item m="1" x="309"/>
        <item m="1" x="368"/>
        <item m="1" x="65"/>
        <item m="1" x="300"/>
        <item m="1" x="121"/>
        <item m="1" x="263"/>
        <item m="1" x="313"/>
        <item m="1" x="155"/>
        <item m="1" x="388"/>
        <item m="1" x="351"/>
        <item m="1" x="260"/>
        <item m="1" x="112"/>
        <item m="1" x="125"/>
        <item m="1" x="45"/>
        <item m="1" x="135"/>
        <item m="1" x="212"/>
        <item m="1" x="357"/>
        <item m="1" x="99"/>
        <item m="1" x="324"/>
        <item m="1" x="230"/>
        <item m="1" x="40"/>
        <item m="1" x="52"/>
        <item m="1" x="107"/>
        <item m="1" x="119"/>
        <item m="1" x="174"/>
        <item m="1" x="393"/>
        <item m="1" x="28"/>
        <item m="1" x="75"/>
        <item m="1" x="336"/>
        <item m="1" x="27"/>
        <item m="1" x="74"/>
        <item m="1" x="83"/>
        <item m="1" x="140"/>
        <item m="1" x="18"/>
        <item m="1" x="365"/>
        <item m="1" x="379"/>
        <item m="1" x="50"/>
        <item m="1" x="80"/>
        <item m="1" x="321"/>
        <item m="1" x="343"/>
        <item m="1" x="17"/>
        <item m="1" x="25"/>
        <item m="1" x="226"/>
        <item m="1" x="93"/>
        <item m="1" x="385"/>
        <item m="1" x="400"/>
        <item m="1" x="37"/>
        <item m="1" x="133"/>
        <item m="1" x="173"/>
        <item m="1" x="109"/>
        <item m="1" x="114"/>
        <item m="1" x="147"/>
        <item m="1" x="172"/>
        <item m="1" x="181"/>
        <item m="1" x="192"/>
        <item m="1" x="199"/>
        <item m="1" x="242"/>
        <item m="1" x="78"/>
        <item m="1" x="378"/>
        <item m="1" x="156"/>
        <item m="1" x="198"/>
        <item m="1" x="224"/>
        <item m="1" x="42"/>
        <item m="1" x="318"/>
        <item m="1" x="377"/>
        <item m="1" x="191"/>
        <item m="1" x="118"/>
        <item m="1" x="36"/>
        <item m="1" x="246"/>
        <item m="1" x="102"/>
        <item m="1" x="48"/>
        <item m="1" x="66"/>
        <item m="1" x="273"/>
        <item m="1" x="295"/>
        <item m="1" x="301"/>
        <item m="1" x="362"/>
        <item m="1" x="375"/>
        <item m="1" x="190"/>
        <item m="1" x="12"/>
        <item m="1" x="35"/>
        <item m="1" x="47"/>
        <item m="1" x="251"/>
        <item m="1" x="361"/>
        <item m="1" x="312"/>
        <item m="1" x="374"/>
        <item m="1" x="4"/>
        <item m="1" x="23"/>
        <item m="1" x="215"/>
        <item m="1" x="373"/>
        <item m="1" x="1"/>
        <item m="1" x="204"/>
        <item m="1" x="22"/>
        <item m="1" x="196"/>
        <item m="1" x="95"/>
        <item m="1" x="315"/>
        <item m="1" x="383"/>
        <item m="1" x="11"/>
        <item m="1" x="220"/>
        <item m="1" x="55"/>
        <item m="1" x="255"/>
        <item m="1" x="326"/>
        <item m="1" x="353"/>
        <item m="1" x="21"/>
        <item m="1" x="77"/>
        <item m="1" x="94"/>
        <item m="1" x="272"/>
        <item m="1" x="277"/>
        <item m="1" x="307"/>
        <item m="1" x="314"/>
        <item m="1" x="340"/>
        <item m="1" x="254"/>
        <item m="1" x="82"/>
        <item m="1" x="166"/>
        <item m="1" x="271"/>
        <item m="1" x="177"/>
        <item m="1" x="286"/>
        <item m="1" x="9"/>
        <item m="1" x="214"/>
        <item m="1" x="322"/>
        <item m="1" x="395"/>
        <item m="1" x="139"/>
        <item m="1" x="149"/>
        <item m="1" x="352"/>
        <item m="1" x="262"/>
        <item m="1" x="168"/>
        <item m="1" x="108"/>
        <item m="1" x="282"/>
        <item m="1" x="291"/>
        <item m="1" x="14"/>
        <item m="1" x="160"/>
        <item m="1" x="81"/>
        <item m="1" x="170"/>
        <item m="1" x="285"/>
        <item m="1" x="41"/>
        <item m="1" x="54"/>
        <item m="1" x="392"/>
        <item m="1" x="116"/>
        <item m="1" x="243"/>
        <item m="1" x="253"/>
        <item m="1" x="382"/>
        <item m="1" x="397"/>
        <item m="1" x="148"/>
        <item m="1" x="387"/>
        <item m="1" x="7"/>
        <item m="1" x="200"/>
        <item m="1" x="209"/>
        <item m="1" x="26"/>
        <item m="1" x="347"/>
        <item m="1" x="159"/>
        <item m="1" x="106"/>
        <item m="1" x="396"/>
        <item m="1" x="284"/>
        <item m="1" x="203"/>
        <item m="1" x="228"/>
        <item m="1" x="334"/>
        <item m="1" x="261"/>
        <item m="1" x="386"/>
        <item m="1" x="281"/>
        <item m="1" x="120"/>
        <item m="1" x="346"/>
        <item m="1" x="360"/>
        <item m="1" x="339"/>
        <item m="1" x="79"/>
        <item m="1" x="163"/>
        <item m="1" x="265"/>
        <item m="1" x="276"/>
        <item m="1" x="278"/>
        <item m="1" x="183"/>
        <item m="1" x="16"/>
        <item m="1" x="288"/>
        <item m="1" x="320"/>
        <item m="1" x="329"/>
        <item m="1" x="233"/>
        <item m="1" x="46"/>
        <item m="1" x="76"/>
        <item m="1" x="88"/>
        <item m="1" x="384"/>
        <item m="1" x="126"/>
        <item m="1" x="332"/>
        <item m="1" x="345"/>
        <item m="1" x="381"/>
        <item m="1" x="202"/>
        <item m="1" x="328"/>
        <item m="1" x="132"/>
        <item m="1" x="239"/>
        <item m="1" x="349"/>
        <item m="1" x="6"/>
        <item m="1" x="299"/>
        <item m="1" x="207"/>
        <item m="1" x="43"/>
        <item m="1" x="142"/>
        <item m="1" x="98"/>
        <item m="1" x="154"/>
        <item m="1" x="275"/>
        <item m="1" x="269"/>
        <item m="1" x="290"/>
        <item m="1" x="297"/>
        <item m="1" x="15"/>
        <item m="1" x="303"/>
        <item m="1" x="20"/>
        <item m="1" x="123"/>
        <item m="1" x="72"/>
        <item m="1" x="165"/>
        <item m="1" x="391"/>
        <item m="1" x="13"/>
        <item m="1" x="115"/>
        <item m="1" x="180"/>
        <item m="1" x="225"/>
        <item m="1" x="231"/>
        <item m="1" x="235"/>
        <item m="1" x="241"/>
        <item m="1" x="311"/>
        <item m="1" x="344"/>
        <item m="1" x="359"/>
        <item m="1" x="92"/>
        <item m="1" x="274"/>
        <item m="1" x="105"/>
        <item m="1" x="175"/>
        <item m="1" x="113"/>
        <item m="1" x="319"/>
        <item m="1" x="34"/>
        <item m="1" x="232"/>
        <item m="1" x="44"/>
        <item m="1" x="342"/>
        <item m="1" x="53"/>
        <item m="1" x="244"/>
        <item m="1" x="71"/>
        <item m="1" x="131"/>
        <item m="1" x="157"/>
        <item m="1" x="87"/>
        <item m="1" x="216"/>
        <item m="1" x="223"/>
        <item m="1" x="58"/>
        <item m="1" x="358"/>
        <item m="1" x="91"/>
        <item m="1" x="270"/>
        <item m="1" x="268"/>
        <item m="1" x="289"/>
        <item m="1" x="8"/>
        <item m="1" x="296"/>
        <item m="1" x="302"/>
        <item m="1" x="317"/>
        <item m="1" x="238"/>
        <item m="1" x="146"/>
        <item m="1" x="70"/>
        <item m="1" x="162"/>
        <item m="1" x="371"/>
        <item m="1" x="143"/>
        <item m="1" x="399"/>
        <item m="1" x="5"/>
        <item m="1" x="2"/>
        <item m="1" x="32"/>
        <item m="1" x="222"/>
        <item m="1" x="325"/>
        <item m="1" x="331"/>
        <item m="1" x="234"/>
        <item m="1" x="338"/>
        <item m="1" x="247"/>
        <item m="1" x="356"/>
        <item m="1" x="103"/>
        <item m="1" x="195"/>
        <item m="1" x="327"/>
        <item m="1" x="341"/>
        <item m="1" x="145"/>
        <item m="1" x="152"/>
        <item m="1" x="250"/>
        <item m="1" x="354"/>
        <item m="1" x="69"/>
        <item m="1" x="364"/>
        <item m="1" x="164"/>
        <item m="1" x="266"/>
        <item m="1" x="376"/>
        <item m="1" x="390"/>
        <item m="1" x="111"/>
        <item m="1" x="206"/>
        <item m="1" x="0"/>
        <item m="1" x="31"/>
        <item m="1" x="330"/>
        <item m="1" x="141"/>
        <item m="1" x="213"/>
        <item m="1" x="96"/>
        <item m="1" x="19"/>
        <item m="1" x="122"/>
        <item m="1" x="29"/>
        <item m="1" x="219"/>
        <item m="1" x="193"/>
        <item m="1" x="210"/>
        <item m="1" x="237"/>
        <item m="1" x="63"/>
        <item m="1" x="249"/>
        <item m="1" x="363"/>
        <item m="1" x="259"/>
        <item m="1" x="370"/>
        <item m="1" x="86"/>
        <item m="1" x="280"/>
        <item m="1" x="84"/>
        <item m="1" x="221"/>
        <item m="1" x="229"/>
        <item m="1" x="337"/>
        <item m="1" x="57"/>
        <item m="1" x="153"/>
        <item m="1" x="73"/>
        <item m="1" x="158"/>
        <item m="1" x="89"/>
        <item m="1" x="380"/>
        <item m="1" x="169"/>
        <item m="1" x="101"/>
        <item m="1" x="194"/>
        <item m="1" x="294"/>
        <item m="1" x="211"/>
        <item m="1" x="316"/>
        <item m="1" x="33"/>
        <item m="1" x="292"/>
        <item m="1" x="137"/>
        <item m="1" x="51"/>
        <item m="1" x="144"/>
        <item m="1" x="348"/>
        <item m="1" x="62"/>
        <item m="1" x="258"/>
        <item m="1" x="85"/>
        <item m="1" x="67"/>
        <item m="1" x="389"/>
        <item m="1" x="179"/>
        <item m="1" x="110"/>
        <item m="1" x="185"/>
        <item m="1" x="189"/>
        <item m="1" x="197"/>
        <item m="1" x="298"/>
        <item m="1" x="306"/>
        <item m="1" x="310"/>
        <item m="1" x="323"/>
        <item m="1" x="130"/>
        <item m="1" x="366"/>
        <item m="1" x="245"/>
        <item m="1" x="394"/>
        <item m="1" x="401"/>
        <item m="1" x="293"/>
        <item m="1" x="128"/>
        <item m="1" x="39"/>
        <item m="1" x="150"/>
        <item m="1" x="3"/>
        <item m="1" x="188"/>
        <item m="1" x="205"/>
        <item m="1" x="305"/>
        <item m="1" x="398"/>
        <item m="1" x="30"/>
        <item m="1" x="240"/>
        <item m="1" x="267"/>
        <item m="1" x="283"/>
        <item m="1" x="186"/>
        <item m="1" x="127"/>
        <item m="1" x="136"/>
        <item m="1" x="61"/>
        <item m="1" x="369"/>
        <item m="1" x="171"/>
        <item m="1" x="178"/>
        <item m="1" x="355"/>
        <item m="1" x="100"/>
        <item m="1" x="218"/>
        <item m="1" x="60"/>
        <item m="1" x="68"/>
        <item m="1" x="161"/>
        <item m="1" x="367"/>
        <item m="1" x="184"/>
        <item m="1" x="134"/>
        <item m="1" x="335"/>
        <item m="1" x="264"/>
        <item m="1" x="372"/>
        <item m="1" x="201"/>
        <item m="1" x="217"/>
        <item m="1" x="38"/>
        <item m="1" x="333"/>
        <item m="1" x="59"/>
        <item m="1" x="257"/>
        <item m="1" x="10"/>
        <item t="default"/>
      </items>
    </pivotField>
    <pivotField showAll="0">
      <items count="989">
        <item m="1" x="245"/>
        <item m="1" x="724"/>
        <item m="1" x="91"/>
        <item m="1" x="314"/>
        <item m="1" x="68"/>
        <item m="1" x="298"/>
        <item m="1" x="539"/>
        <item m="1" x="791"/>
        <item m="1" x="175"/>
        <item m="1" x="744"/>
        <item m="1" x="461"/>
        <item m="1" x="97"/>
        <item m="1" x="563"/>
        <item m="1" x="815"/>
        <item m="1" x="930"/>
        <item m="1" x="393"/>
        <item m="1" x="150"/>
        <item m="1" x="621"/>
        <item m="1" x="489"/>
        <item m="1" x="864"/>
        <item m="1" x="776"/>
        <item m="1" x="912"/>
        <item m="1" x="697"/>
        <item m="1" x="369"/>
        <item m="1" x="541"/>
        <item m="1" x="347"/>
        <item m="1" x="465"/>
        <item m="1" x="591"/>
        <item m="1" x="840"/>
        <item m="1" x="936"/>
        <item m="1" x="10"/>
        <item m="1" x="626"/>
        <item m="1" x="825"/>
        <item m="1" x="856"/>
        <item m="1" x="113"/>
        <item m="1" x="400"/>
        <item m="1" x="432"/>
        <item m="1" x="498"/>
        <item m="1" x="522"/>
        <item m="1" x="805"/>
        <item m="1" x="903"/>
        <item m="1" x="99"/>
        <item m="1" x="325"/>
        <item m="1" x="358"/>
        <item m="1" x="416"/>
        <item m="1" x="689"/>
        <item m="1" x="950"/>
        <item m="1" x="980"/>
        <item m="1" x="111"/>
        <item m="1" x="169"/>
        <item m="1" x="364"/>
        <item m="1" x="703"/>
        <item m="1" x="900"/>
        <item m="1" x="4"/>
        <item m="1" x="98"/>
        <item m="1" x="210"/>
        <item m="1" x="507"/>
        <item m="1" x="721"/>
        <item m="1" x="818"/>
        <item m="1" x="922"/>
        <item m="1" x="43"/>
        <item m="1" x="278"/>
        <item m="1" x="339"/>
        <item m="1" x="395"/>
        <item m="1" x="739"/>
        <item m="1" x="963"/>
        <item m="1" x="208"/>
        <item m="1" x="238"/>
        <item m="1" x="414"/>
        <item m="1" x="560"/>
        <item m="1" x="683"/>
        <item m="1" x="784"/>
        <item m="1" x="850"/>
        <item m="1" x="915"/>
        <item m="1" x="946"/>
        <item m="1" x="975"/>
        <item m="1" x="108"/>
        <item m="1" x="275"/>
        <item m="1" x="303"/>
        <item m="1" x="763"/>
        <item m="1" x="797"/>
        <item m="1" x="106"/>
        <item m="1" x="151"/>
        <item m="1" x="272"/>
        <item m="1" x="290"/>
        <item m="1" x="360"/>
        <item m="1" x="411"/>
        <item m="1" x="427"/>
        <item m="1" x="660"/>
        <item m="1" x="737"/>
        <item m="1" x="846"/>
        <item m="1" x="960"/>
        <item m="1" x="972"/>
        <item m="1" x="13"/>
        <item m="1" x="78"/>
        <item m="1" x="220"/>
        <item m="1" x="315"/>
        <item m="1" x="350"/>
        <item m="1" x="424"/>
        <item m="1" x="503"/>
        <item m="1" x="528"/>
        <item m="1" x="659"/>
        <item m="1" x="778"/>
        <item m="1" x="121"/>
        <item m="1" x="235"/>
        <item m="1" x="250"/>
        <item m="1" x="333"/>
        <item m="1" x="408"/>
        <item m="1" x="542"/>
        <item m="1" x="681"/>
        <item m="1" x="713"/>
        <item m="1" x="830"/>
        <item m="1" x="940"/>
        <item m="1" x="39"/>
        <item m="1" x="75"/>
        <item m="1" x="268"/>
        <item m="1" x="287"/>
        <item m="1" x="331"/>
        <item m="1" x="617"/>
        <item m="1" x="760"/>
        <item m="1" x="775"/>
        <item m="1" x="829"/>
        <item m="1" x="842"/>
        <item m="1" x="93"/>
        <item m="1" x="132"/>
        <item m="1" x="162"/>
        <item m="1" x="179"/>
        <item m="1" x="203"/>
        <item m="1" x="285"/>
        <item m="1" x="329"/>
        <item m="1" x="615"/>
        <item m="1" x="696"/>
        <item m="1" x="793"/>
        <item m="1" x="909"/>
        <item m="1" x="957"/>
        <item m="1" x="71"/>
        <item m="1" x="201"/>
        <item m="1" x="218"/>
        <item m="1" x="232"/>
        <item m="1" x="248"/>
        <item m="1" x="267"/>
        <item m="1" x="328"/>
        <item m="1" x="368"/>
        <item m="1" x="571"/>
        <item m="1" x="628"/>
        <item m="1" x="709"/>
        <item m="1" x="730"/>
        <item m="1" x="772"/>
        <item m="1" x="807"/>
        <item m="1" x="907"/>
        <item m="1" x="926"/>
        <item m="1" x="89"/>
        <item m="1" x="104"/>
        <item m="1" x="119"/>
        <item m="1" x="144"/>
        <item m="1" x="187"/>
        <item m="1" x="217"/>
        <item m="1" x="327"/>
        <item m="1" x="403"/>
        <item m="1" x="466"/>
        <item m="1" x="540"/>
        <item m="1" x="604"/>
        <item m="1" x="612"/>
        <item m="1" x="675"/>
        <item m="1" x="749"/>
        <item m="1" x="806"/>
        <item m="1" x="841"/>
        <item m="1" x="876"/>
        <item m="1" x="937"/>
        <item m="1" x="969"/>
        <item m="1" x="116"/>
        <item m="1" x="199"/>
        <item m="1" x="215"/>
        <item m="1" x="483"/>
        <item m="1" x="500"/>
        <item m="1" x="102"/>
        <item m="1" x="590"/>
        <item m="1" x="115"/>
        <item m="1" x="603"/>
        <item m="1" x="143"/>
        <item m="1" x="638"/>
        <item m="1" x="654"/>
        <item m="1" x="186"/>
        <item m="1" x="673"/>
        <item m="1" x="694"/>
        <item m="1" x="401"/>
        <item m="1" x="482"/>
        <item m="1" x="499"/>
        <item m="1" x="524"/>
        <item m="1" x="536"/>
        <item m="1" x="67"/>
        <item m="1" x="555"/>
        <item m="1" x="569"/>
        <item m="1" x="588"/>
        <item m="1" x="173"/>
        <item m="1" x="653"/>
        <item m="1" x="747"/>
        <item m="1" x="346"/>
        <item m="1" x="887"/>
        <item m="1" x="953"/>
        <item m="1" x="448"/>
        <item m="1" x="968"/>
        <item m="1" x="36"/>
        <item m="1" x="553"/>
        <item m="1" x="114"/>
        <item m="1" x="601"/>
        <item m="1" x="198"/>
        <item m="1" x="214"/>
        <item m="1" x="728"/>
        <item m="1" x="282"/>
        <item m="1" x="789"/>
        <item m="1" x="905"/>
        <item m="1" x="418"/>
        <item m="1" x="447"/>
        <item m="1" x="983"/>
        <item m="1" x="481"/>
        <item m="1" x="86"/>
        <item m="1" x="600"/>
        <item m="1" x="652"/>
        <item m="1" x="727"/>
        <item m="1" x="788"/>
        <item m="1" x="296"/>
        <item m="1" x="311"/>
        <item m="1" x="823"/>
        <item m="1" x="904"/>
        <item m="1" x="8"/>
        <item m="1" x="51"/>
        <item m="1" x="552"/>
        <item m="1" x="84"/>
        <item m="1" x="599"/>
        <item m="1" x="141"/>
        <item m="1" x="171"/>
        <item m="1" x="257"/>
        <item m="1" x="769"/>
        <item m="1" x="281"/>
        <item m="1" x="981"/>
        <item m="1" x="7"/>
        <item m="1" x="509"/>
        <item m="1" x="32"/>
        <item m="1" x="64"/>
        <item m="1" x="651"/>
        <item m="1" x="212"/>
        <item m="1" x="743"/>
        <item m="1" x="756"/>
        <item m="1" x="822"/>
        <item m="1" x="838"/>
        <item m="1" x="342"/>
        <item m="1" x="854"/>
        <item m="1" x="357"/>
        <item m="1" x="462"/>
        <item m="1" x="6"/>
        <item m="1" x="49"/>
        <item m="1" x="128"/>
        <item m="1" x="140"/>
        <item m="1" x="688"/>
        <item m="1" x="820"/>
        <item m="1" x="365"/>
        <item m="1" x="397"/>
        <item m="1" x="935"/>
        <item m="1" x="444"/>
        <item m="1" x="508"/>
        <item m="1" x="30"/>
        <item m="1" x="47"/>
        <item m="1" x="598"/>
        <item m="1" x="154"/>
        <item m="1" x="649"/>
        <item m="1" x="230"/>
        <item m="1" x="244"/>
        <item m="1" x="742"/>
        <item m="1" x="255"/>
        <item m="1" x="801"/>
        <item m="1" x="308"/>
        <item m="1" x="323"/>
        <item m="1" x="837"/>
        <item m="1" x="872"/>
        <item m="1" x="381"/>
        <item m="1" x="948"/>
        <item m="1" x="533"/>
        <item m="1" x="63"/>
        <item m="1" x="127"/>
        <item m="1" x="609"/>
        <item m="1" x="624"/>
        <item m="1" x="648"/>
        <item m="1" x="668"/>
        <item m="1" x="195"/>
        <item m="1" x="754"/>
        <item m="1" x="800"/>
        <item m="1" x="924"/>
        <item m="1" x="415"/>
        <item m="1" x="934"/>
        <item m="1" x="520"/>
        <item m="1" x="82"/>
        <item m="1" x="126"/>
        <item m="1" x="634"/>
        <item m="1" x="167"/>
        <item m="1" x="686"/>
        <item m="1" x="722"/>
        <item m="1" x="293"/>
        <item m="1" x="306"/>
        <item m="1" x="354"/>
        <item m="1" x="379"/>
        <item m="1" x="923"/>
        <item m="1" x="965"/>
        <item m="1" x="476"/>
        <item m="1" x="2"/>
        <item m="1" x="18"/>
        <item m="1" x="518"/>
        <item m="1" x="564"/>
        <item m="1" x="597"/>
        <item m="1" x="607"/>
        <item m="1" x="666"/>
        <item m="1" x="685"/>
        <item m="1" x="701"/>
        <item m="1" x="766"/>
        <item m="1" x="279"/>
        <item m="1" x="799"/>
        <item m="1" x="816"/>
        <item m="1" x="377"/>
        <item m="1" x="494"/>
        <item m="1" x="60"/>
        <item m="1" x="580"/>
        <item m="1" x="632"/>
        <item m="1" x="240"/>
        <item m="1" x="253"/>
        <item m="1" x="292"/>
        <item m="1" x="321"/>
        <item m="1" x="361"/>
        <item m="1" x="376"/>
        <item m="1" x="459"/>
        <item m="1" x="977"/>
        <item m="1" x="125"/>
        <item m="1" x="136"/>
        <item m="1" x="622"/>
        <item m="1" x="239"/>
        <item m="1" x="765"/>
        <item m="1" x="277"/>
        <item m="1" x="813"/>
        <item m="1" x="319"/>
        <item m="1" x="337"/>
        <item m="1" x="918"/>
        <item m="1" x="931"/>
        <item m="1" x="962"/>
        <item m="1" x="28"/>
        <item m="1" x="579"/>
        <item m="1" x="165"/>
        <item m="1" x="262"/>
        <item m="1" x="304"/>
        <item m="1" x="317"/>
        <item m="1" x="851"/>
        <item m="1" x="916"/>
        <item m="1" x="413"/>
        <item m="1" x="440"/>
        <item m="1" x="457"/>
        <item m="1" x="474"/>
        <item m="1" x="504"/>
        <item m="1" x="41"/>
        <item m="1" x="578"/>
        <item m="1" x="124"/>
        <item m="1" x="605"/>
        <item m="1" x="182"/>
        <item m="1" x="665"/>
        <item m="1" x="192"/>
        <item m="1" x="206"/>
        <item m="1" x="782"/>
        <item m="1" x="849"/>
        <item m="1" x="867"/>
        <item m="1" x="412"/>
        <item m="1" x="14"/>
        <item m="1" x="27"/>
        <item m="1" x="40"/>
        <item m="1" x="530"/>
        <item m="1" x="546"/>
        <item m="1" x="577"/>
        <item m="1" x="107"/>
        <item m="1" x="123"/>
        <item m="1" x="644"/>
        <item m="1" x="663"/>
        <item m="1" x="717"/>
        <item m="1" x="273"/>
        <item m="1" x="291"/>
        <item m="1" x="302"/>
        <item m="1" x="848"/>
        <item m="1" x="160"/>
        <item m="1" x="439"/>
        <item m="1" x="456"/>
        <item m="1" x="529"/>
        <item m="1" x="826"/>
        <item m="1" x="576"/>
        <item m="1" x="596"/>
        <item m="1" x="857"/>
        <item m="1" x="889"/>
        <item m="1" x="383"/>
        <item m="1" x="402"/>
        <item m="1" x="662"/>
        <item m="1" x="190"/>
        <item m="1" x="955"/>
        <item m="1" x="449"/>
        <item m="1" x="223"/>
        <item m="1" x="464"/>
        <item m="1" x="236"/>
        <item m="1" x="738"/>
        <item m="1" x="9"/>
        <item m="1" x="23"/>
        <item m="1" x="510"/>
        <item m="1" x="537"/>
        <item m="1" x="796"/>
        <item m="1" x="811"/>
        <item m="1" x="833"/>
        <item m="1" x="101"/>
        <item m="1" x="589"/>
        <item m="1" x="159"/>
        <item m="1" x="392"/>
        <item m="1" x="943"/>
        <item m="1" x="438"/>
        <item m="1" x="693"/>
        <item m="1" x="973"/>
        <item m="1" x="473"/>
        <item m="1" x="283"/>
        <item m="1" x="58"/>
        <item m="1" x="79"/>
        <item m="1" x="575"/>
        <item m="1" x="839"/>
        <item m="1" x="595"/>
        <item m="1" x="888"/>
        <item m="1" x="420"/>
        <item m="1" x="661"/>
        <item m="1" x="189"/>
        <item m="1" x="954"/>
        <item m="1" x="222"/>
        <item m="1" x="716"/>
        <item m="1" x="22"/>
        <item m="1" x="523"/>
        <item m="1" x="780"/>
        <item m="1" x="289"/>
        <item m="1" x="535"/>
        <item m="1" x="66"/>
        <item m="1" x="554"/>
        <item m="1" x="316"/>
        <item m="1" x="587"/>
        <item m="1" x="847"/>
        <item m="1" x="351"/>
        <item m="1" x="602"/>
        <item m="1" x="374"/>
        <item m="1" x="625"/>
        <item m="1" x="895"/>
        <item m="1" x="172"/>
        <item m="1" x="426"/>
        <item m="1" x="672"/>
        <item m="1" x="942"/>
        <item m="1" x="692"/>
        <item m="1" x="961"/>
        <item m="1" x="491"/>
        <item m="1" x="746"/>
        <item m="1" x="545"/>
        <item m="1" x="312"/>
        <item m="1" x="559"/>
        <item m="1" x="824"/>
        <item m="1" x="326"/>
        <item m="1" x="345"/>
        <item m="1" x="874"/>
        <item m="1" x="135"/>
        <item m="1" x="886"/>
        <item m="1" x="631"/>
        <item m="1" x="906"/>
        <item m="1" x="164"/>
        <item m="1" x="643"/>
        <item m="1" x="419"/>
        <item m="1" x="952"/>
        <item m="1" x="204"/>
        <item m="1" x="221"/>
        <item m="1" x="715"/>
        <item m="1" x="21"/>
        <item m="1" x="35"/>
        <item m="1" x="795"/>
        <item m="1" x="301"/>
        <item m="1" x="87"/>
        <item m="1" x="568"/>
        <item m="1" x="832"/>
        <item m="1" x="100"/>
        <item m="1" x="335"/>
        <item m="1" x="610"/>
        <item m="1" x="373"/>
        <item m="1" x="391"/>
        <item m="1" x="929"/>
        <item m="1" x="185"/>
        <item m="1" x="425"/>
        <item m="1" x="941"/>
        <item m="1" x="437"/>
        <item m="1" x="959"/>
        <item m="1" x="472"/>
        <item m="1" x="490"/>
        <item m="1" x="745"/>
        <item m="1" x="26"/>
        <item m="1" x="544"/>
        <item m="1" x="344"/>
        <item m="1" x="855"/>
        <item m="1" x="122"/>
        <item m="1" x="873"/>
        <item m="1" x="620"/>
        <item m="1" x="885"/>
        <item m="1" x="149"/>
        <item m="1" x="417"/>
        <item m="1" x="188"/>
        <item m="1" x="480"/>
        <item m="1" x="736"/>
        <item m="1" x="762"/>
        <item m="1" x="34"/>
        <item m="1" x="271"/>
        <item m="1" x="779"/>
        <item m="1" x="52"/>
        <item m="1" x="65"/>
        <item m="1" x="85"/>
        <item m="1" x="567"/>
        <item m="1" x="831"/>
        <item m="1" x="586"/>
        <item m="1" x="866"/>
        <item m="1" x="142"/>
        <item m="1" x="372"/>
        <item m="1" x="158"/>
        <item m="1" x="390"/>
        <item m="1" x="410"/>
        <item m="1" x="928"/>
        <item m="1" x="671"/>
        <item m="1" x="691"/>
        <item m="1" x="706"/>
        <item m="1" x="231"/>
        <item m="1" x="516"/>
        <item m="1" x="770"/>
        <item m="1" x="57"/>
        <item m="1" x="295"/>
        <item m="1" x="543"/>
        <item m="1" x="804"/>
        <item m="1" x="77"/>
        <item m="1" x="558"/>
        <item m="1" x="96"/>
        <item m="1" x="343"/>
        <item m="1" x="594"/>
        <item m="1" x="884"/>
        <item m="1" x="148"/>
        <item m="1" x="382"/>
        <item m="1" x="630"/>
        <item m="1" x="902"/>
        <item m="1" x="642"/>
        <item m="1" x="925"/>
        <item m="1" x="181"/>
        <item m="1" x="699"/>
        <item m="1" x="463"/>
        <item m="1" x="982"/>
        <item m="1" x="479"/>
        <item m="1" x="251"/>
        <item m="1" x="20"/>
        <item m="1" x="261"/>
        <item m="1" x="33"/>
        <item m="1" x="270"/>
        <item m="1" x="288"/>
        <item m="1" x="83"/>
        <item m="1" x="334"/>
        <item m="1" x="585"/>
        <item m="1" x="845"/>
        <item m="1" x="865"/>
        <item m="1" x="359"/>
        <item m="1" x="157"/>
        <item m="1" x="914"/>
        <item m="1" x="170"/>
        <item m="1" x="409"/>
        <item m="1" x="423"/>
        <item m="1" x="197"/>
        <item m="1" x="436"/>
        <item m="1" x="690"/>
        <item m="1" x="958"/>
        <item m="1" x="213"/>
        <item m="1" x="455"/>
        <item m="1" x="705"/>
        <item m="1" x="971"/>
        <item m="1" x="726"/>
        <item m="1" x="987"/>
        <item m="1" x="488"/>
        <item m="1" x="515"/>
        <item m="1" x="56"/>
        <item m="1" x="310"/>
        <item m="1" x="95"/>
        <item m="1" x="134"/>
        <item m="1" x="883"/>
        <item m="1" x="163"/>
        <item m="1" x="399"/>
        <item m="1" x="431"/>
        <item m="1" x="951"/>
        <item m="1" x="446"/>
        <item m="1" x="698"/>
        <item m="1" x="967"/>
        <item m="1" x="714"/>
        <item m="1" x="234"/>
        <item m="1" x="735"/>
        <item m="1" x="497"/>
        <item m="1" x="269"/>
        <item m="1" x="50"/>
        <item m="1" x="584"/>
        <item m="1" x="112"/>
        <item m="1" x="863"/>
        <item m="1" x="894"/>
        <item m="1" x="156"/>
        <item m="1" x="389"/>
        <item m="1" x="637"/>
        <item m="1" x="422"/>
        <item m="1" x="435"/>
        <item m="1" x="211"/>
        <item m="1" x="454"/>
        <item m="1" x="704"/>
        <item m="1" x="725"/>
        <item m="1" x="246"/>
        <item m="1" x="487"/>
        <item m="1" x="755"/>
        <item m="1" x="25"/>
        <item m="1" x="266"/>
        <item m="1" x="768"/>
        <item m="1" x="803"/>
        <item m="1" x="76"/>
        <item m="1" x="309"/>
        <item m="1" x="821"/>
        <item m="1" x="94"/>
        <item m="1" x="574"/>
        <item m="1" x="341"/>
        <item m="1" x="356"/>
        <item m="1" x="366"/>
        <item m="1" x="619"/>
        <item m="1" x="882"/>
        <item m="1" x="901"/>
        <item m="1" x="398"/>
        <item m="1" x="430"/>
        <item m="1" x="445"/>
        <item m="1" x="233"/>
        <item m="1" x="478"/>
        <item m="1" x="734"/>
        <item m="1" x="496"/>
        <item m="1" x="761"/>
        <item m="1" x="31"/>
        <item m="1" x="777"/>
        <item m="1" x="48"/>
        <item m="1" x="534"/>
        <item m="1" x="810"/>
        <item m="1" x="332"/>
        <item m="1" x="583"/>
        <item m="1" x="844"/>
        <item m="1" x="862"/>
        <item m="1" x="893"/>
        <item m="1" x="155"/>
        <item m="1" x="388"/>
        <item m="1" x="636"/>
        <item m="1" x="913"/>
        <item m="1" x="168"/>
        <item m="1" x="650"/>
        <item m="1" x="184"/>
        <item m="1" x="670"/>
        <item m="1" x="196"/>
        <item m="1" x="453"/>
        <item m="1" x="471"/>
        <item m="1" x="986"/>
        <item m="1" x="256"/>
        <item m="1" x="265"/>
        <item m="1" x="294"/>
        <item m="1" x="802"/>
        <item m="1" x="74"/>
        <item m="1" x="324"/>
        <item m="1" x="593"/>
        <item m="1" x="355"/>
        <item m="1" x="133"/>
        <item m="1" x="363"/>
        <item m="1" x="618"/>
        <item m="1" x="881"/>
        <item m="1" x="658"/>
        <item m="1" x="680"/>
        <item m="1" x="949"/>
        <item m="1" x="712"/>
        <item m="1" x="5"/>
        <item m="1" x="249"/>
        <item m="1" x="521"/>
        <item m="1" x="46"/>
        <item m="1" x="300"/>
        <item m="1" x="551"/>
        <item m="1" x="566"/>
        <item m="1" x="843"/>
        <item m="1" x="349"/>
        <item m="1" x="861"/>
        <item m="1" x="371"/>
        <item m="1" x="635"/>
        <item m="1" x="407"/>
        <item m="1" x="669"/>
        <item m="1" x="434"/>
        <item m="1" x="687"/>
        <item m="1" x="229"/>
        <item m="1" x="243"/>
        <item m="1" x="502"/>
        <item m="1" x="264"/>
        <item m="1" x="514"/>
        <item m="1" x="767"/>
        <item m="1" x="527"/>
        <item m="1" x="55"/>
        <item m="1" x="73"/>
        <item m="1" x="819"/>
        <item m="1" x="573"/>
        <item m="1" x="836"/>
        <item m="1" x="105"/>
        <item m="1" x="340"/>
        <item m="1" x="147"/>
        <item m="1" x="396"/>
        <item m="1" x="180"/>
        <item m="1" x="657"/>
        <item m="1" x="679"/>
        <item m="1" x="443"/>
        <item m="1" x="966"/>
        <item m="1" x="219"/>
        <item m="1" x="460"/>
        <item m="1" x="711"/>
        <item m="1" x="19"/>
        <item m="1" x="260"/>
        <item m="1" x="45"/>
        <item m="1" x="286"/>
        <item m="1" x="794"/>
        <item m="1" x="62"/>
        <item m="1" x="550"/>
        <item m="1" x="828"/>
        <item m="1" x="330"/>
        <item m="1" x="582"/>
        <item m="1" x="110"/>
        <item m="1" x="348"/>
        <item m="1" x="879"/>
        <item m="1" x="153"/>
        <item m="1" x="387"/>
        <item m="1" x="911"/>
        <item m="1" x="647"/>
        <item m="1" x="939"/>
        <item m="1" x="194"/>
        <item m="1" x="433"/>
        <item m="1" x="209"/>
        <item m="1" x="702"/>
        <item m="1" x="723"/>
        <item m="1" x="985"/>
        <item m="1" x="741"/>
        <item m="1" x="12"/>
        <item m="1" x="263"/>
        <item m="1" x="513"/>
        <item m="1" x="526"/>
        <item m="1" x="307"/>
        <item m="1" x="92"/>
        <item m="1" x="853"/>
        <item m="1" x="131"/>
        <item m="1" x="362"/>
        <item m="1" x="616"/>
        <item m="1" x="380"/>
        <item m="1" x="629"/>
        <item m="1" x="899"/>
        <item m="1" x="178"/>
        <item m="1" x="656"/>
        <item m="1" x="678"/>
        <item m="1" x="947"/>
        <item m="1" x="710"/>
        <item m="1" x="979"/>
        <item m="1" x="477"/>
        <item m="1" x="733"/>
        <item m="1" x="3"/>
        <item m="1" x="495"/>
        <item m="1" x="752"/>
        <item m="1" x="519"/>
        <item m="1" x="774"/>
        <item m="1" x="44"/>
        <item m="1" x="284"/>
        <item m="1" x="809"/>
        <item m="1" x="565"/>
        <item m="1" x="827"/>
        <item m="1" x="860"/>
        <item m="1" x="608"/>
        <item m="1" x="878"/>
        <item m="1" x="139"/>
        <item m="1" x="370"/>
        <item m="1" x="892"/>
        <item m="1" x="633"/>
        <item m="1" x="910"/>
        <item m="1" x="166"/>
        <item m="1" x="406"/>
        <item m="1" x="183"/>
        <item m="1" x="667"/>
        <item m="1" x="228"/>
        <item m="1" x="470"/>
        <item m="1" x="720"/>
        <item m="1" x="242"/>
        <item m="1" x="740"/>
        <item m="1" x="11"/>
        <item m="1" x="280"/>
        <item m="1" x="787"/>
        <item m="1" x="54"/>
        <item m="1" x="72"/>
        <item m="1" x="305"/>
        <item m="1" x="557"/>
        <item m="1" x="817"/>
        <item m="1" x="322"/>
        <item m="1" x="835"/>
        <item m="1" x="120"/>
        <item m="1" x="871"/>
        <item m="1" x="880"/>
        <item m="1" x="378"/>
        <item m="1" x="898"/>
        <item m="1" x="921"/>
        <item m="1" x="933"/>
        <item m="1" x="429"/>
        <item m="1" x="677"/>
        <item m="1" x="202"/>
        <item m="1" x="964"/>
        <item m="1" x="732"/>
        <item m="1" x="751"/>
        <item m="1" x="17"/>
        <item m="1" x="259"/>
        <item m="1" x="773"/>
        <item m="1" x="42"/>
        <item m="1" x="532"/>
        <item m="1" x="61"/>
        <item m="1" x="549"/>
        <item m="1" x="808"/>
        <item m="1" x="81"/>
        <item m="1" x="581"/>
        <item m="1" x="138"/>
        <item m="1" x="891"/>
        <item m="1" x="386"/>
        <item m="1" x="405"/>
        <item m="1" x="646"/>
        <item m="1" x="938"/>
        <item m="1" x="684"/>
        <item m="1" x="452"/>
        <item m="1" x="227"/>
        <item m="1" x="469"/>
        <item m="1" x="984"/>
        <item m="1" x="241"/>
        <item m="1" x="254"/>
        <item m="1" x="753"/>
        <item m="1" x="786"/>
        <item m="1" x="53"/>
        <item m="1" x="798"/>
        <item m="1" x="70"/>
        <item m="1" x="556"/>
        <item m="1" x="814"/>
        <item m="1" x="90"/>
        <item m="1" x="572"/>
        <item m="1" x="834"/>
        <item m="1" x="852"/>
        <item m="1" x="353"/>
        <item m="1" x="870"/>
        <item m="1" x="130"/>
        <item m="1" x="146"/>
        <item m="1" x="897"/>
        <item m="1" x="161"/>
        <item m="1" x="394"/>
        <item m="1" x="641"/>
        <item m="1" x="920"/>
        <item m="1" x="177"/>
        <item m="1" x="655"/>
        <item m="1" x="932"/>
        <item m="1" x="428"/>
        <item m="1" x="200"/>
        <item m="1" x="442"/>
        <item m="1" x="978"/>
        <item m="1" x="475"/>
        <item m="1" x="731"/>
        <item m="1" x="1"/>
        <item m="1" x="16"/>
        <item m="1" x="258"/>
        <item m="1" x="759"/>
        <item m="1" x="29"/>
        <item m="1" x="299"/>
        <item m="1" x="313"/>
        <item m="1" x="562"/>
        <item m="1" x="109"/>
        <item m="1" x="859"/>
        <item m="1" x="606"/>
        <item m="1" x="137"/>
        <item m="1" x="623"/>
        <item m="1" x="908"/>
        <item m="1" x="927"/>
        <item m="1" x="193"/>
        <item m="1" x="700"/>
        <item m="1" x="468"/>
        <item m="1" x="486"/>
        <item m="1" x="501"/>
        <item m="1" x="512"/>
        <item m="1" x="38"/>
        <item m="1" x="525"/>
        <item m="1" x="785"/>
        <item m="1" x="69"/>
        <item m="1" x="320"/>
        <item m="1" x="338"/>
        <item m="1" x="869"/>
        <item m="1" x="129"/>
        <item m="1" x="614"/>
        <item m="1" x="145"/>
        <item m="1" x="375"/>
        <item m="1" x="896"/>
        <item m="1" x="919"/>
        <item m="1" x="176"/>
        <item m="1" x="676"/>
        <item m="1" x="750"/>
        <item m="1" x="506"/>
        <item m="1" x="792"/>
        <item m="1" x="59"/>
        <item m="1" x="80"/>
        <item m="1" x="561"/>
        <item m="1" x="367"/>
        <item m="1" x="890"/>
        <item m="1" x="152"/>
        <item m="1" x="385"/>
        <item m="1" x="404"/>
        <item m="1" x="421"/>
        <item m="1" x="207"/>
        <item m="1" x="970"/>
        <item m="1" x="226"/>
        <item m="1" x="467"/>
        <item m="1" x="719"/>
        <item m="1" x="485"/>
        <item m="1" x="252"/>
        <item m="1" x="24"/>
        <item m="1" x="764"/>
        <item m="1" x="812"/>
        <item m="1" x="318"/>
        <item m="1" x="103"/>
        <item m="1" x="592"/>
        <item m="1" x="118"/>
        <item m="1" x="868"/>
        <item m="1" x="613"/>
        <item m="1" x="640"/>
        <item m="1" x="917"/>
        <item m="1" x="441"/>
        <item m="1" x="216"/>
        <item m="1" x="458"/>
        <item m="1" x="708"/>
        <item m="1" x="976"/>
        <item m="1" x="247"/>
        <item m="1" x="493"/>
        <item m="1" x="505"/>
        <item m="1" x="758"/>
        <item m="1" x="517"/>
        <item m="1" x="548"/>
        <item m="1" x="877"/>
        <item m="1" x="384"/>
        <item m="1" x="451"/>
        <item m="1" x="225"/>
        <item m="1" x="718"/>
        <item m="1" x="484"/>
        <item m="1" x="511"/>
        <item m="1" x="37"/>
        <item m="1" x="276"/>
        <item m="1" x="783"/>
        <item m="1" x="88"/>
        <item m="1" x="570"/>
        <item m="1" x="117"/>
        <item m="1" x="352"/>
        <item m="1" x="611"/>
        <item m="1" x="945"/>
        <item m="1" x="695"/>
        <item m="1" x="974"/>
        <item m="1" x="0"/>
        <item m="1" x="492"/>
        <item m="1" x="748"/>
        <item m="1" x="15"/>
        <item m="1" x="757"/>
        <item m="1" x="771"/>
        <item m="1" x="531"/>
        <item m="1" x="790"/>
        <item m="1" x="297"/>
        <item m="1" x="547"/>
        <item m="1" x="858"/>
        <item m="1" x="875"/>
        <item m="1" x="645"/>
        <item m="1" x="664"/>
        <item m="1" x="191"/>
        <item m="1" x="682"/>
        <item m="1" x="956"/>
        <item m="1" x="205"/>
        <item m="1" x="450"/>
        <item m="1" x="224"/>
        <item m="1" x="274"/>
        <item m="1" x="781"/>
        <item m="1" x="538"/>
        <item m="1" x="336"/>
        <item m="1" x="627"/>
        <item m="1" x="639"/>
        <item m="1" x="174"/>
        <item m="1" x="674"/>
        <item m="1" x="944"/>
        <item m="1" x="707"/>
        <item m="1" x="729"/>
        <item m="1" x="237"/>
        <item t="default"/>
      </items>
    </pivotField>
    <pivotField showAll="0" defaultSubtotal="0">
      <items count="49">
        <item m="1" x="0"/>
        <item m="1" x="26"/>
        <item m="1" x="11"/>
        <item m="1" x="28"/>
        <item m="1" x="46"/>
        <item m="1" x="5"/>
        <item m="1" x="13"/>
        <item m="1" x="19"/>
        <item m="1" x="29"/>
        <item m="1" x="34"/>
        <item m="1" x="39"/>
        <item m="1" x="43"/>
        <item m="1" x="47"/>
        <item m="1" x="2"/>
        <item m="1" x="6"/>
        <item m="1" x="9"/>
        <item m="1" x="14"/>
        <item m="1" x="16"/>
        <item m="1" x="17"/>
        <item m="1" x="18"/>
        <item m="1" x="20"/>
        <item m="1" x="22"/>
        <item m="1" x="24"/>
        <item m="1" x="27"/>
        <item m="1" x="31"/>
        <item m="1" x="33"/>
        <item m="1" x="36"/>
        <item m="1" x="38"/>
        <item m="1" x="41"/>
        <item m="1" x="42"/>
        <item m="1" x="44"/>
        <item m="1" x="45"/>
        <item m="1" x="48"/>
        <item m="1" x="21"/>
        <item m="1" x="1"/>
        <item m="1" x="23"/>
        <item m="1" x="3"/>
        <item m="1" x="25"/>
        <item m="1" x="4"/>
        <item m="1" x="30"/>
        <item m="1" x="7"/>
        <item m="1" x="32"/>
        <item m="1" x="8"/>
        <item m="1" x="35"/>
        <item m="1" x="10"/>
        <item m="1" x="37"/>
        <item m="1" x="12"/>
        <item m="1" x="40"/>
        <item m="1" x="15"/>
      </items>
    </pivotField>
    <pivotField showAll="0">
      <items count="149">
        <item m="1" x="0"/>
        <item m="1" x="23"/>
        <item m="1" x="102"/>
        <item m="1" x="90"/>
        <item m="1" x="59"/>
        <item m="1" x="27"/>
        <item m="1" x="51"/>
        <item m="1" x="15"/>
        <item m="1" x="13"/>
        <item m="1" x="3"/>
        <item m="1" x="139"/>
        <item m="1" x="11"/>
        <item m="1" x="147"/>
        <item m="1" x="66"/>
        <item m="1" x="129"/>
        <item m="1" x="119"/>
        <item m="1" x="40"/>
        <item m="1" x="35"/>
        <item m="1" x="32"/>
        <item m="1" x="48"/>
        <item m="1" x="72"/>
        <item m="1" x="144"/>
        <item m="1" x="120"/>
        <item m="1" x="131"/>
        <item m="1" x="49"/>
        <item m="1" x="19"/>
        <item m="1" x="46"/>
        <item m="1" x="121"/>
        <item m="1" x="26"/>
        <item m="1" x="118"/>
        <item m="1" x="94"/>
        <item m="1" x="76"/>
        <item m="1" x="86"/>
        <item m="1" x="77"/>
        <item m="1" x="132"/>
        <item m="1" x="109"/>
        <item m="1" x="21"/>
        <item m="1" x="58"/>
        <item m="1" x="134"/>
        <item m="1" x="88"/>
        <item m="1" x="25"/>
        <item m="1" x="30"/>
        <item m="1" x="133"/>
        <item m="1" x="41"/>
        <item m="1" x="38"/>
        <item m="1" x="103"/>
        <item m="1" x="105"/>
        <item m="1" x="128"/>
        <item m="1" x="122"/>
        <item m="1" x="101"/>
        <item m="1" x="5"/>
        <item m="1" x="83"/>
        <item m="1" x="79"/>
        <item m="1" x="54"/>
        <item m="1" x="78"/>
        <item m="1" x="4"/>
        <item m="1" x="52"/>
        <item m="1" x="82"/>
        <item m="1" x="31"/>
        <item m="1" x="137"/>
        <item m="1" x="100"/>
        <item m="1" x="69"/>
        <item m="1" x="71"/>
        <item m="1" x="20"/>
        <item m="1" x="106"/>
        <item m="1" x="2"/>
        <item m="1" x="126"/>
        <item m="1" x="89"/>
        <item m="1" x="73"/>
        <item m="1" x="113"/>
        <item m="1" x="125"/>
        <item m="1" x="43"/>
        <item m="1" x="68"/>
        <item m="1" x="123"/>
        <item m="1" x="135"/>
        <item m="1" x="17"/>
        <item m="1" x="130"/>
        <item m="1" x="127"/>
        <item m="1" x="28"/>
        <item m="1" x="99"/>
        <item m="1" x="70"/>
        <item m="1" x="110"/>
        <item m="1" x="60"/>
        <item m="1" x="92"/>
        <item m="1" x="36"/>
        <item m="1" x="53"/>
        <item m="1" x="1"/>
        <item m="1" x="107"/>
        <item m="1" x="12"/>
        <item m="1" x="33"/>
        <item m="1" x="141"/>
        <item m="1" x="116"/>
        <item m="1" x="42"/>
        <item m="1" x="39"/>
        <item m="1" x="91"/>
        <item m="1" x="29"/>
        <item m="1" x="140"/>
        <item m="1" x="95"/>
        <item m="1" x="37"/>
        <item m="1" x="63"/>
        <item m="1" x="108"/>
        <item m="1" x="9"/>
        <item m="1" x="61"/>
        <item m="1" x="67"/>
        <item m="1" x="14"/>
        <item m="1" x="45"/>
        <item m="1" x="136"/>
        <item m="1" x="65"/>
        <item m="1" x="145"/>
        <item m="1" x="81"/>
        <item m="1" x="138"/>
        <item m="1" x="6"/>
        <item m="1" x="74"/>
        <item m="1" x="96"/>
        <item m="1" x="124"/>
        <item m="1" x="34"/>
        <item m="1" x="85"/>
        <item m="1" x="146"/>
        <item m="1" x="50"/>
        <item m="1" x="104"/>
        <item m="1" x="10"/>
        <item m="1" x="64"/>
        <item m="1" x="62"/>
        <item m="1" x="44"/>
        <item m="1" x="84"/>
        <item m="1" x="7"/>
        <item m="1" x="114"/>
        <item m="1" x="115"/>
        <item m="1" x="98"/>
        <item m="1" x="112"/>
        <item m="1" x="16"/>
        <item m="1" x="87"/>
        <item m="1" x="117"/>
        <item m="1" x="93"/>
        <item m="1" x="55"/>
        <item m="1" x="111"/>
        <item m="1" x="47"/>
        <item m="1" x="24"/>
        <item m="1" x="75"/>
        <item m="1" x="57"/>
        <item m="1" x="56"/>
        <item m="1" x="8"/>
        <item m="1" x="97"/>
        <item m="1" x="143"/>
        <item m="1" x="80"/>
        <item m="1" x="142"/>
        <item m="1" x="18"/>
        <item m="1" x="22"/>
        <item t="default"/>
      </items>
    </pivotField>
    <pivotField showAll="0"/>
    <pivotField showAll="0" defaultSubtotal="0">
      <items count="6">
        <item m="1" x="0"/>
        <item m="1" x="4"/>
        <item m="1" x="3"/>
        <item m="1" x="1"/>
        <item m="1" x="2"/>
        <item m="1" x="5"/>
      </items>
    </pivotField>
    <pivotField showAll="0" defaultSubtotal="0">
      <items count="2">
        <item m="1" x="0"/>
        <item m="1" x="1"/>
      </items>
    </pivotField>
    <pivotField showAll="0">
      <items count="741">
        <item m="1" x="71"/>
        <item m="1" x="299"/>
        <item m="1" x="411"/>
        <item m="1" x="280"/>
        <item m="1" x="674"/>
        <item m="1" x="248"/>
        <item m="1" x="700"/>
        <item m="1" x="738"/>
        <item m="1" x="652"/>
        <item m="1" x="661"/>
        <item m="1" x="540"/>
        <item m="1" x="271"/>
        <item m="1" x="731"/>
        <item m="1" x="14"/>
        <item m="1" x="416"/>
        <item m="1" x="712"/>
        <item m="1" x="585"/>
        <item m="1" x="596"/>
        <item m="1" x="0"/>
        <item m="1" x="485"/>
        <item m="1" x="255"/>
        <item m="1" x="600"/>
        <item m="1" x="127"/>
        <item m="1" x="649"/>
        <item m="1" x="112"/>
        <item m="1" x="171"/>
        <item m="1" x="429"/>
        <item m="1" x="541"/>
        <item m="1" x="168"/>
        <item m="1" x="142"/>
        <item m="1" x="289"/>
        <item m="1" x="602"/>
        <item m="1" x="627"/>
        <item m="1" x="38"/>
        <item m="1" x="604"/>
        <item m="1" x="190"/>
        <item m="1" x="215"/>
        <item m="1" x="395"/>
        <item m="1" x="121"/>
        <item m="1" x="339"/>
        <item m="1" x="166"/>
        <item m="1" x="81"/>
        <item m="1" x="506"/>
        <item m="1" x="470"/>
        <item m="1" x="632"/>
        <item m="1" x="150"/>
        <item m="1" x="209"/>
        <item m="1" x="394"/>
        <item m="1" x="308"/>
        <item m="1" x="290"/>
        <item m="1" x="159"/>
        <item m="1" x="75"/>
        <item m="1" x="633"/>
        <item m="1" x="530"/>
        <item m="1" x="362"/>
        <item m="1" x="98"/>
        <item m="1" x="179"/>
        <item m="1" x="438"/>
        <item m="1" x="579"/>
        <item m="1" x="167"/>
        <item m="1" x="247"/>
        <item m="1" x="208"/>
        <item m="1" x="6"/>
        <item m="1" x="263"/>
        <item m="1" x="286"/>
        <item m="1" x="684"/>
        <item m="1" x="523"/>
        <item m="1" x="644"/>
        <item m="1" x="276"/>
        <item m="1" x="63"/>
        <item m="1" x="551"/>
        <item m="1" x="570"/>
        <item m="1" x="693"/>
        <item m="1" x="86"/>
        <item m="1" x="373"/>
        <item m="1" x="30"/>
        <item m="1" x="371"/>
        <item m="1" x="664"/>
        <item m="1" x="708"/>
        <item m="1" x="706"/>
        <item m="1" x="695"/>
        <item m="1" x="110"/>
        <item m="1" x="104"/>
        <item m="1" x="327"/>
        <item m="1" x="702"/>
        <item m="1" x="139"/>
        <item m="1" x="686"/>
        <item m="1" x="481"/>
        <item m="1" x="654"/>
        <item m="1" x="194"/>
        <item m="1" x="733"/>
        <item m="1" x="431"/>
        <item m="1" x="132"/>
        <item m="1" x="72"/>
        <item m="1" x="611"/>
        <item m="1" x="191"/>
        <item m="1" x="593"/>
        <item m="1" x="349"/>
        <item m="1" x="673"/>
        <item m="1" x="12"/>
        <item m="1" x="101"/>
        <item m="1" x="603"/>
        <item m="1" x="504"/>
        <item m="1" x="355"/>
        <item m="1" x="608"/>
        <item m="1" x="561"/>
        <item m="1" x="707"/>
        <item m="1" x="181"/>
        <item m="1" x="254"/>
        <item m="1" x="342"/>
        <item m="1" x="723"/>
        <item m="1" x="317"/>
        <item m="1" x="3"/>
        <item m="1" x="480"/>
        <item m="1" x="245"/>
        <item m="1" x="227"/>
        <item m="1" x="165"/>
        <item m="1" x="736"/>
        <item m="1" x="109"/>
        <item m="1" x="116"/>
        <item m="1" x="287"/>
        <item m="1" x="281"/>
        <item m="1" x="467"/>
        <item m="1" x="464"/>
        <item m="1" x="231"/>
        <item m="1" x="623"/>
        <item m="1" x="594"/>
        <item m="1" x="329"/>
        <item m="1" x="719"/>
        <item m="1" x="99"/>
        <item m="1" x="207"/>
        <item m="1" x="326"/>
        <item m="1" x="124"/>
        <item m="1" x="582"/>
        <item m="1" x="419"/>
        <item m="1" x="427"/>
        <item m="1" x="490"/>
        <item m="1" x="7"/>
        <item m="1" x="393"/>
        <item m="1" x="225"/>
        <item m="1" x="304"/>
        <item m="1" x="542"/>
        <item m="1" x="526"/>
        <item m="1" x="361"/>
        <item m="1" x="113"/>
        <item m="1" x="689"/>
        <item m="1" x="345"/>
        <item m="1" x="637"/>
        <item m="1" x="703"/>
        <item m="1" x="252"/>
        <item m="1" x="536"/>
        <item m="1" x="288"/>
        <item m="1" x="359"/>
        <item m="1" x="149"/>
        <item m="1" x="357"/>
        <item m="1" x="128"/>
        <item m="1" x="352"/>
        <item m="1" x="473"/>
        <item m="1" x="610"/>
        <item m="1" x="187"/>
        <item m="1" x="472"/>
        <item m="1" x="193"/>
        <item m="1" x="665"/>
        <item m="1" x="564"/>
        <item m="1" x="154"/>
        <item m="1" x="663"/>
        <item m="1" x="222"/>
        <item m="1" x="392"/>
        <item m="1" x="727"/>
        <item m="1" x="131"/>
        <item m="1" x="301"/>
        <item m="1" x="91"/>
        <item m="1" x="309"/>
        <item m="1" x="380"/>
        <item m="1" x="404"/>
        <item m="1" x="656"/>
        <item m="1" x="446"/>
        <item m="1" x="634"/>
        <item m="1" x="52"/>
        <item m="1" x="324"/>
        <item m="1" x="607"/>
        <item m="1" x="189"/>
        <item m="1" x="158"/>
        <item m="1" x="284"/>
        <item m="1" x="335"/>
        <item m="1" x="435"/>
        <item m="1" x="285"/>
        <item m="1" x="60"/>
        <item m="1" x="737"/>
        <item m="1" x="107"/>
        <item m="1" x="549"/>
        <item m="1" x="198"/>
        <item m="1" x="196"/>
        <item m="1" x="699"/>
        <item m="1" x="676"/>
        <item m="1" x="353"/>
        <item m="1" x="333"/>
        <item m="1" x="22"/>
        <item m="1" x="73"/>
        <item m="1" x="123"/>
        <item m="1" x="638"/>
        <item m="1" x="307"/>
        <item m="1" x="595"/>
        <item m="1" x="256"/>
        <item m="1" x="195"/>
        <item m="1" x="396"/>
        <item m="1" x="125"/>
        <item m="1" x="720"/>
        <item m="1" x="354"/>
        <item m="1" x="170"/>
        <item m="1" x="140"/>
        <item m="1" x="628"/>
        <item m="1" x="616"/>
        <item m="1" x="291"/>
        <item m="1" x="322"/>
        <item m="1" x="696"/>
        <item m="1" x="129"/>
        <item m="1" x="148"/>
        <item m="1" x="68"/>
        <item m="1" x="584"/>
        <item m="1" x="667"/>
        <item m="1" x="230"/>
        <item m="1" x="213"/>
        <item m="1" x="347"/>
        <item m="1" x="739"/>
        <item m="1" x="622"/>
        <item m="1" x="705"/>
        <item m="1" x="351"/>
        <item m="1" x="45"/>
        <item m="1" x="152"/>
        <item m="1" x="246"/>
        <item m="1" x="311"/>
        <item m="1" x="642"/>
        <item m="1" x="518"/>
        <item m="1" x="588"/>
        <item m="1" x="575"/>
        <item m="1" x="407"/>
        <item m="1" x="672"/>
        <item m="1" x="47"/>
        <item m="1" x="681"/>
        <item m="1" x="314"/>
        <item m="1" x="331"/>
        <item m="1" x="341"/>
        <item m="1" x="257"/>
        <item m="1" x="491"/>
        <item m="1" x="477"/>
        <item m="1" x="447"/>
        <item m="1" x="37"/>
        <item m="1" x="647"/>
        <item m="1" x="670"/>
        <item m="1" x="232"/>
        <item m="1" x="482"/>
        <item m="1" x="550"/>
        <item m="1" x="96"/>
        <item m="1" x="17"/>
        <item m="1" x="78"/>
        <item m="1" x="23"/>
        <item m="1" x="726"/>
        <item m="1" x="54"/>
        <item m="1" x="569"/>
        <item m="1" x="714"/>
        <item m="1" x="84"/>
        <item m="1" x="520"/>
        <item m="1" x="29"/>
        <item m="1" x="214"/>
        <item m="1" x="4"/>
        <item m="1" x="58"/>
        <item m="1" x="228"/>
        <item m="1" x="323"/>
        <item m="1" x="417"/>
        <item m="1" x="524"/>
        <item m="1" x="49"/>
        <item m="1" x="258"/>
        <item m="1" x="572"/>
        <item m="1" x="48"/>
        <item m="1" x="513"/>
        <item m="1" x="67"/>
        <item m="1" x="259"/>
        <item m="1" x="348"/>
        <item m="1" x="479"/>
        <item m="1" x="641"/>
        <item m="1" x="655"/>
        <item m="1" x="389"/>
        <item m="1" x="203"/>
        <item m="1" x="552"/>
        <item m="1" x="25"/>
        <item m="1" x="223"/>
        <item m="1" x="612"/>
        <item m="1" x="66"/>
        <item m="1" x="466"/>
        <item m="1" x="583"/>
        <item m="1" x="586"/>
        <item m="1" x="677"/>
        <item m="1" x="315"/>
        <item m="1" x="79"/>
        <item m="1" x="591"/>
        <item m="1" x="1"/>
        <item m="1" x="537"/>
        <item m="1" x="532"/>
        <item m="1" x="545"/>
        <item m="1" x="108"/>
        <item m="1" x="278"/>
        <item m="1" x="459"/>
        <item m="1" x="62"/>
        <item m="1" x="94"/>
        <item m="1" x="546"/>
        <item m="1" x="666"/>
        <item m="1" x="344"/>
        <item m="1" x="321"/>
        <item m="1" x="577"/>
        <item m="1" x="340"/>
        <item m="1" x="57"/>
        <item m="1" x="130"/>
        <item m="1" x="553"/>
        <item m="1" x="143"/>
        <item m="1" x="138"/>
        <item m="1" x="613"/>
        <item m="1" x="580"/>
        <item m="1" x="653"/>
        <item m="1" x="77"/>
        <item m="1" x="454"/>
        <item m="1" x="188"/>
        <item m="1" x="251"/>
        <item m="1" x="43"/>
        <item m="1" x="398"/>
        <item m="1" x="363"/>
        <item m="1" x="568"/>
        <item m="1" x="122"/>
        <item m="1" x="27"/>
        <item m="1" x="535"/>
        <item m="1" x="184"/>
        <item m="1" x="15"/>
        <item m="1" x="157"/>
        <item m="1" x="210"/>
        <item m="1" x="619"/>
        <item m="1" x="199"/>
        <item m="1" x="253"/>
        <item m="1" x="625"/>
        <item m="1" x="458"/>
        <item m="1" x="717"/>
        <item m="1" x="87"/>
        <item m="1" x="69"/>
        <item m="1" x="378"/>
        <item m="1" x="635"/>
        <item m="1" x="85"/>
        <item m="1" x="224"/>
        <item m="1" x="10"/>
        <item m="1" x="687"/>
        <item m="1" x="698"/>
        <item m="1" x="59"/>
        <item m="1" x="539"/>
        <item m="1" x="204"/>
        <item m="1" x="13"/>
        <item m="1" x="527"/>
        <item m="1" x="76"/>
        <item m="1" x="422"/>
        <item m="1" x="444"/>
        <item m="1" x="93"/>
        <item m="1" x="478"/>
        <item m="1" x="273"/>
        <item m="1" x="709"/>
        <item m="1" x="65"/>
        <item m="1" x="102"/>
        <item m="1" x="292"/>
        <item m="1" x="710"/>
        <item m="1" x="19"/>
        <item m="1" x="651"/>
        <item m="1" x="474"/>
        <item m="1" x="493"/>
        <item m="1" x="376"/>
        <item m="1" x="53"/>
        <item m="1" x="82"/>
        <item m="1" x="313"/>
        <item m="1" x="100"/>
        <item m="1" x="685"/>
        <item m="1" x="675"/>
        <item m="1" x="135"/>
        <item m="1" x="624"/>
        <item m="1" x="114"/>
        <item m="1" x="581"/>
        <item m="1" x="34"/>
        <item m="1" x="592"/>
        <item m="1" x="133"/>
        <item m="1" x="330"/>
        <item m="1" x="264"/>
        <item m="1" x="16"/>
        <item m="1" x="89"/>
        <item m="1" x="680"/>
        <item m="1" x="601"/>
        <item m="1" x="413"/>
        <item m="1" x="118"/>
        <item m="1" x="668"/>
        <item m="1" x="334"/>
        <item m="1" x="721"/>
        <item m="1" x="318"/>
        <item m="1" x="531"/>
        <item m="1" x="559"/>
        <item m="1" x="408"/>
        <item m="1" x="153"/>
        <item m="1" x="682"/>
        <item m="1" x="679"/>
        <item m="1" x="554"/>
        <item m="1" x="31"/>
        <item m="1" x="382"/>
        <item m="1" x="137"/>
        <item m="1" x="691"/>
        <item m="1" x="169"/>
        <item m="1" x="20"/>
        <item m="1" x="578"/>
        <item m="1" x="688"/>
        <item m="1" x="119"/>
        <item m="1" x="701"/>
        <item m="1" x="390"/>
        <item m="1" x="178"/>
        <item m="1" x="105"/>
        <item m="1" x="704"/>
        <item m="1" x="319"/>
        <item m="1" x="534"/>
        <item m="1" x="70"/>
        <item m="1" x="312"/>
        <item m="1" x="229"/>
        <item m="1" x="295"/>
        <item m="1" x="606"/>
        <item m="1" x="83"/>
        <item m="1" x="360"/>
        <item m="1" x="92"/>
        <item m="1" x="562"/>
        <item m="1" x="144"/>
        <item m="1" x="28"/>
        <item m="1" x="597"/>
        <item m="1" x="621"/>
        <item m="1" x="615"/>
        <item m="1" x="476"/>
        <item m="1" x="598"/>
        <item m="1" x="544"/>
        <item m="1" x="521"/>
        <item m="1" x="55"/>
        <item m="1" x="41"/>
        <item m="1" x="599"/>
        <item m="1" x="356"/>
        <item m="1" x="418"/>
        <item m="1" x="103"/>
        <item m="1" x="42"/>
        <item m="1" x="332"/>
        <item m="1" x="713"/>
        <item m="1" x="239"/>
        <item m="1" x="658"/>
        <item m="1" x="529"/>
        <item m="1" x="233"/>
        <item m="1" x="711"/>
        <item m="1" x="678"/>
        <item m="1" x="648"/>
        <item m="1" x="558"/>
        <item m="1" x="36"/>
        <item m="1" x="697"/>
        <item m="1" x="211"/>
        <item m="1" x="346"/>
        <item m="1" x="626"/>
        <item m="1" x="141"/>
        <item m="1" x="274"/>
        <item m="1" x="328"/>
        <item m="1" x="379"/>
        <item m="1" x="503"/>
        <item m="1" x="528"/>
        <item m="1" x="609"/>
        <item m="1" x="21"/>
        <item m="1" x="502"/>
        <item m="1" x="533"/>
        <item m="1" x="439"/>
        <item m="1" x="515"/>
        <item m="1" x="630"/>
        <item m="1" x="74"/>
        <item m="1" x="555"/>
        <item m="1" x="618"/>
        <item m="1" x="325"/>
        <item m="1" x="151"/>
        <item m="1" x="465"/>
        <item m="1" x="566"/>
        <item m="1" x="176"/>
        <item m="1" x="275"/>
        <item m="1" x="305"/>
        <item m="1" x="50"/>
        <item m="1" x="269"/>
        <item m="1" x="64"/>
        <item m="1" x="543"/>
        <item m="1" x="510"/>
        <item m="1" x="560"/>
        <item m="1" x="182"/>
        <item m="1" x="671"/>
        <item m="1" x="567"/>
        <item m="1" x="495"/>
        <item m="1" x="500"/>
        <item m="1" x="636"/>
        <item m="1" x="174"/>
        <item m="1" x="277"/>
        <item m="1" x="437"/>
        <item m="1" x="155"/>
        <item m="1" x="338"/>
        <item m="1" x="40"/>
        <item m="1" x="548"/>
        <item m="1" x="573"/>
        <item m="1" x="316"/>
        <item m="1" x="629"/>
        <item m="1" x="202"/>
        <item m="1" x="724"/>
        <item m="1" x="483"/>
        <item m="1" x="120"/>
        <item m="1" x="97"/>
        <item m="1" x="718"/>
        <item m="1" x="302"/>
        <item m="1" x="320"/>
        <item m="1" x="306"/>
        <item m="1" x="282"/>
        <item m="1" x="690"/>
        <item m="1" x="728"/>
        <item m="1" x="243"/>
        <item m="1" x="730"/>
        <item m="1" x="374"/>
        <item m="1" x="386"/>
        <item m="1" x="522"/>
        <item m="1" x="32"/>
        <item m="1" x="61"/>
        <item m="1" x="441"/>
        <item m="1" x="8"/>
        <item m="1" x="44"/>
        <item m="1" x="620"/>
        <item m="1" x="267"/>
        <item m="1" x="734"/>
        <item m="1" x="56"/>
        <item m="1" x="614"/>
        <item m="1" x="556"/>
        <item m="1" x="51"/>
        <item m="1" x="436"/>
        <item m="1" x="399"/>
        <item m="1" x="186"/>
        <item m="1" x="226"/>
        <item m="1" x="725"/>
        <item m="1" x="643"/>
        <item m="1" x="134"/>
        <item m="1" x="145"/>
        <item m="1" x="576"/>
        <item m="1" x="106"/>
        <item m="1" x="565"/>
        <item m="1" x="571"/>
        <item m="1" x="33"/>
        <item m="1" x="310"/>
        <item m="1" x="462"/>
        <item m="1" x="9"/>
        <item m="1" x="221"/>
        <item m="1" x="631"/>
        <item m="1" x="95"/>
        <item m="1" x="146"/>
        <item m="1" x="715"/>
        <item m="1" x="722"/>
        <item m="1" x="279"/>
        <item m="1" x="525"/>
        <item m="1" x="192"/>
        <item m="1" x="574"/>
        <item m="1" x="111"/>
        <item m="1" x="645"/>
        <item m="1" x="587"/>
        <item m="1" x="268"/>
        <item m="1" x="147"/>
        <item m="1" x="732"/>
        <item m="1" x="350"/>
        <item m="1" x="39"/>
        <item m="1" x="5"/>
        <item m="1" x="26"/>
        <item m="1" x="156"/>
        <item m="1" x="659"/>
        <item m="1" x="735"/>
        <item m="1" x="589"/>
        <item m="1" x="617"/>
        <item m="1" x="88"/>
        <item m="1" x="729"/>
        <item m="1" x="261"/>
        <item m="1" x="18"/>
        <item m="1" x="640"/>
        <item m="1" x="547"/>
        <item m="1" x="692"/>
        <item m="1" x="272"/>
        <item m="1" x="336"/>
        <item m="1" x="161"/>
        <item m="1" x="343"/>
        <item m="1" x="660"/>
        <item m="1" x="657"/>
        <item m="1" x="605"/>
        <item m="1" x="414"/>
        <item m="1" x="197"/>
        <item m="1" x="639"/>
        <item m="1" x="35"/>
        <item m="1" x="508"/>
        <item m="1" x="463"/>
        <item m="1" x="80"/>
        <item m="1" x="300"/>
        <item m="1" x="90"/>
        <item m="1" x="46"/>
        <item m="1" x="694"/>
        <item m="1" x="358"/>
        <item m="1" x="337"/>
        <item m="1" x="683"/>
        <item m="1" x="212"/>
        <item m="1" x="2"/>
        <item m="1" x="126"/>
        <item m="1" x="669"/>
        <item m="1" x="201"/>
        <item m="1" x="650"/>
        <item m="1" x="24"/>
        <item m="1" x="716"/>
        <item m="1" x="220"/>
        <item m="1" x="372"/>
        <item m="1" x="538"/>
        <item m="1" x="590"/>
        <item m="1" x="136"/>
        <item m="1" x="117"/>
        <item m="1" x="563"/>
        <item m="1" x="662"/>
        <item m="1" x="557"/>
        <item m="1" x="115"/>
        <item m="1" x="646"/>
        <item m="1" x="293"/>
        <item m="1" x="249"/>
        <item m="1" x="294"/>
        <item m="1" x="260"/>
        <item m="1" x="250"/>
        <item m="1" x="262"/>
        <item m="1" x="238"/>
        <item m="1" x="296"/>
        <item m="1" x="283"/>
        <item m="1" x="303"/>
        <item m="1" x="240"/>
        <item m="1" x="297"/>
        <item m="1" x="241"/>
        <item m="1" x="298"/>
        <item m="1" x="265"/>
        <item m="1" x="242"/>
        <item m="1" x="266"/>
        <item m="1" x="244"/>
        <item m="1" x="270"/>
        <item m="1" x="11"/>
        <item m="1" x="415"/>
        <item m="1" x="375"/>
        <item m="1" x="440"/>
        <item m="1" x="442"/>
        <item m="1" x="486"/>
        <item m="1" x="445"/>
        <item m="1" x="397"/>
        <item m="1" x="487"/>
        <item m="1" x="420"/>
        <item m="1" x="488"/>
        <item m="1" x="468"/>
        <item m="1" x="421"/>
        <item m="1" x="377"/>
        <item m="1" x="489"/>
        <item m="1" x="471"/>
        <item m="1" x="449"/>
        <item m="1" x="400"/>
        <item m="1" x="423"/>
        <item m="1" x="381"/>
        <item m="1" x="505"/>
        <item m="1" x="450"/>
        <item m="1" x="424"/>
        <item m="1" x="383"/>
        <item m="1" x="507"/>
        <item m="1" x="451"/>
        <item m="1" x="425"/>
        <item m="1" x="401"/>
        <item m="1" x="364"/>
        <item m="1" x="509"/>
        <item m="1" x="492"/>
        <item m="1" x="452"/>
        <item m="1" x="426"/>
        <item m="1" x="402"/>
        <item m="1" x="365"/>
        <item m="1" x="453"/>
        <item m="1" x="428"/>
        <item m="1" x="403"/>
        <item m="1" x="384"/>
        <item m="1" x="475"/>
        <item m="1" x="430"/>
        <item m="1" x="385"/>
        <item m="1" x="494"/>
        <item m="1" x="455"/>
        <item m="1" x="405"/>
        <item m="1" x="366"/>
        <item m="1" x="511"/>
        <item m="1" x="496"/>
        <item m="1" x="456"/>
        <item m="1" x="367"/>
        <item m="1" x="512"/>
        <item m="1" x="497"/>
        <item m="1" x="457"/>
        <item m="1" x="432"/>
        <item m="1" x="406"/>
        <item m="1" x="514"/>
        <item m="1" x="498"/>
        <item m="1" x="433"/>
        <item m="1" x="387"/>
        <item m="1" x="368"/>
        <item m="1" x="499"/>
        <item m="1" x="434"/>
        <item m="1" x="409"/>
        <item m="1" x="388"/>
        <item m="1" x="369"/>
        <item m="1" x="410"/>
        <item m="1" x="370"/>
        <item m="1" x="460"/>
        <item m="1" x="516"/>
        <item m="1" x="461"/>
        <item m="1" x="412"/>
        <item m="1" x="391"/>
        <item m="1" x="501"/>
        <item m="1" x="517"/>
        <item m="1" x="519"/>
        <item m="1" x="443"/>
        <item m="1" x="448"/>
        <item m="1" x="484"/>
        <item m="1" x="469"/>
        <item m="1" x="216"/>
        <item m="1" x="217"/>
        <item m="1" x="180"/>
        <item m="1" x="172"/>
        <item m="1" x="234"/>
        <item m="1" x="218"/>
        <item m="1" x="235"/>
        <item m="1" x="205"/>
        <item m="1" x="160"/>
        <item m="1" x="236"/>
        <item m="1" x="219"/>
        <item m="1" x="183"/>
        <item m="1" x="173"/>
        <item m="1" x="162"/>
        <item m="1" x="237"/>
        <item m="1" x="206"/>
        <item m="1" x="185"/>
        <item m="1" x="163"/>
        <item m="1" x="175"/>
        <item m="1" x="164"/>
        <item m="1" x="177"/>
        <item m="1" x="200"/>
        <item t="default"/>
      </items>
    </pivotField>
    <pivotField axis="axisRow" showAll="0" sortType="ascending" defaultSubtotal="0">
      <items count="8000">
        <item sd="0" m="1" x="0"/>
        <item sd="0" m="1" x="7835"/>
        <item sd="0" m="1" x="2245"/>
        <item sd="0" m="1" x="7426"/>
        <item sd="0" m="1" x="4623"/>
        <item sd="0" m="1" x="3224"/>
        <item sd="0" m="1" x="1825"/>
        <item sd="0" m="1" x="419"/>
        <item sd="0" m="1" x="7010"/>
        <item sd="0" m="1" x="6320"/>
        <item sd="0" m="1" x="5617"/>
        <item sd="0" m="1" x="4917"/>
        <item sd="0" m="1" x="4208"/>
        <item sd="0" m="1" x="3511"/>
        <item sd="0" m="1" x="2817"/>
        <item sd="0" m="1" x="2130"/>
        <item sd="0" m="1" x="1421"/>
        <item sd="0" m="1" x="1066"/>
        <item sd="0" m="1" x="713"/>
        <item sd="0" m="1" x="356"/>
        <item sd="0" m="1" x="10"/>
        <item sd="0" m="1" x="7659"/>
        <item sd="0" m="1" x="7303"/>
        <item sd="0" m="1" x="6951"/>
        <item sd="0" m="1" x="6605"/>
        <item sd="0" m="1" x="6255"/>
        <item sd="0" m="1" x="5903"/>
        <item sd="0" m="1" x="5555"/>
        <item sd="0" m="1" x="5212"/>
        <item sd="0" m="1" x="4853"/>
        <item sd="0" m="1" x="4502"/>
        <item sd="0" m="1" x="4151"/>
        <item sd="0" m="1" x="3805"/>
        <item m="1" x="3624"/>
        <item sd="0" m="1" x="3449"/>
        <item sd="0" m="1" x="3277"/>
        <item m="1" x="3101"/>
        <item sd="0" m="1" x="2928"/>
        <item m="1" x="2758"/>
        <item sd="0" m="1" x="2584"/>
        <item m="1" x="2413"/>
        <item sd="0" m="1" x="2240"/>
        <item m="1" x="2065"/>
        <item sd="0" m="1" x="1886"/>
        <item m="1" x="1710"/>
        <item sd="0" m="1" x="1540"/>
        <item sd="0" m="1" x="1365"/>
        <item m="1" x="1186"/>
        <item sd="0" m="1" x="1011"/>
        <item m="1" x="833"/>
        <item sd="0" m="1" x="650"/>
        <item m="1" x="475"/>
        <item sd="0" m="1" x="295"/>
        <item m="1" x="120"/>
        <item sd="0" m="1" x="7944"/>
        <item m="1" x="7767"/>
        <item sd="0" m="1" x="7594"/>
        <item sd="0" m="1" x="7421"/>
        <item m="1" x="7240"/>
        <item sd="0" m="1" x="7069"/>
        <item m="1" x="6892"/>
        <item sd="0" m="1" x="6718"/>
        <item m="1" x="6547"/>
        <item sd="0" m="1" x="6374"/>
        <item m="1" x="6196"/>
        <item sd="0" m="1" x="2126"/>
        <item sd="0" m="1" x="6022"/>
        <item m="1" x="1945"/>
        <item m="1" x="5848"/>
        <item sd="0" m="1" x="1765"/>
        <item sd="0" m="1" x="5672"/>
        <item m="1" x="1595"/>
        <item sd="0" m="1" x="5496"/>
        <item sd="0" m="1" x="1418"/>
        <item m="1" x="5319"/>
        <item m="1" x="1242"/>
        <item sd="0" m="1" x="5150"/>
        <item sd="0" m="1" x="1063"/>
        <item m="1" x="4969"/>
        <item m="1" x="888"/>
        <item sd="0" m="1" x="4785"/>
        <item sd="0" m="1" x="709"/>
        <item m="1" x="4614"/>
        <item sd="0" m="1" x="531"/>
        <item sd="0" m="1" x="4439"/>
        <item m="1" x="353"/>
        <item m="1" x="4265"/>
        <item sd="0" m="1" x="181"/>
        <item sd="0" m="1" x="4091"/>
        <item m="1" x="6"/>
        <item m="1" x="3916"/>
        <item sd="0" m="1" x="7827"/>
        <item sd="0" m="1" x="3744"/>
        <item m="1" x="7655"/>
        <item sd="0" m="1" x="3566"/>
        <item sd="0" m="1" x="7478"/>
        <item m="1" x="3390"/>
        <item m="1" x="7299"/>
        <item sd="0" m="1" x="3218"/>
        <item sd="0" m="1" x="7126"/>
        <item m="1" x="3045"/>
        <item m="1" x="6948"/>
        <item sd="0" m="1" x="2871"/>
        <item sd="0" m="1" x="6777"/>
        <item m="1" x="2699"/>
        <item sd="0" m="1" x="6602"/>
        <item sd="0" m="1" x="2523"/>
        <item m="1" x="6428"/>
        <item m="1" x="2350"/>
        <item sd="0" m="1" x="6251"/>
        <item sd="0" m="1" x="2180"/>
        <item m="1" x="6077"/>
        <item m="1" x="1999"/>
        <item sd="0" m="1" x="5899"/>
        <item sd="0" m="1" x="1820"/>
        <item m="1" x="5728"/>
        <item sd="0" m="1" x="1650"/>
        <item sd="0" m="1" x="5549"/>
        <item m="1" x="1476"/>
        <item m="1" x="5379"/>
        <item sd="0" m="1" x="1303"/>
        <item sd="0" m="1" x="5208"/>
        <item m="1" x="1123"/>
        <item m="1" x="5029"/>
        <item sd="0" m="1" x="948"/>
        <item sd="0" m="1" x="4849"/>
        <item m="1" x="771"/>
        <item sd="0" m="1" x="4675"/>
        <item sd="0" m="1" x="589"/>
        <item sd="0" m="1" x="6544"/>
        <item m="1" x="4498"/>
        <item m="1" x="2469"/>
        <item m="1" x="413"/>
        <item m="1" x="6371"/>
        <item sd="0" m="1" x="4324"/>
        <item sd="0" m="1" x="2293"/>
        <item sd="0" m="1" x="239"/>
        <item m="1" x="6193"/>
        <item m="1" x="4146"/>
        <item m="1" x="2124"/>
        <item m="1" x="63"/>
        <item sd="0" m="1" x="6019"/>
        <item sd="0" m="1" x="3975"/>
        <item sd="0" m="1" x="1942"/>
        <item sd="0" m="1" x="7887"/>
        <item m="1" x="5844"/>
        <item m="1" x="3801"/>
        <item m="1" x="1763"/>
        <item sd="0" m="1" x="7712"/>
        <item sd="0" m="1" x="5670"/>
        <item sd="0" m="1" x="3620"/>
        <item sd="0" m="1" x="1592"/>
        <item m="1" x="7534"/>
        <item m="1" x="5493"/>
        <item m="1" x="3446"/>
        <item m="1" x="1416"/>
        <item sd="0" m="1" x="7357"/>
        <item sd="0" m="1" x="5317"/>
        <item sd="0" m="1" x="3272"/>
        <item m="1" x="1239"/>
        <item m="1" x="7177"/>
        <item m="1" x="5148"/>
        <item m="1" x="3098"/>
        <item sd="0" m="1" x="1061"/>
        <item sd="0" m="1" x="7004"/>
        <item sd="0" m="1" x="4966"/>
        <item sd="0" m="1" x="2923"/>
        <item m="1" x="884"/>
        <item m="1" x="6829"/>
        <item m="1" x="4783"/>
        <item sd="0" m="1" x="2755"/>
        <item sd="0" m="1" x="707"/>
        <item sd="0" m="1" x="6655"/>
        <item sd="0" m="1" x="4611"/>
        <item m="1" x="2578"/>
        <item m="1" x="528"/>
        <item m="1" x="6486"/>
        <item m="1" x="4437"/>
        <item sd="0" m="1" x="2411"/>
        <item sd="0" m="1" x="351"/>
        <item sd="0" m="1" x="6312"/>
        <item m="1" x="4262"/>
        <item m="1" x="2234"/>
        <item m="1" x="179"/>
        <item m="1" x="6134"/>
        <item sd="0" m="1" x="4089"/>
        <item sd="0" m="1" x="2062"/>
        <item sd="0" m="1" x="3"/>
        <item sd="0" m="1" x="5960"/>
        <item m="1" x="3912"/>
        <item m="1" x="1881"/>
        <item m="1" x="7825"/>
        <item sd="0" m="1" x="5789"/>
        <item sd="0" m="1" x="3742"/>
        <item sd="0" m="1" x="1705"/>
        <item sd="0" m="1" x="7652"/>
        <item sd="0" m="1" x="5439"/>
        <item sd="0" m="1" x="3388"/>
        <item m="1" x="1360"/>
        <item sd="0" m="1" x="7124"/>
        <item sd="0" m="1" x="5090"/>
        <item m="1" x="3042"/>
        <item m="1" x="1007"/>
        <item sd="0" m="1" x="830"/>
        <item sd="0" m="1" x="6776"/>
        <item sd="0" m="1" x="4728"/>
        <item m="1" x="2697"/>
        <item sd="0" m="1" x="473"/>
        <item sd="0" m="1" x="6427"/>
        <item m="1" x="4378"/>
        <item sd="0" m="1" x="2178"/>
        <item sd="0" m="1" x="118"/>
        <item m="1" x="6075"/>
        <item m="1" x="4030"/>
        <item sd="0" m="1" x="3854"/>
        <item sd="0" m="1" x="1819"/>
        <item sd="0" m="1" x="7763"/>
        <item m="1" x="5726"/>
        <item sd="0" m="1" x="3504"/>
        <item sd="0" m="1" x="1475"/>
        <item m="1" x="7417"/>
        <item sd="0" m="1" x="5206"/>
        <item sd="0" m="1" x="3157"/>
        <item m="1" x="1121"/>
        <item m="1" x="7066"/>
        <item sd="0" m="1" x="6888"/>
        <item sd="0" m="1" x="1880"/>
        <item sd="0" m="1" x="4847"/>
        <item sd="0" m="1" x="7824"/>
        <item sd="0" m="1" x="2811"/>
        <item m="1" x="5787"/>
        <item m="1" x="769"/>
        <item m="1" x="3740"/>
        <item sd="0" m="1" x="3563"/>
        <item sd="0" m="1" x="6543"/>
        <item sd="0" m="1" x="1537"/>
        <item sd="0" m="1" x="4497"/>
        <item sd="0" m="1" x="7475"/>
        <item m="1" x="2467"/>
        <item m="1" x="5437"/>
        <item m="1" x="411"/>
        <item sd="0" m="1" x="237"/>
        <item sd="0" m="1" x="3216"/>
        <item sd="0" m="1" x="6192"/>
        <item sd="0" m="1" x="1181"/>
        <item m="1" x="4144"/>
        <item m="1" x="7122"/>
        <item m="1" x="2122"/>
        <item sd="0" m="1" x="1940"/>
        <item sd="0" m="1" x="4909"/>
        <item sd="0" m="1" x="7886"/>
        <item sd="0" m="1" x="2869"/>
        <item sd="0" m="1" x="5842"/>
        <item m="1" x="828"/>
        <item m="1" x="3799"/>
        <item m="1" x="6774"/>
        <item sd="0" m="1" x="6599"/>
        <item sd="0" m="1" x="1591"/>
        <item sd="0" m="1" x="4557"/>
        <item sd="0" m="1" x="7533"/>
        <item sd="0" m="1" x="2520"/>
        <item m="1" x="5491"/>
        <item m="1" x="471"/>
        <item m="1" x="3444"/>
        <item sd="0" m="1" x="3270"/>
        <item sd="0" m="1" x="6249"/>
        <item sd="0" m="1" x="1238"/>
        <item sd="0" m="1" x="4200"/>
        <item m="1" x="7175"/>
        <item m="1" x="2176"/>
        <item m="1" x="5146"/>
        <item sd="0" m="1" x="4964"/>
        <item sd="0" m="1" x="7939"/>
        <item sd="0" m="1" x="2922"/>
        <item sd="0" m="1" x="5897"/>
        <item sd="0" m="1" x="882"/>
        <item m="1" x="3852"/>
        <item m="1" x="6827"/>
        <item m="1" x="1817"/>
        <item sd="0" m="1" x="1647"/>
        <item sd="0" m="1" x="4610"/>
        <item sd="0" m="1" x="7590"/>
        <item sd="0" m="1" x="2577"/>
        <item sd="0" m="1" x="5546"/>
        <item m="1" x="526"/>
        <item m="1" x="3502"/>
        <item m="1" x="6484"/>
        <item sd="0" m="1" x="6310"/>
        <item sd="0" m="1" x="1301"/>
        <item sd="0" m="1" x="4261"/>
        <item sd="0" m="1" x="7235"/>
        <item m="1" x="2233"/>
        <item m="1" x="5205"/>
        <item m="1" x="178"/>
        <item sd="0" m="1" x="1"/>
        <item sd="0" m="1" x="2983"/>
        <item sd="0" m="1" x="5959"/>
        <item sd="0" m="1" x="946"/>
        <item sd="0" m="1" x="3911"/>
        <item m="1" x="6887"/>
        <item m="1" x="1879"/>
        <item m="1" x="4846"/>
        <item sd="0" m="1" x="4672"/>
        <item sd="0" m="1" x="7650"/>
        <item sd="0" m="1" x="2641"/>
        <item sd="0" m="1" x="5609"/>
        <item sd="0" m="1" x="587"/>
        <item m="1" x="3562"/>
        <item m="1" x="6542"/>
        <item m="1" x="1536"/>
        <item sd="0" m="1" x="1358"/>
        <item sd="0" m="1" x="4322"/>
        <item sd="0" m="1" x="7296"/>
        <item sd="0" m="1" x="2291"/>
        <item m="1" x="5262"/>
        <item m="1" x="236"/>
        <item m="1" x="3215"/>
        <item sd="0" m="1" x="3040"/>
        <item sd="0" m="1" x="6016"/>
        <item sd="0" m="1" x="1006"/>
        <item sd="0" m="1" x="3973"/>
        <item sd="0" m="1" x="6944"/>
        <item m="1" x="1939"/>
        <item m="1" x="4908"/>
        <item m="1" x="7885"/>
        <item sd="0" m="1" x="7709"/>
        <item sd="0" m="1" x="2695"/>
        <item sd="0" m="1" x="5668"/>
        <item sd="0" m="1" x="646"/>
        <item sd="0" m="1" x="3618"/>
        <item m="1" x="6598"/>
        <item m="1" x="1590"/>
        <item m="1" x="4556"/>
        <item sd="0" m="1" x="4376"/>
        <item sd="0" m="1" x="7355"/>
        <item sd="0" m="1" x="2348"/>
        <item sd="0" m="1" x="5315"/>
        <item m="1" x="290"/>
        <item m="1" x="3269"/>
        <item m="1" x="6248"/>
        <item sd="0" m="1" x="6073"/>
        <item sd="0" m="1" x="1058"/>
        <item sd="0" m="1" x="4029"/>
        <item sd="0" m="1" x="7002"/>
        <item sd="0" m="1" x="1996"/>
        <item m="1" x="4963"/>
        <item m="1" x="7938"/>
        <item m="1" x="2921"/>
        <item sd="0" m="1" x="2752"/>
        <item sd="0" m="1" x="5724"/>
        <item sd="0" m="1" x="705"/>
        <item sd="0" m="1" x="3677"/>
        <item sd="0" m="1" x="6653"/>
        <item m="1" x="1646"/>
        <item m="1" x="4609"/>
        <item m="1" x="7589"/>
        <item sd="0" m="1" x="7414"/>
        <item sd="0" m="1" x="2408"/>
        <item sd="0" m="1" x="5376"/>
        <item sd="0" m="1" x="6858"/>
        <item sd="0" m="1" x="349"/>
        <item sd="0" m="1" x="1848"/>
        <item m="1" x="3330"/>
        <item m="1" x="4815"/>
        <item m="1" x="6309"/>
        <item m="1" x="7794"/>
        <item m="1" x="1300"/>
        <item m="1" x="2786"/>
        <item sd="0" m="1" x="1119"/>
        <item sd="0" m="1" x="2610"/>
        <item sd="0" m="1" x="4086"/>
        <item sd="0" m="1" x="5583"/>
        <item sd="0" m="1" x="7064"/>
        <item sd="0" m="1" x="560"/>
        <item sd="0" m="1" x="2059"/>
        <item sd="0" m="1" x="3531"/>
        <item sd="0" m="1" x="5026"/>
        <item m="1" x="6512"/>
        <item m="1" x="7999"/>
        <item m="1" x="1505"/>
        <item m="1" x="2982"/>
        <item m="1" x="4467"/>
        <item m="1" x="5958"/>
        <item sd="0" m="1" x="4290"/>
        <item sd="0" m="1" x="5785"/>
        <item sd="0" m="1" x="7266"/>
        <item sd="0" m="1" x="767"/>
        <item sd="0" m="1" x="2267"/>
        <item sd="0" m="1" x="3738"/>
        <item sd="0" m="1" x="5235"/>
        <item sd="0" m="1" x="6714"/>
        <item sd="0" m="1" x="205"/>
        <item sd="0" m="1" x="1703"/>
        <item m="1" x="3183"/>
        <item m="1" x="4671"/>
        <item m="1" x="6161"/>
        <item m="1" x="7649"/>
        <item m="1" x="1153"/>
        <item m="1" x="2640"/>
        <item sd="0" m="1" x="975"/>
        <item sd="0" m="1" x="2465"/>
        <item sd="0" m="1" x="3944"/>
        <item sd="0" m="1" x="5435"/>
        <item sd="0" m="1" x="6919"/>
        <item sd="0" m="1" x="409"/>
        <item sd="0" m="1" x="1909"/>
        <item sd="0" m="1" x="3386"/>
        <item sd="0" m="1" x="4876"/>
        <item m="1" x="6368"/>
        <item m="1" x="7854"/>
        <item m="1" x="1357"/>
        <item m="1" x="2840"/>
        <item m="1" x="4321"/>
        <item m="1" x="5817"/>
        <item sd="0" m="1" x="4142"/>
        <item sd="0" m="1" x="5639"/>
        <item sd="0" m="1" x="7120"/>
        <item sd="0" m="1" x="621"/>
        <item sd="0" m="1" x="2120"/>
        <item sd="0" m="1" x="3593"/>
        <item sd="0" m="1" x="5087"/>
        <item sd="0" m="1" x="6570"/>
        <item sd="0" m="1" x="60"/>
        <item m="1" x="1563"/>
        <item m="1" x="3039"/>
        <item m="1" x="4528"/>
        <item m="1" x="6015"/>
        <item m="1" x="7506"/>
        <item m="1" x="1005"/>
        <item sd="0" m="1" x="7326"/>
        <item sd="0" m="1" x="826"/>
        <item sd="0" m="1" x="2321"/>
        <item sd="0" m="1" x="3797"/>
        <item sd="0" m="1" x="5293"/>
        <item sd="0" m="1" x="6772"/>
        <item sd="0" m="1" x="265"/>
        <item sd="0" m="1" x="1761"/>
        <item sd="0" m="1" x="3243"/>
        <item sd="0" m="1" x="4726"/>
        <item m="1" x="6220"/>
        <item m="1" x="7708"/>
        <item m="1" x="1209"/>
        <item m="1" x="2694"/>
        <item m="1" x="4176"/>
        <item m="1" x="5667"/>
        <item sd="0" m="1" x="3999"/>
        <item sd="0" m="1" x="5489"/>
        <item sd="0" m="1" x="6974"/>
        <item sd="0" m="1" x="468"/>
        <item sd="0" m="1" x="1970"/>
        <item sd="0" m="1" x="3441"/>
        <item sd="0" m="1" x="4934"/>
        <item sd="0" m="1" x="6424"/>
        <item sd="0" m="1" x="7910"/>
        <item m="1" x="1412"/>
        <item m="1" x="2892"/>
        <item m="1" x="4374"/>
        <item m="1" x="5869"/>
        <item m="1" x="7353"/>
        <item m="1" x="857"/>
        <item sd="0" m="1" x="7173"/>
        <item sd="0" m="1" x="673"/>
        <item sd="0" m="1" x="2174"/>
        <item sd="0" m="1" x="3650"/>
        <item sd="0" m="1" x="5143"/>
        <item sd="0" m="1" x="6627"/>
        <item sd="0" m="1" x="115"/>
        <item sd="0" m="1" x="1618"/>
        <item sd="0" m="1" x="3094"/>
        <item m="1" x="4581"/>
        <item m="1" x="6071"/>
        <item m="1" x="7560"/>
        <item m="1" x="1056"/>
        <item m="1" x="2550"/>
        <item m="1" x="4027"/>
        <item sd="0" m="1" x="3850"/>
        <item sd="0" m="1" x="5344"/>
        <item sd="0" m="1" x="6825"/>
        <item sd="0" m="1" x="319"/>
        <item sd="0" m="1" x="1814"/>
        <item sd="0" m="1" x="3298"/>
        <item sd="0" m="1" x="4780"/>
        <item sd="0" m="1" x="6277"/>
        <item sd="0" m="1" x="7760"/>
        <item m="1" x="1266"/>
        <item m="1" x="2750"/>
        <item m="1" x="4228"/>
        <item m="1" x="5722"/>
        <item m="1" x="7206"/>
        <item m="1" x="703"/>
        <item sd="0" m="1" x="7029"/>
        <item sd="0" m="1" x="523"/>
        <item sd="0" m="1" x="2027"/>
        <item sd="0" m="1" x="3499"/>
        <item m="1" x="4996"/>
        <item m="1" x="6480"/>
        <item m="1" x="7968"/>
        <item sd="0" m="1" x="1471"/>
        <item sd="0" m="1" x="2951"/>
        <item m="1" x="4432"/>
        <item m="1" x="5926"/>
        <item m="1" x="7412"/>
        <item m="1" x="915"/>
        <item m="1" x="2406"/>
        <item m="1" x="3885"/>
        <item sd="0" m="1" x="2231"/>
        <item sd="0" m="1" x="3706"/>
        <item sd="0" m="1" x="5202"/>
        <item sd="0" m="1" x="6686"/>
        <item sd="0" m="1" x="174"/>
        <item sd="0" m="1" x="1676"/>
        <item sd="0" m="1" x="3154"/>
        <item sd="0" m="1" x="4642"/>
        <item sd="0" m="1" x="6130"/>
        <item m="1" x="7619"/>
        <item m="1" x="1117"/>
        <item m="1" x="2608"/>
        <item m="1" x="4084"/>
        <item m="1" x="5581"/>
        <item m="1" x="7062"/>
        <item sd="0" m="1" x="6884"/>
        <item sd="0" m="1" x="379"/>
        <item sd="0" m="1" x="1876"/>
        <item sd="0" m="1" x="3358"/>
        <item sd="0" m="1" x="4842"/>
        <item sd="0" m="1" x="6338"/>
        <item sd="0" m="1" x="7821"/>
        <item sd="0" m="1" x="1327"/>
        <item sd="0" m="1" x="2808"/>
        <item m="1" x="4288"/>
        <item m="1" x="5783"/>
        <item m="1" x="7264"/>
        <item m="1" x="765"/>
        <item m="1" x="2265"/>
        <item m="1" x="3736"/>
        <item sd="0" m="1" x="2088"/>
        <item sd="0" m="1" x="3559"/>
        <item sd="0" m="1" x="5057"/>
        <item sd="0" m="1" x="6539"/>
        <item sd="0" m="1" x="32"/>
        <item sd="0" m="1" x="1532"/>
        <item sd="0" m="1" x="3010"/>
        <item sd="0" m="1" x="4494"/>
        <item sd="0" m="1" x="5985"/>
        <item m="1" x="7472"/>
        <item m="1" x="973"/>
        <item m="1" x="2463"/>
        <item m="1" x="3942"/>
        <item m="1" x="5433"/>
        <item m="1" x="6917"/>
        <item sd="0" m="1" x="5260"/>
        <item sd="0" m="1" x="6741"/>
        <item sd="0" m="1" x="233"/>
        <item sd="0" m="1" x="1733"/>
        <item sd="0" m="1" x="3211"/>
        <item sd="0" m="1" x="4699"/>
        <item sd="0" m="1" x="6189"/>
        <item sd="0" m="1" x="7680"/>
        <item sd="0" m="1" x="1178"/>
        <item m="1" x="2665"/>
        <item m="1" x="4140"/>
        <item m="1" x="5637"/>
        <item m="1" x="7118"/>
        <item m="1" x="619"/>
        <item m="1" x="2118"/>
        <item sd="0" m="1" x="1936"/>
        <item sd="0" m="1" x="3415"/>
        <item sd="0" m="1" x="4905"/>
        <item sd="0" m="1" x="6398"/>
        <item sd="0" m="1" x="7881"/>
        <item sd="0" m="1" x="1386"/>
        <item sd="0" m="1" x="2866"/>
        <item sd="0" m="1" x="4348"/>
        <item sd="0" m="1" x="5839"/>
        <item m="1" x="7324"/>
        <item m="1" x="824"/>
        <item m="1" x="2319"/>
        <item m="1" x="3795"/>
        <item m="1" x="5291"/>
        <item m="1" x="6770"/>
        <item sd="0" m="1" x="5114"/>
        <item sd="0" m="1" x="6596"/>
        <item sd="0" m="1" x="88"/>
        <item sd="0" m="1" x="1588"/>
        <item sd="0" m="1" x="3068"/>
        <item sd="0" m="1" x="4553"/>
        <item sd="0" m="1" x="6043"/>
        <item sd="0" m="1" x="7530"/>
        <item sd="0" m="1" x="1029"/>
        <item m="1" x="2517"/>
        <item m="1" x="3997"/>
        <item m="1" x="5487"/>
        <item m="1" x="6972"/>
        <item m="1" x="466"/>
        <item m="1" x="1968"/>
        <item sd="0" m="1" x="289"/>
        <item sd="0" m="1" x="1786"/>
        <item sd="0" m="1" x="3267"/>
        <item sd="0" m="1" x="4752"/>
        <item sd="0" m="1" x="6245"/>
        <item sd="0" m="1" x="7734"/>
        <item sd="0" m="1" x="1235"/>
        <item sd="0" m="1" x="2721"/>
        <item sd="0" m="1" x="4197"/>
        <item m="1" x="5692"/>
        <item m="1" x="7171"/>
        <item m="1" x="671"/>
        <item m="1" x="2172"/>
        <item m="1" x="3648"/>
        <item m="1" x="5141"/>
        <item sd="0" m="1" x="4961"/>
        <item m="1" x="6452"/>
        <item m="1" x="7936"/>
        <item sd="0" m="1" x="1442"/>
        <item sd="0" m="1" x="2918"/>
        <item sd="0" m="1" x="4402"/>
        <item sd="0" m="1" x="5894"/>
        <item m="1" x="7379"/>
        <item sd="0" m="1" x="879"/>
        <item m="1" x="2372"/>
        <item m="1" x="3848"/>
        <item m="1" x="5342"/>
        <item m="1" x="6823"/>
        <item m="1" x="317"/>
        <item m="1" x="1812"/>
        <item m="1" x="7395"/>
        <item m="1" x="143"/>
        <item sd="0" m="1" x="898"/>
        <item m="1" x="1644"/>
        <item sd="0" m="1" x="2388"/>
        <item m="1" x="3123"/>
        <item sd="0" m="1" x="3866"/>
        <item sd="0" m="1" x="4607"/>
        <item sd="0" m="1" x="5358"/>
        <item sd="0" m="1" x="6101"/>
        <item m="1" x="6840"/>
        <item m="1" x="7586"/>
        <item sd="0" m="1" x="331"/>
        <item sd="0" m="1" x="1086"/>
        <item sd="0" m="1" x="1830"/>
        <item sd="0" m="1" x="2574"/>
        <item sd="0" m="1" x="3310"/>
        <item sd="0" m="1" x="4051"/>
        <item sd="0" m="1" x="4793"/>
        <item m="1" x="5543"/>
        <item m="1" x="6289"/>
        <item m="1" x="7027"/>
        <item m="1" x="7774"/>
        <item m="1" x="521"/>
        <item m="1" x="1279"/>
        <item m="1" x="2025"/>
        <item m="1" x="2766"/>
        <item m="1" x="3497"/>
        <item m="1" x="4242"/>
        <item m="1" x="4994"/>
        <item m="1" x="5738"/>
        <item sd="0" m="1" x="3329"/>
        <item sd="0" m="1" x="4070"/>
        <item sd="0" m="1" x="4813"/>
        <item sd="0" m="1" x="5565"/>
        <item m="1" x="6307"/>
        <item m="1" x="7046"/>
        <item m="1" x="7792"/>
        <item m="1" x="543"/>
        <item sd="0" m="1" x="1297"/>
        <item m="1" x="2044"/>
        <item sd="0" m="1" x="2783"/>
        <item m="1" x="3516"/>
        <item sd="0" m="1" x="4258"/>
        <item sd="0" m="1" x="5011"/>
        <item sd="0" m="1" x="5754"/>
        <item m="1" x="6496"/>
        <item m="1" x="7232"/>
        <item m="1" x="7981"/>
        <item m="1" x="733"/>
        <item m="1" x="1487"/>
        <item m="1" x="2229"/>
        <item m="1" x="2965"/>
        <item m="1" x="3704"/>
        <item m="1" x="4449"/>
        <item m="1" x="5200"/>
        <item m="1" x="5940"/>
        <item m="1" x="6684"/>
        <item m="1" x="7430"/>
        <item m="1" x="172"/>
        <item m="1" x="929"/>
        <item m="1" x="7250"/>
        <item m="1" x="7997"/>
        <item sd="0" m="1" x="750"/>
        <item sd="0" m="1" x="1503"/>
        <item sd="0" m="1" x="2249"/>
        <item sd="0" m="1" x="2980"/>
        <item sd="0" m="1" x="3721"/>
        <item sd="0" m="1" x="4464"/>
        <item sd="0" m="1" x="5220"/>
        <item sd="0" m="1" x="5955"/>
        <item m="1" x="6699"/>
        <item m="1" x="7444"/>
        <item sd="0" m="1" x="190"/>
        <item m="1" x="943"/>
        <item sd="0" m="1" x="1688"/>
        <item m="1" x="2432"/>
        <item sd="0" m="1" x="3166"/>
        <item m="1" x="3908"/>
        <item m="1" x="4653"/>
        <item m="1" x="5402"/>
        <item m="1" x="6144"/>
        <item m="1" x="6882"/>
        <item m="1" x="7632"/>
        <item m="1" x="377"/>
        <item m="1" x="1134"/>
        <item m="1" x="1874"/>
        <item m="1" x="2623"/>
        <item m="1" x="3356"/>
        <item m="1" x="4099"/>
        <item m="1" x="4840"/>
        <item sd="0" m="1" x="2449"/>
        <item sd="0" m="1" x="3182"/>
        <item sd="0" m="1" x="3927"/>
        <item sd="0" m="1" x="4669"/>
        <item sd="0" m="1" x="5417"/>
        <item sd="0" m="1" x="6159"/>
        <item m="1" x="6901"/>
        <item m="1" x="7647"/>
        <item sd="0" m="1" x="393"/>
        <item sd="0" m="1" x="1150"/>
        <item sd="0" m="1" x="1894"/>
        <item sd="0" m="1" x="2637"/>
        <item sd="0" m="1" x="3371"/>
        <item sd="0" m="1" x="4113"/>
        <item sd="0" m="1" x="4860"/>
        <item sd="0" m="1" x="5606"/>
        <item m="1" x="6350"/>
        <item m="1" x="7088"/>
        <item m="1" x="7836"/>
        <item m="1" x="584"/>
        <item m="1" x="1340"/>
        <item m="1" x="2086"/>
        <item m="1" x="2823"/>
        <item m="1" x="3557"/>
        <item m="1" x="4303"/>
        <item m="1" x="5055"/>
        <item m="1" x="5799"/>
        <item m="1" x="6537"/>
        <item m="1" x="7279"/>
        <item m="1" x="30"/>
        <item m="1" x="780"/>
        <item m="1" x="6367"/>
        <item m="1" x="7104"/>
        <item m="1" x="7852"/>
        <item sd="0" m="1" x="603"/>
        <item sd="0" m="1" x="1355"/>
        <item sd="0" m="1" x="2102"/>
        <item sd="0" m="1" x="2838"/>
        <item sd="0" m="1" x="3576"/>
        <item sd="0" m="1" x="4318"/>
        <item sd="0" m="1" x="5072"/>
        <item sd="0" m="1" x="5814"/>
        <item m="1" x="6555"/>
        <item m="1" x="7293"/>
        <item sd="0" m="1" x="45"/>
        <item sd="0" m="1" x="795"/>
        <item sd="0" m="1" x="1547"/>
        <item sd="0" m="1" x="2288"/>
        <item sd="0" m="1" x="3021"/>
        <item sd="0" m="1" x="3764"/>
        <item m="1" x="4509"/>
        <item m="1" x="5258"/>
        <item m="1" x="5998"/>
        <item m="1" x="6739"/>
        <item m="1" x="7488"/>
        <item m="1" x="231"/>
        <item m="1" x="987"/>
        <item m="1" x="1731"/>
        <item m="1" x="2479"/>
        <item m="1" x="3209"/>
        <item m="1" x="3956"/>
        <item sd="0" m="1" x="2305"/>
        <item sd="0" m="1" x="3037"/>
        <item sd="0" m="1" x="3780"/>
        <item sd="0" m="1" x="4526"/>
        <item sd="0" m="1" x="5275"/>
        <item sd="0" m="1" x="6013"/>
        <item m="1" x="6755"/>
        <item m="1" x="7503"/>
        <item sd="0" m="1" x="250"/>
        <item sd="0" m="1" x="1002"/>
        <item sd="0" m="1" x="1746"/>
        <item sd="0" m="1" x="2493"/>
        <item sd="0" m="1" x="3228"/>
        <item sd="0" m="1" x="3970"/>
        <item sd="0" m="1" x="4711"/>
        <item sd="0" m="1" x="5459"/>
        <item sd="0" m="1" x="6203"/>
        <item m="1" x="6941"/>
        <item m="1" x="7691"/>
        <item m="1" x="437"/>
        <item m="1" x="1193"/>
        <item m="1" x="1934"/>
        <item m="1" x="2678"/>
        <item m="1" x="3413"/>
        <item m="1" x="4158"/>
        <item m="1" x="4903"/>
        <item m="1" x="5651"/>
        <item m="1" x="6396"/>
        <item m="1" x="7134"/>
        <item m="1" x="7879"/>
        <item sd="0" m="1" x="5475"/>
        <item sd="0" m="1" x="6219"/>
        <item m="1" x="6960"/>
        <item m="1" x="7707"/>
        <item sd="0" m="1" x="453"/>
        <item sd="0" m="1" x="1208"/>
        <item sd="0" m="1" x="1954"/>
        <item sd="0" m="1" x="2693"/>
        <item sd="0" m="1" x="3429"/>
        <item sd="0" m="1" x="4174"/>
        <item sd="0" m="1" x="4922"/>
        <item sd="0" m="1" x="5665"/>
        <item m="1" x="6411"/>
        <item m="1" x="7147"/>
        <item m="1" x="7896"/>
        <item sd="0" m="1" x="644"/>
        <item sd="0" m="1" x="1397"/>
        <item sd="0" m="1" x="2145"/>
        <item sd="0" m="1" x="2877"/>
        <item m="1" x="3616"/>
        <item m="1" x="4360"/>
        <item m="1" x="5112"/>
        <item m="1" x="5854"/>
        <item m="1" x="6594"/>
        <item m="1" x="7337"/>
        <item m="1" x="86"/>
        <item m="1" x="840"/>
        <item m="1" x="1586"/>
        <item m="1" x="2331"/>
        <item m="1" x="3066"/>
        <item m="1" x="3809"/>
        <item sd="0" m="1" x="1411"/>
        <item sd="0" m="1" x="2159"/>
        <item sd="0" m="1" x="2891"/>
        <item sd="0" m="1" x="3634"/>
        <item sd="0" m="1" x="4373"/>
        <item sd="0" m="1" x="5126"/>
        <item sd="0" m="1" x="5868"/>
        <item m="1" x="6613"/>
        <item m="1" x="7351"/>
        <item sd="0" m="1" x="102"/>
        <item sd="0" m="1" x="855"/>
        <item sd="0" m="1" x="1604"/>
        <item sd="0" m="1" x="2345"/>
        <item sd="0" m="1" x="3080"/>
        <item sd="0" m="1" x="3822"/>
        <item sd="0" m="1" x="4566"/>
        <item sd="0" m="1" x="5312"/>
        <item sd="0" m="1" x="6054"/>
        <item m="1" x="6795"/>
        <item m="1" x="7544"/>
        <item m="1" x="287"/>
        <item m="1" x="1042"/>
        <item m="1" x="1784"/>
        <item m="1" x="2533"/>
        <item m="1" x="3265"/>
        <item m="1" x="4010"/>
        <item m="1" x="4750"/>
        <item m="1" x="5503"/>
        <item m="1" x="6243"/>
        <item m="1" x="6985"/>
        <item m="1" x="7732"/>
        <item sd="0" m="1" x="5329"/>
        <item sd="0" m="1" x="6069"/>
        <item m="1" x="6810"/>
        <item m="1" x="7559"/>
        <item sd="0" m="1" x="303"/>
        <item sd="0" m="1" x="1055"/>
        <item sd="0" m="1" x="1799"/>
        <item sd="0" m="1" x="2548"/>
        <item sd="0" m="1" x="3285"/>
        <item sd="0" m="1" x="4025"/>
        <item sd="0" m="1" x="4766"/>
        <item sd="0" m="1" x="5518"/>
        <item m="1" x="6263"/>
        <item m="1" x="6999"/>
        <item m="1" x="7746"/>
        <item sd="0" m="1" x="493"/>
        <item sd="0" m="1" x="1250"/>
        <item sd="0" m="1" x="1993"/>
        <item m="1" x="2733"/>
        <item m="1" x="3468"/>
        <item m="1" x="4213"/>
        <item m="1" x="4959"/>
        <item m="1" x="5706"/>
        <item m="1" x="6450"/>
        <item m="1" x="7188"/>
        <item m="1" x="7934"/>
        <item m="1" x="686"/>
        <item m="1" x="1440"/>
        <item m="1" x="2188"/>
        <item m="1" x="2916"/>
        <item sd="0" m="1" x="1265"/>
        <item sd="0" m="1" x="2011"/>
        <item sd="0" m="1" x="2749"/>
        <item sd="0" m="1" x="3483"/>
        <item sd="0" m="1" x="4227"/>
        <item sd="0" m="1" x="4979"/>
        <item sd="0" m="1" x="5721"/>
        <item m="1" x="6466"/>
        <item m="1" x="7204"/>
        <item m="1" x="7954"/>
        <item sd="0" m="1" x="701"/>
        <item sd="0" m="1" x="1456"/>
        <item sd="0" m="1" x="2202"/>
        <item sd="0" m="1" x="2935"/>
        <item sd="0" m="1" x="3674"/>
        <item sd="0" m="1" x="4414"/>
        <item sd="0" m="1" x="5169"/>
        <item sd="0" m="1" x="5908"/>
        <item m="1" x="6651"/>
        <item m="1" x="7393"/>
        <item m="1" x="141"/>
        <item m="1" x="896"/>
        <item m="1" x="1642"/>
        <item m="1" x="2386"/>
        <item m="1" x="3121"/>
        <item m="1" x="3864"/>
        <item m="1" x="4605"/>
        <item m="1" x="5356"/>
        <item m="1" x="6099"/>
        <item m="1" x="6838"/>
        <item sd="0" m="1" x="4431"/>
        <item m="1" x="5185"/>
        <item sd="0" m="1" x="5925"/>
        <item m="1" x="6669"/>
        <item m="1" x="7411"/>
        <item sd="0" m="1" x="158"/>
        <item sd="0" m="1" x="914"/>
        <item sd="0" m="1" x="1663"/>
        <item sd="0" m="1" x="2404"/>
        <item sd="0" m="1" x="3140"/>
        <item sd="0" m="1" x="3883"/>
        <item sd="0" m="1" x="4627"/>
        <item sd="0" m="1" x="5373"/>
        <item sd="0" m="1" x="6116"/>
        <item m="1" x="6855"/>
        <item m="1" x="7605"/>
        <item sd="0" m="1" x="346"/>
        <item sd="0" m="1" x="1101"/>
        <item sd="0" m="1" x="1845"/>
        <item m="1" x="2593"/>
        <item m="1" x="3327"/>
        <item m="1" x="4068"/>
        <item m="1" x="4811"/>
        <item m="1" x="5563"/>
        <item m="1" x="6305"/>
        <item m="1" x="7044"/>
        <item m="1" x="7790"/>
        <item m="1" x="541"/>
        <item m="1" x="1295"/>
        <item m="1" x="2042"/>
        <item m="1" x="2781"/>
        <item sd="0" m="1" x="363"/>
        <item sd="0" m="1" x="1115"/>
        <item sd="0" m="1" x="1861"/>
        <item sd="0" m="1" x="2607"/>
        <item sd="0" m="1" x="3343"/>
        <item sd="0" m="1" x="4083"/>
        <item sd="0" m="1" x="4828"/>
        <item m="1" x="5579"/>
        <item m="1" x="6325"/>
        <item m="1" x="7060"/>
        <item m="1" x="7806"/>
        <item sd="0" m="1" x="557"/>
        <item sd="0" m="1" x="1312"/>
        <item sd="0" m="1" x="2056"/>
        <item sd="0" m="1" x="2795"/>
        <item sd="0" m="1" x="3528"/>
        <item sd="0" m="1" x="4273"/>
        <item sd="0" m="1" x="5023"/>
        <item m="1" x="5767"/>
        <item m="1" x="6510"/>
        <item m="1" x="7248"/>
        <item m="1" x="7995"/>
        <item m="1" x="748"/>
        <item m="1" x="1501"/>
        <item m="1" x="2247"/>
        <item m="1" x="2978"/>
        <item m="1" x="3719"/>
        <item m="1" x="4462"/>
        <item m="1" x="5218"/>
        <item m="1" x="5953"/>
        <item sd="0" m="1" x="4287"/>
        <item sd="0" m="1" x="5040"/>
        <item sd="0" m="1" x="5782"/>
        <item m="1" x="6524"/>
        <item m="1" x="7263"/>
        <item sd="0" m="1" x="17"/>
        <item sd="0" m="1" x="764"/>
        <item sd="0" m="1" x="1518"/>
        <item sd="0" m="1" x="2263"/>
        <item sd="0" m="1" x="2996"/>
        <item sd="0" m="1" x="3734"/>
        <item sd="0" m="1" x="4479"/>
        <item sd="0" m="1" x="5232"/>
        <item m="1" x="5970"/>
        <item m="1" x="6711"/>
        <item m="1" x="7456"/>
        <item sd="0" m="1" x="202"/>
        <item sd="0" m="1" x="957"/>
        <item m="1" x="1701"/>
        <item m="1" x="2447"/>
        <item m="1" x="3180"/>
        <item m="1" x="3925"/>
        <item m="1" x="4667"/>
        <item m="1" x="5415"/>
        <item m="1" x="6157"/>
        <item m="1" x="6899"/>
        <item m="1" x="7645"/>
        <item m="1" x="391"/>
        <item m="1" x="1148"/>
        <item m="1" x="1892"/>
        <item m="1" x="7471"/>
        <item sd="0" m="1" x="217"/>
        <item sd="0" m="1" x="972"/>
        <item sd="0" m="1" x="1718"/>
        <item sd="0" m="1" x="2462"/>
        <item sd="0" m="1" x="3196"/>
        <item sd="0" m="1" x="3941"/>
        <item sd="0" m="1" x="4686"/>
        <item sd="0" m="1" x="5431"/>
        <item sd="0" m="1" x="6175"/>
        <item m="1" x="6915"/>
        <item m="1" x="7665"/>
        <item sd="0" m="1" x="406"/>
        <item sd="0" m="1" x="1163"/>
        <item sd="0" m="1" x="1906"/>
        <item sd="0" m="1" x="2651"/>
        <item sd="0" m="1" x="3383"/>
        <item sd="0" m="1" x="4125"/>
        <item sd="0" m="1" x="4873"/>
        <item m="1" x="5622"/>
        <item m="1" x="6365"/>
        <item m="1" x="7102"/>
        <item m="1" x="7850"/>
        <item m="1" x="601"/>
        <item m="1" x="1353"/>
        <item m="1" x="2100"/>
        <item m="1" x="2836"/>
        <item m="1" x="3574"/>
        <item m="1" x="4316"/>
        <item m="1" x="5070"/>
        <item m="1" x="5812"/>
        <item sd="0" m="1" x="3399"/>
        <item sd="0" m="1" x="4139"/>
        <item sd="0" m="1" x="4889"/>
        <item sd="0" m="1" x="5636"/>
        <item m="1" x="6383"/>
        <item m="1" x="7117"/>
        <item m="1" x="7867"/>
        <item sd="0" m="1" x="617"/>
        <item sd="0" m="1" x="1373"/>
        <item sd="0" m="1" x="2116"/>
        <item sd="0" m="1" x="2852"/>
        <item sd="0" m="1" x="3590"/>
        <item sd="0" m="1" x="4333"/>
        <item sd="0" m="1" x="5084"/>
        <item sd="0" m="1" x="5826"/>
        <item m="1" x="6567"/>
        <item m="1" x="7308"/>
        <item sd="0" m="1" x="57"/>
        <item m="1" x="808"/>
        <item m="1" x="1561"/>
        <item m="1" x="2303"/>
        <item m="1" x="3035"/>
        <item m="1" x="3778"/>
        <item m="1" x="4524"/>
        <item m="1" x="5273"/>
        <item m="1" x="6011"/>
        <item m="1" x="6753"/>
        <item m="1" x="7501"/>
        <item m="1" x="248"/>
        <item m="1" x="1000"/>
        <item m="1" x="7323"/>
        <item sd="0" m="1" x="74"/>
        <item sd="0" m="1" x="823"/>
        <item sd="0" m="1" x="1575"/>
        <item sd="0" m="1" x="2318"/>
        <item sd="0" m="1" x="3055"/>
        <item sd="0" m="1" x="3794"/>
        <item sd="0" m="1" x="4541"/>
        <item sd="0" m="1" x="5289"/>
        <item sd="0" m="1" x="6031"/>
        <item m="1" x="6768"/>
        <item m="1" x="7518"/>
        <item sd="0" m="1" x="262"/>
        <item sd="0" m="1" x="1018"/>
        <item sd="0" m="1" x="1758"/>
        <item sd="0" m="1" x="2505"/>
        <item sd="0" m="1" x="3240"/>
        <item sd="0" m="1" x="3984"/>
        <item m="1" x="4724"/>
        <item m="1" x="5473"/>
        <item m="1" x="6217"/>
        <item m="1" x="6958"/>
        <item m="1" x="7705"/>
        <item m="1" x="450"/>
        <item m="1" x="1206"/>
        <item m="1" x="1952"/>
        <item m="1" x="2691"/>
        <item m="1" x="3427"/>
        <item m="1" x="4172"/>
        <item m="1" x="4920"/>
        <item sd="0" m="1" x="2516"/>
        <item sd="0" m="1" x="3252"/>
        <item sd="0" m="1" x="3996"/>
        <item sd="0" m="1" x="4737"/>
        <item sd="0" m="1" x="5486"/>
        <item m="1" x="6231"/>
        <item m="1" x="6971"/>
        <item m="1" x="7721"/>
        <item sd="0" m="1" x="464"/>
        <item sd="0" m="1" x="1221"/>
        <item sd="0" m="1" x="1966"/>
        <item sd="0" m="1" x="2707"/>
        <item sd="0" m="1" x="3438"/>
        <item sd="0" m="1" x="4184"/>
        <item sd="0" m="1" x="4931"/>
        <item sd="0" m="1" x="5679"/>
        <item m="1" x="6421"/>
        <item m="1" x="7157"/>
        <item m="1" x="7907"/>
        <item m="1" x="658"/>
        <item m="1" x="1409"/>
        <item m="1" x="2157"/>
        <item m="1" x="2889"/>
        <item m="1" x="3632"/>
        <item m="1" x="4371"/>
        <item m="1" x="5124"/>
        <item m="1" x="5866"/>
        <item m="1" x="6611"/>
        <item m="1" x="7349"/>
        <item m="1" x="100"/>
        <item m="1" x="853"/>
        <item m="1" x="6436"/>
        <item m="1" x="7169"/>
        <item m="1" x="7921"/>
        <item sd="0" m="1" x="670"/>
        <item sd="0" m="1" x="1427"/>
        <item sd="0" m="1" x="2171"/>
        <item sd="0" m="1" x="2540"/>
        <item sd="0" m="1" x="2904"/>
        <item sd="0" m="1" x="3276"/>
        <item sd="0" m="1" x="3646"/>
        <item sd="0" m="1" x="4017"/>
        <item sd="0" m="1" x="4388"/>
        <item sd="0" m="1" x="4758"/>
        <item sd="0" m="1" x="5139"/>
        <item sd="0" m="1" x="5510"/>
        <item sd="0" m="1" x="5880"/>
        <item m="1" x="6253"/>
        <item m="1" x="6624"/>
        <item m="1" x="6991"/>
        <item m="1" x="7365"/>
        <item m="1" x="7739"/>
        <item sd="0" m="1" x="112"/>
        <item m="1" x="486"/>
        <item sd="0" m="1" x="866"/>
        <item sd="0" m="1" x="1243"/>
        <item sd="0" m="1" x="1615"/>
        <item m="1" x="1986"/>
        <item sd="0" m="1" x="2358"/>
        <item sd="0" m="1" x="2726"/>
        <item sd="0" m="1" x="3091"/>
        <item sd="0" m="1" x="3460"/>
        <item m="1" x="3834"/>
        <item m="1" x="4205"/>
        <item m="1" x="4579"/>
        <item m="1" x="4952"/>
        <item m="1" x="5327"/>
        <item m="1" x="5699"/>
        <item m="1" x="6067"/>
        <item m="1" x="6443"/>
        <item m="1" x="6808"/>
        <item m="1" x="7181"/>
        <item m="1" x="7557"/>
        <item m="1" x="7927"/>
        <item m="1" x="301"/>
        <item m="1" x="678"/>
        <item m="1" x="1053"/>
        <item m="1" x="1433"/>
        <item m="1" x="1797"/>
        <item m="1" x="2182"/>
        <item m="1" x="2546"/>
        <item m="1" x="2910"/>
        <item m="1" x="3283"/>
        <item m="1" x="3655"/>
        <item m="1" x="4023"/>
        <item m="1" x="4395"/>
        <item sd="0" m="1" x="2002"/>
        <item sd="0" m="1" x="2371"/>
        <item sd="0" m="1" x="2740"/>
        <item sd="0" m="1" x="3107"/>
        <item sd="0" m="1" x="3474"/>
        <item sd="0" m="1" x="3847"/>
        <item sd="0" m="1" x="4219"/>
        <item sd="0" m="1" x="4592"/>
        <item sd="0" m="1" x="4971"/>
        <item sd="0" m="1" x="5341"/>
        <item sd="0" m="1" x="5713"/>
        <item sd="0" m="1" x="6086"/>
        <item m="1" x="6458"/>
        <item m="1" x="6822"/>
        <item m="1" x="7195"/>
        <item m="1" x="7572"/>
        <item m="1" x="7945"/>
        <item sd="0" m="1" x="315"/>
        <item sd="0" m="1" x="693"/>
        <item sd="0" m="1" x="1072"/>
        <item sd="0" m="1" x="1448"/>
        <item sd="0" m="1" x="1810"/>
        <item sd="0" m="1" x="2194"/>
        <item sd="0" m="1" x="2560"/>
        <item sd="0" m="1" x="2926"/>
        <item sd="0" m="1" x="3295"/>
        <item sd="0" m="1" x="3666"/>
        <item sd="0" m="1" x="4038"/>
        <item sd="0" m="1" x="4407"/>
        <item sd="0" m="1" x="4777"/>
        <item sd="0" m="1" x="5162"/>
        <item sd="0" m="1" x="5529"/>
        <item sd="0" m="1" x="5901"/>
        <item m="1" x="6274"/>
        <item m="1" x="6643"/>
        <item m="1" x="7013"/>
        <item m="1" x="7385"/>
        <item m="1" x="7758"/>
        <item m="1" x="134"/>
        <item m="1" x="507"/>
        <item m="1" x="889"/>
        <item m="1" x="1263"/>
        <item m="1" x="1635"/>
        <item m="1" x="2009"/>
        <item m="1" x="2379"/>
        <item m="1" x="2747"/>
        <item m="1" x="3114"/>
        <item m="1" x="3480"/>
        <item m="1" x="3857"/>
        <item m="1" x="4225"/>
        <item m="1" x="4598"/>
        <item m="1" x="4977"/>
        <item m="1" x="5349"/>
        <item m="1" x="5719"/>
        <item m="1" x="6092"/>
        <item m="1" x="6464"/>
        <item m="1" x="6832"/>
        <item m="1" x="7202"/>
        <item m="1" x="7579"/>
        <item m="1" x="7952"/>
        <item m="1" x="324"/>
        <item sd="0" m="1" x="5542"/>
        <item sd="0" m="1" x="5915"/>
        <item m="1" x="6288"/>
        <item m="1" x="6659"/>
        <item m="1" x="7026"/>
        <item m="1" x="7400"/>
        <item m="1" x="7773"/>
        <item sd="0" m="1" x="148"/>
        <item sd="0" m="1" x="520"/>
        <item sd="0" m="1" x="904"/>
        <item sd="0" m="1" x="1278"/>
        <item sd="0" m="1" x="1653"/>
        <item sd="0" m="1" x="2024"/>
        <item sd="0" m="1" x="2394"/>
        <item sd="0" m="1" x="2765"/>
        <item sd="0" m="1" x="3129"/>
        <item sd="0" m="1" x="3495"/>
        <item sd="0" m="1" x="3872"/>
        <item sd="0" m="1" x="4240"/>
        <item sd="0" m="1" x="4616"/>
        <item sd="0" m="1" x="4992"/>
        <item sd="0" m="1" x="5363"/>
        <item sd="0" m="1" x="5736"/>
        <item sd="0" m="1" x="6106"/>
        <item m="1" x="6477"/>
        <item m="1" x="6845"/>
        <item m="1" x="7216"/>
        <item m="1" x="7595"/>
        <item m="1" x="7965"/>
        <item sd="0" m="1" x="337"/>
        <item sd="0" m="1" x="718"/>
        <item sd="0" m="1" x="1092"/>
        <item sd="0" m="1" x="1468"/>
        <item sd="0" m="1" x="1836"/>
        <item sd="0" m="1" x="2214"/>
        <item sd="0" m="1" x="2582"/>
        <item sd="0" m="1" x="2948"/>
        <item m="1" x="3317"/>
        <item m="1" x="3689"/>
        <item m="1" x="4059"/>
        <item m="1" x="4429"/>
        <item m="1" x="4802"/>
        <item m="1" x="5183"/>
        <item m="1" x="5553"/>
        <item m="1" x="5923"/>
        <item m="1" x="6297"/>
        <item m="1" x="6667"/>
        <item m="1" x="7036"/>
        <item m="1" x="7408"/>
        <item m="1" x="7782"/>
        <item m="1" x="156"/>
        <item m="1" x="533"/>
        <item m="1" x="912"/>
        <item m="1" x="1287"/>
        <item m="1" x="1661"/>
        <item m="1" x="2034"/>
        <item m="1" x="2402"/>
        <item m="1" x="2774"/>
        <item m="1" x="3138"/>
        <item m="1" x="3507"/>
        <item m="1" x="3881"/>
        <item sd="0" m="1" x="1486"/>
        <item sd="0" m="1" x="1853"/>
        <item m="1" x="2228"/>
        <item sd="0" m="1" x="2599"/>
        <item sd="0" m="1" x="2964"/>
        <item sd="0" m="1" x="3335"/>
        <item m="1" x="3703"/>
        <item sd="0" m="1" x="4075"/>
        <item sd="0" m="1" x="4448"/>
        <item sd="0" m="1" x="4820"/>
        <item sd="0" m="1" x="5199"/>
        <item sd="0" m="1" x="5571"/>
        <item sd="0" m="1" x="5939"/>
        <item m="1" x="6316"/>
        <item m="1" x="6682"/>
        <item m="1" x="7052"/>
        <item m="1" x="7429"/>
        <item m="1" x="7799"/>
        <item sd="0" m="1" x="171"/>
        <item sd="0" m="1" x="550"/>
        <item sd="0" m="1" x="928"/>
        <item sd="0" m="1" x="1305"/>
        <item sd="0" m="1" x="1674"/>
        <item sd="0" m="1" x="2049"/>
        <item sd="0" m="1" x="2419"/>
        <item sd="0" m="1" x="2789"/>
        <item sd="0" m="1" x="3152"/>
        <item sd="0" m="1" x="3522"/>
        <item sd="0" m="1" x="3896"/>
        <item sd="0" m="1" x="4267"/>
        <item sd="0" m="1" x="4640"/>
        <item sd="0" m="1" x="5017"/>
        <item sd="0" m="1" x="5388"/>
        <item sd="0" m="1" x="5760"/>
        <item sd="0" m="1" x="6128"/>
        <item m="1" x="6502"/>
        <item m="1" x="6868"/>
        <item m="1" x="7241"/>
        <item m="1" x="7618"/>
        <item m="1" x="7988"/>
        <item m="1" x="362"/>
        <item m="1" x="741"/>
        <item m="1" x="1114"/>
        <item m="1" x="1494"/>
        <item m="1" x="1860"/>
        <item m="1" x="2239"/>
        <item m="1" x="2606"/>
        <item m="1" x="2972"/>
        <item m="1" x="3342"/>
        <item m="1" x="3712"/>
        <item m="1" x="4082"/>
        <item m="1" x="4456"/>
        <item m="1" x="4827"/>
        <item m="1" x="5211"/>
        <item m="1" x="5578"/>
        <item m="1" x="5947"/>
        <item m="1" x="6324"/>
        <item m="1" x="6692"/>
        <item m="1" x="7059"/>
        <item m="1" x="7437"/>
        <item sd="0" m="1" x="5032"/>
        <item sd="0" m="1" x="5401"/>
        <item sd="0" m="1" x="5774"/>
        <item sd="0" m="1" x="6143"/>
        <item m="1" x="6517"/>
        <item m="1" x="6881"/>
        <item m="1" x="7255"/>
        <item m="1" x="7631"/>
        <item sd="0" m="1" x="8"/>
        <item sd="0" m="1" x="376"/>
        <item sd="0" m="1" x="756"/>
        <item m="1" x="1133"/>
        <item sd="0" m="1" x="1510"/>
        <item sd="0" m="1" x="1873"/>
        <item sd="0" m="1" x="2255"/>
        <item m="1" x="2621"/>
        <item sd="0" m="1" x="2988"/>
        <item sd="0" m="1" x="3355"/>
        <item sd="0" m="1" x="3727"/>
        <item m="1" x="4098"/>
        <item sd="0" m="1" x="4472"/>
        <item sd="0" m="1" x="4839"/>
        <item sd="0" m="1" x="5225"/>
        <item sd="0" m="1" x="5593"/>
        <item sd="0" m="1" x="5963"/>
        <item m="1" x="6336"/>
        <item m="1" x="6705"/>
        <item m="1" x="7076"/>
        <item m="1" x="7450"/>
        <item m="1" x="7819"/>
        <item sd="0" m="1" x="196"/>
        <item sd="0" m="1" x="571"/>
        <item sd="0" m="1" x="951"/>
        <item sd="0" m="1" x="1325"/>
        <item sd="0" m="1" x="1694"/>
        <item sd="0" m="1" x="2072"/>
        <item sd="0" m="1" x="2439"/>
        <item m="1" x="2807"/>
        <item m="1" x="3173"/>
        <item m="1" x="3543"/>
        <item m="1" x="3918"/>
        <item m="1" x="4286"/>
        <item m="1" x="4660"/>
        <item m="1" x="5039"/>
        <item m="1" x="5409"/>
        <item m="1" x="5781"/>
        <item m="1" x="6151"/>
        <item m="1" x="6523"/>
        <item m="1" x="6893"/>
        <item m="1" x="7262"/>
        <item m="1" x="7639"/>
        <item m="1" x="16"/>
        <item m="1" x="385"/>
        <item m="1" x="763"/>
        <item m="1" x="1141"/>
        <item m="1" x="1517"/>
        <item m="1" x="1885"/>
        <item m="1" x="2262"/>
        <item m="1" x="2630"/>
        <item m="1" x="2995"/>
        <item m="1" x="3364"/>
        <item sd="0" m="1" x="583"/>
        <item sd="0" m="1" x="964"/>
        <item sd="0" m="1" x="1339"/>
        <item sd="0" m="1" x="1709"/>
        <item sd="0" m="1" x="2085"/>
        <item sd="0" m="1" x="2454"/>
        <item sd="0" m="1" x="2822"/>
        <item sd="0" m="1" x="3188"/>
        <item sd="0" m="1" x="3556"/>
        <item sd="0" m="1" x="3933"/>
        <item sd="0" m="1" x="4302"/>
        <item sd="0" m="1" x="4678"/>
        <item sd="0" m="1" x="5054"/>
        <item sd="0" m="1" x="5423"/>
        <item sd="0" m="1" x="5798"/>
        <item sd="0" m="1" x="6166"/>
        <item m="1" x="6536"/>
        <item m="1" x="6907"/>
        <item m="1" x="7278"/>
        <item m="1" x="7657"/>
        <item sd="0" m="1" x="29"/>
        <item sd="0" m="1" x="398"/>
        <item sd="0" m="1" x="779"/>
        <item sd="0" m="1" x="1156"/>
        <item m="1" x="1530"/>
        <item sd="0" m="1" x="1899"/>
        <item sd="0" m="1" x="2276"/>
        <item sd="0" m="1" x="2645"/>
        <item m="1" x="3008"/>
        <item sd="0" m="1" x="3377"/>
        <item sd="0" m="1" x="3752"/>
        <item sd="0" m="1" x="4119"/>
        <item m="1" x="4492"/>
        <item sd="0" m="1" x="4866"/>
        <item sd="0" m="1" x="5245"/>
        <item sd="0" m="1" x="5613"/>
        <item sd="0" m="1" x="5983"/>
        <item m="1" x="6357"/>
        <item m="1" x="6726"/>
        <item m="1" x="7095"/>
        <item m="1" x="7470"/>
        <item m="1" x="7843"/>
        <item m="1" x="216"/>
        <item m="1" x="593"/>
        <item m="1" x="971"/>
        <item m="1" x="1347"/>
        <item m="1" x="1717"/>
        <item m="1" x="2094"/>
        <item m="1" x="2461"/>
        <item m="1" x="2830"/>
        <item m="1" x="3195"/>
        <item m="1" x="3568"/>
        <item m="1" x="3940"/>
        <item m="1" x="4310"/>
        <item m="1" x="4685"/>
        <item m="1" x="5063"/>
        <item m="1" x="5430"/>
        <item m="1" x="5806"/>
        <item m="1" x="6174"/>
        <item m="1" x="6548"/>
        <item m="1" x="6914"/>
        <item sd="0" m="1" x="4508"/>
        <item sd="0" m="1" x="4881"/>
        <item sd="0" m="1" x="5257"/>
        <item sd="0" m="1" x="5628"/>
        <item sd="0" m="1" x="5997"/>
        <item m="1" x="6375"/>
        <item m="1" x="6738"/>
        <item m="1" x="7109"/>
        <item m="1" x="7487"/>
        <item m="1" x="7859"/>
        <item sd="0" m="1" x="230"/>
        <item sd="0" m="1" x="609"/>
        <item sd="0" m="1" x="986"/>
        <item sd="0" m="1" x="1364"/>
        <item sd="0" m="1" x="1730"/>
        <item sd="0" m="1" x="2108"/>
        <item sd="0" m="1" x="2478"/>
        <item sd="0" m="1" x="2845"/>
        <item sd="0" m="1" x="3208"/>
        <item sd="0" m="1" x="3583"/>
        <item sd="0" m="1" x="3955"/>
        <item sd="0" m="1" x="4326"/>
        <item sd="0" m="1" x="4697"/>
        <item sd="0" m="1" x="5077"/>
        <item sd="0" m="1" x="5446"/>
        <item sd="0" m="1" x="5820"/>
        <item sd="0" m="1" x="6187"/>
        <item m="1" x="6561"/>
        <item m="1" x="6929"/>
        <item m="1" x="7301"/>
        <item m="1" x="7678"/>
        <item sd="0" m="1" x="51"/>
        <item sd="0" m="1" x="423"/>
        <item sd="0" m="1" x="801"/>
        <item sd="0" m="1" x="1176"/>
        <item sd="0" m="1" x="1553"/>
        <item m="1" x="1920"/>
        <item m="1" x="2296"/>
        <item m="1" x="2664"/>
        <item m="1" x="3028"/>
        <item m="1" x="3398"/>
        <item m="1" x="3771"/>
        <item m="1" x="4138"/>
        <item m="1" x="4516"/>
        <item m="1" x="4888"/>
        <item m="1" x="5267"/>
        <item m="1" x="5635"/>
        <item m="1" x="6005"/>
        <item m="1" x="6382"/>
        <item m="1" x="6747"/>
        <item m="1" x="7116"/>
        <item m="1" x="7495"/>
        <item m="1" x="7866"/>
        <item m="1" x="242"/>
        <item m="1" x="616"/>
        <item m="1" x="994"/>
        <item m="1" x="1372"/>
        <item m="1" x="1739"/>
        <item m="1" x="2115"/>
        <item m="1" x="2486"/>
        <item sd="0" m="1" x="66"/>
        <item sd="0" m="1" x="436"/>
        <item sd="0" m="1" x="815"/>
        <item sd="0" m="1" x="1192"/>
        <item sd="0" m="1" x="1568"/>
        <item sd="0" m="1" x="1933"/>
        <item sd="0" m="1" x="2310"/>
        <item sd="0" m="1" x="2677"/>
        <item sd="0" m="1" x="3047"/>
        <item sd="0" m="1" x="3412"/>
        <item sd="0" m="1" x="3786"/>
        <item sd="0" m="1" x="4157"/>
        <item sd="0" m="1" x="4533"/>
        <item sd="0" m="1" x="4902"/>
        <item sd="0" m="1" x="5281"/>
        <item sd="0" m="1" x="5650"/>
        <item sd="0" m="1" x="6023"/>
        <item m="1" x="6395"/>
        <item m="1" x="6761"/>
        <item m="1" x="7133"/>
        <item m="1" x="7511"/>
        <item m="1" x="7878"/>
        <item sd="0" m="1" x="255"/>
        <item sd="0" m="1" x="631"/>
        <item sd="0" m="1" x="1010"/>
        <item sd="0" m="1" x="1384"/>
        <item sd="0" m="1" x="1752"/>
        <item sd="0" m="1" x="2134"/>
        <item sd="0" m="1" x="2499"/>
        <item sd="0" m="1" x="2864"/>
        <item sd="0" m="1" x="3234"/>
        <item sd="0" m="1" x="3604"/>
        <item sd="0" m="1" x="3978"/>
        <item sd="0" m="1" x="4346"/>
        <item sd="0" m="1" x="4717"/>
        <item sd="0" m="1" x="5099"/>
        <item sd="0" m="1" x="5465"/>
        <item m="1" x="5838"/>
        <item m="1" x="6210"/>
        <item m="1" x="6581"/>
        <item m="1" x="6950"/>
        <item m="1" x="7322"/>
        <item m="1" x="7698"/>
        <item m="1" x="73"/>
        <item m="1" x="444"/>
        <item m="1" x="822"/>
        <item m="1" x="1200"/>
        <item m="1" x="1574"/>
        <item m="1" x="1946"/>
        <item m="1" x="2317"/>
        <item m="1" x="2685"/>
        <item m="1" x="3054"/>
        <item m="1" x="3421"/>
        <item m="1" x="3793"/>
        <item m="1" x="4165"/>
        <item m="1" x="4540"/>
        <item m="1" x="4913"/>
        <item m="1" x="5288"/>
        <item m="1" x="5658"/>
        <item m="1" x="6030"/>
        <item m="1" x="6404"/>
        <item sd="0" m="1" x="3615"/>
        <item sd="0" m="1" x="3990"/>
        <item sd="0" m="1" x="4359"/>
        <item m="1" x="4731"/>
        <item sd="0" m="1" x="5111"/>
        <item sd="0" m="1" x="5479"/>
        <item sd="0" m="1" x="5853"/>
        <item sd="0" m="1" x="6224"/>
        <item m="1" x="6593"/>
        <item m="1" x="6964"/>
        <item m="1" x="7336"/>
        <item m="1" x="7714"/>
        <item sd="0" m="1" x="85"/>
        <item sd="0" m="1" x="457"/>
        <item sd="0" m="1" x="839"/>
        <item sd="0" m="1" x="1213"/>
        <item sd="0" m="1" x="1585"/>
        <item sd="0" m="1" x="1958"/>
        <item sd="0" m="1" x="2330"/>
        <item sd="0" m="1" x="2701"/>
        <item sd="0" m="1" x="3065"/>
        <item sd="0" m="1" x="3432"/>
        <item sd="0" m="1" x="3808"/>
        <item sd="0" m="1" x="4178"/>
        <item sd="0" m="1" x="4551"/>
        <item sd="0" m="1" x="4925"/>
        <item sd="0" m="1" x="5300"/>
        <item sd="0" m="1" x="5673"/>
        <item sd="0" m="1" x="6041"/>
        <item m="1" x="6415"/>
        <item m="1" x="6783"/>
        <item m="1" x="7151"/>
        <item m="1" x="7528"/>
        <item m="1" x="7900"/>
        <item sd="0" m="1" x="273"/>
        <item sd="0" m="1" x="649"/>
        <item sd="0" m="1" x="1027"/>
        <item m="1" x="1401"/>
        <item m="1" x="1771"/>
        <item m="1" x="2150"/>
        <item m="1" x="2515"/>
        <item m="1" x="2882"/>
        <item m="1" x="3251"/>
        <item m="1" x="3623"/>
        <item m="1" x="3995"/>
        <item m="1" x="4365"/>
        <item m="1" x="4736"/>
        <item m="1" x="5118"/>
        <item m="1" x="5485"/>
        <item m="1" x="5860"/>
        <item m="1" x="6230"/>
        <item m="1" x="6604"/>
        <item m="1" x="6970"/>
        <item m="1" x="7343"/>
        <item m="1" x="7720"/>
        <item m="1" x="93"/>
        <item m="1" x="463"/>
        <item m="1" x="846"/>
        <item m="1" x="1220"/>
        <item m="1" x="1596"/>
        <item m="1" x="1965"/>
        <item m="1" x="7543"/>
        <item m="1" x="7915"/>
        <item sd="0" m="1" x="286"/>
        <item sd="0" m="1" x="664"/>
        <item sd="0" m="1" x="1041"/>
        <item sd="0" m="1" x="1419"/>
        <item sd="0" m="1" x="1783"/>
        <item sd="0" m="1" x="2164"/>
        <item sd="0" m="1" x="2532"/>
        <item sd="0" m="1" x="2897"/>
        <item sd="0" m="1" x="3264"/>
        <item m="1" x="3639"/>
        <item sd="0" m="1" x="4009"/>
        <item sd="0" m="1" x="4381"/>
        <item sd="0" m="1" x="4748"/>
        <item m="1" x="5131"/>
        <item sd="0" m="1" x="5502"/>
        <item sd="0" m="1" x="5874"/>
        <item m="1" x="6242"/>
        <item m="1" x="6618"/>
        <item m="1" x="6984"/>
        <item m="1" x="7358"/>
        <item m="1" x="7731"/>
        <item sd="0" m="1" x="106"/>
        <item sd="0" m="1" x="480"/>
        <item sd="0" m="1" x="860"/>
        <item sd="0" m="1" x="1233"/>
        <item sd="0" m="1" x="1609"/>
        <item sd="0" m="1" x="1980"/>
        <item sd="0" m="1" x="2352"/>
        <item sd="0" m="1" x="2719"/>
        <item sd="0" m="1" x="3085"/>
        <item sd="0" m="1" x="3454"/>
        <item sd="0" m="1" x="3827"/>
        <item sd="0" m="1" x="4195"/>
        <item sd="0" m="1" x="4571"/>
        <item sd="0" m="1" x="4944"/>
        <item m="1" x="5320"/>
        <item m="1" x="5691"/>
        <item m="1" x="6060"/>
        <item m="1" x="6435"/>
        <item m="1" x="6801"/>
        <item m="1" x="7168"/>
        <item m="1" x="7549"/>
        <item m="1" x="7920"/>
        <item m="1" x="294"/>
        <item m="1" x="669"/>
        <item m="1" x="1047"/>
        <item m="1" x="1426"/>
        <item m="1" x="1791"/>
        <item m="1" x="2170"/>
        <item m="1" x="2539"/>
        <item m="1" x="2903"/>
        <item m="1" x="3275"/>
        <item m="1" x="3645"/>
        <item m="1" x="4016"/>
        <item m="1" x="4387"/>
        <item m="1" x="4757"/>
        <item m="1" x="5138"/>
        <item m="1" x="5509"/>
        <item sd="0" m="1" x="3100"/>
        <item sd="0" m="1" x="3467"/>
        <item sd="0" m="1" x="3841"/>
        <item sd="0" m="1" x="4212"/>
        <item sd="0" m="1" x="4586"/>
        <item sd="0" m="1" x="4958"/>
        <item sd="0" m="1" x="5334"/>
        <item sd="0" m="1" x="5705"/>
        <item sd="0" m="1" x="6079"/>
        <item m="1" x="6449"/>
        <item m="1" x="6815"/>
        <item m="1" x="7187"/>
        <item m="1" x="7565"/>
        <item m="1" x="7933"/>
        <item sd="0" m="1" x="308"/>
        <item sd="0" m="1" x="684"/>
        <item sd="0" m="1" x="1064"/>
        <item sd="0" m="1" x="1439"/>
        <item sd="0" m="1" x="1804"/>
        <item sd="0" m="1" x="2187"/>
        <item sd="0" m="1" x="2554"/>
        <item sd="0" m="1" x="2915"/>
        <item sd="0" m="1" x="3289"/>
        <item sd="0" m="1" x="3660"/>
        <item m="1" x="4032"/>
        <item sd="0" m="1" x="4400"/>
        <item sd="0" m="1" x="4771"/>
        <item sd="0" m="1" x="5156"/>
        <item m="1" x="5523"/>
        <item sd="0" m="1" x="5892"/>
        <item m="1" x="6268"/>
        <item m="1" x="6637"/>
        <item m="1" x="7006"/>
        <item m="1" x="7377"/>
        <item m="1" x="7751"/>
        <item sd="0" m="1" x="126"/>
        <item sd="0" m="1" x="499"/>
        <item m="1" x="877"/>
        <item m="1" x="1256"/>
        <item m="1" x="1628"/>
        <item m="1" x="2001"/>
        <item m="1" x="2370"/>
        <item m="1" x="2739"/>
        <item m="1" x="3106"/>
        <item m="1" x="3473"/>
        <item m="1" x="3846"/>
        <item m="1" x="4218"/>
        <item m="1" x="4591"/>
        <item m="1" x="4970"/>
        <item m="1" x="5340"/>
        <item m="1" x="5712"/>
        <item m="1" x="6085"/>
        <item m="1" x="6457"/>
        <item m="1" x="6821"/>
        <item m="1" x="7194"/>
        <item m="1" x="7571"/>
        <item m="1" x="7943"/>
        <item m="1" x="314"/>
        <item m="1" x="692"/>
        <item m="1" x="1071"/>
        <item m="1" x="1447"/>
        <item m="1" x="6650"/>
        <item m="1" x="7020"/>
        <item m="1" x="7392"/>
        <item m="1" x="7766"/>
        <item sd="0" m="1" x="140"/>
        <item sd="0" m="1" x="513"/>
        <item sd="0" m="1" x="895"/>
        <item sd="0" m="1" x="1271"/>
        <item sd="0" m="1" x="1641"/>
        <item sd="0" m="1" x="2017"/>
        <item sd="0" m="1" x="2385"/>
        <item sd="0" m="1" x="2757"/>
        <item sd="0" m="1" x="3120"/>
        <item sd="0" m="1" x="3488"/>
        <item sd="0" m="1" x="3863"/>
        <item sd="0" m="1" x="4233"/>
        <item sd="0" m="1" x="4604"/>
        <item sd="0" m="1" x="4984"/>
        <item sd="0" m="1" x="5355"/>
        <item sd="0" m="1" x="5730"/>
        <item sd="0" m="1" x="6098"/>
        <item m="1" x="6471"/>
        <item m="1" x="6837"/>
        <item m="1" x="7209"/>
        <item m="1" x="7584"/>
        <item m="1" x="7958"/>
        <item sd="0" m="1" x="329"/>
        <item sd="0" m="1" x="710"/>
        <item sd="0" m="1" x="1084"/>
        <item sd="0" m="1" x="1461"/>
        <item sd="0" m="1" x="1828"/>
        <item sd="0" m="1" x="2207"/>
        <item sd="0" m="1" x="2572"/>
        <item sd="0" m="1" x="2940"/>
        <item sd="0" m="1" x="3308"/>
        <item sd="0" m="1" x="3680"/>
        <item sd="0" m="1" x="4049"/>
        <item m="1" x="4420"/>
        <item m="1" x="4792"/>
        <item m="1" x="5175"/>
        <item m="1" x="5541"/>
        <item m="1" x="5914"/>
        <item m="1" x="6287"/>
        <item m="1" x="6658"/>
        <item m="1" x="7025"/>
        <item m="1" x="7399"/>
        <item m="1" x="7772"/>
        <item m="1" x="147"/>
        <item m="1" x="519"/>
        <item m="1" x="903"/>
        <item m="1" x="1277"/>
        <item m="1" x="1652"/>
        <item m="1" x="2023"/>
        <item m="1" x="2393"/>
        <item m="1" x="2764"/>
        <item m="1" x="3128"/>
        <item m="1" x="3494"/>
        <item m="1" x="3871"/>
        <item m="1" x="4239"/>
        <item m="1" x="4615"/>
        <item m="1" x="4991"/>
        <item sd="0" m="1" x="2591"/>
        <item sd="0" m="1" x="2957"/>
        <item sd="0" m="1" x="3325"/>
        <item sd="0" m="1" x="3696"/>
        <item sd="0" m="1" x="4066"/>
        <item sd="0" m="1" x="4440"/>
        <item sd="0" m="1" x="4809"/>
        <item sd="0" m="1" x="5191"/>
        <item sd="0" m="1" x="5561"/>
        <item sd="0" m="1" x="5932"/>
        <item m="1" x="6304"/>
        <item m="1" x="6675"/>
        <item m="1" x="7043"/>
        <item m="1" x="7420"/>
        <item m="1" x="7789"/>
        <item sd="0" m="1" x="164"/>
        <item sd="0" m="1" x="540"/>
        <item sd="0" m="1" x="921"/>
        <item sd="0" m="1" x="1294"/>
        <item sd="0" m="1" x="1668"/>
        <item sd="0" m="1" x="2041"/>
        <item sd="0" m="1" x="2412"/>
        <item sd="0" m="1" x="2780"/>
        <item sd="0" m="1" x="3145"/>
        <item sd="0" m="1" x="3514"/>
        <item sd="0" m="1" x="3889"/>
        <item sd="0" m="1" x="4256"/>
        <item sd="0" m="1" x="4633"/>
        <item sd="0" m="1" x="5009"/>
        <item sd="0" m="1" x="5381"/>
        <item sd="0" m="1" x="5752"/>
        <item sd="0" m="1" x="6121"/>
        <item m="1" x="6494"/>
        <item m="1" x="6861"/>
        <item m="1" x="7230"/>
        <item m="1" x="7610"/>
        <item m="1" x="7979"/>
        <item m="1" x="354"/>
        <item m="1" x="732"/>
        <item m="1" x="1107"/>
        <item m="1" x="1485"/>
        <item m="1" x="1852"/>
        <item m="1" x="2227"/>
        <item m="1" x="2598"/>
        <item m="1" x="2963"/>
        <item m="1" x="3334"/>
        <item m="1" x="3702"/>
        <item m="1" x="4074"/>
        <item m="1" x="4447"/>
        <item m="1" x="4819"/>
        <item m="1" x="5198"/>
        <item m="1" x="5570"/>
        <item m="1" x="5938"/>
        <item m="1" x="6315"/>
        <item m="1" x="6681"/>
        <item m="1" x="7051"/>
        <item m="1" x="7428"/>
        <item m="1" x="7798"/>
        <item m="1" x="170"/>
        <item m="1" x="549"/>
        <item m="1" x="927"/>
        <item sd="0" m="1" x="6136"/>
        <item m="1" x="6508"/>
        <item m="1" x="6874"/>
        <item m="1" x="7246"/>
        <item m="1" x="7624"/>
        <item m="1" x="7993"/>
        <item sd="0" m="1" x="368"/>
        <item sd="0" m="1" x="746"/>
        <item sd="0" m="1" x="1125"/>
        <item sd="0" m="1" x="1499"/>
        <item sd="0" m="1" x="1866"/>
        <item sd="0" m="1" x="2246"/>
        <item sd="0" m="1" x="2614"/>
        <item sd="0" m="1" x="2977"/>
        <item sd="0" m="1" x="3348"/>
        <item sd="0" m="1" x="3717"/>
        <item sd="0" m="1" x="4092"/>
        <item sd="0" m="1" x="4461"/>
        <item sd="0" m="1" x="4833"/>
        <item sd="0" m="1" x="5217"/>
        <item sd="0" m="1" x="5587"/>
        <item sd="0" m="1" x="5952"/>
        <item m="1" x="6330"/>
        <item m="1" x="6697"/>
        <item m="1" x="7068"/>
        <item m="1" x="7442"/>
        <item m="1" x="7812"/>
        <item sd="0" m="1" x="188"/>
        <item sd="0" m="1" x="564"/>
        <item sd="0" m="1" x="941"/>
        <item sd="0" m="1" x="1318"/>
        <item sd="0" m="1" x="1686"/>
        <item sd="0" m="1" x="2064"/>
        <item sd="0" m="1" x="2430"/>
        <item sd="0" m="1" x="2800"/>
        <item sd="0" m="1" x="3164"/>
        <item sd="0" m="1" x="3535"/>
        <item m="1" x="3906"/>
        <item m="1" x="4279"/>
        <item m="1" x="4652"/>
        <item m="1" x="5031"/>
        <item m="1" x="5400"/>
        <item m="1" x="5773"/>
        <item m="1" x="6142"/>
        <item m="1" x="6516"/>
        <item m="1" x="6880"/>
        <item m="1" x="7254"/>
        <item m="1" x="7630"/>
        <item m="1" x="7"/>
        <item m="1" x="375"/>
        <item m="1" x="755"/>
        <item m="1" x="1132"/>
        <item m="1" x="1509"/>
        <item m="1" x="1872"/>
        <item m="1" x="2254"/>
        <item m="1" x="2620"/>
        <item m="1" x="2987"/>
        <item m="1" x="3354"/>
        <item m="1" x="3726"/>
        <item m="1" x="4097"/>
        <item m="1" x="4471"/>
        <item sd="0" m="1" x="2078"/>
        <item sd="0" m="1" x="2445"/>
        <item sd="0" m="1" x="2814"/>
        <item sd="0" m="1" x="3178"/>
        <item sd="0" m="1" x="3548"/>
        <item sd="0" m="1" x="3923"/>
        <item sd="0" m="1" x="4294"/>
        <item m="1" x="4665"/>
        <item sd="0" m="1" x="5046"/>
        <item sd="0" m="1" x="5414"/>
        <item sd="0" m="1" x="5791"/>
        <item m="1" x="6156"/>
        <item m="1" x="6529"/>
        <item m="1" x="6898"/>
        <item m="1" x="7270"/>
        <item m="1" x="7644"/>
        <item sd="0" m="1" x="22"/>
        <item sd="0" m="1" x="390"/>
        <item sd="0" m="1" x="773"/>
        <item sd="0" m="1" x="1147"/>
        <item sd="0" m="1" x="1524"/>
        <item sd="0" m="1" x="1891"/>
        <item sd="0" m="1" x="2270"/>
        <item sd="0" m="1" x="2635"/>
        <item sd="0" m="1" x="3001"/>
        <item sd="0" m="1" x="3369"/>
        <item sd="0" m="1" x="3745"/>
        <item sd="0" m="1" x="4111"/>
        <item sd="0" m="1" x="4485"/>
        <item sd="0" m="1" x="4858"/>
        <item sd="0" m="1" x="5238"/>
        <item sd="0" m="1" x="5604"/>
        <item sd="0" m="1" x="5975"/>
        <item m="1" x="6348"/>
        <item m="1" x="6717"/>
        <item m="1" x="7086"/>
        <item m="1" x="7462"/>
        <item m="1" x="7834"/>
        <item m="1" x="209"/>
        <item m="1" x="582"/>
        <item m="1" x="963"/>
        <item m="1" x="1338"/>
        <item m="1" x="1708"/>
        <item m="1" x="2084"/>
        <item m="1" x="2453"/>
        <item m="1" x="2821"/>
        <item m="1" x="3187"/>
        <item m="1" x="3555"/>
        <item m="1" x="3932"/>
        <item m="1" x="4301"/>
        <item m="1" x="4677"/>
        <item m="1" x="5053"/>
        <item m="1" x="5422"/>
        <item m="1" x="5797"/>
        <item m="1" x="6165"/>
        <item m="1" x="6535"/>
        <item m="1" x="6906"/>
        <item m="1" x="7277"/>
        <item m="1" x="7656"/>
        <item m="1" x="28"/>
        <item sd="0" m="1" x="5620"/>
        <item sd="0" m="1" x="5990"/>
        <item m="1" x="6363"/>
        <item m="1" x="6731"/>
        <item m="1" x="7100"/>
        <item m="1" x="7479"/>
        <item m="1" x="7848"/>
        <item sd="0" m="1" x="222"/>
        <item sd="0" m="1" x="599"/>
        <item sd="0" m="1" x="979"/>
        <item sd="0" m="1" x="1352"/>
        <item sd="0" m="1" x="1723"/>
        <item sd="0" m="1" x="2099"/>
        <item sd="0" m="1" x="2471"/>
        <item sd="0" m="1" x="2835"/>
        <item sd="0" m="1" x="3201"/>
        <item sd="0" m="1" x="3573"/>
        <item sd="0" m="1" x="3948"/>
        <item sd="0" m="1" x="4315"/>
        <item sd="0" m="1" x="4691"/>
        <item m="1" x="5069"/>
        <item sd="0" m="1" x="5440"/>
        <item sd="0" m="1" x="5811"/>
        <item sd="0" m="1" x="6180"/>
        <item m="1" x="6553"/>
        <item m="1" x="6922"/>
        <item m="1" x="7291"/>
        <item m="1" x="7671"/>
        <item m="1" x="43"/>
        <item sd="0" m="1" x="415"/>
        <item sd="0" m="1" x="793"/>
        <item sd="0" m="1" x="1169"/>
        <item sd="0" m="1" x="1545"/>
        <item sd="0" m="1" x="1912"/>
        <item sd="0" m="1" x="2286"/>
        <item sd="0" m="1" x="2656"/>
        <item sd="0" m="1" x="3019"/>
        <item m="1" x="3391"/>
        <item m="1" x="3763"/>
        <item m="1" x="4131"/>
        <item m="1" x="4507"/>
        <item m="1" x="4880"/>
        <item m="1" x="5256"/>
        <item m="1" x="5627"/>
        <item m="1" x="5996"/>
        <item m="1" x="6373"/>
        <item m="1" x="6737"/>
        <item m="1" x="7108"/>
        <item m="1" x="7486"/>
        <item m="1" x="7858"/>
        <item m="1" x="229"/>
        <item m="1" x="608"/>
        <item m="1" x="985"/>
        <item m="1" x="1363"/>
        <item m="1" x="1729"/>
        <item m="1" x="2107"/>
        <item m="1" x="2477"/>
        <item m="1" x="2844"/>
        <item m="1" x="3207"/>
        <item m="1" x="3582"/>
        <item m="1" x="3954"/>
        <item sd="0" m="1" x="1184"/>
        <item sd="0" m="1" x="1559"/>
        <item sd="0" m="1" x="1926"/>
        <item sd="0" m="1" x="2301"/>
        <item sd="0" m="1" x="2670"/>
        <item sd="0" m="1" x="3033"/>
        <item sd="0" m="1" x="3404"/>
        <item sd="0" m="1" x="3776"/>
        <item sd="0" m="1" x="4148"/>
        <item sd="0" m="1" x="4522"/>
        <item sd="0" m="1" x="4894"/>
        <item sd="0" m="1" x="5272"/>
        <item sd="0" m="1" x="5643"/>
        <item sd="0" m="1" x="6010"/>
        <item m="1" x="6388"/>
        <item m="1" x="6752"/>
        <item m="1" x="7127"/>
        <item m="1" x="7500"/>
        <item m="1" x="7872"/>
        <item sd="0" m="1" x="247"/>
        <item sd="0" m="1" x="625"/>
        <item sd="0" m="1" x="999"/>
        <item sd="0" m="1" x="1378"/>
        <item sd="0" m="1" x="1744"/>
        <item sd="0" m="1" x="2125"/>
        <item sd="0" m="1" x="2491"/>
        <item sd="0" m="1" x="2857"/>
        <item sd="0" m="1" x="3226"/>
        <item sd="0" m="1" x="3597"/>
        <item sd="0" m="1" x="3968"/>
        <item sd="0" m="1" x="4339"/>
        <item sd="0" m="1" x="4709"/>
        <item sd="0" m="1" x="5092"/>
        <item m="1" x="5457"/>
        <item sd="0" m="1" x="5831"/>
        <item sd="0" m="1" x="6201"/>
        <item m="1" x="6573"/>
        <item m="1" x="6939"/>
        <item m="1" x="7314"/>
        <item m="1" x="7690"/>
        <item m="1" x="65"/>
        <item m="1" x="435"/>
        <item m="1" x="814"/>
        <item m="1" x="1191"/>
        <item m="1" x="1567"/>
        <item m="1" x="1932"/>
        <item m="1" x="2309"/>
        <item m="1" x="2676"/>
        <item m="1" x="3046"/>
        <item m="1" x="3411"/>
        <item m="1" x="3785"/>
        <item m="1" x="4156"/>
        <item m="1" x="4532"/>
        <item m="1" x="4901"/>
        <item m="1" x="5280"/>
        <item m="1" x="5649"/>
        <item m="1" x="6021"/>
        <item m="1" x="6394"/>
        <item m="1" x="6760"/>
        <item m="1" x="7132"/>
        <item m="1" x="7510"/>
        <item sd="0" m="1" x="5105"/>
        <item sd="0" m="1" x="5471"/>
        <item sd="0" m="1" x="5846"/>
        <item sd="0" m="1" x="6215"/>
        <item m="1" x="6586"/>
        <item m="1" x="6956"/>
        <item m="1" x="7330"/>
        <item m="1" x="7703"/>
        <item sd="0" m="1" x="79"/>
        <item sd="0" m="1" x="449"/>
        <item sd="0" m="1" x="832"/>
        <item sd="0" m="1" x="1205"/>
        <item sd="0" m="1" x="1580"/>
        <item sd="0" m="1" x="1951"/>
        <item sd="0" m="1" x="2325"/>
        <item sd="0" m="1" x="2690"/>
        <item sd="0" m="1" x="3060"/>
        <item sd="0" m="1" x="3426"/>
        <item sd="0" m="1" x="3803"/>
        <item sd="0" m="1" x="4171"/>
        <item sd="0" m="1" x="4547"/>
        <item sd="0" m="1" x="4919"/>
        <item sd="0" m="1" x="5296"/>
        <item sd="0" m="1" x="5663"/>
        <item sd="0" m="1" x="6036"/>
        <item m="1" x="6409"/>
        <item m="1" x="6778"/>
        <item m="1" x="7145"/>
        <item m="1" x="7523"/>
        <item m="1" x="7894"/>
        <item sd="0" m="1" x="268"/>
        <item sd="0" m="1" x="642"/>
        <item sd="0" m="1" x="1022"/>
        <item sd="0" m="1" x="1395"/>
        <item sd="0" m="1" x="1764"/>
        <item sd="0" m="1" x="2143"/>
        <item sd="0" m="1" x="2509"/>
        <item m="1" x="2876"/>
        <item m="1" x="3246"/>
        <item m="1" x="3614"/>
        <item m="1" x="3989"/>
        <item m="1" x="4358"/>
        <item m="1" x="4730"/>
        <item m="1" x="5110"/>
        <item m="1" x="5478"/>
        <item m="1" x="5852"/>
        <item m="1" x="6223"/>
        <item m="1" x="6592"/>
        <item m="1" x="6963"/>
        <item m="1" x="7335"/>
        <item m="1" x="7713"/>
        <item m="1" x="84"/>
        <item m="1" x="456"/>
        <item m="1" x="838"/>
        <item m="1" x="1212"/>
        <item m="1" x="1584"/>
        <item m="1" x="1957"/>
        <item m="1" x="2329"/>
        <item m="1" x="2700"/>
        <item m="1" x="3064"/>
        <item sd="0" m="1" x="469"/>
        <item sd="0" m="1" x="656"/>
        <item sd="0" m="1" x="849"/>
        <item sd="0" m="1" x="1034"/>
        <item sd="0" m="1" x="1224"/>
        <item sd="0" m="1" x="1407"/>
        <item sd="0" m="1" x="1599"/>
        <item sd="0" m="1" x="1776"/>
        <item sd="0" m="1" x="1971"/>
        <item sd="0" m="1" x="2155"/>
        <item sd="0" m="1" x="2339"/>
        <item sd="0" m="1" x="2524"/>
        <item sd="0" m="1" x="2710"/>
        <item sd="0" m="1" x="2887"/>
        <item sd="0" m="1" x="3075"/>
        <item sd="0" m="1" x="3257"/>
        <item sd="0" m="1" x="3442"/>
        <item sd="0" m="1" x="3630"/>
        <item sd="0" m="1" x="3817"/>
        <item sd="0" m="1" x="4003"/>
        <item sd="0" m="1" x="4187"/>
        <item sd="0" m="1" x="4370"/>
        <item sd="0" m="1" x="4562"/>
        <item sd="0" m="1" x="4742"/>
        <item sd="0" m="1" x="4935"/>
        <item sd="0" m="1" x="5123"/>
        <item sd="0" m="1" x="5308"/>
        <item sd="0" m="1" x="5495"/>
        <item sd="0" m="1" x="5682"/>
        <item sd="0" m="1" x="5865"/>
        <item sd="0" m="1" x="6050"/>
        <item m="1" x="6236"/>
        <item m="1" x="6425"/>
        <item m="1" x="6610"/>
        <item m="1" x="6791"/>
        <item m="1" x="6978"/>
        <item m="1" x="7160"/>
        <item m="1" x="7348"/>
        <item m="1" x="7539"/>
        <item m="1" x="7726"/>
        <item m="1" x="7911"/>
        <item sd="0" m="1" x="99"/>
        <item sd="0" m="1" x="282"/>
        <item sd="0" m="1" x="474"/>
        <item sd="0" m="1" x="660"/>
        <item sd="0" m="1" x="852"/>
        <item sd="0" m="1" x="1037"/>
        <item sd="0" m="1" x="1227"/>
        <item sd="0" m="1" x="1413"/>
        <item sd="0" m="1" x="1602"/>
        <item sd="0" m="1" x="1779"/>
        <item sd="0" m="1" x="1974"/>
        <item sd="0" m="1" x="2160"/>
        <item sd="0" m="1" x="2343"/>
        <item m="1" x="2528"/>
        <item sd="0" m="1" x="2713"/>
        <item sd="0" m="1" x="2893"/>
        <item sd="0" m="1" x="3078"/>
        <item sd="0" m="1" x="3260"/>
        <item sd="0" m="1" x="3447"/>
        <item sd="0" m="1" x="3635"/>
        <item sd="0" m="1" x="3820"/>
        <item m="1" x="4005"/>
        <item sd="0" m="1" x="4189"/>
        <item sd="0" m="1" x="4375"/>
        <item sd="0" m="1" x="4564"/>
        <item sd="0" m="1" x="4744"/>
        <item sd="0" m="1" x="4937"/>
        <item sd="0" m="1" x="5127"/>
        <item sd="0" m="1" x="5310"/>
        <item m="1" x="5498"/>
        <item sd="0" m="1" x="5684"/>
        <item sd="0" m="1" x="5870"/>
        <item sd="0" m="1" x="6052"/>
        <item m="1" x="6238"/>
        <item m="1" x="6429"/>
        <item m="1" x="6615"/>
        <item m="1" x="6794"/>
        <item m="1" x="6981"/>
        <item m="1" x="7163"/>
        <item m="1" x="7354"/>
        <item m="1" x="7542"/>
        <item m="1" x="7729"/>
        <item m="1" x="7914"/>
        <item m="1" x="104"/>
        <item m="1" x="285"/>
        <item m="1" x="478"/>
        <item m="1" x="663"/>
        <item m="1" x="858"/>
        <item m="1" x="1040"/>
        <item m="1" x="1230"/>
        <item m="1" x="1417"/>
        <item m="1" x="1606"/>
        <item m="1" x="1782"/>
        <item m="1" x="1977"/>
        <item m="1" x="2163"/>
        <item m="1" x="2347"/>
        <item m="1" x="2531"/>
        <item m="1" x="2716"/>
        <item m="1" x="2896"/>
        <item m="1" x="3082"/>
        <item m="1" x="3263"/>
        <item m="1" x="3451"/>
        <item m="1" x="3638"/>
        <item m="1" x="3824"/>
        <item m="1" x="4008"/>
        <item m="1" x="4192"/>
        <item m="1" x="4380"/>
        <item m="1" x="4568"/>
        <item m="1" x="4747"/>
        <item m="1" x="4940"/>
        <item m="1" x="5130"/>
        <item m="1" x="5314"/>
        <item m="1" x="5501"/>
        <item m="1" x="5687"/>
        <item m="1" x="5873"/>
        <item m="1" x="6056"/>
        <item m="1" x="6241"/>
        <item m="1" x="6431"/>
        <item m="1" x="6617"/>
        <item m="1" x="6797"/>
        <item m="1" x="6983"/>
        <item sd="0" m="1" x="4203"/>
        <item sd="0" m="1" x="4391"/>
        <item sd="0" m="1" x="4577"/>
        <item sd="0" m="1" x="4761"/>
        <item sd="0" m="1" x="4950"/>
        <item sd="0" m="1" x="5144"/>
        <item sd="0" m="1" x="5325"/>
        <item sd="0" m="1" x="5513"/>
        <item sd="0" m="1" x="5697"/>
        <item sd="0" m="1" x="5883"/>
        <item sd="0" m="1" x="6065"/>
        <item m="1" x="6257"/>
        <item m="1" x="6441"/>
        <item m="1" x="6628"/>
        <item m="1" x="6806"/>
        <item m="1" x="6994"/>
        <item m="1" x="7179"/>
        <item m="1" x="7368"/>
        <item m="1" x="7555"/>
        <item m="1" x="7742"/>
        <item m="1" x="7926"/>
        <item sd="0" m="1" x="116"/>
        <item sd="0" m="1" x="300"/>
        <item sd="0" m="1" x="489"/>
        <item m="1" x="677"/>
        <item sd="0" m="1" x="869"/>
        <item sd="0" m="1" x="1052"/>
        <item sd="0" m="1" x="1246"/>
        <item sd="0" m="1" x="1432"/>
        <item sd="0" m="1" x="1619"/>
        <item sd="0" m="1" x="1796"/>
        <item sd="0" m="1" x="1989"/>
        <item sd="0" m="1" x="2181"/>
        <item sd="0" m="1" x="2361"/>
        <item sd="0" m="1" x="2545"/>
        <item sd="0" m="1" x="2729"/>
        <item sd="0" m="1" x="2909"/>
        <item sd="0" m="1" x="3095"/>
        <item sd="0" m="1" x="3282"/>
        <item sd="0" m="1" x="3463"/>
        <item sd="0" m="1" x="3654"/>
        <item sd="0" m="1" x="3837"/>
        <item sd="0" m="1" x="4022"/>
        <item sd="0" m="1" x="4207"/>
        <item sd="0" m="1" x="4394"/>
        <item sd="0" m="1" x="4582"/>
        <item sd="0" m="1" x="4764"/>
        <item sd="0" m="1" x="4954"/>
        <item sd="0" m="1" x="5149"/>
        <item sd="0" m="1" x="5330"/>
        <item sd="0" m="1" x="5516"/>
        <item sd="0" m="1" x="5701"/>
        <item sd="0" m="1" x="5886"/>
        <item sd="0" m="1" x="6072"/>
        <item m="1" x="6261"/>
        <item m="1" x="6445"/>
        <item m="1" x="6631"/>
        <item m="1" x="6811"/>
        <item m="1" x="6997"/>
        <item m="1" x="7183"/>
        <item m="1" x="7371"/>
        <item m="1" x="7561"/>
        <item m="1" x="7744"/>
        <item m="1" x="7929"/>
        <item sd="0" m="1" x="119"/>
        <item sd="0" m="1" x="304"/>
        <item sd="0" m="1" x="491"/>
        <item sd="0" m="1" x="680"/>
        <item sd="0" m="1" x="871"/>
        <item sd="0" m="1" x="1057"/>
        <item sd="0" m="1" x="1248"/>
        <item sd="0" m="1" x="1435"/>
        <item sd="0" m="1" x="1621"/>
        <item sd="0" m="1" x="1800"/>
        <item m="1" x="1991"/>
        <item m="1" x="2184"/>
        <item m="1" x="2364"/>
        <item m="1" x="2551"/>
        <item m="1" x="2732"/>
        <item m="1" x="2913"/>
        <item m="1" x="3099"/>
        <item m="1" x="3287"/>
        <item m="1" x="3466"/>
        <item m="1" x="3658"/>
        <item m="1" x="3840"/>
        <item m="1" x="4028"/>
        <item m="1" x="4211"/>
        <item m="1" x="4398"/>
        <item m="1" x="4585"/>
        <item m="1" x="4768"/>
        <item m="1" x="4957"/>
        <item m="1" x="5153"/>
        <item m="1" x="5333"/>
        <item m="1" x="5520"/>
        <item m="1" x="5704"/>
        <item m="1" x="5889"/>
        <item m="1" x="6078"/>
        <item m="1" x="6265"/>
        <item m="1" x="6448"/>
        <item m="1" x="6634"/>
        <item m="1" x="6814"/>
        <item m="1" x="7001"/>
        <item m="1" x="7186"/>
        <item m="1" x="7374"/>
        <item m="1" x="7564"/>
        <item m="1" x="7748"/>
        <item m="1" x="7932"/>
        <item m="1" x="123"/>
        <item m="1" x="307"/>
        <item m="1" x="495"/>
        <item m="1" x="683"/>
        <item m="1" x="874"/>
        <item m="1" x="1062"/>
        <item m="1" x="1252"/>
        <item m="1" x="1438"/>
        <item m="1" x="1624"/>
        <item m="1" x="1803"/>
        <item m="1" x="1995"/>
        <item m="1" x="2186"/>
        <item m="1" x="2366"/>
        <item m="1" x="2553"/>
        <item m="1" x="2735"/>
        <item m="1" x="7948"/>
        <item sd="0" m="1" x="132"/>
        <item sd="0" m="1" x="320"/>
        <item sd="0" m="1" x="505"/>
        <item sd="0" m="1" x="696"/>
        <item sd="0" m="1" x="886"/>
        <item sd="0" m="1" x="1075"/>
        <item sd="0" m="1" x="1261"/>
        <item sd="0" m="1" x="1451"/>
        <item sd="0" m="1" x="1633"/>
        <item sd="0" m="1" x="1815"/>
        <item sd="0" m="1" x="2007"/>
        <item sd="0" m="1" x="2197"/>
        <item sd="0" m="1" x="2377"/>
        <item sd="0" m="1" x="2563"/>
        <item sd="0" m="1" x="2745"/>
        <item sd="0" m="1" x="2930"/>
        <item sd="0" m="1" x="3112"/>
        <item sd="0" m="1" x="3299"/>
        <item sd="0" m="1" x="3479"/>
        <item sd="0" m="1" x="3669"/>
        <item sd="0" m="1" x="3856"/>
        <item sd="0" m="1" x="4041"/>
        <item sd="0" m="1" x="4224"/>
        <item sd="0" m="1" x="4410"/>
        <item sd="0" m="1" x="4597"/>
        <item sd="0" m="1" x="4781"/>
        <item sd="0" m="1" x="4976"/>
        <item sd="0" m="1" x="5165"/>
        <item sd="0" m="1" x="5348"/>
        <item sd="0" m="1" x="5532"/>
        <item sd="0" m="1" x="5718"/>
        <item sd="0" m="1" x="5905"/>
        <item sd="0" m="1" x="6091"/>
        <item m="1" x="6278"/>
        <item m="1" x="6463"/>
        <item m="1" x="6646"/>
        <item m="1" x="6831"/>
        <item m="1" x="7016"/>
        <item m="1" x="7201"/>
        <item m="1" x="7388"/>
        <item m="1" x="7578"/>
        <item m="1" x="7761"/>
        <item m="1" x="7951"/>
        <item sd="0" m="1" x="136"/>
        <item sd="0" m="1" x="323"/>
        <item sd="0" m="1" x="509"/>
        <item sd="0" m="1" x="699"/>
        <item sd="0" m="1" x="891"/>
        <item m="1" x="1078"/>
        <item sd="0" m="1" x="1267"/>
        <item sd="0" m="1" x="1454"/>
        <item sd="0" m="1" x="1637"/>
        <item sd="0" m="1" x="1821"/>
        <item sd="0" m="1" x="2013"/>
        <item sd="0" m="1" x="2200"/>
        <item sd="0" m="1" x="2381"/>
        <item m="1" x="2566"/>
        <item sd="0" m="1" x="2751"/>
        <item sd="0" m="1" x="2933"/>
        <item sd="0" m="1" x="3116"/>
        <item sd="0" m="1" x="3302"/>
        <item sd="0" m="1" x="3484"/>
        <item sd="0" m="1" x="3672"/>
        <item sd="0" m="1" x="3859"/>
        <item sd="0" m="1" x="4043"/>
        <item sd="0" m="1" x="4229"/>
        <item sd="0" m="1" x="4412"/>
        <item sd="0" m="1" x="4600"/>
        <item sd="0" m="1" x="4784"/>
        <item sd="0" m="1" x="4980"/>
        <item sd="0" m="1" x="5167"/>
        <item sd="0" m="1" x="5351"/>
        <item sd="0" m="1" x="5534"/>
        <item m="1" x="5723"/>
        <item m="1" x="5907"/>
        <item m="1" x="6095"/>
        <item m="1" x="6281"/>
        <item m="1" x="6468"/>
        <item m="1" x="6649"/>
        <item m="1" x="6835"/>
        <item m="1" x="7019"/>
        <item m="1" x="7207"/>
        <item m="1" x="7391"/>
        <item m="1" x="7582"/>
        <item m="1" x="7765"/>
        <item m="1" x="7956"/>
        <item m="1" x="139"/>
        <item m="1" x="327"/>
        <item m="1" x="512"/>
        <item m="1" x="704"/>
        <item m="1" x="894"/>
        <item m="1" x="1081"/>
        <item m="1" x="1270"/>
        <item m="1" x="1458"/>
        <item m="1" x="1640"/>
        <item m="1" x="1824"/>
        <item m="1" x="2016"/>
        <item m="1" x="2204"/>
        <item m="1" x="2384"/>
        <item m="1" x="2569"/>
        <item m="1" x="2756"/>
        <item m="1" x="2937"/>
        <item m="1" x="3119"/>
        <item m="1" x="3305"/>
        <item m="1" x="3487"/>
        <item m="1" x="3676"/>
        <item m="1" x="3862"/>
        <item m="1" x="4046"/>
        <item m="1" x="4232"/>
        <item m="1" x="4416"/>
        <item m="1" x="4603"/>
        <item m="1" x="4788"/>
        <item m="1" x="4983"/>
        <item m="1" x="5171"/>
        <item m="1" x="5354"/>
        <item m="1" x="5537"/>
        <item m="1" x="5729"/>
        <item m="1" x="5910"/>
        <item m="1" x="6097"/>
        <item m="1" x="6283"/>
        <item m="1" x="6470"/>
        <item sd="0" m="1" x="3686"/>
        <item sd="0" m="1" x="3875"/>
        <item sd="0" m="1" x="4056"/>
        <item m="1" x="4244"/>
        <item sd="0" m="1" x="4426"/>
        <item sd="0" m="1" x="4619"/>
        <item sd="0" m="1" x="4799"/>
        <item sd="0" m="1" x="4997"/>
        <item sd="0" m="1" x="5180"/>
        <item sd="0" m="1" x="5366"/>
        <item sd="0" m="1" x="5550"/>
        <item m="1" x="5740"/>
        <item sd="0" m="1" x="5920"/>
        <item sd="0" m="1" x="6109"/>
        <item m="1" x="6294"/>
        <item m="1" x="6481"/>
        <item m="1" x="6664"/>
        <item m="1" x="6848"/>
        <item m="1" x="7033"/>
        <item m="1" x="7219"/>
        <item m="1" x="7406"/>
        <item m="1" x="7598"/>
        <item m="1" x="7780"/>
        <item m="1" x="7969"/>
        <item sd="0" m="1" x="154"/>
        <item sd="0" m="1" x="340"/>
        <item sd="0" m="1" x="530"/>
        <item sd="0" m="1" x="721"/>
        <item sd="0" m="1" x="910"/>
        <item sd="0" m="1" x="1095"/>
        <item sd="0" m="1" x="1285"/>
        <item sd="0" m="1" x="1472"/>
        <item sd="0" m="1" x="1659"/>
        <item sd="0" m="1" x="1839"/>
        <item sd="0" m="1" x="2032"/>
        <item sd="0" m="1" x="2217"/>
        <item sd="0" m="1" x="2400"/>
        <item sd="0" m="1" x="2586"/>
        <item sd="0" m="1" x="2772"/>
        <item sd="0" m="1" x="2952"/>
        <item sd="0" m="1" x="3136"/>
        <item sd="0" m="1" x="3320"/>
        <item sd="0" m="1" x="3505"/>
        <item sd="0" m="1" x="3691"/>
        <item sd="0" m="1" x="3879"/>
        <item sd="0" m="1" x="4061"/>
        <item sd="0" m="1" x="4248"/>
        <item sd="0" m="1" x="4433"/>
        <item sd="0" m="1" x="4624"/>
        <item sd="0" m="1" x="4804"/>
        <item sd="0" m="1" x="5001"/>
        <item sd="0" m="1" x="5186"/>
        <item sd="0" m="1" x="5370"/>
        <item sd="0" m="1" x="5556"/>
        <item sd="0" m="1" x="5744"/>
        <item sd="0" m="1" x="5927"/>
        <item sd="0" m="1" x="6113"/>
        <item m="1" x="6299"/>
        <item m="1" x="6487"/>
        <item m="1" x="6670"/>
        <item m="1" x="6852"/>
        <item m="1" x="7038"/>
        <item m="1" x="7223"/>
        <item m="1" x="7413"/>
        <item m="1" x="7602"/>
        <item m="1" x="7784"/>
        <item m="1" x="7972"/>
        <item sd="0" m="1" x="159"/>
        <item sd="0" m="1" x="343"/>
        <item sd="0" m="1" x="535"/>
        <item sd="0" m="1" x="724"/>
        <item sd="0" m="1" x="916"/>
        <item sd="0" m="1" x="1098"/>
        <item m="1" x="1289"/>
        <item m="1" x="1477"/>
        <item m="1" x="1664"/>
        <item m="1" x="1843"/>
        <item m="1" x="2037"/>
        <item m="1" x="2221"/>
        <item m="1" x="2407"/>
        <item m="1" x="2590"/>
        <item m="1" x="2777"/>
        <item m="1" x="2956"/>
        <item m="1" x="3142"/>
        <item m="1" x="3324"/>
        <item m="1" x="3510"/>
        <item m="1" x="3695"/>
        <item m="1" x="3886"/>
        <item m="1" x="4065"/>
        <item m="1" x="4252"/>
        <item m="1" x="4438"/>
        <item m="1" x="4629"/>
        <item m="1" x="4808"/>
        <item m="1" x="5005"/>
        <item m="1" x="5190"/>
        <item m="1" x="5375"/>
        <item m="1" x="5560"/>
        <item m="1" x="5748"/>
        <item m="1" x="5931"/>
        <item m="1" x="6118"/>
        <item m="1" x="6303"/>
        <item m="1" x="6491"/>
        <item m="1" x="6674"/>
        <item m="1" x="6857"/>
        <item m="1" x="7042"/>
        <item m="1" x="7227"/>
        <item m="1" x="7419"/>
        <item m="1" x="7607"/>
        <item m="1" x="7788"/>
        <item m="1" x="7976"/>
        <item m="1" x="163"/>
        <item m="1" x="348"/>
        <item m="1" x="539"/>
        <item m="1" x="728"/>
        <item m="1" x="920"/>
        <item m="1" x="1103"/>
        <item m="1" x="1293"/>
        <item m="1" x="1481"/>
        <item m="1" x="1667"/>
        <item m="1" x="1847"/>
        <item m="1" x="2040"/>
        <item m="1" x="7237"/>
        <item m="1" x="7432"/>
        <item m="1" x="7615"/>
        <item m="1" x="7801"/>
        <item m="1" x="7985"/>
        <item m="1" x="175"/>
        <item sd="0" m="1" x="359"/>
        <item sd="0" m="1" x="552"/>
        <item sd="0" m="1" x="738"/>
        <item sd="0" m="1" x="931"/>
        <item m="1" x="1111"/>
        <item m="1" x="1307"/>
        <item m="1" x="1491"/>
        <item m="1" x="1677"/>
        <item sd="0" m="1" x="1857"/>
        <item sd="0" m="1" x="2051"/>
        <item sd="0" m="1" x="2236"/>
        <item sd="0" m="1" x="2421"/>
        <item m="1" x="2603"/>
        <item m="1" x="2791"/>
        <item m="1" x="2970"/>
        <item m="1" x="3155"/>
        <item sd="0" m="1" x="3340"/>
        <item sd="0" m="1" x="3524"/>
        <item sd="0" m="1" x="3710"/>
        <item sd="0" m="1" x="3898"/>
        <item m="1" x="4080"/>
        <item m="1" x="4269"/>
        <item m="1" x="4454"/>
        <item m="1" x="4643"/>
        <item sd="0" m="1" x="4825"/>
        <item sd="0" m="1" x="5019"/>
        <item sd="0" m="1" x="5209"/>
        <item sd="0" m="1" x="5390"/>
        <item m="1" x="5576"/>
        <item m="1" x="5762"/>
        <item m="1" x="5945"/>
        <item m="1" x="6131"/>
        <item m="1" x="6322"/>
        <item m="1" x="6504"/>
        <item m="1" x="6690"/>
        <item m="1" x="6870"/>
        <item m="1" x="7057"/>
        <item m="1" x="7242"/>
        <item m="1" x="7435"/>
        <item m="1" x="7620"/>
        <item m="1" x="7804"/>
        <item m="1" x="7989"/>
        <item m="1" x="180"/>
        <item m="1" x="364"/>
        <item m="1" x="555"/>
        <item m="1" x="742"/>
        <item m="1" x="934"/>
        <item m="1" x="1118"/>
        <item m="1" x="1310"/>
        <item m="1" x="1495"/>
        <item m="1" x="1680"/>
        <item m="1" x="1862"/>
        <item m="1" x="2054"/>
        <item m="1" x="2241"/>
        <item m="1" x="2424"/>
        <item m="1" x="2609"/>
        <item m="1" x="2793"/>
        <item m="1" x="2973"/>
        <item m="1" x="3158"/>
        <item m="1" x="3344"/>
        <item m="1" x="3526"/>
        <item m="1" x="3713"/>
        <item m="1" x="3900"/>
        <item m="1" x="4085"/>
        <item m="1" x="4271"/>
        <item m="1" x="4457"/>
        <item m="1" x="4645"/>
        <item m="1" x="4829"/>
        <item m="1" x="5021"/>
        <item m="1" x="5213"/>
        <item m="1" x="5393"/>
        <item m="1" x="5582"/>
        <item m="1" x="5765"/>
        <item m="1" x="5949"/>
        <item m="1" x="6135"/>
        <item m="1" x="6327"/>
        <item m="1" x="6507"/>
        <item m="1" x="6694"/>
        <item m="1" x="6873"/>
        <item m="1" x="7063"/>
        <item m="1" x="7245"/>
        <item m="1" x="7439"/>
        <item m="1" x="7623"/>
        <item m="1" x="7808"/>
        <item m="1" x="7992"/>
        <item m="1" x="184"/>
        <item m="1" x="367"/>
        <item m="1" x="559"/>
        <item m="1" x="745"/>
        <item m="1" x="937"/>
        <item m="1" x="1124"/>
        <item m="1" x="1314"/>
        <item m="1" x="1498"/>
        <item m="1" x="1683"/>
        <item m="1" x="1865"/>
        <item m="1" x="2058"/>
        <item m="1" x="2244"/>
        <item m="1" x="2427"/>
        <item m="1" x="2613"/>
        <item m="1" x="2797"/>
        <item m="1" x="2976"/>
        <item m="1" x="3161"/>
        <item m="1" x="3347"/>
        <item m="1" x="3530"/>
        <item m="1" x="3716"/>
        <item m="1" x="3903"/>
        <item m="1" x="4090"/>
        <item m="1" x="4275"/>
        <item m="1" x="4460"/>
        <item m="1" x="4648"/>
        <item m="1" x="4832"/>
        <item m="1" x="5025"/>
        <item m="1" x="5216"/>
        <item m="1" x="5396"/>
        <item m="1" x="5586"/>
        <item m="1" x="5769"/>
        <item sd="0" m="1" x="2990"/>
        <item sd="0" m="1" x="3170"/>
        <item sd="0" m="1" x="3359"/>
        <item sd="0" m="1" x="3540"/>
        <item m="1" x="3729"/>
        <item m="1" x="3914"/>
        <item m="1" x="4101"/>
        <item sd="0" m="1" x="4283"/>
        <item sd="0" m="1" x="4474"/>
        <item sd="0" m="1" x="4657"/>
        <item sd="0" m="1" x="4843"/>
        <item sd="0" m="1" x="5036"/>
        <item m="1" x="5227"/>
        <item m="1" x="5406"/>
        <item m="1" x="5595"/>
        <item sd="0" m="1" x="5778"/>
        <item sd="0" m="1" x="5965"/>
        <item sd="0" m="1" x="6148"/>
        <item m="1" x="6339"/>
        <item m="1" x="6521"/>
        <item m="1" x="6707"/>
        <item m="1" x="6890"/>
        <item m="1" x="7078"/>
        <item m="1" x="7260"/>
        <item m="1" x="7452"/>
        <item m="1" x="7637"/>
        <item m="1" x="7822"/>
        <item sd="0" m="1" x="14"/>
        <item m="1" x="198"/>
        <item m="1" x="383"/>
        <item m="1" x="573"/>
        <item sd="0" m="1" x="761"/>
        <item sd="0" m="1" x="953"/>
        <item sd="0" m="1" x="1139"/>
        <item sd="0" m="1" x="1328"/>
        <item m="1" x="1515"/>
        <item m="1" x="1696"/>
        <item m="1" x="1883"/>
        <item m="1" x="2074"/>
        <item m="1" x="2260"/>
        <item m="1" x="2441"/>
        <item m="1" x="2628"/>
        <item m="1" x="2809"/>
        <item m="1" x="2993"/>
        <item m="1" x="3174"/>
        <item m="1" x="3362"/>
        <item m="1" x="3544"/>
        <item m="1" x="3732"/>
        <item m="1" x="3919"/>
        <item m="1" x="4104"/>
        <item m="1" x="4289"/>
        <item m="1" x="4477"/>
        <item m="1" x="4661"/>
        <item m="1" x="4850"/>
        <item m="1" x="5042"/>
        <item m="1" x="5230"/>
        <item m="1" x="5410"/>
        <item m="1" x="5598"/>
        <item m="1" x="5784"/>
        <item m="1" x="5968"/>
        <item m="1" x="6152"/>
        <item m="1" x="6342"/>
        <item m="1" x="6525"/>
        <item m="1" x="6709"/>
        <item m="1" x="6894"/>
        <item m="1" x="7080"/>
        <item m="1" x="7265"/>
        <item m="1" x="7454"/>
        <item m="1" x="7640"/>
        <item m="1" x="7826"/>
        <item m="1" x="18"/>
        <item m="1" x="200"/>
        <item m="1" x="386"/>
        <item m="1" x="575"/>
        <item m="1" x="766"/>
        <item m="1" x="955"/>
        <item m="1" x="1143"/>
        <item m="1" x="1331"/>
        <item m="1" x="1520"/>
        <item m="1" x="1699"/>
        <item m="1" x="1888"/>
        <item m="1" x="2077"/>
        <item m="1" x="2266"/>
        <item m="1" x="2444"/>
        <item m="1" x="2632"/>
        <item m="1" x="2813"/>
        <item m="1" x="2998"/>
        <item m="1" x="3177"/>
        <item m="1" x="3366"/>
        <item m="1" x="3547"/>
        <item m="1" x="3737"/>
        <item m="1" x="3922"/>
        <item m="1" x="4107"/>
        <item m="1" x="4293"/>
        <item m="1" x="4481"/>
        <item m="1" x="4664"/>
        <item m="1" x="4854"/>
        <item m="1" x="5045"/>
        <item m="1" x="5234"/>
        <item m="1" x="5413"/>
        <item m="1" x="5601"/>
        <item m="1" x="5790"/>
        <item m="1" x="5972"/>
        <item m="1" x="6155"/>
        <item m="1" x="6345"/>
        <item m="1" x="6528"/>
        <item m="1" x="6713"/>
        <item m="1" x="6897"/>
        <item m="1" x="7083"/>
        <item m="1" x="7269"/>
        <item m="1" x="7458"/>
        <item m="1" x="7643"/>
        <item m="1" x="7830"/>
        <item m="1" x="21"/>
        <item m="1" x="204"/>
        <item m="1" x="389"/>
        <item m="1" x="578"/>
        <item m="1" x="772"/>
        <item m="1" x="959"/>
        <item m="1" x="1146"/>
        <item m="1" x="1334"/>
        <item m="1" x="1523"/>
        <item m="1" x="6723"/>
        <item m="1" x="6909"/>
        <item m="1" x="7092"/>
        <item m="1" x="7281"/>
        <item m="1" x="7467"/>
        <item m="1" x="7660"/>
        <item m="1" x="7840"/>
        <item m="1" x="33"/>
        <item m="1" x="213"/>
        <item sd="0" m="1" x="400"/>
        <item sd="0" m="1" x="590"/>
        <item sd="0" m="1" x="782"/>
        <item sd="0" m="1" x="968"/>
        <item m="1" x="1158"/>
        <item m="1" x="1344"/>
        <item m="1" x="1533"/>
        <item m="1" x="1714"/>
        <item sd="0" m="1" x="1901"/>
        <item sd="0" m="1" x="2091"/>
        <item sd="0" m="1" x="2278"/>
        <item sd="0" m="1" x="2459"/>
        <item m="1" x="2647"/>
        <item m="1" x="2828"/>
        <item m="1" x="3011"/>
        <item m="1" x="3193"/>
        <item sd="0" m="1" x="3379"/>
        <item sd="0" m="1" x="3565"/>
        <item sd="0" m="1" x="3754"/>
        <item sd="0" m="1" x="3938"/>
        <item m="1" x="4121"/>
        <item m="1" x="4308"/>
        <item m="1" x="4495"/>
        <item sd="0" m="1" x="4683"/>
        <item sd="0" m="1" x="4868"/>
        <item sd="0" m="1" x="5061"/>
        <item m="1" x="5247"/>
        <item m="1" x="5428"/>
        <item m="1" x="5615"/>
        <item m="1" x="5804"/>
        <item m="1" x="5986"/>
        <item m="1" x="6172"/>
        <item m="1" x="6359"/>
        <item m="1" x="6545"/>
        <item m="1" x="6727"/>
        <item m="1" x="6912"/>
        <item m="1" x="7096"/>
        <item m="1" x="7284"/>
        <item m="1" x="7473"/>
        <item m="1" x="7663"/>
        <item m="1" x="7844"/>
        <item m="1" x="36"/>
        <item m="1" x="218"/>
        <item m="1" x="404"/>
        <item m="1" x="595"/>
        <item m="1" x="786"/>
        <item m="1" x="974"/>
        <item m="1" x="1161"/>
        <item m="1" x="1348"/>
        <item m="1" x="1538"/>
        <item m="1" x="1719"/>
        <item m="1" x="1904"/>
        <item m="1" x="2095"/>
        <item m="1" x="2280"/>
        <item m="1" x="2464"/>
        <item m="1" x="2649"/>
        <item m="1" x="2831"/>
        <item m="1" x="3013"/>
        <item m="1" x="3197"/>
        <item m="1" x="3381"/>
        <item m="1" x="3569"/>
        <item m="1" x="3756"/>
        <item m="1" x="3943"/>
        <item m="1" x="4123"/>
        <item m="1" x="4311"/>
        <item m="1" x="4499"/>
        <item m="1" x="4687"/>
        <item m="1" x="4871"/>
        <item m="1" x="5065"/>
        <item m="1" x="5250"/>
        <item m="1" x="5434"/>
        <item m="1" x="5619"/>
        <item m="1" x="5808"/>
        <item m="1" x="5989"/>
        <item m="1" x="6177"/>
        <item m="1" x="6362"/>
        <item m="1" x="6550"/>
        <item m="1" x="6730"/>
        <item m="1" x="6918"/>
        <item m="1" x="7099"/>
        <item m="1" x="7287"/>
        <item m="1" x="7477"/>
        <item m="1" x="7667"/>
        <item m="1" x="7847"/>
        <item m="1" x="39"/>
        <item m="1" x="221"/>
        <item m="1" x="408"/>
        <item m="1" x="598"/>
        <item m="1" x="789"/>
        <item m="1" x="978"/>
        <item m="1" x="1165"/>
        <item m="1" x="1351"/>
        <item m="1" x="1542"/>
        <item m="1" x="1722"/>
        <item m="1" x="1908"/>
        <item m="1" x="2098"/>
        <item m="1" x="2283"/>
        <item m="1" x="2470"/>
        <item m="1" x="2653"/>
        <item m="1" x="2834"/>
        <item m="1" x="3016"/>
        <item m="1" x="3200"/>
        <item m="1" x="3385"/>
        <item m="1" x="3572"/>
        <item m="1" x="3759"/>
        <item m="1" x="3947"/>
        <item m="1" x="4127"/>
        <item m="1" x="4314"/>
        <item m="1" x="4503"/>
        <item m="1" x="4690"/>
        <item m="1" x="4875"/>
        <item m="1" x="5068"/>
        <item m="1" x="2481"/>
        <item m="1" x="2661"/>
        <item sd="0" m="1" x="2847"/>
        <item sd="0" m="1" x="3025"/>
        <item sd="0" m="1" x="3212"/>
        <item sd="0" m="1" x="3395"/>
        <item sd="0" m="1" x="3585"/>
        <item m="1" x="3768"/>
        <item m="1" x="3958"/>
        <item m="1" x="4135"/>
        <item sd="0" m="1" x="4328"/>
        <item sd="0" m="1" x="4513"/>
        <item sd="0" m="1" x="4700"/>
        <item sd="0" m="1" x="4885"/>
        <item sd="0" m="1" x="5079"/>
        <item m="1" x="5264"/>
        <item m="1" x="5448"/>
        <item m="1" x="5632"/>
        <item sd="0" m="1" x="5822"/>
        <item sd="0" m="1" x="6003"/>
        <item sd="0" m="1" x="6190"/>
        <item m="1" x="6380"/>
        <item m="1" x="6563"/>
        <item m="1" x="6745"/>
        <item m="1" x="6931"/>
        <item m="1" x="7114"/>
        <item m="1" x="7304"/>
        <item m="1" x="7493"/>
        <item m="1" x="7681"/>
        <item m="1" x="7864"/>
        <item m="1" x="53"/>
        <item m="1" x="240"/>
        <item m="1" x="425"/>
        <item m="1" x="614"/>
        <item sd="0" m="1" x="803"/>
        <item m="1" x="992"/>
        <item m="1" x="1179"/>
        <item m="1" x="1370"/>
        <item m="1" x="1555"/>
        <item m="1" x="1737"/>
        <item m="1" x="1922"/>
        <item m="1" x="2113"/>
        <item m="1" x="2297"/>
        <item m="1" x="2484"/>
        <item m="1" x="2666"/>
        <item m="1" x="2850"/>
        <item m="1" x="3029"/>
        <item m="1" x="3217"/>
        <item m="1" x="3400"/>
        <item m="1" x="3588"/>
        <item m="1" x="3772"/>
        <item m="1" x="3961"/>
        <item m="1" x="4141"/>
        <item m="1" x="4331"/>
        <item m="1" x="4518"/>
        <item m="1" x="4703"/>
        <item m="1" x="4890"/>
        <item m="1" x="5082"/>
        <item m="1" x="5268"/>
        <item m="1" x="5451"/>
        <item m="1" x="5638"/>
        <item m="1" x="5824"/>
        <item m="1" x="6006"/>
        <item m="1" x="6194"/>
        <item m="1" x="6384"/>
        <item m="1" x="6565"/>
        <item m="1" x="6748"/>
        <item m="1" x="6933"/>
        <item m="1" x="7119"/>
        <item m="1" x="7306"/>
        <item m="1" x="7496"/>
        <item m="1" x="7683"/>
        <item m="1" x="7868"/>
        <item m="1" x="55"/>
        <item m="1" x="243"/>
        <item m="1" x="428"/>
        <item m="1" x="620"/>
        <item m="1" x="806"/>
        <item m="1" x="996"/>
        <item m="1" x="1183"/>
        <item m="1" x="1375"/>
        <item m="1" x="1558"/>
        <item m="1" x="1741"/>
        <item m="1" x="1925"/>
        <item m="1" x="2119"/>
        <item m="1" x="2300"/>
        <item m="1" x="2488"/>
        <item m="1" x="2669"/>
        <item m="1" x="2854"/>
        <item m="1" x="3032"/>
        <item m="1" x="3221"/>
        <item m="1" x="3403"/>
        <item m="1" x="3592"/>
        <item m="1" x="3775"/>
        <item m="1" x="3964"/>
        <item m="1" x="4147"/>
        <item m="1" x="4335"/>
        <item m="1" x="4521"/>
        <item m="1" x="4706"/>
        <item m="1" x="4893"/>
        <item m="1" x="5086"/>
        <item m="1" x="5271"/>
        <item m="1" x="5454"/>
        <item m="1" x="5642"/>
        <item m="1" x="5828"/>
        <item m="1" x="6009"/>
        <item m="1" x="6198"/>
        <item m="1" x="6387"/>
        <item m="1" x="6569"/>
        <item m="1" x="6751"/>
        <item m="1" x="6936"/>
        <item m="1" x="7125"/>
        <item m="1" x="7310"/>
        <item m="1" x="7499"/>
        <item m="1" x="7686"/>
        <item m="1" x="7871"/>
        <item m="1" x="59"/>
        <item m="1" x="246"/>
        <item m="1" x="431"/>
        <item m="1" x="624"/>
        <item m="1" x="810"/>
        <item sd="0" m="1" x="6025"/>
        <item m="1" x="6207"/>
        <item m="1" x="6399"/>
        <item m="1" x="6578"/>
        <item m="1" x="6763"/>
        <item m="1" x="6946"/>
        <item m="1" x="7136"/>
        <item m="1" x="7319"/>
        <item m="1" x="7513"/>
        <item m="1" x="7695"/>
        <item m="1" x="7882"/>
        <item m="1" x="70"/>
        <item m="1" x="257"/>
        <item sd="0" m="1" x="441"/>
        <item sd="0" m="1" x="633"/>
        <item sd="0" m="1" x="819"/>
        <item sd="0" m="1" x="1013"/>
        <item m="1" x="1197"/>
        <item m="1" x="1387"/>
        <item m="1" x="1572"/>
        <item sd="0" m="1" x="1754"/>
        <item sd="0" m="1" x="1943"/>
        <item sd="0" m="1" x="2136"/>
        <item sd="0" m="1" x="2315"/>
        <item sd="0" m="1" x="2501"/>
        <item m="1" x="2683"/>
        <item m="1" x="2867"/>
        <item m="1" x="3052"/>
        <item sd="0" m="1" x="3236"/>
        <item sd="0" m="1" x="3419"/>
        <item sd="0" m="1" x="3606"/>
        <item sd="0" m="1" x="3791"/>
        <item sd="0" m="1" x="3980"/>
        <item m="1" x="4163"/>
        <item m="1" x="4349"/>
        <item m="1" x="4538"/>
        <item m="1" x="4719"/>
        <item m="1" x="4911"/>
        <item m="1" x="5101"/>
        <item m="1" x="5286"/>
        <item m="1" x="5467"/>
        <item m="1" x="5656"/>
        <item m="1" x="5840"/>
        <item m="1" x="6028"/>
        <item m="1" x="6211"/>
        <item m="1" x="6402"/>
        <item m="1" x="6582"/>
        <item m="1" x="6766"/>
        <item m="1" x="6952"/>
        <item m="1" x="7139"/>
        <item m="1" x="7325"/>
        <item m="1" x="7516"/>
        <item m="1" x="7699"/>
        <item m="1" x="7888"/>
        <item m="1" x="75"/>
        <item m="1" x="260"/>
        <item m="1" x="445"/>
        <item m="1" x="636"/>
        <item m="1" x="825"/>
        <item m="1" x="1016"/>
        <item m="1" x="1201"/>
        <item m="1" x="1390"/>
        <item m="1" x="1576"/>
        <item m="1" x="1756"/>
        <item m="1" x="1947"/>
        <item m="1" x="2138"/>
        <item m="1" x="2320"/>
        <item m="1" x="2503"/>
        <item m="1" x="2686"/>
        <item m="1" x="2870"/>
        <item m="1" x="3056"/>
        <item m="1" x="3238"/>
        <item m="1" x="3422"/>
        <item m="1" x="3608"/>
        <item m="1" x="3796"/>
        <item m="1" x="3982"/>
        <item m="1" x="4167"/>
        <item m="1" x="4352"/>
        <item m="1" x="4543"/>
        <item m="1" x="4722"/>
        <item m="1" x="4915"/>
        <item m="1" x="5104"/>
        <item m="1" x="5292"/>
        <item m="1" x="5470"/>
        <item m="1" x="5660"/>
        <item m="1" x="5845"/>
        <item m="1" x="6033"/>
        <item m="1" x="6214"/>
        <item m="1" x="6406"/>
        <item m="1" x="6585"/>
        <item m="1" x="6771"/>
        <item m="1" x="6955"/>
        <item m="1" x="7142"/>
        <item m="1" x="7329"/>
        <item m="1" x="7520"/>
        <item m="1" x="7702"/>
        <item m="1" x="7891"/>
        <item m="1" x="78"/>
        <item m="1" x="264"/>
        <item m="1" x="448"/>
        <item m="1" x="639"/>
        <item m="1" x="831"/>
        <item m="1" x="1020"/>
        <item m="1" x="1204"/>
        <item m="1" x="1393"/>
        <item m="1" x="1579"/>
        <item m="1" x="1760"/>
        <item m="1" x="1950"/>
        <item m="1" x="2141"/>
        <item m="1" x="2324"/>
        <item m="1" x="2507"/>
        <item m="1" x="2689"/>
        <item m="1" x="2874"/>
        <item m="1" x="3059"/>
        <item m="1" x="3242"/>
        <item m="1" x="3425"/>
        <item m="1" x="3611"/>
        <item m="1" x="3802"/>
        <item m="1" x="3986"/>
        <item m="1" x="4170"/>
        <item m="1" x="4355"/>
        <item m="1" x="4546"/>
        <item sd="0" m="1" x="1769"/>
        <item sd="0" m="1" x="1960"/>
        <item sd="0" m="1" x="2148"/>
        <item m="1" x="2333"/>
        <item m="1" x="2513"/>
        <item m="1" x="2703"/>
        <item sd="0" m="1" x="2880"/>
        <item sd="0" m="1" x="3069"/>
        <item sd="0" m="1" x="3249"/>
        <item sd="0" m="1" x="3434"/>
        <item m="1" x="3621"/>
        <item m="1" x="3811"/>
        <item m="1" x="3993"/>
        <item m="1" x="4180"/>
        <item sd="0" m="1" x="4363"/>
        <item sd="0" m="1" x="4554"/>
        <item sd="0" m="1" x="4734"/>
        <item sd="0" m="1" x="4927"/>
        <item m="1" x="5116"/>
        <item m="1" x="5302"/>
        <item m="1" x="5483"/>
        <item m="1" x="5675"/>
        <item sd="0" m="1" x="5858"/>
        <item sd="0" m="1" x="6044"/>
        <item m="1" x="6228"/>
        <item m="1" x="6417"/>
        <item m="1" x="6601"/>
        <item m="1" x="6785"/>
        <item m="1" x="6968"/>
        <item m="1" x="7153"/>
        <item m="1" x="7341"/>
        <item m="1" x="7531"/>
        <item m="1" x="7718"/>
        <item m="1" x="7902"/>
        <item m="1" x="91"/>
        <item m="1" x="275"/>
        <item m="1" x="461"/>
        <item m="1" x="652"/>
        <item m="1" x="844"/>
        <item m="1" x="1030"/>
        <item m="1" x="1218"/>
        <item m="1" x="1403"/>
        <item m="1" x="1593"/>
        <item m="1" x="1772"/>
        <item m="1" x="1962"/>
        <item m="1" x="2151"/>
        <item m="1" x="2335"/>
        <item m="1" x="2518"/>
        <item m="1" x="2705"/>
        <item m="1" x="2883"/>
        <item m="1" x="3071"/>
        <item m="1" x="3253"/>
        <item m="1" x="3436"/>
        <item m="1" x="3626"/>
        <item m="1" x="3813"/>
        <item m="1" x="3998"/>
        <item m="1" x="4182"/>
        <item m="1" x="4366"/>
        <item m="1" x="4558"/>
        <item m="1" x="4738"/>
        <item m="1" x="4929"/>
        <item m="1" x="5119"/>
        <item m="1" x="5304"/>
        <item m="1" x="5488"/>
        <item m="1" x="5677"/>
        <item m="1" x="5861"/>
        <item m="1" x="6046"/>
        <item m="1" x="6232"/>
        <item m="1" x="6419"/>
        <item m="1" x="6606"/>
        <item m="1" x="6787"/>
        <item m="1" x="6973"/>
        <item m="1" x="7155"/>
        <item m="1" x="7344"/>
        <item m="1" x="7535"/>
        <item m="1" x="7722"/>
        <item m="1" x="7905"/>
        <item m="1" x="95"/>
        <item m="1" x="278"/>
        <item m="1" x="467"/>
        <item m="1" x="655"/>
        <item m="1" x="848"/>
        <item m="1" x="1033"/>
        <item m="1" x="1223"/>
        <item m="1" x="1406"/>
        <item m="1" x="1598"/>
        <item m="1" x="1775"/>
        <item m="1" x="1969"/>
        <item m="1" x="2154"/>
        <item m="1" x="2338"/>
        <item m="1" x="2522"/>
        <item m="1" x="2709"/>
        <item m="1" x="2886"/>
        <item m="1" x="3074"/>
        <item m="1" x="3256"/>
        <item m="1" x="3440"/>
        <item m="1" x="3629"/>
        <item m="1" x="3816"/>
        <item m="1" x="4002"/>
        <item m="1" x="4186"/>
        <item m="1" x="4369"/>
        <item m="1" x="4561"/>
        <item m="1" x="4741"/>
        <item m="1" x="4933"/>
        <item m="1" x="5122"/>
        <item m="1" x="5307"/>
        <item m="1" x="5494"/>
        <item m="1" x="5681"/>
        <item m="1" x="5864"/>
        <item m="1" x="6049"/>
        <item m="1" x="6235"/>
        <item m="1" x="6423"/>
        <item m="1" x="6609"/>
        <item m="1" x="6790"/>
        <item m="1" x="6977"/>
        <item m="1" x="7159"/>
        <item m="1" x="7347"/>
        <item m="1" x="7538"/>
        <item m="1" x="7725"/>
        <item m="1" x="7909"/>
        <item m="1" x="98"/>
        <item m="1" x="281"/>
        <item sd="0" m="1" x="5505"/>
        <item sd="0" m="1" x="5689"/>
        <item sd="0" m="1" x="5876"/>
        <item sd="0" m="1" x="6058"/>
        <item m="1" x="6246"/>
        <item m="1" x="6433"/>
        <item m="1" x="6620"/>
        <item m="1" x="6799"/>
        <item m="1" x="6987"/>
        <item m="1" x="7166"/>
        <item m="1" x="7360"/>
        <item m="1" x="7547"/>
        <item m="1" x="7735"/>
        <item m="1" x="7918"/>
        <item m="1" x="108"/>
        <item sd="0" m="1" x="292"/>
        <item sd="0" m="1" x="482"/>
        <item sd="0" m="1" x="667"/>
        <item sd="0" m="1" x="862"/>
        <item sd="0" m="1" x="1045"/>
        <item m="1" x="1236"/>
        <item m="1" x="1424"/>
        <item m="1" x="1611"/>
        <item sd="0" m="1" x="1789"/>
        <item sd="0" m="1" x="1982"/>
        <item sd="0" m="1" x="2168"/>
        <item sd="0" m="1" x="2354"/>
        <item sd="0" m="1" x="2537"/>
        <item m="1" x="2722"/>
        <item m="1" x="2901"/>
        <item m="1" x="3087"/>
        <item sd="0" m="1" x="3273"/>
        <item sd="0" m="1" x="3456"/>
        <item sd="0" m="1" x="3643"/>
        <item sd="0" m="1" x="3829"/>
        <item m="1" x="4014"/>
        <item m="1" x="4198"/>
        <item m="1" x="4385"/>
        <item m="1" x="4573"/>
        <item m="1" x="4755"/>
        <item m="1" x="4946"/>
        <item m="1" x="5136"/>
        <item m="1" x="5321"/>
        <item m="1" x="5507"/>
        <item m="1" x="5693"/>
        <item m="1" x="5878"/>
        <item m="1" x="6061"/>
        <item m="1" x="6250"/>
        <item m="1" x="6437"/>
        <item m="1" x="6622"/>
        <item m="1" x="6802"/>
        <item m="1" x="6989"/>
        <item m="1" x="7172"/>
        <item m="1" x="7363"/>
        <item m="1" x="7551"/>
        <item m="1" x="7737"/>
        <item m="1" x="7922"/>
        <item m="1" x="110"/>
        <item m="1" x="296"/>
        <item m="1" x="484"/>
        <item m="1" x="672"/>
        <item m="1" x="864"/>
        <item m="1" x="1048"/>
        <item m="1" x="1240"/>
        <item m="1" x="1428"/>
        <item m="1" x="1613"/>
        <item m="1" x="1792"/>
        <item m="1" x="1984"/>
        <item m="1" x="2173"/>
        <item m="1" x="2356"/>
        <item m="1" x="2541"/>
        <item m="1" x="2724"/>
        <item m="1" x="2905"/>
        <item m="1" x="3089"/>
        <item m="1" x="3278"/>
        <item m="1" x="3458"/>
        <item m="1" x="3649"/>
        <item m="1" x="3832"/>
        <item m="1" x="4019"/>
        <item m="1" x="4202"/>
        <item m="1" x="4390"/>
        <item m="1" x="4576"/>
        <item m="1" x="4760"/>
        <item m="1" x="4949"/>
        <item m="1" x="5142"/>
        <item m="1" x="5324"/>
        <item m="1" x="5512"/>
        <item m="1" x="5696"/>
        <item m="1" x="5882"/>
        <item m="1" x="6064"/>
        <item m="1" x="6256"/>
        <item m="1" x="6440"/>
        <item m="1" x="6626"/>
        <item m="1" x="6805"/>
        <item m="1" x="6993"/>
        <item m="1" x="7178"/>
        <item m="1" x="7367"/>
        <item m="1" x="7554"/>
        <item m="1" x="7741"/>
        <item m="1" x="7925"/>
        <item m="1" x="114"/>
        <item m="1" x="299"/>
        <item m="1" x="488"/>
        <item m="1" x="676"/>
        <item m="1" x="868"/>
        <item m="1" x="1051"/>
        <item m="1" x="1245"/>
        <item m="1" x="1431"/>
        <item m="1" x="1617"/>
        <item m="1" x="1795"/>
        <item m="1" x="1988"/>
        <item m="1" x="2179"/>
        <item m="1" x="2360"/>
        <item m="1" x="2544"/>
        <item m="1" x="2728"/>
        <item m="1" x="2908"/>
        <item m="1" x="3093"/>
        <item m="1" x="3281"/>
        <item m="1" x="3462"/>
        <item m="1" x="3653"/>
        <item m="1" x="3836"/>
        <item m="1" x="1254"/>
        <item sd="0" m="1" x="1443"/>
        <item sd="0" m="1" x="1626"/>
        <item sd="0" m="1" x="1806"/>
        <item sd="0" m="1" x="1998"/>
        <item m="1" x="2190"/>
        <item m="1" x="2368"/>
        <item m="1" x="2556"/>
        <item m="1" x="2737"/>
        <item sd="0" m="1" x="2919"/>
        <item sd="0" m="1" x="3104"/>
        <item sd="0" m="1" x="3291"/>
        <item sd="0" m="1" x="3471"/>
        <item m="1" x="3662"/>
        <item m="1" x="3844"/>
        <item m="1" x="4034"/>
        <item m="1" x="4216"/>
        <item sd="0" m="1" x="4403"/>
        <item sd="0" m="1" x="4589"/>
        <item sd="0" m="1" x="4773"/>
        <item sd="0" m="1" x="4967"/>
        <item m="1" x="5158"/>
        <item m="1" x="5338"/>
        <item m="1" x="5525"/>
        <item m="1" x="5710"/>
        <item sd="0" m="1" x="5895"/>
        <item sd="0" m="1" x="6083"/>
        <item m="1" x="6270"/>
        <item m="1" x="6455"/>
        <item m="1" x="6639"/>
        <item m="1" x="6819"/>
        <item m="1" x="7008"/>
        <item m="1" x="7192"/>
        <item m="1" x="7380"/>
        <item m="1" x="7569"/>
        <item m="1" x="7753"/>
        <item m="1" x="7941"/>
        <item m="1" x="128"/>
        <item m="1" x="312"/>
        <item m="1" x="501"/>
        <item m="1" x="690"/>
        <item m="1" x="880"/>
        <item m="1" x="1068"/>
        <item m="1" x="1257"/>
        <item m="1" x="1445"/>
        <item m="1" x="1629"/>
        <item m="1" x="1808"/>
        <item m="1" x="2003"/>
        <item m="1" x="2192"/>
        <item m="1" x="2373"/>
        <item m="1" x="2558"/>
        <item m="1" x="2741"/>
        <item m="1" x="2924"/>
        <item m="1" x="3108"/>
        <item m="1" x="3293"/>
        <item m="1" x="3475"/>
        <item m="1" x="3664"/>
        <item m="1" x="3849"/>
        <item m="1" x="4036"/>
        <item m="1" x="4220"/>
        <item m="1" x="4405"/>
        <item m="1" x="4593"/>
        <item m="1" x="4775"/>
        <item m="1" x="4972"/>
        <item m="1" x="5160"/>
        <item m="1" x="5343"/>
        <item m="1" x="5527"/>
        <item m="1" x="5714"/>
        <item m="1" x="5898"/>
        <item m="1" x="6087"/>
        <item m="1" x="6272"/>
        <item m="1" x="6459"/>
        <item m="1" x="6641"/>
        <item m="1" x="6824"/>
        <item m="1" x="7011"/>
        <item m="1" x="7197"/>
        <item m="1" x="7383"/>
        <item m="1" x="7574"/>
        <item m="1" x="7756"/>
        <item m="1" x="7947"/>
        <item m="1" x="131"/>
        <item m="1" x="318"/>
        <item m="1" x="504"/>
        <item m="1" x="695"/>
        <item m="1" x="885"/>
        <item m="1" x="1074"/>
        <item m="1" x="1260"/>
        <item m="1" x="1450"/>
        <item m="1" x="1632"/>
        <item m="1" x="1813"/>
        <item m="1" x="2006"/>
        <item m="1" x="2196"/>
        <item m="1" x="2376"/>
        <item m="1" x="2562"/>
        <item m="1" x="2744"/>
        <item m="1" x="2929"/>
        <item m="1" x="3111"/>
        <item m="1" x="3297"/>
        <item m="1" x="3478"/>
        <item m="1" x="3668"/>
        <item m="1" x="3855"/>
        <item m="1" x="4040"/>
        <item m="1" x="4223"/>
        <item m="1" x="4409"/>
        <item m="1" x="4596"/>
        <item m="1" x="4779"/>
        <item m="1" x="4975"/>
        <item m="1" x="5164"/>
        <item m="1" x="5347"/>
        <item m="1" x="5531"/>
        <item m="1" x="5717"/>
        <item m="1" x="5904"/>
        <item m="1" x="6090"/>
        <item m="1" x="6276"/>
        <item m="1" x="6462"/>
        <item m="1" x="6645"/>
        <item m="1" x="6830"/>
        <item m="1" x="7015"/>
        <item m="1" x="7200"/>
        <item m="1" x="7387"/>
        <item m="1" x="7577"/>
        <item m="1" x="4790"/>
        <item m="1" x="4986"/>
        <item m="1" x="5173"/>
        <item sd="0" m="1" x="5359"/>
        <item sd="0" m="1" x="5539"/>
        <item sd="0" m="1" x="5732"/>
        <item sd="0" m="1" x="5912"/>
        <item sd="0" m="1" x="6102"/>
        <item m="1" x="6285"/>
        <item m="1" x="6473"/>
        <item m="1" x="6656"/>
        <item m="1" x="6841"/>
        <item m="1" x="7023"/>
        <item m="1" x="7211"/>
        <item m="1" x="7397"/>
        <item m="1" x="7587"/>
        <item m="1" x="7770"/>
        <item m="1" x="7960"/>
        <item m="1" x="145"/>
        <item sd="0" m="1" x="332"/>
        <item sd="0" m="1" x="517"/>
        <item sd="0" m="1" x="712"/>
        <item sd="0" m="1" x="901"/>
        <item m="1" x="1087"/>
        <item m="1" x="1275"/>
        <item m="1" x="1463"/>
        <item m="1" x="1649"/>
        <item sd="0" m="1" x="1831"/>
        <item sd="0" m="1" x="2021"/>
        <item sd="0" m="1" x="2209"/>
        <item sd="0" m="1" x="2391"/>
        <item m="1" x="2575"/>
        <item m="1" x="2762"/>
        <item m="1" x="2942"/>
        <item m="1" x="3126"/>
        <item m="1" x="3311"/>
        <item m="1" x="3492"/>
        <item m="1" x="3682"/>
        <item m="1" x="3869"/>
        <item m="1" x="4052"/>
        <item m="1" x="4237"/>
        <item m="1" x="4422"/>
        <item m="1" x="4612"/>
        <item m="1" x="4794"/>
        <item m="1" x="4988"/>
        <item m="1" x="5176"/>
        <item m="1" x="5361"/>
        <item m="1" x="5544"/>
        <item m="1" x="5734"/>
        <item m="1" x="5916"/>
        <item m="1" x="6104"/>
        <item m="1" x="6290"/>
        <item m="1" x="6475"/>
        <item m="1" x="6660"/>
        <item m="1" x="6843"/>
        <item m="1" x="7028"/>
        <item m="1" x="7213"/>
        <item m="1" x="7401"/>
        <item m="1" x="7591"/>
        <item m="1" x="7775"/>
        <item m="1" x="7962"/>
        <item m="1" x="149"/>
        <item m="1" x="334"/>
        <item m="1" x="522"/>
        <item m="1" x="715"/>
        <item m="1" x="905"/>
        <item m="1" x="1089"/>
        <item m="1" x="1280"/>
        <item m="1" x="1465"/>
        <item m="1" x="1654"/>
        <item m="1" x="1833"/>
        <item m="1" x="2026"/>
        <item m="1" x="2211"/>
        <item m="1" x="2395"/>
        <item m="1" x="2579"/>
        <item m="1" x="2767"/>
        <item m="1" x="2945"/>
        <item m="1" x="3131"/>
        <item m="1" x="3314"/>
        <item m="1" x="3498"/>
        <item m="1" x="3685"/>
        <item m="1" x="3874"/>
        <item m="1" x="4055"/>
        <item m="1" x="4243"/>
        <item m="1" x="4425"/>
        <item m="1" x="4618"/>
        <item m="1" x="4798"/>
        <item m="1" x="4995"/>
        <item m="1" x="5179"/>
        <item m="1" x="5365"/>
        <item m="1" x="5548"/>
        <item m="1" x="5739"/>
        <item m="1" x="5919"/>
        <item m="1" x="6108"/>
        <item m="1" x="6293"/>
        <item m="1" x="6479"/>
        <item m="1" x="6663"/>
        <item m="1" x="6847"/>
        <item m="1" x="7032"/>
        <item m="1" x="7218"/>
        <item m="1" x="7405"/>
        <item m="1" x="7597"/>
        <item m="1" x="7779"/>
        <item m="1" x="7967"/>
        <item m="1" x="153"/>
        <item m="1" x="339"/>
        <item m="1" x="529"/>
        <item m="1" x="720"/>
        <item m="1" x="909"/>
        <item m="1" x="1094"/>
        <item m="1" x="1284"/>
        <item m="1" x="1470"/>
        <item m="1" x="1658"/>
        <item m="1" x="1838"/>
        <item m="1" x="2031"/>
        <item m="1" x="2216"/>
        <item m="1" x="2399"/>
        <item m="1" x="2585"/>
        <item m="1" x="2771"/>
        <item m="1" x="2950"/>
        <item m="1" x="3135"/>
        <item m="1" x="3319"/>
        <item sd="0" m="1" x="544"/>
        <item m="1" x="730"/>
        <item m="1" x="923"/>
        <item m="1" x="1105"/>
        <item m="1" x="1298"/>
        <item sd="0" m="1" x="1483"/>
        <item sd="0" m="1" x="1670"/>
        <item sd="0" m="1" x="1850"/>
        <item sd="0" m="1" x="2045"/>
        <item m="1" x="2225"/>
        <item m="1" x="2415"/>
        <item m="1" x="2596"/>
        <item m="1" x="2784"/>
        <item sd="0" m="1" x="2961"/>
        <item sd="0" m="1" x="3147"/>
        <item sd="0" m="1" x="3332"/>
        <item sd="0" m="1" x="3517"/>
        <item m="1" x="3700"/>
        <item m="1" x="3891"/>
        <item m="1" x="4072"/>
        <item sd="0" m="1" x="4259"/>
        <item sd="0" m="1" x="4445"/>
        <item sd="0" m="1" x="4635"/>
        <item sd="0" m="1" x="4817"/>
        <item sd="0" m="1" x="5012"/>
        <item m="1" x="5196"/>
        <item m="1" x="5383"/>
        <item m="1" x="5568"/>
        <item sd="0" m="1" x="5755"/>
        <item sd="0" m="1" x="5936"/>
        <item sd="0" m="1" x="6123"/>
        <item m="1" x="6313"/>
        <item m="1" x="6497"/>
        <item m="1" x="6679"/>
        <item m="1" x="6863"/>
        <item m="1" x="7049"/>
        <item m="1" x="7233"/>
        <item m="1" x="7425"/>
        <item m="1" x="7612"/>
        <item m="1" x="7796"/>
        <item m="1" x="7982"/>
        <item m="1" x="168"/>
        <item m="1" x="355"/>
        <item m="1" x="546"/>
        <item m="1" x="734"/>
        <item m="1" x="925"/>
        <item m="1" x="1108"/>
        <item m="1" x="1302"/>
        <item m="1" x="1488"/>
        <item m="1" x="1672"/>
        <item m="1" x="1854"/>
        <item m="1" x="2047"/>
        <item m="1" x="2230"/>
        <item m="1" x="2417"/>
        <item m="1" x="2600"/>
        <item m="1" x="2787"/>
        <item m="1" x="2966"/>
        <item m="1" x="3149"/>
        <item m="1" x="3336"/>
        <item m="1" x="3519"/>
        <item m="1" x="3705"/>
        <item m="1" x="3893"/>
        <item m="1" x="4076"/>
        <item m="1" x="4263"/>
        <item m="1" x="4450"/>
        <item m="1" x="4637"/>
        <item m="1" x="4821"/>
        <item m="1" x="5014"/>
        <item m="1" x="5201"/>
        <item m="1" x="5385"/>
        <item m="1" x="5572"/>
        <item m="1" x="5757"/>
        <item m="1" x="5941"/>
        <item m="1" x="6125"/>
        <item m="1" x="6317"/>
        <item m="1" x="6499"/>
        <item m="1" x="6685"/>
        <item m="1" x="6865"/>
        <item m="1" x="7053"/>
        <item m="1" x="7236"/>
        <item m="1" x="7431"/>
        <item m="1" x="7614"/>
        <item m="1" x="7800"/>
        <item m="1" x="7984"/>
        <item m="1" x="173"/>
        <item m="1" x="358"/>
        <item m="1" x="551"/>
        <item m="1" x="737"/>
        <item m="1" x="930"/>
        <item m="1" x="1110"/>
        <item m="1" x="1306"/>
        <item m="1" x="1490"/>
        <item m="1" x="1675"/>
        <item m="1" x="1856"/>
        <item m="1" x="2050"/>
        <item m="1" x="2235"/>
        <item m="1" x="2420"/>
        <item m="1" x="2602"/>
        <item m="1" x="2790"/>
        <item m="1" x="2969"/>
        <item m="1" x="3153"/>
        <item m="1" x="3339"/>
        <item m="1" x="3523"/>
        <item m="1" x="3709"/>
        <item m="1" x="3897"/>
        <item m="1" x="4079"/>
        <item m="1" x="4268"/>
        <item m="1" x="4453"/>
        <item m="1" x="4641"/>
        <item m="1" x="4824"/>
        <item m="1" x="5018"/>
        <item m="1" x="5207"/>
        <item m="1" x="5389"/>
        <item m="1" x="5575"/>
        <item m="1" x="5761"/>
        <item m="1" x="5944"/>
        <item m="1" x="6129"/>
        <item m="1" x="6321"/>
        <item m="1" x="6503"/>
        <item m="1" x="6689"/>
        <item m="1" x="6869"/>
        <item m="1" x="7056"/>
        <item sd="0" m="1" x="4277"/>
        <item sd="0" m="1" x="4465"/>
        <item m="1" x="4650"/>
        <item m="1" x="4835"/>
        <item m="1" x="5028"/>
        <item m="1" x="5221"/>
        <item sd="0" m="1" x="5398"/>
        <item sd="0" m="1" x="5589"/>
        <item sd="0" m="1" x="5771"/>
        <item sd="0" m="1" x="5956"/>
        <item m="1" x="6140"/>
        <item m="1" x="6332"/>
        <item m="1" x="6514"/>
        <item m="1" x="6700"/>
        <item m="1" x="6878"/>
        <item m="1" x="7071"/>
        <item m="1" x="7252"/>
        <item m="1" x="7445"/>
        <item m="1" x="7628"/>
        <item m="1" x="7814"/>
        <item m="1" x="4"/>
        <item m="1" x="191"/>
        <item sd="0" m="1" x="373"/>
        <item sd="0" m="1" x="566"/>
        <item sd="0" m="1" x="753"/>
        <item sd="0" m="1" x="944"/>
        <item m="1" x="1130"/>
        <item m="1" x="1320"/>
        <item m="1" x="1507"/>
        <item m="1" x="1689"/>
        <item sd="0" m="1" x="1870"/>
        <item sd="0" m="1" x="2067"/>
        <item sd="0" m="1" x="2252"/>
        <item sd="0" m="1" x="2433"/>
        <item m="1" x="2618"/>
        <item m="1" x="2802"/>
        <item m="1" x="2985"/>
        <item m="1" x="3167"/>
        <item m="1" x="3352"/>
        <item m="1" x="3537"/>
        <item m="1" x="3724"/>
        <item m="1" x="3909"/>
        <item m="1" x="4095"/>
        <item m="1" x="4280"/>
        <item m="1" x="4468"/>
        <item m="1" x="4654"/>
        <item m="1" x="4837"/>
        <item m="1" x="5033"/>
        <item m="1" x="5223"/>
        <item m="1" x="5403"/>
        <item m="1" x="5591"/>
        <item m="1" x="5775"/>
        <item m="1" x="5961"/>
        <item m="1" x="6145"/>
        <item m="1" x="6334"/>
        <item m="1" x="6518"/>
        <item m="1" x="6702"/>
        <item m="1" x="6883"/>
        <item m="1" x="7073"/>
        <item m="1" x="7256"/>
        <item m="1" x="7447"/>
        <item m="1" x="7633"/>
        <item m="1" x="7816"/>
        <item m="1" x="9"/>
        <item m="1" x="193"/>
        <item m="1" x="378"/>
        <item m="1" x="568"/>
        <item m="1" x="757"/>
        <item m="1" x="947"/>
        <item m="1" x="1135"/>
        <item m="1" x="1322"/>
        <item m="1" x="1511"/>
        <item m="1" x="1691"/>
        <item m="1" x="1875"/>
        <item m="1" x="2069"/>
        <item m="1" x="2256"/>
        <item m="1" x="2436"/>
        <item m="1" x="2624"/>
        <item m="1" x="2804"/>
        <item m="1" x="2989"/>
        <item m="1" x="3169"/>
        <item m="1" x="3357"/>
        <item m="1" x="3539"/>
        <item m="1" x="3728"/>
        <item m="1" x="3913"/>
        <item m="1" x="4100"/>
        <item m="1" x="4282"/>
        <item m="1" x="4473"/>
        <item m="1" x="4656"/>
        <item m="1" x="4841"/>
        <item m="1" x="5035"/>
        <item m="1" x="5226"/>
        <item m="1" x="5405"/>
        <item m="1" x="5594"/>
        <item m="1" x="5777"/>
        <item m="1" x="5964"/>
        <item m="1" x="6147"/>
        <item m="1" x="6337"/>
        <item m="1" x="6520"/>
        <item m="1" x="6706"/>
        <item m="1" x="6889"/>
        <item m="1" x="7077"/>
        <item m="1" x="7259"/>
        <item m="1" x="7451"/>
        <item m="1" x="7636"/>
        <item m="1" x="7820"/>
        <item m="1" x="13"/>
        <item m="1" x="197"/>
        <item m="1" x="382"/>
        <item m="1" x="572"/>
        <item m="1" x="760"/>
        <item m="1" x="952"/>
        <item m="1" x="1138"/>
        <item m="1" x="1326"/>
        <item m="1" x="1514"/>
        <item m="1" x="1695"/>
        <item m="1" x="1882"/>
        <item m="1" x="2073"/>
        <item m="1" x="2259"/>
        <item m="1" x="2440"/>
        <item m="1" x="2627"/>
        <item m="1" x="7832"/>
        <item sd="0" m="1" x="24"/>
        <item sd="0" m="1" x="207"/>
        <item sd="0" m="1" x="394"/>
        <item sd="0" m="1" x="580"/>
        <item m="1" x="775"/>
        <item m="1" x="961"/>
        <item m="1" x="1151"/>
        <item sd="0" m="1" x="1336"/>
        <item sd="0" m="1" x="1526"/>
        <item sd="0" m="1" x="1706"/>
        <item sd="0" m="1" x="1895"/>
        <item sd="0" m="1" x="2082"/>
        <item m="1" x="2272"/>
        <item m="1" x="2451"/>
        <item m="1" x="2638"/>
        <item sd="0" m="1" x="2819"/>
        <item sd="0" m="1" x="3003"/>
        <item sd="0" m="1" x="3185"/>
        <item sd="0" m="1" x="3372"/>
        <item sd="0" m="1" x="3553"/>
        <item m="1" x="3747"/>
        <item m="1" x="3930"/>
        <item m="1" x="4114"/>
        <item sd="0" m="1" x="4299"/>
        <item sd="0" m="1" x="4487"/>
        <item sd="0" m="1" x="4674"/>
        <item sd="0" m="1" x="4861"/>
        <item sd="0" m="1" x="5051"/>
        <item m="1" x="5240"/>
        <item m="1" x="5420"/>
        <item m="1" x="5607"/>
        <item sd="0" m="1" x="5795"/>
        <item sd="0" m="1" x="5977"/>
        <item sd="0" m="1" x="6163"/>
        <item m="1" x="6351"/>
        <item m="1" x="6533"/>
        <item m="1" x="6720"/>
        <item m="1" x="6904"/>
        <item m="1" x="7089"/>
        <item m="1" x="7275"/>
        <item m="1" x="7464"/>
        <item m="1" x="7653"/>
        <item m="1" x="7837"/>
        <item m="1" x="26"/>
        <item m="1" x="210"/>
        <item m="1" x="396"/>
        <item m="1" x="585"/>
        <item m="1" x="777"/>
        <item m="1" x="965"/>
        <item m="1" x="1154"/>
        <item m="1" x="1341"/>
        <item m="1" x="1528"/>
        <item m="1" x="1711"/>
        <item m="1" x="1897"/>
        <item m="1" x="2087"/>
        <item m="1" x="2274"/>
        <item m="1" x="2455"/>
        <item m="1" x="2642"/>
        <item m="1" x="2824"/>
        <item m="1" x="3005"/>
        <item m="1" x="3189"/>
        <item m="1" x="3374"/>
        <item m="1" x="3558"/>
        <item m="1" x="3749"/>
        <item m="1" x="3934"/>
        <item m="1" x="4116"/>
        <item m="1" x="4304"/>
        <item m="1" x="4489"/>
        <item m="1" x="4679"/>
        <item m="1" x="4863"/>
        <item m="1" x="5056"/>
        <item m="1" x="5242"/>
        <item m="1" x="5424"/>
        <item m="1" x="5610"/>
        <item m="1" x="5800"/>
        <item m="1" x="5980"/>
        <item m="1" x="6168"/>
        <item m="1" x="6354"/>
        <item m="1" x="6538"/>
        <item m="1" x="6722"/>
        <item m="1" x="6908"/>
        <item m="1" x="7091"/>
        <item m="1" x="7280"/>
        <item m="1" x="7466"/>
        <item m="1" x="7658"/>
        <item m="1" x="7839"/>
        <item m="1" x="31"/>
        <item m="1" x="212"/>
        <item m="1" x="399"/>
        <item m="1" x="588"/>
        <item m="1" x="781"/>
        <item m="1" x="967"/>
        <item m="1" x="1157"/>
        <item m="1" x="1343"/>
        <item m="1" x="1531"/>
        <item m="1" x="1713"/>
        <item m="1" x="1900"/>
        <item m="1" x="2090"/>
        <item m="1" x="2277"/>
        <item m="1" x="2458"/>
        <item m="1" x="2646"/>
        <item m="1" x="2827"/>
        <item m="1" x="3009"/>
        <item m="1" x="3192"/>
        <item m="1" x="3378"/>
        <item m="1" x="3564"/>
        <item m="1" x="3753"/>
        <item m="1" x="3937"/>
        <item m="1" x="4120"/>
        <item m="1" x="4307"/>
        <item m="1" x="4493"/>
        <item m="1" x="4682"/>
        <item m="1" x="4867"/>
        <item m="1" x="5060"/>
        <item m="1" x="5246"/>
        <item m="1" x="5427"/>
        <item m="1" x="5614"/>
        <item m="1" x="5803"/>
        <item m="1" x="5984"/>
        <item m="1" x="6171"/>
        <item m="1" x="6358"/>
        <item m="1" x="3577"/>
        <item m="1" x="3761"/>
        <item sd="0" m="1" x="3950"/>
        <item sd="0" m="1" x="4129"/>
        <item sd="0" m="1" x="4319"/>
        <item sd="0" m="1" x="4505"/>
        <item m="1" x="4693"/>
        <item m="1" x="4878"/>
        <item m="1" x="5073"/>
        <item m="1" x="5254"/>
        <item sd="0" m="1" x="5442"/>
        <item sd="0" m="1" x="5625"/>
        <item sd="0" m="1" x="5815"/>
        <item sd="0" m="1" x="5994"/>
        <item m="1" x="6182"/>
        <item m="1" x="6370"/>
        <item m="1" x="6556"/>
        <item m="1" x="6735"/>
        <item m="1" x="6924"/>
        <item m="1" x="7106"/>
        <item m="1" x="7294"/>
        <item m="1" x="7484"/>
        <item m="1" x="7673"/>
        <item m="1" x="7856"/>
        <item m="1" x="46"/>
        <item sd="0" m="1" x="227"/>
        <item sd="0" m="1" x="417"/>
        <item sd="0" m="1" x="606"/>
        <item sd="0" m="1" x="796"/>
        <item sd="0" m="1" x="983"/>
        <item m="1" x="1171"/>
        <item m="1" x="1361"/>
        <item m="1" x="1548"/>
        <item sd="0" m="1" x="1727"/>
        <item sd="0" m="1" x="1914"/>
        <item m="1" x="2105"/>
        <item m="1" x="2289"/>
        <item m="1" x="2475"/>
        <item m="1" x="2658"/>
        <item m="1" x="2842"/>
        <item m="1" x="3022"/>
        <item m="1" x="3205"/>
        <item m="1" x="3392"/>
        <item m="1" x="3579"/>
        <item m="1" x="3765"/>
        <item m="1" x="3952"/>
        <item m="1" x="4132"/>
        <item m="1" x="4323"/>
        <item m="1" x="4510"/>
        <item m="1" x="4695"/>
        <item m="1" x="4882"/>
        <item m="1" x="5075"/>
        <item m="1" x="5259"/>
        <item m="1" x="5444"/>
        <item m="1" x="5629"/>
        <item m="1" x="5818"/>
        <item m="1" x="5999"/>
        <item m="1" x="6184"/>
        <item m="1" x="6376"/>
        <item m="1" x="6558"/>
        <item m="1" x="6740"/>
        <item m="1" x="6926"/>
        <item m="1" x="7110"/>
        <item m="1" x="7297"/>
        <item m="1" x="7489"/>
        <item m="1" x="7675"/>
        <item m="1" x="7860"/>
        <item m="1" x="48"/>
        <item m="1" x="232"/>
        <item m="1" x="420"/>
        <item m="1" x="610"/>
        <item m="1" x="798"/>
        <item m="1" x="988"/>
        <item m="1" x="1173"/>
        <item m="1" x="1366"/>
        <item m="1" x="1550"/>
        <item m="1" x="1732"/>
        <item m="1" x="1917"/>
        <item m="1" x="2109"/>
        <item m="1" x="2292"/>
        <item m="1" x="2480"/>
        <item m="1" x="2660"/>
        <item m="1" x="2846"/>
        <item m="1" x="3024"/>
        <item m="1" x="3210"/>
        <item m="1" x="3394"/>
        <item m="1" x="3584"/>
        <item m="1" x="3767"/>
        <item m="1" x="3957"/>
        <item m="1" x="4134"/>
        <item m="1" x="4327"/>
        <item m="1" x="4512"/>
        <item m="1" x="4698"/>
        <item m="1" x="4884"/>
        <item m="1" x="5078"/>
        <item m="1" x="5263"/>
        <item m="1" x="5447"/>
        <item m="1" x="5631"/>
        <item m="1" x="5821"/>
        <item m="1" x="6002"/>
        <item m="1" x="6188"/>
        <item m="1" x="6379"/>
        <item m="1" x="6562"/>
        <item m="1" x="6744"/>
        <item m="1" x="6930"/>
        <item m="1" x="7113"/>
        <item m="1" x="7302"/>
        <item m="1" x="7492"/>
        <item m="1" x="7679"/>
        <item m="1" x="7863"/>
        <item m="1" x="52"/>
        <item m="1" x="238"/>
        <item m="1" x="424"/>
        <item m="1" x="613"/>
        <item m="1" x="802"/>
        <item m="1" x="991"/>
        <item m="1" x="1177"/>
        <item m="1" x="1369"/>
        <item m="1" x="1554"/>
        <item m="1" x="1736"/>
        <item m="1" x="1921"/>
        <item m="1" x="2112"/>
        <item m="1" x="7215"/>
        <item m="1" x="7312"/>
        <item m="1" x="7403"/>
        <item m="1" x="7504"/>
        <item m="1" x="7593"/>
        <item m="1" x="7688"/>
        <item m="1" x="7777"/>
        <item m="1" x="7874"/>
        <item m="1" x="7964"/>
        <item sd="0" m="1" x="62"/>
        <item sd="0" m="1" x="151"/>
        <item sd="0" m="1" x="251"/>
        <item sd="0" m="1" x="336"/>
        <item sd="0" m="1" x="433"/>
        <item sd="0" m="1" x="525"/>
        <item sd="0" m="1" x="627"/>
        <item m="1" x="717"/>
        <item m="1" x="812"/>
        <item m="1" x="907"/>
        <item m="1" x="1003"/>
        <item m="1" x="1091"/>
        <item m="1" x="1189"/>
        <item m="1" x="1282"/>
        <item sd="0" m="1" x="1380"/>
        <item sd="0" m="1" x="1467"/>
        <item sd="0" m="1" x="1565"/>
        <item sd="0" m="1" x="1656"/>
        <item sd="0" m="1" x="1747"/>
        <item sd="0" m="1" x="1835"/>
        <item sd="0" m="1" x="1930"/>
        <item sd="0" m="1" x="2029"/>
        <item m="1" x="2128"/>
        <item m="1" x="2213"/>
        <item m="1" x="2307"/>
        <item m="1" x="2397"/>
        <item m="1" x="2494"/>
        <item m="1" x="2581"/>
        <item m="1" x="2674"/>
        <item sd="0" m="1" x="2769"/>
        <item sd="0" m="1" x="2859"/>
        <item sd="0" m="1" x="2947"/>
        <item sd="0" m="1" x="3043"/>
        <item sd="0" m="1" x="3133"/>
        <item sd="0" m="1" x="3229"/>
        <item sd="0" m="1" x="3316"/>
        <item sd="0" m="1" x="3409"/>
        <item sd="0" m="1" x="3501"/>
        <item m="1" x="3599"/>
        <item m="1" x="3688"/>
        <item m="1" x="3783"/>
        <item m="1" x="3877"/>
        <item m="1" x="3971"/>
        <item m="1" x="4058"/>
        <item m="1" x="4154"/>
        <item sd="0" m="1" x="4246"/>
        <item sd="0" m="1" x="4341"/>
        <item sd="0" m="1" x="4428"/>
        <item sd="0" m="1" x="4530"/>
        <item sd="0" m="1" x="4621"/>
        <item sd="0" m="1" x="4712"/>
        <item sd="0" m="1" x="4801"/>
        <item sd="0" m="1" x="4899"/>
        <item sd="0" m="1" x="4999"/>
        <item m="1" x="5094"/>
        <item m="1" x="5182"/>
        <item m="1" x="5278"/>
        <item m="1" x="5368"/>
        <item m="1" x="5460"/>
        <item m="1" x="5552"/>
        <item m="1" x="5647"/>
        <item m="1" x="5742"/>
        <item m="1" x="5833"/>
        <item m="1" x="5922"/>
        <item m="1" x="6018"/>
        <item m="1" x="6111"/>
        <item m="1" x="6204"/>
        <item m="1" x="6296"/>
        <item m="1" x="6392"/>
        <item m="1" x="6483"/>
        <item m="1" x="6575"/>
        <item m="1" x="6666"/>
        <item m="1" x="6758"/>
        <item m="1" x="6850"/>
        <item m="1" x="6942"/>
        <item m="1" x="7035"/>
        <item m="1" x="7130"/>
        <item m="1" x="7220"/>
        <item m="1" x="7315"/>
        <item m="1" x="7407"/>
        <item m="1" x="7507"/>
        <item m="1" x="7599"/>
        <item m="1" x="7692"/>
        <item m="1" x="7781"/>
        <item m="1" x="7876"/>
        <item m="1" x="7970"/>
        <item m="1" x="67"/>
        <item m="1" x="155"/>
        <item m="1" x="253"/>
        <item m="1" x="341"/>
        <item m="1" x="438"/>
        <item m="1" x="532"/>
        <item m="1" x="629"/>
        <item m="1" x="722"/>
        <item m="1" x="816"/>
        <item m="1" x="911"/>
        <item m="1" x="1008"/>
        <item m="1" x="1096"/>
        <item m="1" x="1194"/>
        <item m="1" x="1286"/>
        <item m="1" x="1382"/>
        <item m="1" x="1473"/>
        <item m="1" x="1569"/>
        <item m="1" x="1660"/>
        <item m="1" x="1749"/>
        <item m="1" x="1840"/>
        <item m="1" x="1935"/>
        <item m="1" x="2033"/>
        <item m="1" x="2131"/>
        <item m="1" x="2218"/>
        <item m="1" x="2311"/>
        <item m="1" x="2401"/>
        <item m="1" x="2496"/>
        <item m="1" x="2587"/>
        <item m="1" x="2679"/>
        <item m="1" x="2773"/>
        <item m="1" x="2861"/>
        <item m="1" x="2953"/>
        <item m="1" x="3048"/>
        <item m="1" x="3137"/>
        <item m="1" x="3231"/>
        <item m="1" x="3321"/>
        <item m="1" x="3414"/>
        <item m="1" x="3506"/>
        <item m="1" x="3601"/>
        <item m="1" x="3692"/>
        <item m="1" x="3787"/>
        <item m="1" x="3880"/>
        <item m="1" x="3974"/>
        <item m="1" x="4062"/>
        <item m="1" x="4159"/>
        <item m="1" x="4249"/>
        <item m="1" x="4343"/>
        <item m="1" x="4434"/>
        <item m="1" x="4534"/>
        <item m="1" x="4625"/>
        <item m="1" x="4714"/>
        <item m="1" x="4805"/>
        <item m="1" x="4904"/>
        <item m="1" x="5002"/>
        <item m="1" x="5096"/>
        <item m="1" x="5187"/>
        <item m="1" x="5282"/>
        <item m="1" x="5371"/>
        <item m="1" x="5462"/>
        <item m="1" x="5557"/>
        <item m="1" x="5652"/>
        <item m="1" x="5745"/>
        <item m="1" x="5835"/>
        <item m="1" x="5928"/>
        <item m="1" x="6024"/>
        <item m="1" x="6114"/>
        <item m="1" x="6206"/>
        <item m="1" x="6300"/>
        <item m="1" x="6397"/>
        <item m="1" x="6488"/>
        <item m="1" x="6577"/>
        <item m="1" x="6671"/>
        <item m="1" x="6762"/>
        <item m="1" x="6853"/>
        <item m="1" x="6945"/>
        <item m="1" x="7039"/>
        <item m="1" x="7135"/>
        <item m="1" x="7224"/>
        <item m="1" x="7318"/>
        <item m="1" x="7415"/>
        <item m="1" x="7512"/>
        <item m="1" x="7603"/>
        <item m="1" x="7694"/>
        <item m="1" x="7785"/>
        <item m="1" x="7880"/>
        <item m="1" x="7973"/>
        <item m="1" x="69"/>
        <item m="1" x="160"/>
        <item m="1" x="256"/>
        <item m="1" x="344"/>
        <item m="1" x="440"/>
        <item m="1" x="536"/>
        <item m="1" x="632"/>
        <item m="1" x="725"/>
        <item m="1" x="818"/>
        <item m="1" x="917"/>
        <item m="1" x="1012"/>
        <item m="1" x="1099"/>
        <item m="1" x="1196"/>
        <item m="1" x="1290"/>
        <item m="1" x="1385"/>
        <item m="1" x="1478"/>
        <item m="1" x="1571"/>
        <item m="1" x="1665"/>
        <item m="1" x="1753"/>
        <item m="1" x="1844"/>
        <item m="1" x="1941"/>
        <item m="1" x="2038"/>
        <item m="1" x="2135"/>
        <item m="1" x="2222"/>
        <item m="1" x="2314"/>
        <item m="1" x="2409"/>
        <item m="1" x="2500"/>
        <item m="1" x="2592"/>
        <item m="1" x="2682"/>
        <item m="1" x="2778"/>
        <item m="1" x="2865"/>
        <item m="1" x="2958"/>
        <item m="1" x="3051"/>
        <item m="1" x="3143"/>
        <item m="1" x="3235"/>
        <item m="1" x="3326"/>
        <item m="1" x="3418"/>
        <item m="1" x="3512"/>
        <item m="1" x="3605"/>
        <item m="1" x="3697"/>
        <item m="1" x="3790"/>
        <item m="1" x="3887"/>
        <item m="1" x="3979"/>
        <item m="1" x="4067"/>
        <item m="1" x="4162"/>
        <item m="1" x="4253"/>
        <item m="1" x="4347"/>
        <item m="1" x="4441"/>
        <item m="1" x="4537"/>
        <item m="1" x="4630"/>
        <item m="1" x="4718"/>
        <item m="1" x="4810"/>
        <item m="1" x="4910"/>
        <item m="1" x="5006"/>
        <item m="1" x="5100"/>
        <item m="1" x="5192"/>
        <item m="1" x="5285"/>
        <item m="1" x="5377"/>
        <item m="1" x="5466"/>
        <item m="1" x="5562"/>
        <item m="1" x="5655"/>
        <item m="1" x="5749"/>
        <item sd="0" m="1" x="2968"/>
        <item sd="0" m="1" x="3062"/>
        <item sd="0" m="1" x="3151"/>
        <item m="1" x="3245"/>
        <item m="1" x="3338"/>
        <item m="1" x="3430"/>
        <item m="1" x="3521"/>
        <item m="1" x="3613"/>
        <item m="1" x="3708"/>
        <item m="1" x="3806"/>
        <item sd="0" m="1" x="3895"/>
        <item sd="0" m="1" x="3988"/>
        <item sd="0" m="1" x="4078"/>
        <item sd="0" m="1" x="4175"/>
        <item sd="0" m="1" x="4266"/>
        <item sd="0" m="1" x="4357"/>
        <item sd="0" m="1" x="4452"/>
        <item sd="0" m="1" x="4549"/>
        <item m="1" x="4639"/>
        <item m="1" x="4729"/>
        <item m="1" x="4823"/>
        <item m="1" x="4923"/>
        <item m="1" x="5016"/>
        <item m="1" x="5109"/>
        <item m="1" x="5204"/>
        <item sd="0" m="1" x="5298"/>
        <item sd="0" m="1" x="5387"/>
        <item sd="0" m="1" x="5477"/>
        <item sd="0" m="1" x="5574"/>
        <item sd="0" m="1" x="5666"/>
        <item sd="0" m="1" x="5759"/>
        <item sd="0" m="1" x="5851"/>
        <item sd="0" m="1" x="5943"/>
        <item sd="0" m="1" x="6038"/>
        <item m="1" x="6127"/>
        <item m="1" x="6222"/>
        <item m="1" x="6319"/>
        <item m="1" x="6412"/>
        <item m="1" x="6501"/>
        <item m="1" x="6591"/>
        <item m="1" x="6688"/>
        <item m="1" x="6780"/>
        <item m="1" x="6867"/>
        <item m="1" x="6962"/>
        <item m="1" x="7055"/>
        <item m="1" x="7148"/>
        <item m="1" x="7239"/>
        <item m="1" x="7334"/>
        <item m="1" x="7434"/>
        <item m="1" x="7525"/>
        <item m="1" x="7617"/>
        <item m="1" x="7711"/>
        <item m="1" x="7803"/>
        <item m="1" x="7897"/>
        <item m="1" x="7987"/>
        <item m="1" x="83"/>
        <item m="1" x="177"/>
        <item sd="0" m="1" x="270"/>
        <item sd="0" m="1" x="361"/>
        <item sd="0" m="1" x="455"/>
        <item sd="0" m="1" x="554"/>
        <item sd="0" m="1" x="645"/>
        <item sd="0" m="1" x="740"/>
        <item sd="0" m="1" x="837"/>
        <item sd="0" m="1" x="933"/>
        <item sd="0" m="1" x="1024"/>
        <item m="1" x="1113"/>
        <item m="1" x="1211"/>
        <item m="1" x="1309"/>
        <item m="1" x="1398"/>
        <item m="1" x="1493"/>
        <item m="1" x="1583"/>
        <item m="1" x="1679"/>
        <item m="1" x="1767"/>
        <item m="1" x="1859"/>
        <item m="1" x="1956"/>
        <item m="1" x="2053"/>
        <item m="1" x="2146"/>
        <item m="1" x="2238"/>
        <item m="1" x="2328"/>
        <item m="1" x="2423"/>
        <item m="1" x="2511"/>
        <item m="1" x="2605"/>
        <item m="1" x="2698"/>
        <item m="1" x="2792"/>
        <item m="1" x="2878"/>
        <item m="1" x="2971"/>
        <item m="1" x="3063"/>
        <item m="1" x="3156"/>
        <item m="1" x="3247"/>
        <item m="1" x="3341"/>
        <item m="1" x="3431"/>
        <item m="1" x="3525"/>
        <item m="1" x="3617"/>
        <item m="1" x="3711"/>
        <item m="1" x="3807"/>
        <item m="1" x="3899"/>
        <item m="1" x="3991"/>
        <item m="1" x="4081"/>
        <item m="1" x="4177"/>
        <item m="1" x="4270"/>
        <item m="1" x="4361"/>
        <item m="1" x="4455"/>
        <item m="1" x="4550"/>
        <item m="1" x="4644"/>
        <item m="1" x="4732"/>
        <item m="1" x="4826"/>
        <item m="1" x="4924"/>
        <item m="1" x="5020"/>
        <item m="1" x="5113"/>
        <item m="1" x="5210"/>
        <item m="1" x="5299"/>
        <item m="1" x="5391"/>
        <item m="1" x="5480"/>
        <item m="1" x="5577"/>
        <item m="1" x="5669"/>
        <item m="1" x="5763"/>
        <item m="1" x="5855"/>
        <item m="1" x="5946"/>
        <item m="1" x="6039"/>
        <item m="1" x="6132"/>
        <item m="1" x="6225"/>
        <item m="1" x="6323"/>
        <item m="1" x="6413"/>
        <item m="1" x="6505"/>
        <item m="1" x="6595"/>
        <item m="1" x="6691"/>
        <item m="1" x="6781"/>
        <item m="1" x="6871"/>
        <item m="1" x="6965"/>
        <item m="1" x="7058"/>
        <item m="1" x="7149"/>
        <item m="1" x="7243"/>
        <item m="1" x="7338"/>
        <item m="1" x="7436"/>
        <item m="1" x="7526"/>
        <item m="1" x="7621"/>
        <item m="1" x="7715"/>
        <item m="1" x="7805"/>
        <item m="1" x="7898"/>
        <item m="1" x="7990"/>
        <item m="1" x="87"/>
        <item m="1" x="182"/>
        <item m="1" x="271"/>
        <item m="1" x="365"/>
        <item m="1" x="458"/>
        <item m="1" x="556"/>
        <item m="1" x="647"/>
        <item m="1" x="743"/>
        <item m="1" x="841"/>
        <item m="1" x="935"/>
        <item m="1" x="1025"/>
        <item m="1" x="1120"/>
        <item m="1" x="1215"/>
        <item m="1" x="1311"/>
        <item m="1" x="1399"/>
        <item m="1" x="1496"/>
        <item m="1" x="1587"/>
        <item m="1" x="1681"/>
        <item m="1" x="1768"/>
        <item m="1" x="1863"/>
        <item m="1" x="1959"/>
        <item m="1" x="2055"/>
        <item m="1" x="2147"/>
        <item m="1" x="2242"/>
        <item m="1" x="2332"/>
        <item m="1" x="2425"/>
        <item m="1" x="2512"/>
        <item m="1" x="2611"/>
        <item m="1" x="2702"/>
        <item m="1" x="2794"/>
        <item m="1" x="2879"/>
        <item m="1" x="2974"/>
        <item m="1" x="3067"/>
        <item m="1" x="3159"/>
        <item m="1" x="3248"/>
        <item m="1" x="3345"/>
        <item m="1" x="3433"/>
        <item m="1" x="3527"/>
        <item m="1" x="3619"/>
        <item m="1" x="3714"/>
        <item m="1" x="3810"/>
        <item m="1" x="3901"/>
        <item m="1" x="3992"/>
        <item m="1" x="4087"/>
        <item m="1" x="4179"/>
        <item m="1" x="4272"/>
        <item m="1" x="4362"/>
        <item m="1" x="4458"/>
        <item m="1" x="4552"/>
        <item m="1" x="4646"/>
        <item m="1" x="4733"/>
        <item m="1" x="4830"/>
        <item m="1" x="4926"/>
        <item m="1" x="5022"/>
        <item m="1" x="5115"/>
        <item m="1" x="5214"/>
        <item m="1" x="5301"/>
        <item m="1" x="5394"/>
        <item m="1" x="5482"/>
        <item m="1" x="5584"/>
        <item m="1" x="5674"/>
        <item m="1" x="5766"/>
        <item m="1" x="5857"/>
        <item m="1" x="5950"/>
        <item m="1" x="6042"/>
        <item m="1" x="6137"/>
        <item m="1" x="6227"/>
        <item m="1" x="6328"/>
        <item m="1" x="6416"/>
        <item m="1" x="6509"/>
        <item m="1" x="6600"/>
        <item m="1" x="6695"/>
        <item m="1" x="6784"/>
        <item m="1" x="6875"/>
        <item m="1" x="6967"/>
        <item m="1" x="7065"/>
        <item m="1" x="7152"/>
        <item m="1" x="7247"/>
        <item m="1" x="7340"/>
        <item m="1" x="7440"/>
        <item m="1" x="7529"/>
        <item m="1" x="7625"/>
        <item m="1" x="7717"/>
        <item m="1" x="7809"/>
        <item m="1" x="7901"/>
        <item m="1" x="7994"/>
        <item m="1" x="90"/>
        <item m="1" x="185"/>
        <item m="1" x="274"/>
        <item m="1" x="369"/>
        <item m="1" x="460"/>
        <item m="1" x="561"/>
        <item m="1" x="651"/>
        <item m="1" x="747"/>
        <item m="1" x="843"/>
        <item m="1" x="938"/>
        <item m="1" x="1028"/>
        <item m="1" x="1126"/>
        <item m="1" x="1217"/>
        <item m="1" x="1315"/>
        <item m="1" x="1402"/>
        <item m="1" x="1500"/>
        <item m="1" x="6614"/>
        <item m="1" x="6704"/>
        <item m="1" x="6793"/>
        <item m="1" x="6886"/>
        <item m="1" x="6980"/>
        <item m="1" x="7075"/>
        <item m="1" x="7162"/>
        <item m="1" x="7258"/>
        <item m="1" x="7352"/>
        <item m="1" x="7449"/>
        <item m="1" x="7541"/>
        <item m="1" x="7635"/>
        <item m="1" x="7728"/>
        <item m="1" x="7818"/>
        <item m="1" x="7913"/>
        <item sd="0" m="1" x="12"/>
        <item sd="0" m="1" x="103"/>
        <item sd="0" m="1" x="195"/>
        <item sd="0" m="1" x="284"/>
        <item sd="0" m="1" x="381"/>
        <item sd="0" m="1" x="477"/>
        <item sd="0" m="1" x="570"/>
        <item m="1" x="662"/>
        <item m="1" x="759"/>
        <item m="1" x="856"/>
        <item m="1" x="950"/>
        <item m="1" x="1039"/>
        <item m="1" x="1137"/>
        <item m="1" x="1229"/>
        <item sd="0" m="1" x="1324"/>
        <item sd="0" m="1" x="1415"/>
        <item sd="0" m="1" x="1513"/>
        <item sd="0" m="1" x="1605"/>
        <item sd="0" m="1" x="1693"/>
        <item sd="0" m="1" x="1781"/>
        <item sd="0" m="1" x="1878"/>
        <item sd="0" m="1" x="1976"/>
        <item sd="0" m="1" x="2071"/>
        <item m="1" x="2162"/>
        <item m="1" x="2258"/>
        <item m="1" x="2346"/>
        <item m="1" x="2438"/>
        <item m="1" x="2530"/>
        <item m="1" x="2626"/>
        <item m="1" x="2715"/>
        <item sd="0" m="1" x="2806"/>
        <item sd="0" m="1" x="2895"/>
        <item sd="0" m="1" x="2992"/>
        <item sd="0" m="1" x="3081"/>
        <item sd="0" m="1" x="3172"/>
        <item sd="0" m="1" x="3262"/>
        <item sd="0" m="1" x="3361"/>
        <item sd="0" m="1" x="3450"/>
        <item sd="0" m="1" x="3542"/>
        <item m="1" x="3637"/>
        <item m="1" x="3731"/>
        <item m="1" x="3823"/>
        <item m="1" x="3917"/>
        <item m="1" x="4007"/>
        <item m="1" x="4103"/>
        <item m="1" x="4191"/>
        <item sd="0" m="1" x="4285"/>
        <item sd="0" m="1" x="4379"/>
        <item sd="0" m="1" x="4476"/>
        <item sd="0" m="1" x="4567"/>
        <item sd="0" m="1" x="4659"/>
        <item sd="0" m="1" x="4746"/>
        <item sd="0" m="1" x="4845"/>
        <item sd="0" m="1" x="4939"/>
        <item m="1" x="5038"/>
        <item m="1" x="5129"/>
        <item m="1" x="5229"/>
        <item m="1" x="5313"/>
        <item m="1" x="5408"/>
        <item m="1" x="5500"/>
        <item m="1" x="5597"/>
        <item m="1" x="5686"/>
        <item m="1" x="5780"/>
        <item m="1" x="5872"/>
        <item m="1" x="5967"/>
        <item m="1" x="6055"/>
        <item m="1" x="6150"/>
        <item m="1" x="6240"/>
        <item m="1" x="6341"/>
        <item m="1" x="6430"/>
        <item m="1" x="6522"/>
        <item m="1" x="6616"/>
        <item m="1" x="6708"/>
        <item m="1" x="6796"/>
        <item m="1" x="6891"/>
        <item m="1" x="6982"/>
        <item m="1" x="7079"/>
        <item m="1" x="7164"/>
        <item m="1" x="7261"/>
        <item m="1" x="7356"/>
        <item m="1" x="7453"/>
        <item m="1" x="7545"/>
        <item m="1" x="7638"/>
        <item m="1" x="7730"/>
        <item m="1" x="7823"/>
        <item m="1" x="7916"/>
        <item m="1" x="15"/>
        <item m="1" x="105"/>
        <item m="1" x="199"/>
        <item m="1" x="288"/>
        <item m="1" x="384"/>
        <item m="1" x="479"/>
        <item m="1" x="574"/>
        <item m="1" x="665"/>
        <item m="1" x="762"/>
        <item m="1" x="859"/>
        <item m="1" x="954"/>
        <item m="1" x="1043"/>
        <item m="1" x="1140"/>
        <item m="1" x="1231"/>
        <item m="1" x="1329"/>
        <item m="1" x="1420"/>
        <item m="1" x="1516"/>
        <item m="1" x="1607"/>
        <item m="1" x="1697"/>
        <item m="1" x="1785"/>
        <item m="1" x="1884"/>
        <item m="1" x="1978"/>
        <item m="1" x="2075"/>
        <item m="1" x="2165"/>
        <item m="1" x="2261"/>
        <item m="1" x="2349"/>
        <item m="1" x="2442"/>
        <item m="1" x="2534"/>
        <item m="1" x="2629"/>
        <item m="1" x="2717"/>
        <item m="1" x="2810"/>
        <item m="1" x="2898"/>
        <item m="1" x="2994"/>
        <item m="1" x="3083"/>
        <item m="1" x="3175"/>
        <item m="1" x="3266"/>
        <item m="1" x="3363"/>
        <item m="1" x="3452"/>
        <item m="1" x="3545"/>
        <item m="1" x="3640"/>
        <item m="1" x="3733"/>
        <item m="1" x="3825"/>
        <item m="1" x="3920"/>
        <item m="1" x="4011"/>
        <item m="1" x="4105"/>
        <item m="1" x="4193"/>
        <item m="1" x="4291"/>
        <item m="1" x="4382"/>
        <item m="1" x="4478"/>
        <item m="1" x="4569"/>
        <item m="1" x="4662"/>
        <item m="1" x="4751"/>
        <item m="1" x="4851"/>
        <item m="1" x="4942"/>
        <item m="1" x="5043"/>
        <item m="1" x="5133"/>
        <item m="1" x="5231"/>
        <item m="1" x="5316"/>
        <item m="1" x="5411"/>
        <item m="1" x="5504"/>
        <item m="1" x="5599"/>
        <item m="1" x="5688"/>
        <item m="1" x="5786"/>
        <item m="1" x="5875"/>
        <item m="1" x="5969"/>
        <item m="1" x="6057"/>
        <item m="1" x="6153"/>
        <item m="1" x="6244"/>
        <item m="1" x="6343"/>
        <item m="1" x="6432"/>
        <item m="1" x="6526"/>
        <item m="1" x="6619"/>
        <item m="1" x="6710"/>
        <item m="1" x="6798"/>
        <item m="1" x="6895"/>
        <item m="1" x="6986"/>
        <item m="1" x="7081"/>
        <item m="1" x="7165"/>
        <item m="1" x="7267"/>
        <item m="1" x="7359"/>
        <item m="1" x="7455"/>
        <item m="1" x="7546"/>
        <item m="1" x="7641"/>
        <item m="1" x="7733"/>
        <item m="1" x="7828"/>
        <item m="1" x="7917"/>
        <item m="1" x="19"/>
        <item m="1" x="107"/>
        <item m="1" x="201"/>
        <item m="1" x="291"/>
        <item m="1" x="387"/>
        <item m="1" x="481"/>
        <item m="1" x="576"/>
        <item m="1" x="666"/>
        <item m="1" x="768"/>
        <item m="1" x="861"/>
        <item m="1" x="956"/>
        <item m="1" x="1044"/>
        <item m="1" x="1144"/>
        <item m="1" x="1234"/>
        <item m="1" x="1332"/>
        <item m="1" x="1423"/>
        <item m="1" x="1521"/>
        <item m="1" x="1610"/>
        <item m="1" x="1700"/>
        <item m="1" x="1788"/>
        <item m="1" x="1889"/>
        <item m="1" x="1981"/>
        <item m="1" x="2079"/>
        <item m="1" x="2167"/>
        <item m="1" x="2268"/>
        <item m="1" x="2353"/>
        <item m="1" x="2446"/>
        <item m="1" x="2536"/>
        <item m="1" x="2633"/>
        <item m="1" x="2720"/>
        <item m="1" x="2815"/>
        <item m="1" x="2900"/>
        <item m="1" x="2999"/>
        <item m="1" x="3086"/>
        <item m="1" x="3179"/>
        <item m="1" x="3271"/>
        <item m="1" x="3367"/>
        <item m="1" x="3455"/>
        <item m="1" x="3549"/>
        <item m="1" x="3642"/>
        <item m="1" x="3739"/>
        <item m="1" x="3828"/>
        <item m="1" x="3924"/>
        <item m="1" x="4013"/>
        <item m="1" x="4108"/>
        <item m="1" x="4196"/>
        <item m="1" x="4295"/>
        <item m="1" x="4384"/>
        <item m="1" x="4482"/>
        <item m="1" x="4572"/>
        <item m="1" x="4666"/>
        <item m="1" x="4754"/>
        <item m="1" x="4855"/>
        <item m="1" x="4945"/>
        <item m="1" x="5047"/>
        <item m="1" x="5135"/>
        <item sd="0" m="1" x="2363"/>
        <item sd="0" m="1" x="2457"/>
        <item sd="0" m="1" x="2549"/>
        <item sd="0" m="1" x="2644"/>
        <item sd="0" m="1" x="2731"/>
        <item sd="0" m="1" x="2826"/>
        <item sd="0" m="1" x="2912"/>
        <item sd="0" m="1" x="3007"/>
        <item sd="0" m="1" x="3097"/>
        <item m="1" x="3191"/>
        <item m="1" x="3286"/>
        <item m="1" x="3376"/>
        <item m="1" x="3465"/>
        <item m="1" x="3561"/>
        <item m="1" x="3657"/>
        <item m="1" x="3751"/>
        <item sd="0" m="1" x="3839"/>
        <item sd="0" m="1" x="3936"/>
        <item sd="0" m="1" x="4026"/>
        <item sd="0" m="1" x="4118"/>
        <item sd="0" m="1" x="4210"/>
        <item sd="0" m="1" x="4306"/>
        <item sd="0" m="1" x="4397"/>
        <item sd="0" m="1" x="4491"/>
        <item sd="0" m="1" x="4584"/>
        <item m="1" x="4681"/>
        <item m="1" x="4767"/>
        <item m="1" x="4865"/>
        <item m="1" x="4956"/>
        <item m="1" x="5059"/>
        <item m="1" x="5152"/>
        <item m="1" x="5244"/>
        <item sd="0" m="1" x="5332"/>
        <item sd="0" m="1" x="5426"/>
        <item sd="0" m="1" x="5519"/>
        <item sd="0" m="1" x="5612"/>
        <item sd="0" m="1" x="5703"/>
        <item sd="0" m="1" x="5802"/>
        <item sd="0" m="1" x="5888"/>
        <item sd="0" m="1" x="5982"/>
        <item sd="0" m="1" x="6076"/>
        <item m="1" x="6170"/>
        <item m="1" x="6264"/>
        <item m="1" x="6356"/>
        <item m="1" x="6447"/>
        <item m="1" x="6541"/>
        <item m="1" x="6633"/>
        <item m="1" x="6725"/>
        <item m="1" x="6813"/>
        <item m="1" x="6911"/>
        <item m="1" x="7000"/>
        <item m="1" x="7094"/>
        <item m="1" x="7185"/>
        <item m="1" x="7283"/>
        <item m="1" x="7373"/>
        <item m="1" x="7469"/>
        <item m="1" x="7563"/>
        <item m="1" x="7662"/>
        <item m="1" x="7747"/>
        <item m="1" x="7842"/>
        <item m="1" x="7931"/>
        <item m="1" x="35"/>
        <item m="1" x="122"/>
        <item sd="0" m="1" x="215"/>
        <item sd="0" m="1" x="306"/>
        <item sd="0" m="1" x="402"/>
        <item sd="0" m="1" x="494"/>
        <item sd="0" m="1" x="592"/>
        <item sd="0" m="1" x="682"/>
        <item sd="0" m="1" x="784"/>
        <item m="1" x="873"/>
        <item m="1" x="970"/>
        <item m="1" x="1060"/>
        <item m="1" x="1160"/>
        <item m="1" x="1251"/>
        <item m="1" x="1346"/>
        <item m="1" x="1437"/>
        <item m="1" x="1535"/>
        <item m="1" x="1623"/>
        <item m="1" x="1716"/>
        <item m="1" x="1802"/>
        <item m="1" x="1903"/>
        <item m="1" x="1994"/>
        <item m="1" x="2093"/>
        <item m="1" x="2185"/>
        <item m="1" x="2279"/>
        <item m="1" x="2365"/>
        <item m="1" x="2460"/>
        <item m="1" x="2552"/>
        <item m="1" x="2648"/>
        <item m="1" x="2734"/>
        <item m="1" x="2829"/>
        <item m="1" x="2914"/>
        <item m="1" x="3012"/>
        <item m="1" x="3102"/>
        <item m="1" x="3194"/>
        <item m="1" x="3288"/>
        <item m="1" x="3380"/>
        <item m="1" x="3469"/>
        <item m="1" x="3567"/>
        <item m="1" x="3659"/>
        <item m="1" x="3755"/>
        <item m="1" x="3842"/>
        <item m="1" x="3939"/>
        <item m="1" x="4031"/>
        <item m="1" x="4122"/>
        <item m="1" x="4214"/>
        <item m="1" x="4309"/>
        <item m="1" x="4399"/>
        <item m="1" x="4496"/>
        <item m="1" x="4587"/>
        <item m="1" x="4684"/>
        <item m="1" x="4769"/>
        <item m="1" x="4869"/>
        <item m="1" x="4960"/>
        <item m="1" x="5062"/>
        <item m="1" x="5154"/>
        <item m="1" x="5248"/>
        <item m="1" x="5335"/>
        <item m="1" x="5429"/>
        <item m="1" x="5521"/>
        <item m="1" x="5616"/>
        <item m="1" x="5707"/>
        <item m="1" x="5805"/>
        <item m="1" x="5890"/>
        <item m="1" x="5987"/>
        <item m="1" x="6080"/>
        <item m="1" x="6173"/>
        <item m="1" x="6266"/>
        <item m="1" x="6360"/>
        <item m="1" x="6451"/>
        <item m="1" x="6546"/>
        <item m="1" x="6635"/>
        <item m="1" x="6728"/>
        <item m="1" x="6816"/>
        <item m="1" x="6913"/>
        <item m="1" x="7003"/>
        <item m="1" x="7097"/>
        <item m="1" x="7189"/>
        <item m="1" x="7285"/>
        <item m="1" x="7375"/>
        <item m="1" x="7474"/>
        <item m="1" x="7566"/>
        <item m="1" x="7664"/>
        <item m="1" x="7749"/>
        <item m="1" x="7845"/>
        <item m="1" x="7935"/>
        <item m="1" x="37"/>
        <item m="1" x="124"/>
        <item m="1" x="219"/>
        <item m="1" x="309"/>
        <item m="1" x="405"/>
        <item m="1" x="497"/>
        <item m="1" x="596"/>
        <item m="1" x="687"/>
        <item m="1" x="787"/>
        <item m="1" x="875"/>
        <item m="1" x="976"/>
        <item m="1" x="1065"/>
        <item m="1" x="1162"/>
        <item m="1" x="1253"/>
        <item m="1" x="1349"/>
        <item m="1" x="1441"/>
        <item m="1" x="1539"/>
        <item m="1" x="1625"/>
        <item m="1" x="1720"/>
        <item m="1" x="1805"/>
        <item m="1" x="1905"/>
        <item m="1" x="1997"/>
        <item m="1" x="2096"/>
        <item m="1" x="2189"/>
        <item m="1" x="2281"/>
        <item m="1" x="2367"/>
        <item m="1" x="2466"/>
        <item m="1" x="2555"/>
        <item m="1" x="2650"/>
        <item m="1" x="2736"/>
        <item m="1" x="2832"/>
        <item m="1" x="2917"/>
        <item m="1" x="3014"/>
        <item m="1" x="3103"/>
        <item m="1" x="3198"/>
        <item m="1" x="3290"/>
        <item m="1" x="3382"/>
        <item m="1" x="3470"/>
        <item m="1" x="3570"/>
        <item m="1" x="3661"/>
        <item m="1" x="3757"/>
        <item m="1" x="3843"/>
        <item m="1" x="3945"/>
        <item m="1" x="4033"/>
        <item m="1" x="4124"/>
        <item m="1" x="4215"/>
        <item m="1" x="4312"/>
        <item m="1" x="4401"/>
        <item m="1" x="4500"/>
        <item m="1" x="4588"/>
        <item m="1" x="4688"/>
        <item m="1" x="4772"/>
        <item m="1" x="4872"/>
        <item m="1" x="4965"/>
        <item m="1" x="5066"/>
        <item m="1" x="5157"/>
        <item m="1" x="5251"/>
        <item m="1" x="5337"/>
        <item m="1" x="5436"/>
        <item m="1" x="5524"/>
        <item m="1" x="5621"/>
        <item m="1" x="5709"/>
        <item m="1" x="5809"/>
        <item m="1" x="5893"/>
        <item m="1" x="5991"/>
        <item m="1" x="6082"/>
        <item m="1" x="6178"/>
        <item m="1" x="6269"/>
        <item m="1" x="6364"/>
        <item m="1" x="6454"/>
        <item m="1" x="6551"/>
        <item m="1" x="6638"/>
        <item m="1" x="6732"/>
        <item m="1" x="6818"/>
        <item m="1" x="6920"/>
        <item m="1" x="7007"/>
        <item m="1" x="7101"/>
        <item m="1" x="7191"/>
        <item m="1" x="7288"/>
        <item m="1" x="7378"/>
        <item m="1" x="7480"/>
        <item m="1" x="7568"/>
        <item m="1" x="7668"/>
        <item m="1" x="7752"/>
        <item m="1" x="7849"/>
        <item m="1" x="7940"/>
        <item m="1" x="40"/>
        <item m="1" x="127"/>
        <item m="1" x="223"/>
        <item m="1" x="311"/>
        <item m="1" x="410"/>
        <item m="1" x="500"/>
        <item m="1" x="600"/>
        <item m="1" x="689"/>
        <item m="1" x="790"/>
        <item m="1" x="878"/>
        <item m="1" x="6001"/>
        <item m="1" x="6094"/>
        <item m="1" x="6186"/>
        <item m="1" x="6280"/>
        <item m="1" x="6378"/>
        <item m="1" x="6467"/>
        <item m="1" x="6560"/>
        <item m="1" x="6648"/>
        <item m="1" x="6743"/>
        <item m="1" x="6834"/>
        <item m="1" x="6928"/>
        <item m="1" x="7018"/>
        <item m="1" x="7112"/>
        <item m="1" x="7205"/>
        <item m="1" x="7300"/>
        <item m="1" x="7390"/>
        <item m="1" x="7491"/>
        <item m="1" x="7581"/>
        <item m="1" x="7677"/>
        <item m="1" x="7764"/>
        <item m="1" x="7862"/>
        <item m="1" x="7955"/>
        <item m="1" x="50"/>
        <item m="1" x="138"/>
        <item m="1" x="235"/>
        <item m="1" x="326"/>
        <item m="1" x="422"/>
        <item m="1" x="511"/>
        <item m="1" x="612"/>
        <item m="1" x="702"/>
        <item m="1" x="800"/>
        <item m="1" x="893"/>
        <item m="1" x="990"/>
        <item m="1" x="1080"/>
        <item m="1" x="1175"/>
        <item m="1" x="1269"/>
        <item m="1" x="1368"/>
        <item m="1" x="1457"/>
        <item m="1" x="1552"/>
        <item m="1" x="1639"/>
        <item m="1" x="1735"/>
        <item m="1" x="1823"/>
        <item m="1" x="1919"/>
        <item m="1" x="2015"/>
        <item m="1" x="2111"/>
        <item m="1" x="2203"/>
        <item m="1" x="2295"/>
        <item m="1" x="2383"/>
        <item m="1" x="2483"/>
        <item m="1" x="2568"/>
        <item m="1" x="2663"/>
        <item m="1" x="2754"/>
        <item m="1" x="2849"/>
        <item m="1" x="2936"/>
        <item m="1" x="3027"/>
        <item m="1" x="3118"/>
        <item m="1" x="3214"/>
        <item m="1" x="3304"/>
        <item m="1" x="3397"/>
        <item m="1" x="3486"/>
        <item m="1" x="3587"/>
        <item m="1" x="3675"/>
        <item m="1" x="3770"/>
        <item m="1" x="3861"/>
        <item m="1" x="3960"/>
        <item m="1" x="4045"/>
        <item m="1" x="4137"/>
        <item m="1" x="4231"/>
        <item m="1" x="4330"/>
        <item m="1" x="4415"/>
        <item m="1" x="4515"/>
        <item m="1" x="4602"/>
        <item m="1" x="4702"/>
        <item m="1" x="4787"/>
        <item m="1" x="4887"/>
        <item m="1" x="4982"/>
        <item m="1" x="5081"/>
        <item m="1" x="5170"/>
        <item m="1" x="5266"/>
        <item m="1" x="5353"/>
        <item m="1" x="5450"/>
        <item m="1" x="5536"/>
        <item m="1" x="5634"/>
        <item m="1" x="5727"/>
        <item m="1" x="5823"/>
        <item m="1" x="5909"/>
        <item m="1" x="6004"/>
        <item m="1" x="6096"/>
        <item m="1" x="6191"/>
        <item m="1" x="6282"/>
        <item m="1" x="6381"/>
        <item m="1" x="6469"/>
        <item m="1" x="6564"/>
        <item m="1" x="6652"/>
        <item m="1" x="6746"/>
        <item m="1" x="6836"/>
        <item m="1" x="6932"/>
        <item m="1" x="7021"/>
        <item m="1" x="7115"/>
        <item m="1" x="7208"/>
        <item m="1" x="7305"/>
        <item m="1" x="7394"/>
        <item m="1" x="7494"/>
        <item m="1" x="7583"/>
        <item m="1" x="7682"/>
        <item m="1" x="7768"/>
        <item m="1" x="7865"/>
        <item m="1" x="7957"/>
        <item m="1" x="54"/>
        <item m="1" x="142"/>
        <item m="1" x="241"/>
        <item m="1" x="328"/>
        <item m="1" x="426"/>
        <item m="1" x="514"/>
        <item m="1" x="615"/>
        <item m="1" x="706"/>
        <item m="1" x="804"/>
        <item m="1" x="897"/>
        <item m="1" x="993"/>
        <item m="1" x="1082"/>
        <item m="1" x="1180"/>
        <item m="1" x="1272"/>
        <item m="1" x="1371"/>
        <item m="1" x="1459"/>
        <item m="1" x="1556"/>
        <item m="1" x="1643"/>
        <item m="1" x="1738"/>
        <item m="1" x="1826"/>
        <item m="1" x="1923"/>
        <item m="1" x="2018"/>
        <item m="1" x="2114"/>
        <item m="1" x="2205"/>
        <item m="1" x="2298"/>
        <item m="1" x="2387"/>
        <item m="1" x="2485"/>
        <item m="1" x="2570"/>
        <item m="1" x="2667"/>
        <item m="1" x="2759"/>
        <item m="1" x="2851"/>
        <item m="1" x="2938"/>
        <item m="1" x="3030"/>
        <item m="1" x="3122"/>
        <item m="1" x="3219"/>
        <item m="1" x="3306"/>
        <item m="1" x="3401"/>
        <item m="1" x="3489"/>
        <item m="1" x="3589"/>
        <item m="1" x="3678"/>
        <item m="1" x="3773"/>
        <item m="1" x="3865"/>
        <item m="1" x="3962"/>
        <item m="1" x="4047"/>
        <item m="1" x="4143"/>
        <item m="1" x="4234"/>
        <item m="1" x="4332"/>
        <item m="1" x="4418"/>
        <item m="1" x="4519"/>
        <item m="1" x="4606"/>
        <item m="1" x="4704"/>
        <item m="1" x="4789"/>
        <item m="1" x="4891"/>
        <item m="1" x="4985"/>
        <item m="1" x="5083"/>
        <item m="1" x="5172"/>
        <item m="1" x="5269"/>
        <item m="1" x="5357"/>
        <item m="1" x="5452"/>
        <item m="1" x="5538"/>
        <item m="1" x="5640"/>
        <item m="1" x="5731"/>
        <item m="1" x="5825"/>
        <item m="1" x="5911"/>
        <item m="1" x="6007"/>
        <item m="1" x="6100"/>
        <item m="1" x="6195"/>
        <item m="1" x="6284"/>
        <item m="1" x="6385"/>
        <item m="1" x="6472"/>
        <item m="1" x="6566"/>
        <item m="1" x="6654"/>
        <item m="1" x="6749"/>
        <item m="1" x="6839"/>
        <item m="1" x="6934"/>
        <item m="1" x="7022"/>
        <item m="1" x="7121"/>
        <item m="1" x="7210"/>
        <item m="1" x="7307"/>
        <item m="1" x="7396"/>
        <item m="1" x="7497"/>
        <item m="1" x="7585"/>
        <item m="1" x="7684"/>
        <item m="1" x="7769"/>
        <item m="1" x="7869"/>
        <item m="1" x="7959"/>
        <item m="1" x="56"/>
        <item m="1" x="144"/>
        <item m="1" x="244"/>
        <item m="1" x="330"/>
        <item m="1" x="429"/>
        <item m="1" x="516"/>
        <item m="1" x="622"/>
        <item m="1" x="711"/>
        <item m="1" x="807"/>
        <item m="1" x="900"/>
        <item m="1" x="997"/>
        <item m="1" x="1085"/>
        <item m="1" x="1185"/>
        <item m="1" x="1274"/>
        <item m="1" x="1376"/>
        <item m="1" x="1462"/>
        <item m="1" x="1560"/>
        <item m="1" x="1648"/>
        <item m="1" x="1742"/>
        <item m="1" x="1829"/>
        <item m="1" x="1927"/>
        <item m="1" x="2020"/>
        <item m="1" x="2121"/>
        <item m="1" x="2208"/>
        <item m="1" x="2302"/>
        <item m="1" x="2390"/>
        <item m="1" x="2489"/>
        <item m="1" x="2573"/>
        <item m="1" x="2671"/>
        <item m="1" x="2761"/>
        <item m="1" x="2855"/>
        <item m="1" x="2941"/>
        <item m="1" x="3034"/>
        <item m="1" x="3125"/>
        <item m="1" x="3222"/>
        <item m="1" x="3309"/>
        <item m="1" x="3405"/>
        <item m="1" x="3491"/>
        <item m="1" x="3594"/>
        <item m="1" x="3681"/>
        <item m="1" x="3777"/>
        <item m="1" x="3868"/>
        <item m="1" x="3965"/>
        <item m="1" x="4050"/>
        <item m="1" x="4149"/>
        <item m="1" x="4236"/>
        <item m="1" x="4336"/>
        <item m="1" x="4421"/>
        <item m="1" x="4523"/>
        <item m="1" x="1751"/>
        <item m="1" x="1842"/>
        <item m="1" x="1938"/>
        <item m="1" x="2036"/>
        <item m="1" x="2133"/>
        <item m="1" x="2220"/>
        <item m="1" x="2313"/>
        <item m="1" x="2405"/>
        <item m="1" x="2498"/>
        <item m="1" x="2589"/>
        <item m="1" x="2681"/>
        <item m="1" x="2776"/>
        <item m="1" x="2863"/>
        <item m="1" x="2955"/>
        <item m="1" x="3050"/>
        <item m="1" x="3141"/>
        <item m="1" x="3233"/>
        <item m="1" x="3323"/>
        <item m="1" x="3417"/>
        <item m="1" x="3509"/>
        <item m="1" x="3603"/>
        <item m="1" x="3694"/>
        <item m="1" x="3789"/>
        <item m="1" x="3884"/>
        <item m="1" x="3977"/>
        <item m="1" x="4064"/>
        <item m="1" x="4161"/>
        <item m="1" x="4251"/>
        <item m="1" x="4345"/>
        <item m="1" x="4436"/>
        <item m="1" x="4536"/>
        <item m="1" x="4628"/>
        <item m="1" x="4716"/>
        <item m="1" x="4807"/>
        <item m="1" x="4907"/>
        <item m="1" x="5004"/>
        <item m="1" x="5098"/>
        <item m="1" x="5189"/>
        <item m="1" x="5284"/>
        <item m="1" x="5374"/>
        <item m="1" x="5464"/>
        <item m="1" x="5559"/>
        <item m="1" x="5654"/>
        <item m="1" x="5747"/>
        <item m="1" x="5837"/>
        <item m="1" x="5930"/>
        <item m="1" x="6027"/>
        <item m="1" x="6117"/>
        <item m="1" x="6209"/>
        <item m="1" x="6302"/>
        <item m="1" x="6401"/>
        <item m="1" x="6490"/>
        <item m="1" x="6580"/>
        <item m="1" x="6673"/>
        <item m="1" x="6765"/>
        <item m="1" x="6856"/>
        <item m="1" x="6949"/>
        <item m="1" x="7041"/>
        <item m="1" x="7138"/>
        <item m="1" x="7226"/>
        <item m="1" x="7321"/>
        <item m="1" x="7418"/>
        <item m="1" x="7515"/>
        <item m="1" x="7606"/>
        <item m="1" x="7697"/>
        <item m="1" x="7787"/>
        <item m="1" x="7884"/>
        <item m="1" x="7975"/>
        <item m="1" x="72"/>
        <item m="1" x="162"/>
        <item m="1" x="259"/>
        <item m="1" x="347"/>
        <item m="1" x="443"/>
        <item m="1" x="538"/>
        <item m="1" x="635"/>
        <item m="1" x="727"/>
        <item m="1" x="821"/>
        <item m="1" x="919"/>
        <item m="1" x="1015"/>
        <item m="1" x="1102"/>
        <item m="1" x="1199"/>
        <item m="1" x="1292"/>
        <item m="1" x="1389"/>
        <item m="1" x="1480"/>
        <item m="1" x="1573"/>
        <item m="1" x="1666"/>
        <item m="1" x="1755"/>
        <item m="1" x="1846"/>
        <item m="1" x="1944"/>
        <item m="1" x="2039"/>
        <item m="1" x="2137"/>
        <item m="1" x="2223"/>
        <item m="1" x="2316"/>
        <item m="1" x="2410"/>
        <item m="1" x="2502"/>
        <item m="1" x="2594"/>
        <item m="1" x="2684"/>
        <item m="1" x="2779"/>
        <item m="1" x="2868"/>
        <item m="1" x="2959"/>
        <item m="1" x="3053"/>
        <item m="1" x="3144"/>
        <item m="1" x="3237"/>
        <item m="1" x="3328"/>
        <item m="1" x="3420"/>
        <item m="1" x="3513"/>
        <item m="1" x="3607"/>
        <item m="1" x="3698"/>
        <item m="1" x="3792"/>
        <item m="1" x="3888"/>
        <item m="1" x="3981"/>
        <item m="1" x="4069"/>
        <item m="1" x="4164"/>
        <item m="1" x="4254"/>
        <item m="1" x="4350"/>
        <item m="1" x="4442"/>
        <item m="1" x="4539"/>
        <item m="1" x="4631"/>
        <item m="1" x="4720"/>
        <item m="1" x="4812"/>
        <item m="1" x="4912"/>
        <item m="1" x="5007"/>
        <item m="1" x="5102"/>
        <item m="1" x="5193"/>
        <item m="1" x="5287"/>
        <item m="1" x="5378"/>
        <item m="1" x="5468"/>
        <item m="1" x="5564"/>
        <item m="1" x="5657"/>
        <item m="1" x="5750"/>
        <item m="1" x="5841"/>
        <item m="1" x="5933"/>
        <item m="1" x="6029"/>
        <item m="1" x="6119"/>
        <item m="1" x="6212"/>
        <item m="1" x="6306"/>
        <item m="1" x="6403"/>
        <item m="1" x="6492"/>
        <item m="1" x="6583"/>
        <item m="1" x="6676"/>
        <item m="1" x="6767"/>
        <item m="1" x="6859"/>
        <item m="1" x="6953"/>
        <item m="1" x="7045"/>
        <item m="1" x="7140"/>
        <item m="1" x="7228"/>
        <item m="1" x="7327"/>
        <item m="1" x="7422"/>
        <item m="1" x="7517"/>
        <item m="1" x="7608"/>
        <item m="1" x="7700"/>
        <item m="1" x="7791"/>
        <item m="1" x="7889"/>
        <item m="1" x="7977"/>
        <item m="1" x="76"/>
        <item m="1" x="165"/>
        <item m="1" x="261"/>
        <item m="1" x="350"/>
        <item m="1" x="446"/>
        <item m="1" x="542"/>
        <item m="1" x="637"/>
        <item m="1" x="729"/>
        <item m="1" x="827"/>
        <item m="1" x="922"/>
        <item m="1" x="1017"/>
        <item m="1" x="1104"/>
        <item m="1" x="1202"/>
        <item m="1" x="1296"/>
        <item m="1" x="1391"/>
        <item m="1" x="1482"/>
        <item m="1" x="1577"/>
        <item m="1" x="1669"/>
        <item m="1" x="1757"/>
        <item m="1" x="1849"/>
        <item m="1" x="1948"/>
        <item m="1" x="2043"/>
        <item m="1" x="2139"/>
        <item m="1" x="2224"/>
        <item m="1" x="2322"/>
        <item m="1" x="2414"/>
        <item m="1" x="2504"/>
        <item m="1" x="2595"/>
        <item m="1" x="2687"/>
        <item m="1" x="2782"/>
        <item m="1" x="2872"/>
        <item m="1" x="2960"/>
        <item m="1" x="3057"/>
        <item m="1" x="3146"/>
        <item m="1" x="3239"/>
        <item m="1" x="3331"/>
        <item m="1" x="3423"/>
        <item m="1" x="3515"/>
        <item m="1" x="3609"/>
        <item m="1" x="3699"/>
        <item m="1" x="3798"/>
        <item m="1" x="3890"/>
        <item m="1" x="3983"/>
        <item m="1" x="4071"/>
        <item m="1" x="4168"/>
        <item m="1" x="4257"/>
        <item m="1" x="4353"/>
        <item m="1" x="4444"/>
        <item m="1" x="4544"/>
        <item m="1" x="4634"/>
        <item m="1" x="4723"/>
        <item m="1" x="4816"/>
        <item m="1" x="4916"/>
        <item m="1" x="5010"/>
        <item m="1" x="5106"/>
        <item m="1" x="5195"/>
        <item m="1" x="5294"/>
        <item m="1" x="5382"/>
        <item m="1" x="5472"/>
        <item m="1" x="5567"/>
        <item m="1" x="5661"/>
        <item m="1" x="5753"/>
        <item m="1" x="5847"/>
        <item m="1" x="5935"/>
        <item m="1" x="6034"/>
        <item m="1" x="6122"/>
        <item m="1" x="6216"/>
        <item m="1" x="6311"/>
        <item m="1" x="6407"/>
        <item m="1" x="6495"/>
        <item m="1" x="6587"/>
        <item m="1" x="6678"/>
        <item m="1" x="6773"/>
        <item m="1" x="6862"/>
        <item m="1" x="6957"/>
        <item m="1" x="7048"/>
        <item m="1" x="7143"/>
        <item m="1" x="7231"/>
        <item m="1" x="7331"/>
        <item m="1" x="7424"/>
        <item m="1" x="7521"/>
        <item m="1" x="7611"/>
        <item m="1" x="7704"/>
        <item m="1" x="7795"/>
        <item m="1" x="7892"/>
        <item m="1" x="7980"/>
        <item m="1" x="80"/>
        <item m="1" x="167"/>
        <item m="1" x="266"/>
        <item m="1" x="5392"/>
        <item m="1" x="5481"/>
        <item m="1" x="5580"/>
        <item m="1" x="5671"/>
        <item m="1" x="5764"/>
        <item m="1" x="5856"/>
        <item m="1" x="5948"/>
        <item m="1" x="6040"/>
        <item m="1" x="6133"/>
        <item m="1" x="6226"/>
        <item m="1" x="6326"/>
        <item m="1" x="6414"/>
        <item m="1" x="6506"/>
        <item m="1" x="6597"/>
        <item m="1" x="6693"/>
        <item m="1" x="6782"/>
        <item m="1" x="6872"/>
        <item m="1" x="6966"/>
        <item m="1" x="7061"/>
        <item m="1" x="7150"/>
        <item m="1" x="7244"/>
        <item m="1" x="7339"/>
        <item m="1" x="7438"/>
        <item m="1" x="7527"/>
        <item m="1" x="7622"/>
        <item m="1" x="7716"/>
        <item m="1" x="7807"/>
        <item m="1" x="7899"/>
        <item m="1" x="7991"/>
        <item m="1" x="89"/>
        <item m="1" x="183"/>
        <item m="1" x="272"/>
        <item m="1" x="366"/>
        <item m="1" x="459"/>
        <item m="1" x="558"/>
        <item m="1" x="648"/>
        <item m="1" x="744"/>
        <item m="1" x="842"/>
        <item m="1" x="936"/>
        <item m="1" x="1026"/>
        <item m="1" x="1122"/>
        <item m="1" x="1216"/>
        <item m="1" x="1313"/>
        <item m="1" x="1400"/>
        <item m="1" x="1497"/>
        <item m="1" x="1589"/>
        <item m="1" x="1682"/>
        <item m="1" x="1770"/>
        <item m="1" x="1864"/>
        <item m="1" x="1961"/>
        <item m="1" x="2057"/>
        <item m="1" x="2149"/>
        <item m="1" x="2243"/>
        <item m="1" x="2334"/>
        <item m="1" x="2426"/>
        <item m="1" x="2514"/>
        <item m="1" x="2612"/>
        <item m="1" x="2704"/>
        <item m="1" x="2796"/>
        <item m="1" x="2881"/>
        <item m="1" x="2975"/>
        <item m="1" x="3070"/>
        <item m="1" x="3160"/>
        <item m="1" x="3250"/>
        <item m="1" x="3346"/>
        <item m="1" x="3435"/>
        <item m="1" x="3529"/>
        <item m="1" x="3622"/>
        <item m="1" x="3715"/>
        <item m="1" x="3812"/>
        <item m="1" x="3902"/>
        <item m="1" x="3994"/>
        <item m="1" x="4088"/>
        <item m="1" x="4181"/>
        <item m="1" x="4274"/>
        <item m="1" x="4364"/>
        <item m="1" x="4459"/>
        <item m="1" x="4555"/>
        <item m="1" x="4647"/>
        <item m="1" x="4735"/>
        <item m="1" x="4831"/>
        <item m="1" x="4928"/>
        <item m="1" x="5024"/>
        <item m="1" x="5117"/>
        <item m="1" x="5215"/>
        <item m="1" x="5303"/>
        <item m="1" x="5395"/>
        <item m="1" x="5484"/>
        <item m="1" x="5585"/>
        <item m="1" x="5676"/>
        <item m="1" x="5768"/>
        <item m="1" x="5859"/>
        <item m="1" x="5951"/>
        <item m="1" x="6045"/>
        <item m="1" x="6138"/>
        <item m="1" x="6229"/>
        <item m="1" x="6329"/>
        <item m="1" x="6418"/>
        <item m="1" x="6511"/>
        <item m="1" x="6603"/>
        <item m="1" x="6696"/>
        <item m="1" x="6786"/>
        <item m="1" x="6876"/>
        <item m="1" x="6969"/>
        <item m="1" x="7067"/>
        <item m="1" x="7154"/>
        <item m="1" x="7249"/>
        <item m="1" x="7342"/>
        <item m="1" x="7441"/>
        <item m="1" x="7532"/>
        <item m="1" x="7626"/>
        <item m="1" x="7719"/>
        <item m="1" x="7810"/>
        <item m="1" x="7903"/>
        <item m="1" x="7996"/>
        <item m="1" x="92"/>
        <item m="1" x="186"/>
        <item m="1" x="276"/>
        <item m="1" x="370"/>
        <item m="1" x="462"/>
        <item m="1" x="562"/>
        <item m="1" x="653"/>
        <item m="1" x="749"/>
        <item m="1" x="845"/>
        <item m="1" x="939"/>
        <item m="1" x="1031"/>
        <item m="1" x="1127"/>
        <item m="1" x="1219"/>
        <item m="1" x="1316"/>
        <item m="1" x="1404"/>
        <item m="1" x="1502"/>
        <item m="1" x="1594"/>
        <item m="1" x="1684"/>
        <item m="1" x="1773"/>
        <item m="1" x="1867"/>
        <item m="1" x="1963"/>
        <item m="1" x="2060"/>
        <item m="1" x="2152"/>
        <item m="1" x="2248"/>
        <item m="1" x="2336"/>
        <item m="1" x="2428"/>
        <item m="1" x="2519"/>
        <item m="1" x="2615"/>
        <item m="1" x="2706"/>
        <item m="1" x="2798"/>
        <item m="1" x="2884"/>
        <item m="1" x="2979"/>
        <item m="1" x="3072"/>
        <item m="1" x="3162"/>
        <item m="1" x="3254"/>
        <item m="1" x="3349"/>
        <item m="1" x="3437"/>
        <item m="1" x="3533"/>
        <item m="1" x="3627"/>
        <item m="1" x="3720"/>
        <item m="1" x="3814"/>
        <item m="1" x="3904"/>
        <item m="1" x="4000"/>
        <item m="1" x="4093"/>
        <item m="1" x="4183"/>
        <item m="1" x="4276"/>
        <item m="1" x="4367"/>
        <item m="1" x="4463"/>
        <item m="1" x="4559"/>
        <item m="1" x="4649"/>
        <item m="1" x="4739"/>
        <item m="1" x="4834"/>
        <item m="1" x="4930"/>
        <item m="1" x="5027"/>
        <item m="1" x="5120"/>
        <item m="1" x="5219"/>
        <item m="1" x="5305"/>
        <item m="1" x="5397"/>
        <item m="1" x="5490"/>
        <item m="1" x="5588"/>
        <item m="1" x="5678"/>
        <item m="1" x="5770"/>
        <item m="1" x="5862"/>
        <item m="1" x="5954"/>
        <item m="1" x="6047"/>
        <item m="1" x="6139"/>
        <item m="1" x="6233"/>
        <item m="1" x="6331"/>
        <item m="1" x="6420"/>
        <item m="1" x="6513"/>
        <item m="1" x="6607"/>
        <item m="1" x="6698"/>
        <item m="1" x="6788"/>
        <item m="1" x="6877"/>
        <item m="1" x="6975"/>
        <item m="1" x="7070"/>
        <item m="1" x="7156"/>
        <item m="1" x="7251"/>
        <item m="1" x="7345"/>
        <item m="1" x="7443"/>
        <item m="1" x="7536"/>
        <item m="1" x="7627"/>
        <item m="1" x="7723"/>
        <item m="1" x="7813"/>
        <item m="1" x="7906"/>
        <item m="1" x="2"/>
        <item m="1" x="96"/>
        <item m="1" x="189"/>
        <item m="1" x="279"/>
        <item m="1" x="372"/>
        <item m="1" x="470"/>
        <item m="1" x="565"/>
        <item m="1" x="657"/>
        <item m="1" x="752"/>
        <item m="1" x="850"/>
        <item m="1" x="942"/>
        <item m="1" x="1035"/>
        <item m="1" x="1129"/>
        <item m="1" x="1225"/>
        <item m="1" x="1319"/>
        <item m="1" x="1408"/>
        <item m="1" x="1506"/>
        <item m="1" x="1600"/>
        <item m="1" x="1687"/>
        <item m="1" x="1777"/>
        <item m="1" x="1869"/>
        <item m="1" x="1972"/>
        <item m="1" x="2066"/>
        <item m="1" x="2156"/>
        <item m="1" x="2251"/>
        <item m="1" x="2340"/>
        <item m="1" x="2431"/>
        <item m="1" x="2525"/>
        <item m="1" x="2617"/>
        <item m="1" x="2711"/>
        <item m="1" x="2801"/>
        <item m="1" x="2888"/>
        <item m="1" x="2984"/>
        <item m="1" x="3076"/>
        <item m="1" x="3165"/>
        <item m="1" x="3258"/>
        <item m="1" x="3351"/>
        <item m="1" x="3443"/>
        <item m="1" x="3536"/>
        <item m="1" x="3631"/>
        <item m="1" x="3723"/>
        <item m="1" x="3818"/>
        <item m="1" x="3907"/>
        <item m="1" x="1142"/>
        <item m="1" x="1232"/>
        <item m="1" x="1330"/>
        <item m="1" x="1422"/>
        <item m="1" x="1519"/>
        <item m="1" x="1608"/>
        <item m="1" x="1698"/>
        <item m="1" x="1787"/>
        <item m="1" x="1887"/>
        <item m="1" x="1979"/>
        <item m="1" x="2076"/>
        <item m="1" x="2166"/>
        <item m="1" x="2264"/>
        <item m="1" x="2351"/>
        <item m="1" x="2443"/>
        <item m="1" x="2535"/>
        <item m="1" x="2631"/>
        <item m="1" x="2718"/>
        <item m="1" x="2812"/>
        <item m="1" x="2899"/>
        <item m="1" x="2997"/>
        <item m="1" x="3084"/>
        <item m="1" x="3176"/>
        <item m="1" x="3268"/>
        <item m="1" x="3365"/>
        <item m="1" x="3453"/>
        <item m="1" x="3546"/>
        <item m="1" x="3641"/>
        <item m="1" x="3735"/>
        <item m="1" x="3826"/>
        <item m="1" x="3921"/>
        <item m="1" x="4012"/>
        <item m="1" x="4106"/>
        <item m="1" x="4194"/>
        <item m="1" x="4292"/>
        <item m="1" x="4383"/>
        <item m="1" x="4480"/>
        <item m="1" x="4570"/>
        <item m="1" x="4663"/>
        <item m="1" x="4753"/>
        <item m="1" x="4852"/>
        <item m="1" x="4943"/>
        <item m="1" x="5044"/>
        <item m="1" x="5134"/>
        <item m="1" x="5233"/>
        <item m="1" x="5318"/>
        <item m="1" x="5412"/>
        <item m="1" x="5506"/>
        <item m="1" x="5600"/>
        <item m="1" x="5690"/>
        <item m="1" x="5788"/>
        <item m="1" x="5877"/>
        <item m="1" x="5971"/>
        <item m="1" x="6059"/>
        <item m="1" x="6154"/>
        <item m="1" x="6247"/>
        <item m="1" x="6344"/>
        <item m="1" x="6434"/>
        <item m="1" x="6527"/>
        <item m="1" x="6621"/>
        <item m="1" x="6712"/>
        <item m="1" x="6800"/>
        <item m="1" x="6896"/>
        <item m="1" x="6988"/>
        <item m="1" x="7082"/>
        <item m="1" x="7167"/>
        <item m="1" x="7268"/>
        <item m="1" x="7361"/>
        <item m="1" x="7457"/>
        <item m="1" x="7548"/>
        <item m="1" x="7642"/>
        <item m="1" x="7736"/>
        <item m="1" x="7829"/>
        <item m="1" x="7919"/>
        <item m="1" x="20"/>
        <item m="1" x="109"/>
        <item m="1" x="203"/>
        <item m="1" x="293"/>
        <item m="1" x="388"/>
        <item m="1" x="483"/>
        <item m="1" x="577"/>
        <item m="1" x="668"/>
        <item m="1" x="770"/>
        <item m="1" x="863"/>
        <item m="1" x="958"/>
        <item m="1" x="1046"/>
        <item m="1" x="1145"/>
        <item m="1" x="1237"/>
        <item m="1" x="1333"/>
        <item m="1" x="1425"/>
        <item m="1" x="1522"/>
        <item m="1" x="1612"/>
        <item m="1" x="1702"/>
        <item m="1" x="1790"/>
        <item m="1" x="1890"/>
        <item m="1" x="1983"/>
        <item m="1" x="2080"/>
        <item m="1" x="2169"/>
        <item m="1" x="2269"/>
        <item m="1" x="2355"/>
        <item m="1" x="2448"/>
        <item m="1" x="2538"/>
        <item m="1" x="2634"/>
        <item m="1" x="2723"/>
        <item m="1" x="2816"/>
        <item m="1" x="2902"/>
        <item m="1" x="3000"/>
        <item m="1" x="3088"/>
        <item m="1" x="3181"/>
        <item m="1" x="3274"/>
        <item m="1" x="3368"/>
        <item m="1" x="3457"/>
        <item m="1" x="3550"/>
        <item m="1" x="3644"/>
        <item m="1" x="3741"/>
        <item m="1" x="3830"/>
        <item m="1" x="3926"/>
        <item m="1" x="4015"/>
        <item m="1" x="4109"/>
        <item m="1" x="4199"/>
        <item m="1" x="4296"/>
        <item m="1" x="4386"/>
        <item m="1" x="4483"/>
        <item m="1" x="4574"/>
        <item m="1" x="4668"/>
        <item m="1" x="4756"/>
        <item m="1" x="4856"/>
        <item m="1" x="4947"/>
        <item m="1" x="5048"/>
        <item m="1" x="5137"/>
        <item m="1" x="5236"/>
        <item m="1" x="5322"/>
        <item m="1" x="5416"/>
        <item m="1" x="5508"/>
        <item m="1" x="5602"/>
        <item m="1" x="5694"/>
        <item m="1" x="5792"/>
        <item m="1" x="5879"/>
        <item m="1" x="5973"/>
        <item m="1" x="6062"/>
        <item m="1" x="6158"/>
        <item m="1" x="6252"/>
        <item m="1" x="6346"/>
        <item m="1" x="6438"/>
        <item m="1" x="6530"/>
        <item m="1" x="6623"/>
        <item m="1" x="6715"/>
        <item m="1" x="6803"/>
        <item m="1" x="6900"/>
        <item m="1" x="6990"/>
        <item m="1" x="7084"/>
        <item m="1" x="7174"/>
        <item m="1" x="7272"/>
        <item m="1" x="7364"/>
        <item m="1" x="7460"/>
        <item m="1" x="7552"/>
        <item m="1" x="7646"/>
        <item m="1" x="7738"/>
        <item m="1" x="7831"/>
        <item m="1" x="7923"/>
        <item m="1" x="23"/>
        <item m="1" x="111"/>
        <item m="1" x="206"/>
        <item m="1" x="297"/>
        <item m="1" x="392"/>
        <item m="1" x="485"/>
        <item m="1" x="579"/>
        <item m="1" x="674"/>
        <item m="1" x="774"/>
        <item m="1" x="865"/>
        <item m="1" x="960"/>
        <item m="1" x="1049"/>
        <item m="1" x="1149"/>
        <item m="1" x="1241"/>
        <item m="1" x="1335"/>
        <item m="1" x="1429"/>
        <item m="1" x="1525"/>
        <item m="1" x="1614"/>
        <item m="1" x="1704"/>
        <item m="1" x="1793"/>
        <item m="1" x="1893"/>
        <item m="1" x="1985"/>
        <item m="1" x="2081"/>
        <item m="1" x="2175"/>
        <item m="1" x="2271"/>
        <item m="1" x="2357"/>
        <item m="1" x="2450"/>
        <item m="1" x="2542"/>
        <item m="1" x="2636"/>
        <item m="1" x="2725"/>
        <item m="1" x="2818"/>
        <item m="1" x="2906"/>
        <item m="1" x="3002"/>
        <item m="1" x="3090"/>
        <item m="1" x="3184"/>
        <item m="1" x="3279"/>
        <item m="1" x="3370"/>
        <item m="1" x="3459"/>
        <item m="1" x="3552"/>
        <item m="1" x="3651"/>
        <item m="1" x="3746"/>
        <item m="1" x="3833"/>
        <item m="1" x="3929"/>
        <item m="1" x="4020"/>
        <item m="1" x="4112"/>
        <item m="1" x="4204"/>
        <item m="1" x="4298"/>
        <item m="1" x="4392"/>
        <item m="1" x="4486"/>
        <item m="1" x="4578"/>
        <item m="1" x="4673"/>
        <item m="1" x="4762"/>
        <item m="1" x="4859"/>
        <item m="1" x="4951"/>
        <item m="1" x="5050"/>
        <item m="1" x="5145"/>
        <item m="1" x="5239"/>
        <item m="1" x="5326"/>
        <item m="1" x="5419"/>
        <item m="1" x="5514"/>
        <item m="1" x="5605"/>
        <item m="1" x="5698"/>
        <item m="1" x="5794"/>
        <item m="1" x="5884"/>
        <item m="1" x="5976"/>
        <item m="1" x="6066"/>
        <item m="1" x="6162"/>
        <item m="1" x="6258"/>
        <item m="1" x="6349"/>
        <item m="1" x="6442"/>
        <item m="1" x="6532"/>
        <item m="1" x="6629"/>
        <item m="1" x="6719"/>
        <item m="1" x="6807"/>
        <item m="1" x="6903"/>
        <item m="1" x="6995"/>
        <item m="1" x="7087"/>
        <item m="1" x="7180"/>
        <item m="1" x="7274"/>
        <item m="1" x="7369"/>
        <item m="1" x="7463"/>
        <item m="1" x="7556"/>
        <item m="1" x="7651"/>
        <item m="1" x="4770"/>
        <item m="1" x="4870"/>
        <item m="1" x="4962"/>
        <item m="1" x="5064"/>
        <item m="1" x="5155"/>
        <item m="1" x="5249"/>
        <item m="1" x="5336"/>
        <item m="1" x="5432"/>
        <item m="1" x="5522"/>
        <item m="1" x="5618"/>
        <item m="1" x="5708"/>
        <item m="1" x="5807"/>
        <item m="1" x="5891"/>
        <item m="1" x="5988"/>
        <item m="1" x="6081"/>
        <item m="1" x="6176"/>
        <item m="1" x="6267"/>
        <item m="1" x="6361"/>
        <item m="1" x="6453"/>
        <item m="1" x="6549"/>
        <item m="1" x="6636"/>
        <item m="1" x="6729"/>
        <item m="1" x="6817"/>
        <item m="1" x="6916"/>
        <item m="1" x="7005"/>
        <item m="1" x="7098"/>
        <item m="1" x="7190"/>
        <item m="1" x="7286"/>
        <item m="1" x="7376"/>
        <item m="1" x="7476"/>
        <item m="1" x="7567"/>
        <item m="1" x="7666"/>
        <item m="1" x="7750"/>
        <item m="1" x="7846"/>
        <item m="1" x="7937"/>
        <item m="1" x="38"/>
        <item m="1" x="125"/>
        <item m="1" x="220"/>
        <item m="1" x="310"/>
        <item m="1" x="407"/>
        <item m="1" x="498"/>
        <item m="1" x="597"/>
        <item m="1" x="688"/>
        <item m="1" x="788"/>
        <item m="1" x="876"/>
        <item m="1" x="977"/>
        <item m="1" x="1067"/>
        <item m="1" x="1164"/>
        <item m="1" x="1255"/>
        <item m="1" x="1350"/>
        <item m="1" x="1444"/>
        <item m="1" x="1541"/>
        <item m="1" x="1627"/>
        <item m="1" x="1721"/>
        <item m="1" x="1807"/>
        <item m="1" x="1907"/>
        <item m="1" x="2000"/>
        <item m="1" x="2097"/>
        <item m="1" x="2191"/>
        <item m="1" x="2282"/>
        <item m="1" x="2369"/>
        <item m="1" x="2468"/>
        <item m="1" x="2557"/>
        <item m="1" x="2652"/>
        <item m="1" x="2738"/>
        <item m="1" x="2833"/>
        <item m="1" x="2920"/>
        <item m="1" x="3015"/>
        <item m="1" x="3105"/>
        <item m="1" x="3199"/>
        <item m="1" x="3292"/>
        <item m="1" x="3384"/>
        <item m="1" x="3472"/>
        <item m="1" x="3571"/>
        <item m="1" x="3663"/>
        <item m="1" x="3758"/>
        <item m="1" x="3845"/>
        <item m="1" x="3946"/>
        <item m="1" x="4035"/>
        <item m="1" x="4126"/>
        <item m="1" x="4217"/>
        <item m="1" x="4313"/>
        <item m="1" x="4404"/>
        <item m="1" x="4501"/>
        <item m="1" x="4590"/>
        <item m="1" x="4689"/>
        <item m="1" x="4774"/>
        <item m="1" x="4874"/>
        <item m="1" x="4968"/>
        <item m="1" x="5067"/>
        <item m="1" x="5159"/>
        <item m="1" x="5252"/>
        <item m="1" x="5339"/>
        <item m="1" x="5438"/>
        <item m="1" x="5526"/>
        <item m="1" x="5623"/>
        <item m="1" x="5711"/>
        <item m="1" x="5810"/>
        <item m="1" x="5896"/>
        <item m="1" x="5992"/>
        <item m="1" x="6084"/>
        <item m="1" x="6179"/>
        <item m="1" x="6271"/>
        <item m="1" x="6366"/>
        <item m="1" x="6456"/>
        <item m="1" x="6552"/>
        <item m="1" x="6640"/>
        <item m="1" x="6733"/>
        <item m="1" x="6820"/>
        <item m="1" x="6921"/>
        <item m="1" x="7009"/>
        <item m="1" x="7103"/>
        <item m="1" x="7193"/>
        <item m="1" x="7289"/>
        <item m="1" x="7381"/>
        <item m="1" x="7481"/>
        <item m="1" x="7570"/>
        <item m="1" x="7669"/>
        <item m="1" x="7754"/>
        <item m="1" x="7851"/>
        <item m="1" x="7942"/>
        <item m="1" x="41"/>
        <item m="1" x="129"/>
        <item m="1" x="224"/>
        <item m="1" x="313"/>
        <item m="1" x="412"/>
        <item m="1" x="502"/>
        <item m="1" x="602"/>
        <item m="1" x="691"/>
        <item m="1" x="791"/>
        <item m="1" x="881"/>
        <item m="1" x="980"/>
        <item m="1" x="1069"/>
        <item m="1" x="1166"/>
        <item m="1" x="1258"/>
        <item m="1" x="1354"/>
        <item m="1" x="1446"/>
        <item m="1" x="1543"/>
        <item m="1" x="1630"/>
        <item m="1" x="1724"/>
        <item m="1" x="1809"/>
        <item m="1" x="1910"/>
        <item m="1" x="2004"/>
        <item m="1" x="2101"/>
        <item m="1" x="2193"/>
        <item m="1" x="2284"/>
        <item m="1" x="2374"/>
        <item m="1" x="2472"/>
        <item m="1" x="2559"/>
        <item m="1" x="2654"/>
        <item m="1" x="2742"/>
        <item m="1" x="2837"/>
        <item m="1" x="2925"/>
        <item m="1" x="3017"/>
        <item m="1" x="3109"/>
        <item m="1" x="3202"/>
        <item m="1" x="3294"/>
        <item m="1" x="3387"/>
        <item m="1" x="3476"/>
        <item m="1" x="3575"/>
        <item m="1" x="3665"/>
        <item m="1" x="3760"/>
        <item m="1" x="3851"/>
        <item m="1" x="3949"/>
        <item m="1" x="4037"/>
        <item m="1" x="4128"/>
        <item m="1" x="4221"/>
        <item m="1" x="4317"/>
        <item m="1" x="4406"/>
        <item m="1" x="4504"/>
        <item m="1" x="4594"/>
        <item m="1" x="4692"/>
        <item m="1" x="4776"/>
        <item m="1" x="4877"/>
        <item m="1" x="4973"/>
        <item m="1" x="5071"/>
        <item m="1" x="5161"/>
        <item m="1" x="5253"/>
        <item m="1" x="5345"/>
        <item m="1" x="5441"/>
        <item m="1" x="5528"/>
        <item m="1" x="5624"/>
        <item m="1" x="5715"/>
        <item m="1" x="5813"/>
        <item m="1" x="5900"/>
        <item m="1" x="5993"/>
        <item m="1" x="6088"/>
        <item m="1" x="6181"/>
        <item m="1" x="6273"/>
        <item m="1" x="6369"/>
        <item m="1" x="6460"/>
        <item m="1" x="6554"/>
        <item m="1" x="6642"/>
        <item m="1" x="6734"/>
        <item m="1" x="6826"/>
        <item m="1" x="6923"/>
        <item m="1" x="7012"/>
        <item m="1" x="7105"/>
        <item m="1" x="7198"/>
        <item m="1" x="7292"/>
        <item m="1" x="7384"/>
        <item m="1" x="7483"/>
        <item m="1" x="7575"/>
        <item m="1" x="7672"/>
        <item m="1" x="7757"/>
        <item m="1" x="7855"/>
        <item m="1" x="7949"/>
        <item m="1" x="44"/>
        <item m="1" x="133"/>
        <item m="1" x="226"/>
        <item m="1" x="321"/>
        <item m="1" x="416"/>
        <item m="1" x="506"/>
        <item m="1" x="605"/>
        <item m="1" x="697"/>
        <item m="1" x="794"/>
        <item m="1" x="887"/>
        <item m="1" x="982"/>
        <item m="1" x="1076"/>
        <item m="1" x="1170"/>
        <item m="1" x="1262"/>
        <item m="1" x="1359"/>
        <item m="1" x="1452"/>
        <item m="1" x="1546"/>
        <item m="1" x="1634"/>
        <item m="1" x="1726"/>
        <item m="1" x="1816"/>
        <item m="1" x="1913"/>
        <item m="1" x="2008"/>
        <item m="1" x="2104"/>
        <item m="1" x="2198"/>
        <item m="1" x="2287"/>
        <item m="1" x="2378"/>
        <item m="1" x="2474"/>
        <item m="1" x="2564"/>
        <item m="1" x="2657"/>
        <item m="1" x="2746"/>
        <item m="1" x="2841"/>
        <item m="1" x="2931"/>
        <item m="1" x="3020"/>
        <item m="1" x="3113"/>
        <item m="1" x="3204"/>
        <item m="1" x="3300"/>
        <item m="1" x="427"/>
        <item m="1" x="515"/>
        <item m="1" x="618"/>
        <item m="1" x="708"/>
        <item m="1" x="805"/>
        <item m="1" x="899"/>
        <item m="1" x="995"/>
        <item m="1" x="1083"/>
        <item m="1" x="1182"/>
        <item m="1" x="1273"/>
        <item m="1" x="1374"/>
        <item m="1" x="1460"/>
        <item m="1" x="1557"/>
        <item m="1" x="1645"/>
        <item m="1" x="1740"/>
        <item m="1" x="1827"/>
        <item m="1" x="1924"/>
        <item m="1" x="2019"/>
        <item m="1" x="2117"/>
        <item m="1" x="2206"/>
        <item m="1" x="2299"/>
        <item m="1" x="2389"/>
        <item m="1" x="2487"/>
        <item m="1" x="2571"/>
        <item m="1" x="2668"/>
        <item m="1" x="2760"/>
        <item m="1" x="2853"/>
        <item m="1" x="2939"/>
        <item m="1" x="3031"/>
        <item m="1" x="3124"/>
        <item m="1" x="3220"/>
        <item m="1" x="3307"/>
        <item m="1" x="3402"/>
        <item m="1" x="3490"/>
        <item m="1" x="3591"/>
        <item m="1" x="3679"/>
        <item m="1" x="3774"/>
        <item m="1" x="3867"/>
        <item m="1" x="3963"/>
        <item m="1" x="4048"/>
        <item m="1" x="4145"/>
        <item m="1" x="4235"/>
        <item m="1" x="4334"/>
        <item m="1" x="4419"/>
        <item m="1" x="4520"/>
        <item m="1" x="4608"/>
        <item m="1" x="4705"/>
        <item m="1" x="4791"/>
        <item m="1" x="4892"/>
        <item m="1" x="4987"/>
        <item m="1" x="5085"/>
        <item m="1" x="5174"/>
        <item m="1" x="5270"/>
        <item m="1" x="5360"/>
        <item m="1" x="5453"/>
        <item m="1" x="5540"/>
        <item m="1" x="5641"/>
        <item m="1" x="5733"/>
        <item m="1" x="5827"/>
        <item m="1" x="5913"/>
        <item m="1" x="6008"/>
        <item m="1" x="6103"/>
        <item m="1" x="6197"/>
        <item m="1" x="6286"/>
        <item m="1" x="6386"/>
        <item m="1" x="6474"/>
        <item m="1" x="6568"/>
        <item m="1" x="6657"/>
        <item m="1" x="6750"/>
        <item m="1" x="6842"/>
        <item m="1" x="6935"/>
        <item m="1" x="7024"/>
        <item m="1" x="7123"/>
        <item m="1" x="7212"/>
        <item m="1" x="7309"/>
        <item m="1" x="7398"/>
        <item m="1" x="7498"/>
        <item m="1" x="7588"/>
        <item m="1" x="7685"/>
        <item m="1" x="7771"/>
        <item m="1" x="7870"/>
        <item m="1" x="7961"/>
        <item m="1" x="58"/>
        <item m="1" x="146"/>
        <item m="1" x="245"/>
        <item m="1" x="333"/>
        <item m="1" x="430"/>
        <item m="1" x="518"/>
        <item m="1" x="623"/>
        <item m="1" x="714"/>
        <item m="1" x="809"/>
        <item m="1" x="902"/>
        <item m="1" x="998"/>
        <item m="1" x="1088"/>
        <item m="1" x="1187"/>
        <item m="1" x="1276"/>
        <item m="1" x="1377"/>
        <item m="1" x="1464"/>
        <item m="1" x="1562"/>
        <item m="1" x="1651"/>
        <item m="1" x="1743"/>
        <item m="1" x="1832"/>
        <item m="1" x="1928"/>
        <item m="1" x="2022"/>
        <item m="1" x="2123"/>
        <item m="1" x="2210"/>
        <item m="1" x="2304"/>
        <item m="1" x="2392"/>
        <item m="1" x="2490"/>
        <item m="1" x="2576"/>
        <item m="1" x="2672"/>
        <item m="1" x="2763"/>
        <item m="1" x="2856"/>
        <item m="1" x="2943"/>
        <item m="1" x="3036"/>
        <item m="1" x="3127"/>
        <item m="1" x="3223"/>
        <item m="1" x="3312"/>
        <item m="1" x="3406"/>
        <item m="1" x="3493"/>
        <item m="1" x="3595"/>
        <item m="1" x="3683"/>
        <item m="1" x="3779"/>
        <item m="1" x="3870"/>
        <item m="1" x="3966"/>
        <item m="1" x="4053"/>
        <item m="1" x="4150"/>
        <item m="1" x="4238"/>
        <item m="1" x="4337"/>
        <item m="1" x="4423"/>
        <item m="1" x="4525"/>
        <item m="1" x="4613"/>
        <item m="1" x="4707"/>
        <item m="1" x="4795"/>
        <item m="1" x="4895"/>
        <item m="1" x="4989"/>
        <item m="1" x="5088"/>
        <item m="1" x="5177"/>
        <item m="1" x="5274"/>
        <item m="1" x="5362"/>
        <item m="1" x="5455"/>
        <item m="1" x="5545"/>
        <item m="1" x="5644"/>
        <item m="1" x="5735"/>
        <item m="1" x="5829"/>
        <item m="1" x="5917"/>
        <item m="1" x="6012"/>
        <item m="1" x="6105"/>
        <item m="1" x="6199"/>
        <item m="1" x="6291"/>
        <item m="1" x="6389"/>
        <item m="1" x="6476"/>
        <item m="1" x="6571"/>
        <item m="1" x="6661"/>
        <item m="1" x="6754"/>
        <item m="1" x="6844"/>
        <item m="1" x="6937"/>
        <item m="1" x="7030"/>
        <item m="1" x="7128"/>
        <item m="1" x="7214"/>
        <item m="1" x="7311"/>
        <item m="1" x="7402"/>
        <item m="1" x="7502"/>
        <item m="1" x="7592"/>
        <item m="1" x="7687"/>
        <item m="1" x="7776"/>
        <item m="1" x="7873"/>
        <item m="1" x="7963"/>
        <item m="1" x="61"/>
        <item m="1" x="150"/>
        <item m="1" x="249"/>
        <item m="1" x="335"/>
        <item m="1" x="432"/>
        <item m="1" x="524"/>
        <item m="1" x="626"/>
        <item m="1" x="716"/>
        <item m="1" x="811"/>
        <item m="1" x="906"/>
        <item m="1" x="1001"/>
        <item m="1" x="1090"/>
        <item m="1" x="1188"/>
        <item m="1" x="1281"/>
        <item m="1" x="1379"/>
        <item m="1" x="1466"/>
        <item m="1" x="1564"/>
        <item m="1" x="1655"/>
        <item m="1" x="1745"/>
        <item m="1" x="1834"/>
        <item m="1" x="1929"/>
        <item m="1" x="2028"/>
        <item m="1" x="2127"/>
        <item m="1" x="2212"/>
        <item m="1" x="2306"/>
        <item m="1" x="2396"/>
        <item m="1" x="2492"/>
        <item m="1" x="2580"/>
        <item m="1" x="2673"/>
        <item m="1" x="2768"/>
        <item m="1" x="2858"/>
        <item m="1" x="2946"/>
        <item m="1" x="3041"/>
        <item m="1" x="3132"/>
        <item m="1" x="3227"/>
        <item m="1" x="3315"/>
        <item m="1" x="3408"/>
        <item m="1" x="3500"/>
        <item m="1" x="3598"/>
        <item m="1" x="3687"/>
        <item m="1" x="3782"/>
        <item m="1" x="3876"/>
        <item m="1" x="3969"/>
        <item m="1" x="4057"/>
        <item m="1" x="4153"/>
        <item m="1" x="4245"/>
        <item m="1" x="4340"/>
        <item m="1" x="4427"/>
        <item m="1" x="4529"/>
        <item m="1" x="4620"/>
        <item m="1" x="4710"/>
        <item m="1" x="4800"/>
        <item m="1" x="4898"/>
        <item m="1" x="4998"/>
        <item m="1" x="5093"/>
        <item m="1" x="5181"/>
        <item m="1" x="5277"/>
        <item m="1" x="5367"/>
        <item m="1" x="5458"/>
        <item m="1" x="5551"/>
        <item m="1" x="5646"/>
        <item m="1" x="5741"/>
        <item m="1" x="5832"/>
        <item m="1" x="5921"/>
        <item m="1" x="6017"/>
        <item m="1" x="6110"/>
        <item m="1" x="6202"/>
        <item m="1" x="6295"/>
        <item m="1" x="6391"/>
        <item m="1" x="6482"/>
        <item m="1" x="6574"/>
        <item m="1" x="6665"/>
        <item m="1" x="6757"/>
        <item m="1" x="6849"/>
        <item m="1" x="6940"/>
        <item m="1" x="7034"/>
        <item m="1" x="4166"/>
        <item m="1" x="4255"/>
        <item m="1" x="4351"/>
        <item m="1" x="4443"/>
        <item m="1" x="4542"/>
        <item m="1" x="4632"/>
        <item m="1" x="4721"/>
        <item m="1" x="4814"/>
        <item m="1" x="4914"/>
        <item m="1" x="5008"/>
        <item m="1" x="5103"/>
        <item m="1" x="5194"/>
        <item m="1" x="5290"/>
        <item m="1" x="5380"/>
        <item m="1" x="5469"/>
        <item m="1" x="5566"/>
        <item m="1" x="5659"/>
        <item m="1" x="5751"/>
        <item m="1" x="5843"/>
        <item m="1" x="5934"/>
        <item m="1" x="6032"/>
        <item m="1" x="6120"/>
        <item m="1" x="6213"/>
        <item m="1" x="6308"/>
        <item m="1" x="6405"/>
        <item m="1" x="6493"/>
        <item m="1" x="6584"/>
        <item m="1" x="6677"/>
        <item m="1" x="6769"/>
        <item m="1" x="6860"/>
        <item m="1" x="6954"/>
        <item m="1" x="7047"/>
        <item m="1" x="7141"/>
        <item m="1" x="7229"/>
        <item m="1" x="7328"/>
        <item m="1" x="7423"/>
        <item m="1" x="7519"/>
        <item m="1" x="7609"/>
        <item m="1" x="7701"/>
        <item m="1" x="7793"/>
        <item m="1" x="7890"/>
        <item m="1" x="7978"/>
        <item m="1" x="77"/>
        <item m="1" x="166"/>
        <item m="1" x="263"/>
        <item m="1" x="352"/>
        <item m="1" x="447"/>
        <item m="1" x="545"/>
        <item m="1" x="638"/>
        <item m="1" x="731"/>
        <item m="1" x="829"/>
        <item m="1" x="924"/>
        <item m="1" x="1019"/>
        <item m="1" x="1106"/>
        <item m="1" x="1203"/>
        <item m="1" x="1299"/>
        <item m="1" x="1392"/>
        <item m="1" x="1484"/>
        <item m="1" x="1578"/>
        <item m="1" x="1671"/>
        <item m="1" x="1759"/>
        <item m="1" x="1851"/>
        <item m="1" x="1949"/>
        <item m="1" x="2046"/>
        <item m="1" x="2140"/>
        <item m="1" x="2226"/>
        <item m="1" x="2323"/>
        <item m="1" x="2416"/>
        <item m="1" x="2506"/>
        <item m="1" x="2597"/>
        <item m="1" x="2688"/>
        <item m="1" x="2785"/>
        <item m="1" x="2873"/>
        <item m="1" x="2962"/>
        <item m="1" x="3058"/>
        <item m="1" x="3148"/>
        <item m="1" x="3241"/>
        <item m="1" x="3333"/>
        <item m="1" x="3424"/>
        <item m="1" x="3518"/>
        <item m="1" x="3610"/>
        <item m="1" x="3701"/>
        <item m="1" x="3800"/>
        <item m="1" x="3892"/>
        <item m="1" x="3985"/>
        <item m="1" x="4073"/>
        <item m="1" x="4169"/>
        <item m="1" x="4260"/>
        <item m="1" x="4354"/>
        <item m="1" x="4446"/>
        <item m="1" x="4545"/>
        <item m="1" x="4636"/>
        <item m="1" x="4725"/>
        <item m="1" x="4818"/>
        <item m="1" x="4918"/>
        <item m="1" x="5013"/>
        <item m="1" x="5107"/>
        <item m="1" x="5197"/>
        <item m="1" x="5295"/>
        <item m="1" x="5384"/>
        <item m="1" x="5474"/>
        <item m="1" x="5569"/>
        <item m="1" x="5662"/>
        <item m="1" x="5756"/>
        <item m="1" x="5849"/>
        <item m="1" x="5937"/>
        <item m="1" x="6035"/>
        <item m="1" x="6124"/>
        <item m="1" x="6218"/>
        <item m="1" x="6314"/>
        <item m="1" x="6408"/>
        <item m="1" x="6498"/>
        <item m="1" x="6588"/>
        <item m="1" x="6680"/>
        <item m="1" x="6775"/>
        <item m="1" x="6864"/>
        <item m="1" x="6959"/>
        <item m="1" x="7050"/>
        <item m="1" x="7144"/>
        <item m="1" x="7234"/>
        <item m="1" x="7332"/>
        <item m="1" x="7427"/>
        <item m="1" x="7522"/>
        <item m="1" x="7613"/>
        <item m="1" x="7706"/>
        <item m="1" x="7797"/>
        <item m="1" x="7893"/>
        <item m="1" x="7983"/>
        <item m="1" x="81"/>
        <item m="1" x="169"/>
        <item m="1" x="267"/>
        <item m="1" x="357"/>
        <item m="1" x="451"/>
        <item m="1" x="547"/>
        <item m="1" x="640"/>
        <item m="1" x="735"/>
        <item m="1" x="834"/>
        <item m="1" x="926"/>
        <item m="1" x="1021"/>
        <item m="1" x="1109"/>
        <item m="1" x="1207"/>
        <item m="1" x="1304"/>
        <item m="1" x="1394"/>
        <item m="1" x="1489"/>
        <item m="1" x="1581"/>
        <item m="1" x="1673"/>
        <item m="1" x="1762"/>
        <item m="1" x="1855"/>
        <item m="1" x="1953"/>
        <item m="1" x="2048"/>
        <item m="1" x="2142"/>
        <item m="1" x="2232"/>
        <item m="1" x="2326"/>
        <item m="1" x="2418"/>
        <item m="1" x="2508"/>
        <item m="1" x="2601"/>
        <item m="1" x="2692"/>
        <item m="1" x="2788"/>
        <item m="1" x="2875"/>
        <item m="1" x="2967"/>
        <item m="1" x="3061"/>
        <item m="1" x="3150"/>
        <item m="1" x="3244"/>
        <item m="1" x="3337"/>
        <item m="1" x="3428"/>
        <item m="1" x="3520"/>
        <item m="1" x="3612"/>
        <item m="1" x="3707"/>
        <item m="1" x="3804"/>
        <item m="1" x="3894"/>
        <item m="1" x="3987"/>
        <item m="1" x="4077"/>
        <item m="1" x="4173"/>
        <item m="1" x="4264"/>
        <item m="1" x="4356"/>
        <item m="1" x="4451"/>
        <item m="1" x="4548"/>
        <item m="1" x="4638"/>
        <item m="1" x="4727"/>
        <item m="1" x="4822"/>
        <item m="1" x="4921"/>
        <item m="1" x="5015"/>
        <item m="1" x="5108"/>
        <item m="1" x="5203"/>
        <item m="1" x="5297"/>
        <item m="1" x="5386"/>
        <item m="1" x="5476"/>
        <item m="1" x="5573"/>
        <item m="1" x="5664"/>
        <item m="1" x="5758"/>
        <item m="1" x="5850"/>
        <item m="1" x="5942"/>
        <item m="1" x="6037"/>
        <item m="1" x="6126"/>
        <item m="1" x="6221"/>
        <item m="1" x="6318"/>
        <item m="1" x="6410"/>
        <item m="1" x="6500"/>
        <item m="1" x="6590"/>
        <item m="1" x="6687"/>
        <item m="1" x="6779"/>
        <item m="1" x="6866"/>
        <item m="1" x="6961"/>
        <item m="1" x="7054"/>
        <item m="1" x="7146"/>
        <item m="1" x="7238"/>
        <item m="1" x="7333"/>
        <item m="1" x="7433"/>
        <item m="1" x="7524"/>
        <item m="1" x="7616"/>
        <item m="1" x="7710"/>
        <item m="1" x="7802"/>
        <item m="1" x="7895"/>
        <item m="1" x="7986"/>
        <item m="1" x="82"/>
        <item m="1" x="176"/>
        <item m="1" x="269"/>
        <item m="1" x="360"/>
        <item m="1" x="454"/>
        <item m="1" x="553"/>
        <item m="1" x="643"/>
        <item m="1" x="739"/>
        <item m="1" x="836"/>
        <item m="1" x="932"/>
        <item m="1" x="1023"/>
        <item m="1" x="1112"/>
        <item m="1" x="1210"/>
        <item m="1" x="1308"/>
        <item m="1" x="1396"/>
        <item m="1" x="1492"/>
        <item m="1" x="1582"/>
        <item m="1" x="1678"/>
        <item m="1" x="1766"/>
        <item m="1" x="1858"/>
        <item m="1" x="1955"/>
        <item m="1" x="2052"/>
        <item m="1" x="2144"/>
        <item m="1" x="2237"/>
        <item m="1" x="2327"/>
        <item m="1" x="2422"/>
        <item m="1" x="2510"/>
        <item m="1" x="2604"/>
        <item m="1" x="2696"/>
        <item m="1" x="7811"/>
        <item m="1" x="7904"/>
        <item m="1" x="7998"/>
        <item m="1" x="94"/>
        <item m="1" x="187"/>
        <item m="1" x="277"/>
        <item m="1" x="371"/>
        <item m="1" x="465"/>
        <item m="1" x="563"/>
        <item m="1" x="654"/>
        <item m="1" x="751"/>
        <item m="1" x="847"/>
        <item m="1" x="940"/>
        <item m="1" x="1032"/>
        <item m="1" x="1128"/>
        <item m="1" x="1222"/>
        <item m="1" x="1317"/>
        <item m="1" x="1405"/>
        <item m="1" x="1504"/>
        <item m="1" x="1597"/>
        <item m="1" x="1685"/>
        <item m="1" x="1774"/>
        <item m="1" x="1868"/>
        <item m="1" x="1967"/>
        <item m="1" x="2063"/>
        <item m="1" x="2153"/>
        <item m="1" x="2250"/>
        <item m="1" x="2337"/>
        <item m="1" x="2429"/>
        <item m="1" x="2521"/>
        <item m="1" x="2616"/>
        <item m="1" x="2708"/>
        <item m="1" x="2799"/>
        <item m="1" x="2885"/>
        <item m="1" x="2981"/>
        <item m="1" x="3073"/>
        <item m="1" x="3163"/>
        <item m="1" x="3255"/>
        <item m="1" x="3350"/>
        <item m="1" x="3439"/>
        <item m="1" x="3534"/>
        <item m="1" x="3628"/>
        <item m="1" x="3722"/>
        <item m="1" x="3815"/>
        <item m="1" x="3905"/>
        <item m="1" x="4001"/>
        <item m="1" x="4094"/>
        <item m="1" x="4185"/>
        <item m="1" x="4278"/>
        <item m="1" x="4368"/>
        <item m="1" x="4466"/>
        <item m="1" x="4560"/>
        <item m="1" x="4651"/>
        <item m="1" x="4740"/>
        <item m="1" x="4836"/>
        <item m="1" x="4932"/>
        <item m="1" x="5030"/>
        <item m="1" x="5121"/>
        <item m="1" x="5222"/>
        <item m="1" x="5306"/>
        <item m="1" x="5399"/>
        <item m="1" x="5492"/>
        <item m="1" x="5590"/>
        <item m="1" x="5680"/>
        <item m="1" x="5772"/>
        <item m="1" x="5863"/>
        <item m="1" x="5957"/>
        <item m="1" x="6048"/>
        <item m="1" x="6141"/>
        <item m="1" x="6234"/>
        <item m="1" x="6333"/>
        <item m="1" x="6422"/>
        <item m="1" x="6515"/>
        <item m="1" x="6608"/>
        <item m="1" x="6701"/>
        <item m="1" x="6789"/>
        <item m="1" x="6879"/>
        <item m="1" x="6976"/>
        <item m="1" x="7072"/>
        <item m="1" x="7158"/>
        <item m="1" x="7253"/>
        <item m="1" x="7346"/>
        <item m="1" x="7446"/>
        <item m="1" x="7537"/>
        <item m="1" x="7629"/>
        <item m="1" x="7724"/>
        <item m="1" x="7815"/>
        <item m="1" x="7908"/>
        <item m="1" x="5"/>
        <item m="1" x="97"/>
        <item m="1" x="192"/>
        <item m="1" x="280"/>
        <item m="1" x="374"/>
        <item m="1" x="472"/>
        <item m="1" x="567"/>
        <item m="1" x="659"/>
        <item m="1" x="754"/>
        <item m="1" x="851"/>
        <item m="1" x="945"/>
        <item m="1" x="1036"/>
        <item m="1" x="1131"/>
        <item m="1" x="1226"/>
        <item m="1" x="1321"/>
        <item m="1" x="1410"/>
        <item m="1" x="1508"/>
        <item m="1" x="1601"/>
        <item m="1" x="1690"/>
        <item m="1" x="1778"/>
        <item m="1" x="1871"/>
        <item m="1" x="1973"/>
        <item m="1" x="2068"/>
        <item m="1" x="2158"/>
        <item m="1" x="2253"/>
        <item m="1" x="2341"/>
        <item m="1" x="2434"/>
        <item m="1" x="2526"/>
        <item m="1" x="2619"/>
        <item m="1" x="2712"/>
        <item m="1" x="2803"/>
        <item m="1" x="2890"/>
        <item m="1" x="2986"/>
        <item m="1" x="3077"/>
        <item m="1" x="3168"/>
        <item m="1" x="3259"/>
        <item m="1" x="3353"/>
        <item m="1" x="3445"/>
        <item m="1" x="3538"/>
        <item m="1" x="3633"/>
        <item m="1" x="3725"/>
        <item m="1" x="3819"/>
        <item m="1" x="3910"/>
        <item m="1" x="4004"/>
        <item m="1" x="4096"/>
        <item m="1" x="4188"/>
        <item m="1" x="4281"/>
        <item m="1" x="4372"/>
        <item m="1" x="4469"/>
        <item m="1" x="4563"/>
        <item m="1" x="4655"/>
        <item m="1" x="4743"/>
        <item m="1" x="4838"/>
        <item m="1" x="4936"/>
        <item m="1" x="5034"/>
        <item m="1" x="5125"/>
        <item m="1" x="5224"/>
        <item m="1" x="5309"/>
        <item m="1" x="5404"/>
        <item m="1" x="5497"/>
        <item m="1" x="5592"/>
        <item m="1" x="5683"/>
        <item m="1" x="5776"/>
        <item m="1" x="5867"/>
        <item m="1" x="5962"/>
        <item m="1" x="6051"/>
        <item m="1" x="6146"/>
        <item m="1" x="6237"/>
        <item m="1" x="6335"/>
        <item m="1" x="6426"/>
        <item m="1" x="6519"/>
        <item m="1" x="6612"/>
        <item m="1" x="6703"/>
        <item m="1" x="6792"/>
        <item m="1" x="6885"/>
        <item m="1" x="6979"/>
        <item m="1" x="7074"/>
        <item m="1" x="7161"/>
        <item m="1" x="7257"/>
        <item m="1" x="7350"/>
        <item m="1" x="7448"/>
        <item m="1" x="7540"/>
        <item m="1" x="7634"/>
        <item m="1" x="7727"/>
        <item m="1" x="7817"/>
        <item m="1" x="7912"/>
        <item m="1" x="11"/>
        <item m="1" x="101"/>
        <item m="1" x="194"/>
        <item m="1" x="283"/>
        <item m="1" x="380"/>
        <item m="1" x="476"/>
        <item m="1" x="569"/>
        <item m="1" x="661"/>
        <item m="1" x="758"/>
        <item m="1" x="854"/>
        <item m="1" x="949"/>
        <item m="1" x="1038"/>
        <item m="1" x="1136"/>
        <item m="1" x="1228"/>
        <item m="1" x="1323"/>
        <item m="1" x="1414"/>
        <item m="1" x="1512"/>
        <item m="1" x="1603"/>
        <item m="1" x="1692"/>
        <item m="1" x="1780"/>
        <item m="1" x="1877"/>
        <item m="1" x="1975"/>
        <item m="1" x="2070"/>
        <item m="1" x="2161"/>
        <item m="1" x="2257"/>
        <item m="1" x="2344"/>
        <item m="1" x="2437"/>
        <item m="1" x="2529"/>
        <item m="1" x="2625"/>
        <item m="1" x="2714"/>
        <item m="1" x="2805"/>
        <item m="1" x="2894"/>
        <item m="1" x="2991"/>
        <item m="1" x="3079"/>
        <item m="1" x="3171"/>
        <item m="1" x="3261"/>
        <item m="1" x="3360"/>
        <item m="1" x="3448"/>
        <item m="1" x="3541"/>
        <item m="1" x="3636"/>
        <item m="1" x="3730"/>
        <item m="1" x="3821"/>
        <item m="1" x="3915"/>
        <item m="1" x="4006"/>
        <item m="1" x="4102"/>
        <item m="1" x="4190"/>
        <item m="1" x="4284"/>
        <item m="1" x="4377"/>
        <item m="1" x="4475"/>
        <item m="1" x="4565"/>
        <item m="1" x="4658"/>
        <item m="1" x="4745"/>
        <item m="1" x="4844"/>
        <item m="1" x="4938"/>
        <item m="1" x="5037"/>
        <item m="1" x="5128"/>
        <item m="1" x="5228"/>
        <item m="1" x="5311"/>
        <item m="1" x="5407"/>
        <item m="1" x="5499"/>
        <item m="1" x="5596"/>
        <item m="1" x="5685"/>
        <item m="1" x="5779"/>
        <item m="1" x="5871"/>
        <item m="1" x="5966"/>
        <item m="1" x="6053"/>
        <item m="1" x="6149"/>
        <item m="1" x="6239"/>
        <item m="1" x="6340"/>
        <item m="1" x="3551"/>
        <item m="1" x="3647"/>
        <item m="1" x="3743"/>
        <item m="1" x="3831"/>
        <item m="1" x="3928"/>
        <item m="1" x="4018"/>
        <item m="1" x="4110"/>
        <item m="1" x="4201"/>
        <item m="1" x="4297"/>
        <item m="1" x="4389"/>
        <item m="1" x="4484"/>
        <item m="1" x="4575"/>
        <item m="1" x="4670"/>
        <item m="1" x="4759"/>
        <item m="1" x="4857"/>
        <item m="1" x="4948"/>
        <item m="1" x="5049"/>
        <item m="1" x="5140"/>
        <item m="1" x="5237"/>
        <item m="1" x="5323"/>
        <item m="1" x="5418"/>
        <item m="1" x="5511"/>
        <item m="1" x="5603"/>
        <item m="1" x="5695"/>
        <item m="1" x="5793"/>
        <item m="1" x="5881"/>
        <item m="1" x="5974"/>
        <item m="1" x="6063"/>
        <item m="1" x="6160"/>
        <item m="1" x="6254"/>
        <item m="1" x="6347"/>
        <item m="1" x="6439"/>
        <item m="1" x="6531"/>
        <item m="1" x="6625"/>
        <item m="1" x="6716"/>
        <item m="1" x="6804"/>
        <item m="1" x="6902"/>
        <item m="1" x="6992"/>
        <item m="1" x="7085"/>
        <item m="1" x="7176"/>
        <item m="1" x="7273"/>
        <item m="1" x="7366"/>
        <item m="1" x="7461"/>
        <item m="1" x="7553"/>
        <item m="1" x="7648"/>
        <item m="1" x="7740"/>
        <item m="1" x="7833"/>
        <item m="1" x="7924"/>
        <item m="1" x="25"/>
        <item m="1" x="113"/>
        <item m="1" x="208"/>
        <item m="1" x="298"/>
        <item m="1" x="395"/>
        <item m="1" x="487"/>
        <item m="1" x="581"/>
        <item m="1" x="675"/>
        <item m="1" x="776"/>
        <item m="1" x="867"/>
        <item m="1" x="962"/>
        <item m="1" x="1050"/>
        <item m="1" x="1152"/>
        <item m="1" x="1244"/>
        <item m="1" x="1337"/>
        <item m="1" x="1430"/>
        <item m="1" x="1527"/>
        <item m="1" x="1616"/>
        <item m="1" x="1707"/>
        <item m="1" x="1794"/>
        <item m="1" x="1896"/>
        <item m="1" x="1987"/>
        <item m="1" x="2083"/>
        <item m="1" x="2177"/>
        <item m="1" x="2273"/>
        <item m="1" x="2359"/>
        <item m="1" x="2452"/>
        <item m="1" x="2543"/>
        <item m="1" x="2639"/>
        <item m="1" x="2727"/>
        <item m="1" x="2820"/>
        <item m="1" x="2907"/>
        <item m="1" x="3004"/>
        <item m="1" x="3092"/>
        <item m="1" x="3186"/>
        <item m="1" x="3280"/>
        <item m="1" x="3373"/>
        <item m="1" x="3461"/>
        <item m="1" x="3554"/>
        <item m="1" x="3652"/>
        <item m="1" x="3748"/>
        <item m="1" x="3835"/>
        <item m="1" x="3931"/>
        <item m="1" x="4021"/>
        <item m="1" x="4115"/>
        <item m="1" x="4206"/>
        <item m="1" x="4300"/>
        <item m="1" x="4393"/>
        <item m="1" x="4488"/>
        <item m="1" x="4580"/>
        <item m="1" x="4676"/>
        <item m="1" x="4763"/>
        <item m="1" x="4862"/>
        <item m="1" x="4953"/>
        <item m="1" x="5052"/>
        <item m="1" x="5147"/>
        <item m="1" x="5241"/>
        <item m="1" x="5328"/>
        <item m="1" x="5421"/>
        <item m="1" x="5515"/>
        <item m="1" x="5608"/>
        <item m="1" x="5700"/>
        <item m="1" x="5796"/>
        <item m="1" x="5885"/>
        <item m="1" x="5978"/>
        <item m="1" x="6068"/>
        <item m="1" x="6164"/>
        <item m="1" x="6259"/>
        <item m="1" x="6352"/>
        <item m="1" x="6444"/>
        <item m="1" x="6534"/>
        <item m="1" x="6630"/>
        <item m="1" x="6721"/>
        <item m="1" x="6809"/>
        <item m="1" x="6905"/>
        <item m="1" x="6996"/>
        <item m="1" x="7090"/>
        <item m="1" x="7182"/>
        <item m="1" x="7276"/>
        <item m="1" x="7370"/>
        <item m="1" x="7465"/>
        <item m="1" x="7558"/>
        <item m="1" x="7654"/>
        <item m="1" x="7743"/>
        <item m="1" x="7838"/>
        <item m="1" x="7928"/>
        <item m="1" x="27"/>
        <item m="1" x="117"/>
        <item m="1" x="211"/>
        <item m="1" x="302"/>
        <item m="1" x="397"/>
        <item m="1" x="490"/>
        <item m="1" x="586"/>
        <item m="1" x="679"/>
        <item m="1" x="778"/>
        <item m="1" x="870"/>
        <item m="1" x="966"/>
        <item m="1" x="1054"/>
        <item m="1" x="1155"/>
        <item m="1" x="1247"/>
        <item m="1" x="1342"/>
        <item m="1" x="1434"/>
        <item m="1" x="1529"/>
        <item m="1" x="1620"/>
        <item m="1" x="1712"/>
        <item m="1" x="1798"/>
        <item m="1" x="1898"/>
        <item m="1" x="1990"/>
        <item m="1" x="2089"/>
        <item m="1" x="2183"/>
        <item m="1" x="2275"/>
        <item m="1" x="2362"/>
        <item m="1" x="2456"/>
        <item m="1" x="2547"/>
        <item m="1" x="2643"/>
        <item m="1" x="2730"/>
        <item m="1" x="2825"/>
        <item m="1" x="2911"/>
        <item m="1" x="3006"/>
        <item m="1" x="3096"/>
        <item m="1" x="3190"/>
        <item m="1" x="3284"/>
        <item m="1" x="3375"/>
        <item m="1" x="3464"/>
        <item m="1" x="3560"/>
        <item m="1" x="3656"/>
        <item m="1" x="3750"/>
        <item m="1" x="3838"/>
        <item m="1" x="3935"/>
        <item m="1" x="4024"/>
        <item m="1" x="4117"/>
        <item m="1" x="4209"/>
        <item m="1" x="4305"/>
        <item m="1" x="4396"/>
        <item m="1" x="4490"/>
        <item m="1" x="4583"/>
        <item m="1" x="4680"/>
        <item m="1" x="4765"/>
        <item m="1" x="4864"/>
        <item m="1" x="4955"/>
        <item m="1" x="5058"/>
        <item m="1" x="5151"/>
        <item m="1" x="5243"/>
        <item m="1" x="5331"/>
        <item m="1" x="5425"/>
        <item m="1" x="5517"/>
        <item m="1" x="5611"/>
        <item m="1" x="5702"/>
        <item m="1" x="5801"/>
        <item m="1" x="5887"/>
        <item m="1" x="5981"/>
        <item m="1" x="6074"/>
        <item m="1" x="6169"/>
        <item m="1" x="6262"/>
        <item m="1" x="6355"/>
        <item m="1" x="6446"/>
        <item m="1" x="6540"/>
        <item m="1" x="6632"/>
        <item m="1" x="6724"/>
        <item m="1" x="6812"/>
        <item m="1" x="6910"/>
        <item m="1" x="6998"/>
        <item m="1" x="7093"/>
        <item m="1" x="7184"/>
        <item m="1" x="7282"/>
        <item m="1" x="7372"/>
        <item m="1" x="7468"/>
        <item m="1" x="7562"/>
        <item m="1" x="7661"/>
        <item m="1" x="7745"/>
        <item m="1" x="7841"/>
        <item m="1" x="7930"/>
        <item m="1" x="34"/>
        <item m="1" x="121"/>
        <item m="1" x="214"/>
        <item m="1" x="305"/>
        <item m="1" x="401"/>
        <item m="1" x="492"/>
        <item m="1" x="591"/>
        <item m="1" x="681"/>
        <item m="1" x="783"/>
        <item m="1" x="872"/>
        <item m="1" x="969"/>
        <item m="1" x="1059"/>
        <item m="1" x="1159"/>
        <item m="1" x="1249"/>
        <item m="1" x="1345"/>
        <item m="1" x="1436"/>
        <item m="1" x="1534"/>
        <item m="1" x="1622"/>
        <item m="1" x="1715"/>
        <item m="1" x="1801"/>
        <item m="1" x="1902"/>
        <item m="1" x="1992"/>
        <item m="1" x="2092"/>
        <item m="1" x="7196"/>
        <item m="1" x="7290"/>
        <item m="1" x="7382"/>
        <item m="1" x="7482"/>
        <item m="1" x="7573"/>
        <item m="1" x="7670"/>
        <item m="1" x="7755"/>
        <item m="1" x="7853"/>
        <item m="1" x="7946"/>
        <item m="1" x="42"/>
        <item m="1" x="130"/>
        <item m="1" x="225"/>
        <item m="1" x="316"/>
        <item m="1" x="414"/>
        <item m="1" x="503"/>
        <item m="1" x="604"/>
        <item m="1" x="694"/>
        <item m="1" x="792"/>
        <item m="1" x="883"/>
        <item m="1" x="981"/>
        <item m="1" x="1073"/>
        <item m="1" x="1168"/>
        <item m="1" x="1259"/>
        <item m="1" x="1356"/>
        <item m="1" x="1449"/>
        <item m="1" x="1544"/>
        <item m="1" x="1631"/>
        <item m="1" x="1725"/>
        <item m="1" x="1811"/>
        <item m="1" x="1911"/>
        <item m="1" x="2005"/>
        <item m="1" x="2103"/>
        <item m="1" x="2195"/>
        <item m="1" x="2285"/>
        <item m="1" x="2375"/>
        <item m="1" x="2473"/>
        <item m="1" x="2561"/>
        <item m="1" x="2655"/>
        <item m="1" x="2743"/>
        <item m="1" x="2839"/>
        <item m="1" x="2927"/>
        <item m="1" x="3018"/>
        <item m="1" x="3110"/>
        <item m="1" x="3203"/>
        <item m="1" x="3296"/>
        <item m="1" x="3389"/>
        <item m="1" x="3477"/>
        <item m="1" x="3578"/>
        <item m="1" x="3667"/>
        <item m="1" x="3762"/>
        <item m="1" x="3853"/>
        <item m="1" x="3951"/>
        <item m="1" x="4039"/>
        <item m="1" x="4130"/>
        <item m="1" x="4222"/>
        <item m="1" x="4320"/>
        <item m="1" x="4408"/>
        <item m="1" x="4506"/>
        <item m="1" x="4595"/>
        <item m="1" x="4694"/>
        <item m="1" x="4778"/>
        <item m="1" x="4879"/>
        <item m="1" x="4974"/>
        <item m="1" x="5074"/>
        <item m="1" x="5163"/>
        <item m="1" x="5255"/>
        <item m="1" x="5346"/>
        <item m="1" x="5443"/>
        <item m="1" x="5530"/>
        <item m="1" x="5626"/>
        <item m="1" x="5716"/>
        <item m="1" x="5816"/>
        <item m="1" x="5902"/>
        <item m="1" x="5995"/>
        <item m="1" x="6089"/>
        <item m="1" x="6183"/>
        <item m="1" x="6275"/>
        <item m="1" x="6372"/>
        <item m="1" x="6461"/>
        <item m="1" x="6557"/>
        <item m="1" x="6644"/>
        <item m="1" x="6736"/>
        <item m="1" x="6828"/>
        <item m="1" x="6925"/>
        <item m="1" x="7014"/>
        <item m="1" x="7107"/>
        <item m="1" x="7199"/>
        <item m="1" x="7295"/>
        <item m="1" x="7386"/>
        <item m="1" x="7485"/>
        <item m="1" x="7576"/>
        <item m="1" x="7674"/>
        <item m="1" x="7759"/>
        <item m="1" x="7857"/>
        <item m="1" x="7950"/>
        <item m="1" x="47"/>
        <item m="1" x="135"/>
        <item m="1" x="228"/>
        <item m="1" x="322"/>
        <item m="1" x="418"/>
        <item m="1" x="508"/>
        <item m="1" x="607"/>
        <item m="1" x="698"/>
        <item m="1" x="797"/>
        <item m="1" x="890"/>
        <item m="1" x="984"/>
        <item m="1" x="1077"/>
        <item m="1" x="1172"/>
        <item m="1" x="1264"/>
        <item m="1" x="1362"/>
        <item m="1" x="1453"/>
        <item m="1" x="1549"/>
        <item m="1" x="1636"/>
        <item m="1" x="1728"/>
        <item m="1" x="1818"/>
        <item m="1" x="1915"/>
        <item m="1" x="2010"/>
        <item m="1" x="2106"/>
        <item m="1" x="2199"/>
        <item m="1" x="2290"/>
        <item m="1" x="2380"/>
        <item m="1" x="2476"/>
        <item m="1" x="2565"/>
        <item m="1" x="2659"/>
        <item m="1" x="2748"/>
        <item m="1" x="2843"/>
        <item m="1" x="2932"/>
        <item m="1" x="3023"/>
        <item m="1" x="3115"/>
        <item m="1" x="3206"/>
        <item m="1" x="3301"/>
        <item m="1" x="3393"/>
        <item m="1" x="3481"/>
        <item m="1" x="3580"/>
        <item m="1" x="3670"/>
        <item m="1" x="3766"/>
        <item m="1" x="3858"/>
        <item m="1" x="3953"/>
        <item m="1" x="4042"/>
        <item m="1" x="4133"/>
        <item m="1" x="4226"/>
        <item m="1" x="4325"/>
        <item m="1" x="4411"/>
        <item m="1" x="4511"/>
        <item m="1" x="4599"/>
        <item m="1" x="4696"/>
        <item m="1" x="4782"/>
        <item m="1" x="4883"/>
        <item m="1" x="4978"/>
        <item m="1" x="5076"/>
        <item m="1" x="5166"/>
        <item m="1" x="5261"/>
        <item m="1" x="5350"/>
        <item m="1" x="5445"/>
        <item m="1" x="5533"/>
        <item m="1" x="5630"/>
        <item m="1" x="5720"/>
        <item m="1" x="5819"/>
        <item m="1" x="5906"/>
        <item m="1" x="6000"/>
        <item m="1" x="6093"/>
        <item m="1" x="6185"/>
        <item m="1" x="6279"/>
        <item m="1" x="6377"/>
        <item m="1" x="6465"/>
        <item m="1" x="6559"/>
        <item m="1" x="6647"/>
        <item m="1" x="6742"/>
        <item m="1" x="6833"/>
        <item m="1" x="6927"/>
        <item m="1" x="7017"/>
        <item m="1" x="7111"/>
        <item m="1" x="7203"/>
        <item m="1" x="7298"/>
        <item m="1" x="7389"/>
        <item m="1" x="7490"/>
        <item m="1" x="7580"/>
        <item m="1" x="7676"/>
        <item m="1" x="7762"/>
        <item m="1" x="7861"/>
        <item m="1" x="7953"/>
        <item m="1" x="49"/>
        <item m="1" x="137"/>
        <item m="1" x="234"/>
        <item m="1" x="325"/>
        <item m="1" x="421"/>
        <item m="1" x="510"/>
        <item m="1" x="611"/>
        <item m="1" x="700"/>
        <item m="1" x="799"/>
        <item m="1" x="892"/>
        <item m="1" x="989"/>
        <item m="1" x="1079"/>
        <item m="1" x="1174"/>
        <item m="1" x="1268"/>
        <item m="1" x="1367"/>
        <item m="1" x="1455"/>
        <item m="1" x="1551"/>
        <item m="1" x="1638"/>
        <item m="1" x="1734"/>
        <item m="1" x="1822"/>
        <item m="1" x="1918"/>
        <item m="1" x="2014"/>
        <item m="1" x="2110"/>
        <item m="1" x="2201"/>
        <item m="1" x="2294"/>
        <item m="1" x="2382"/>
        <item m="1" x="2482"/>
        <item m="1" x="2567"/>
        <item m="1" x="2662"/>
        <item m="1" x="2753"/>
        <item m="1" x="2848"/>
        <item m="1" x="2934"/>
        <item m="1" x="3026"/>
        <item m="1" x="3117"/>
        <item m="1" x="3213"/>
        <item m="1" x="3303"/>
        <item m="1" x="3396"/>
        <item m="1" x="3485"/>
        <item m="1" x="3586"/>
        <item m="1" x="3673"/>
        <item m="1" x="3769"/>
        <item m="1" x="3860"/>
        <item m="1" x="3959"/>
        <item m="1" x="4044"/>
        <item m="1" x="4136"/>
        <item m="1" x="4230"/>
        <item m="1" x="4329"/>
        <item m="1" x="4413"/>
        <item m="1" x="4514"/>
        <item m="1" x="4601"/>
        <item m="1" x="4701"/>
        <item m="1" x="4786"/>
        <item m="1" x="4886"/>
        <item m="1" x="4981"/>
        <item m="1" x="5080"/>
        <item m="1" x="5168"/>
        <item m="1" x="5265"/>
        <item m="1" x="5352"/>
        <item m="1" x="5449"/>
        <item m="1" x="5535"/>
        <item m="1" x="5633"/>
        <item m="1" x="5725"/>
        <item m="1" x="2944"/>
        <item m="1" x="3038"/>
        <item m="1" x="3130"/>
        <item m="1" x="3225"/>
        <item m="1" x="3313"/>
        <item m="1" x="3407"/>
        <item m="1" x="3496"/>
        <item m="1" x="3596"/>
        <item m="1" x="3684"/>
        <item m="1" x="3781"/>
        <item m="1" x="3873"/>
        <item m="1" x="3967"/>
        <item m="1" x="4054"/>
        <item m="1" x="4152"/>
        <item m="1" x="4241"/>
        <item m="1" x="4338"/>
        <item m="1" x="4424"/>
        <item m="1" x="4527"/>
        <item m="1" x="4617"/>
        <item m="1" x="4708"/>
        <item m="1" x="4797"/>
        <item m="1" x="4897"/>
        <item m="1" x="4993"/>
        <item m="1" x="5091"/>
        <item m="1" x="5178"/>
        <item m="1" x="5276"/>
        <item m="1" x="5364"/>
        <item m="1" x="5456"/>
        <item m="1" x="5547"/>
        <item m="1" x="5645"/>
        <item m="1" x="5737"/>
        <item m="1" x="5830"/>
        <item m="1" x="5918"/>
        <item m="1" x="6014"/>
        <item m="1" x="6107"/>
        <item m="1" x="6200"/>
        <item m="1" x="6292"/>
        <item m="1" x="6390"/>
        <item m="1" x="6478"/>
        <item m="1" x="6572"/>
        <item m="1" x="6662"/>
        <item m="1" x="6756"/>
        <item m="1" x="6846"/>
        <item m="1" x="6938"/>
        <item m="1" x="7031"/>
        <item m="1" x="7129"/>
        <item m="1" x="7217"/>
        <item m="1" x="7313"/>
        <item m="1" x="7404"/>
        <item m="1" x="7505"/>
        <item m="1" x="7596"/>
        <item m="1" x="7689"/>
        <item m="1" x="7778"/>
        <item m="1" x="7875"/>
        <item m="1" x="7966"/>
        <item m="1" x="64"/>
        <item m="1" x="152"/>
        <item m="1" x="252"/>
        <item m="1" x="338"/>
        <item m="1" x="434"/>
        <item m="1" x="527"/>
        <item m="1" x="628"/>
        <item m="1" x="719"/>
        <item m="1" x="813"/>
        <item m="1" x="908"/>
        <item m="1" x="1004"/>
        <item m="1" x="1093"/>
        <item m="1" x="1190"/>
        <item m="1" x="1283"/>
        <item m="1" x="1381"/>
        <item m="1" x="1469"/>
        <item m="1" x="1566"/>
        <item m="1" x="1657"/>
        <item m="1" x="1748"/>
        <item m="1" x="1837"/>
        <item m="1" x="1931"/>
        <item m="1" x="2030"/>
        <item m="1" x="2129"/>
        <item m="1" x="2215"/>
        <item m="1" x="2308"/>
        <item m="1" x="2398"/>
        <item m="1" x="2495"/>
        <item m="1" x="2583"/>
        <item m="1" x="2675"/>
        <item m="1" x="2770"/>
        <item m="1" x="2860"/>
        <item m="1" x="2949"/>
        <item m="1" x="3044"/>
        <item m="1" x="3134"/>
        <item m="1" x="3230"/>
        <item m="1" x="3318"/>
        <item m="1" x="3410"/>
        <item m="1" x="3503"/>
        <item m="1" x="3600"/>
        <item m="1" x="3690"/>
        <item m="1" x="3784"/>
        <item m="1" x="3878"/>
        <item m="1" x="3972"/>
        <item m="1" x="4060"/>
        <item m="1" x="4155"/>
        <item m="1" x="4247"/>
        <item m="1" x="4342"/>
        <item m="1" x="4430"/>
        <item m="1" x="4531"/>
        <item m="1" x="4622"/>
        <item m="1" x="4713"/>
        <item m="1" x="4803"/>
        <item m="1" x="4900"/>
        <item m="1" x="5000"/>
        <item m="1" x="5095"/>
        <item m="1" x="5184"/>
        <item m="1" x="5279"/>
        <item m="1" x="5369"/>
        <item m="1" x="5461"/>
        <item m="1" x="5554"/>
        <item m="1" x="5648"/>
        <item m="1" x="5743"/>
        <item m="1" x="5834"/>
        <item m="1" x="5924"/>
        <item m="1" x="6020"/>
        <item m="1" x="6112"/>
        <item m="1" x="6205"/>
        <item m="1" x="6298"/>
        <item m="1" x="6393"/>
        <item m="1" x="6485"/>
        <item m="1" x="6576"/>
        <item m="1" x="6668"/>
        <item m="1" x="6759"/>
        <item m="1" x="6851"/>
        <item m="1" x="6943"/>
        <item m="1" x="7037"/>
        <item m="1" x="7131"/>
        <item m="1" x="7221"/>
        <item m="1" x="7316"/>
        <item m="1" x="7409"/>
        <item m="1" x="7508"/>
        <item m="1" x="7600"/>
        <item m="1" x="7693"/>
        <item m="1" x="7783"/>
        <item m="1" x="7877"/>
        <item m="1" x="7971"/>
        <item m="1" x="68"/>
        <item m="1" x="157"/>
        <item m="1" x="254"/>
        <item m="1" x="342"/>
        <item m="1" x="439"/>
        <item m="1" x="534"/>
        <item m="1" x="630"/>
        <item m="1" x="723"/>
        <item m="1" x="817"/>
        <item m="1" x="913"/>
        <item m="1" x="1009"/>
        <item m="1" x="1097"/>
        <item m="1" x="1195"/>
        <item m="1" x="1288"/>
        <item m="1" x="1383"/>
        <item m="1" x="1474"/>
        <item m="1" x="1570"/>
        <item m="1" x="1662"/>
        <item m="1" x="1750"/>
        <item m="1" x="1841"/>
        <item m="1" x="1937"/>
        <item m="1" x="2035"/>
        <item m="1" x="2132"/>
        <item m="1" x="2219"/>
        <item m="1" x="2312"/>
        <item m="1" x="2403"/>
        <item m="1" x="2497"/>
        <item m="1" x="2588"/>
        <item m="1" x="2680"/>
        <item m="1" x="2775"/>
        <item m="1" x="2862"/>
        <item m="1" x="2954"/>
        <item m="1" x="3049"/>
        <item m="1" x="3139"/>
        <item m="1" x="3232"/>
        <item m="1" x="3322"/>
        <item m="1" x="3416"/>
        <item m="1" x="3508"/>
        <item m="1" x="3602"/>
        <item m="1" x="3693"/>
        <item m="1" x="3788"/>
        <item m="1" x="3882"/>
        <item m="1" x="3976"/>
        <item m="1" x="4063"/>
        <item m="1" x="4160"/>
        <item m="1" x="4250"/>
        <item m="1" x="4344"/>
        <item m="1" x="4435"/>
        <item m="1" x="4535"/>
        <item m="1" x="4626"/>
        <item m="1" x="4715"/>
        <item m="1" x="4806"/>
        <item m="1" x="4906"/>
        <item m="1" x="5003"/>
        <item m="1" x="5097"/>
        <item m="1" x="5188"/>
        <item m="1" x="5283"/>
        <item m="1" x="5372"/>
        <item m="1" x="5463"/>
        <item m="1" x="5558"/>
        <item m="1" x="5653"/>
        <item m="1" x="5746"/>
        <item m="1" x="5836"/>
        <item m="1" x="5929"/>
        <item m="1" x="6026"/>
        <item m="1" x="6115"/>
        <item m="1" x="6208"/>
        <item m="1" x="6301"/>
        <item m="1" x="6400"/>
        <item m="1" x="6489"/>
        <item m="1" x="6579"/>
        <item m="1" x="6672"/>
        <item m="1" x="6764"/>
        <item m="1" x="6854"/>
        <item m="1" x="6947"/>
        <item m="1" x="7040"/>
        <item m="1" x="7137"/>
        <item m="1" x="7225"/>
        <item m="1" x="7320"/>
        <item m="1" x="7416"/>
        <item m="1" x="7514"/>
        <item m="1" x="7604"/>
        <item m="1" x="7696"/>
        <item m="1" x="7786"/>
        <item m="1" x="7883"/>
        <item m="1" x="7974"/>
        <item m="1" x="71"/>
        <item m="1" x="161"/>
        <item m="1" x="258"/>
        <item m="1" x="345"/>
        <item m="1" x="442"/>
        <item m="1" x="537"/>
        <item m="1" x="634"/>
        <item m="1" x="726"/>
        <item m="1" x="820"/>
        <item m="1" x="918"/>
        <item m="1" x="1014"/>
        <item m="1" x="1100"/>
        <item m="1" x="1198"/>
        <item m="1" x="1291"/>
        <item m="1" x="1388"/>
        <item m="1" x="1479"/>
        <item m="1" x="6589"/>
        <item m="1" x="6683"/>
        <item m="1" x="2342"/>
        <item m="1" x="2435"/>
        <item m="1" x="2527"/>
        <item m="1" x="2622"/>
        <item m="1" x="5979"/>
        <item m="1" x="6070"/>
        <item m="1" x="6167"/>
        <item m="1" x="6260"/>
        <item m="1" x="6353"/>
        <item m="1" x="1916"/>
        <item m="1" x="1964"/>
        <item m="1" x="2012"/>
        <item m="1" x="2061"/>
        <item m="1" x="1070"/>
        <item m="1" x="1116"/>
        <item m="1" x="1167"/>
        <item m="1" x="1214"/>
        <item m="1" x="4749"/>
        <item m="1" x="4796"/>
        <item m="1" x="4848"/>
        <item m="1" x="4896"/>
        <item m="1" x="4941"/>
        <item m="1" x="4990"/>
        <item m="1" x="5041"/>
        <item m="1" x="5089"/>
        <item m="1" x="5132"/>
        <item m="1" x="403"/>
        <item m="1" x="452"/>
        <item m="1" x="496"/>
        <item m="1" x="548"/>
        <item m="1" x="594"/>
        <item m="1" x="641"/>
        <item m="1" x="685"/>
        <item m="1" x="736"/>
        <item m="1" x="785"/>
        <item m="1" x="835"/>
        <item m="1" x="4417"/>
        <item m="1" x="4470"/>
        <item m="1" x="4517"/>
        <item m="1" x="3482"/>
        <item m="1" x="3532"/>
        <item m="1" x="3581"/>
        <item m="1" x="3625"/>
        <item m="1" x="3671"/>
        <item m="1" x="3718"/>
        <item m="1" x="7170"/>
        <item m="1" x="7222"/>
        <item m="1" x="7271"/>
        <item m="1" x="7317"/>
        <item m="1" x="7362"/>
        <item m="1" x="7410"/>
        <item m="1" x="7459"/>
        <item m="1" x="7509"/>
        <item m="1" x="7550"/>
        <item m="1" x="7601"/>
      </items>
    </pivotField>
    <pivotField axis="axisRow" showAll="0" sortType="ascending" defaultSubtotal="0">
      <items count="8000">
        <item sd="0" m="1" x="4852"/>
        <item sd="0" m="1" x="4854"/>
        <item sd="0" m="1" x="4855"/>
        <item sd="0" m="1" x="4858"/>
        <item sd="0" m="1" x="4859"/>
        <item sd="0" m="1" x="4862"/>
        <item sd="0" m="1" x="771"/>
        <item sd="0" m="1" x="1884"/>
        <item sd="0" m="1" x="1893"/>
        <item sd="0" m="1" x="776"/>
        <item sd="0" m="1" x="1894"/>
        <item sd="0" m="1" x="1898"/>
        <item sd="0" m="1" x="1899"/>
        <item sd="0" m="1" x="4901"/>
        <item sd="0" m="1" x="4902"/>
        <item sd="0" m="1" x="4904"/>
        <item sd="0" m="1" x="4905"/>
        <item sd="0" m="1" x="4907"/>
        <item sd="0" m="1" x="4908"/>
        <item sd="0" m="1" x="4910"/>
        <item sd="0" m="1" x="4913"/>
        <item sd="0" m="1" x="4914"/>
        <item sd="0" m="1" x="4916"/>
        <item sd="0" m="1" x="4919"/>
        <item sd="0" m="1" x="4921"/>
        <item sd="0" m="1" x="4922"/>
        <item sd="0" m="1" x="4315"/>
        <item sd="0" m="1" x="4501"/>
        <item sd="0" m="1" x="4686"/>
        <item sd="0" m="1" x="5444"/>
        <item sd="0" m="1" x="3413"/>
        <item sd="0" m="1" x="1409"/>
        <item sd="0" m="1" x="3950"/>
        <item sd="0" m="1" x="1965"/>
        <item sd="0" m="1" x="7813"/>
        <item sd="0" m="1" x="5610"/>
        <item sd="0" m="1" x="3618"/>
        <item sd="0" m="1" x="1578"/>
        <item sd="0" m="1" x="4126"/>
        <item sd="0" m="1" x="2121"/>
        <item sd="0" m="1" x="7975"/>
        <item sd="0" m="1" x="3057"/>
        <item sd="0" m="1" x="1084"/>
        <item sd="0" m="1" x="6668"/>
        <item sd="0" m="1" x="4716"/>
        <item sd="0" m="1" x="2745"/>
        <item sd="0" m="1" x="3240"/>
        <item sd="0" m="1" x="1260"/>
        <item sd="0" m="1" x="6883"/>
        <item sd="0" m="1" x="4917"/>
        <item sd="0" m="1" x="2897"/>
        <item sd="0" m="1" x="203"/>
        <item sd="0" m="1" x="6129"/>
        <item sd="0" m="1" x="4142"/>
        <item sd="0" m="1" x="2132"/>
        <item sd="0" m="1" x="426"/>
        <item sd="0" m="1" x="6311"/>
        <item sd="0" m="1" x="4309"/>
        <item sd="0" m="1" x="2339"/>
        <item sd="0" m="1" x="1602"/>
        <item sd="0" m="1" x="7446"/>
        <item sd="0" m="1" x="5473"/>
        <item sd="0" m="1" x="1805"/>
        <item sd="0" m="1" x="7661"/>
        <item sd="0" m="1" x="5636"/>
        <item sd="0" m="1" x="2008"/>
        <item sd="0" m="1" x="4949"/>
        <item sd="0" m="1" x="2917"/>
        <item sd="0" m="1" x="924"/>
        <item sd="0" m="1" x="6718"/>
        <item sd="0" m="1" x="4571"/>
        <item sd="0" m="1" x="5132"/>
        <item sd="0" m="1" x="3100"/>
        <item sd="0" m="1" x="1140"/>
        <item sd="0" m="1" x="6926"/>
        <item sd="0" m="1" x="4755"/>
        <item sd="0" m="1" x="5330"/>
        <item sd="0" m="1" x="3304"/>
        <item sd="0" m="1" x="1300"/>
        <item sd="0" m="1" x="6257"/>
        <item sd="0" m="1" x="4238"/>
        <item sd="0" m="1" x="2273"/>
        <item sd="0" m="1" x="122"/>
        <item sd="0" m="1" x="7930"/>
        <item sd="0" m="1" x="5881"/>
        <item sd="0" m="1" x="3923"/>
        <item sd="0" m="1" x="6418"/>
        <item sd="0" m="1" x="4424"/>
        <item sd="0" m="1" x="2479"/>
        <item sd="0" m="1" x="376"/>
        <item sd="0" m="1" x="138"/>
        <item sd="0" m="1" x="6083"/>
        <item sd="0" m="1" x="4102"/>
        <item sd="0" m="1" x="6580"/>
        <item sd="0" m="1" x="4608"/>
        <item sd="0" m="1" x="2646"/>
        <item sd="0" m="1" x="592"/>
        <item sd="0" m="1" x="5589"/>
        <item sd="0" m="1" x="3586"/>
        <item sd="0" m="1" x="1379"/>
        <item sd="0" m="1" x="7184"/>
        <item sd="0" m="1" x="5246"/>
        <item sd="0" m="1" x="3197"/>
        <item sd="0" m="1" x="5757"/>
        <item sd="0" m="1" x="3750"/>
        <item sd="0" m="1" x="1560"/>
        <item sd="0" m="1" x="7392"/>
        <item sd="0" m="1" x="5437"/>
        <item sd="0" m="1" x="3404"/>
        <item sd="0" m="1" x="5920"/>
        <item sd="0" m="1" x="3945"/>
        <item sd="0" m="1" x="5475"/>
        <item sd="0" m="1" x="3440"/>
        <item sd="0" m="1" x="1435"/>
        <item sd="0" m="1" x="7255"/>
        <item sd="0" m="1" x="5113"/>
        <item sd="0" m="1" x="3088"/>
        <item sd="0" m="1" x="5640"/>
        <item sd="0" m="1" x="3655"/>
        <item sd="0" m="1" x="1622"/>
        <item sd="0" m="1" x="7469"/>
        <item sd="0" m="1" x="5317"/>
        <item sd="0" m="1" x="3292"/>
        <item sd="0" m="1" x="5808"/>
        <item sd="0" m="1" x="3827"/>
        <item sd="0" m="1" x="1820"/>
        <item sd="0" m="1" x="7673"/>
        <item sd="0" m="1" x="4744"/>
        <item sd="0" m="1" x="2769"/>
        <item sd="0" m="1" x="563"/>
        <item sd="0" m="1" x="6401"/>
        <item sd="0" m="1" x="4410"/>
        <item sd="0" m="1" x="2466"/>
        <item sd="0" m="1" x="4962"/>
        <item sd="0" m="1" x="2932"/>
        <item sd="0" m="1" x="756"/>
        <item sd="0" m="1" x="6568"/>
        <item sd="0" m="1" x="4590"/>
        <item sd="0" m="1" x="2637"/>
        <item sd="0" m="1" x="5150"/>
        <item sd="0" m="1" x="3114"/>
        <item sd="0" m="1" x="4092"/>
        <item sd="0" m="1" x="1936"/>
        <item sd="0" m="1" x="7781"/>
        <item sd="0" m="1" x="5745"/>
        <item sd="0" m="1" x="4251"/>
        <item sd="0" m="1" x="2103"/>
        <item sd="0" m="1" x="7952"/>
        <item sd="0" m="1" x="5906"/>
        <item sd="0" m="1" x="4440"/>
        <item sd="0" m="1" x="3201"/>
        <item sd="0" m="1" x="1230"/>
        <item sd="0" m="1" x="7033"/>
        <item sd="0" m="1" x="3408"/>
        <item sd="0" m="1" x="1404"/>
        <item sd="0" m="1" x="7209"/>
        <item sd="0" m="1" x="6495"/>
        <item sd="0" m="1" x="4524"/>
        <item sd="0" m="1" x="2576"/>
        <item sd="0" m="1" x="474"/>
        <item sd="0" m="1" x="6663"/>
        <item sd="0" m="1" x="4713"/>
        <item sd="0" m="1" x="2739"/>
        <item sd="0" m="1" x="686"/>
        <item sd="0" m="1" x="6880"/>
        <item sd="0" m="1" x="4911"/>
        <item sd="0" m="1" x="624"/>
        <item sd="0" m="1" x="6452"/>
        <item sd="0" m="1" x="4289"/>
        <item sd="0" m="1" x="2322"/>
        <item sd="0" m="1" x="201"/>
        <item sd="0" m="1" x="815"/>
        <item sd="0" m="1" x="6618"/>
        <item sd="0" m="1" x="4484"/>
        <item sd="0" m="1" x="2534"/>
        <item sd="0" m="1" x="424"/>
        <item sd="0" m="1" x="1022"/>
        <item sd="0" m="1" x="6826"/>
        <item sd="0" m="1" x="7649"/>
        <item sd="0" m="1" x="5623"/>
        <item sd="0" m="1" x="3640"/>
        <item sd="0" m="1" x="1601"/>
        <item sd="0" m="1" x="7847"/>
        <item sd="0" m="1" x="5799"/>
        <item sd="0" m="1" x="3809"/>
        <item sd="0" m="1" x="1804"/>
        <item sd="0" m="1" x="7036"/>
        <item sd="0" m="1" x="5057"/>
        <item sd="0" m="1" x="3036"/>
        <item sd="0" m="1" x="1059"/>
        <item sd="0" m="1" x="858"/>
        <item sd="0" m="1" x="6654"/>
        <item sd="0" m="1" x="7212"/>
        <item sd="0" m="1" x="5263"/>
        <item sd="0" m="1" x="3223"/>
        <item sd="0" m="1" x="1247"/>
        <item sd="0" m="1" x="1079"/>
        <item sd="0" m="1" x="6875"/>
        <item sd="0" m="1" x="7412"/>
        <item sd="0" m="1" x="5452"/>
        <item sd="0" m="1" x="3421"/>
        <item sd="0" m="1" x="475"/>
        <item sd="0" m="1" x="6339"/>
        <item sd="0" m="1" x="4352"/>
        <item sd="0" m="1" x="2208"/>
        <item sd="0" m="1" x="53"/>
        <item sd="0" m="1" x="6019"/>
        <item sd="0" m="1" x="689"/>
        <item sd="0" m="1" x="6509"/>
        <item sd="0" m="1" x="4537"/>
        <item sd="0" m="1" x="2412"/>
        <item sd="0" m="1" x="314"/>
        <item sd="0" m="1" x="6214"/>
        <item sd="0" m="1" x="881"/>
        <item sd="0" m="1" x="6680"/>
        <item sd="0" m="1" x="4721"/>
        <item sd="0" m="1" x="7701"/>
        <item sd="0" m="1" x="5683"/>
        <item sd="0" m="1" x="3527"/>
        <item sd="0" m="1" x="1491"/>
        <item sd="0" m="1" x="7317"/>
        <item sd="0" m="1" x="7886"/>
        <item sd="0" m="1" x="5839"/>
        <item sd="0" m="1" x="3706"/>
        <item sd="0" m="1" x="1694"/>
        <item sd="0" m="1" x="7539"/>
        <item sd="0" m="1" x="83"/>
        <item sd="0" m="1" x="6040"/>
        <item sd="0" m="1" x="1603"/>
        <item sd="0" m="1" x="7447"/>
        <item sd="0" m="1" x="5474"/>
        <item sd="0" m="1" x="3265"/>
        <item sd="0" m="1" x="1806"/>
        <item sd="0" m="1" x="7662"/>
        <item sd="0" m="1" x="5637"/>
        <item sd="0" m="1" x="3464"/>
        <item sd="0" m="1" x="2009"/>
        <item sd="0" m="1" x="7854"/>
        <item sd="0" m="1" x="4950"/>
        <item sd="0" m="1" x="2918"/>
        <item sd="0" m="1" x="925"/>
        <item sd="0" m="1" x="6719"/>
        <item sd="0" m="1" x="4572"/>
        <item sd="0" m="1" x="2621"/>
        <item sd="0" m="1" x="5133"/>
        <item sd="0" m="1" x="3101"/>
        <item sd="0" m="1" x="1141"/>
        <item sd="0" m="1" x="6927"/>
        <item sd="0" m="1" x="4756"/>
        <item sd="0" m="1" x="2782"/>
        <item sd="0" m="1" x="5331"/>
        <item sd="0" m="1" x="3305"/>
        <item sd="0" m="1" x="1301"/>
        <item sd="0" m="1" x="7126"/>
        <item sd="0" m="1" x="4239"/>
        <item sd="0" m="1" x="2274"/>
        <item sd="0" m="1" x="123"/>
        <item sd="0" m="1" x="7931"/>
        <item sd="0" m="1" x="5882"/>
        <item sd="0" m="1" x="3924"/>
        <item sd="0" m="1" x="1934"/>
        <item sd="0" m="1" x="4425"/>
        <item sd="0" m="1" x="2480"/>
        <item sd="0" m="1" x="377"/>
        <item sd="0" m="1" x="139"/>
        <item sd="0" m="1" x="6084"/>
        <item sd="0" m="1" x="4103"/>
        <item sd="0" m="1" x="2101"/>
        <item sd="0" m="1" x="4609"/>
        <item sd="0" m="1" x="2647"/>
        <item sd="0" m="1" x="593"/>
        <item sd="0" m="1" x="3587"/>
        <item sd="0" m="1" x="1380"/>
        <item sd="0" m="1" x="7185"/>
        <item sd="0" m="1" x="5247"/>
        <item sd="0" m="1" x="3198"/>
        <item sd="0" m="1" x="3751"/>
        <item sd="0" m="1" x="1561"/>
        <item sd="0" m="1" x="7393"/>
        <item sd="0" m="1" x="5438"/>
        <item sd="0" m="1" x="3405"/>
        <item sd="0" m="1" x="3946"/>
        <item sd="0" m="1" x="2724"/>
        <item sd="0" m="1" x="668"/>
        <item sd="0" m="1" x="6493"/>
        <item sd="0" m="1" x="2887"/>
        <item sd="0" m="1" x="867"/>
        <item sd="0" m="1" x="6661"/>
        <item sd="0" m="1" x="480"/>
        <item sd="0" m="1" x="6342"/>
        <item sd="0" m="1" x="4357"/>
        <item sd="0" m="1" x="2216"/>
        <item sd="0" m="1" x="59"/>
        <item sd="0" m="1" x="696"/>
        <item sd="0" m="1" x="6513"/>
        <item sd="0" m="1" x="4540"/>
        <item sd="0" m="1" x="2418"/>
        <item sd="0" m="1" x="320"/>
        <item sd="0" m="1" x="885"/>
        <item sd="0" m="1" x="6684"/>
        <item sd="0" m="1" x="4723"/>
        <item sd="0" m="1" x="1855"/>
        <item sd="0" m="1" x="7706"/>
        <item sd="0" m="1" x="5688"/>
        <item sd="0" m="1" x="3535"/>
        <item sd="0" m="1" x="1497"/>
        <item sd="0" m="1" x="7323"/>
        <item sd="0" m="1" x="2055"/>
        <item sd="0" m="1" x="7892"/>
        <item sd="0" m="1" x="5844"/>
        <item sd="0" m="1" x="3711"/>
        <item sd="0" m="1" x="1702"/>
        <item sd="0" m="1" x="7547"/>
        <item sd="0" m="1" x="2243"/>
        <item sd="0" m="1" x="87"/>
        <item sd="0" m="1" x="6043"/>
        <item sd="0" m="1" x="1181"/>
        <item sd="0" m="1" x="6964"/>
        <item sd="0" m="1" x="6802"/>
        <item sd="0" m="1" x="4818"/>
        <item sd="0" m="1" x="2830"/>
        <item sd="0" m="1" x="808"/>
        <item sd="0" m="1" x="1346"/>
        <item sd="0" m="1" x="7153"/>
        <item sd="0" m="1" x="6985"/>
        <item sd="0" m="1" x="5026"/>
        <item sd="0" m="1" x="2997"/>
        <item sd="0" m="1" x="1015"/>
        <item sd="0" m="1" x="1527"/>
        <item sd="0" m="1" x="7351"/>
        <item sd="0" m="1" x="211"/>
        <item sd="0" m="1" x="6135"/>
        <item sd="0" m="1" x="4147"/>
        <item sd="0" m="1" x="2137"/>
        <item sd="0" m="1" x="430"/>
        <item sd="0" m="1" x="6314"/>
        <item sd="0" m="1" x="4316"/>
        <item sd="0" m="1" x="2345"/>
        <item sd="0" m="1" x="1607"/>
        <item sd="0" m="1" x="7451"/>
        <item sd="0" m="1" x="5481"/>
        <item sd="0" m="1" x="1809"/>
        <item sd="0" m="1" x="7664"/>
        <item sd="0" m="1" x="5644"/>
        <item sd="0" m="1" x="2011"/>
        <item sd="0" m="1" x="145"/>
        <item sd="0" m="1" x="6584"/>
        <item sd="0" m="1" x="5591"/>
        <item sd="0" m="1" x="3592"/>
        <item sd="0" m="1" x="1387"/>
        <item sd="0" m="1" x="7192"/>
        <item sd="0" m="1" x="5252"/>
        <item sd="0" m="1" x="3205"/>
        <item sd="0" m="1" x="5761"/>
        <item sd="0" m="1" x="3755"/>
        <item sd="0" m="1" x="1565"/>
        <item sd="0" m="1" x="7398"/>
        <item sd="0" m="1" x="5442"/>
        <item sd="0" m="1" x="3410"/>
        <item sd="0" m="1" x="5925"/>
        <item sd="0" m="1" x="3949"/>
        <item sd="0" m="1" x="4888"/>
        <item sd="0" m="1" x="2729"/>
        <item sd="0" m="1" x="672"/>
        <item sd="0" m="1" x="6496"/>
        <item sd="0" m="1" x="5075"/>
        <item sd="0" m="1" x="2888"/>
        <item sd="0" m="1" x="870"/>
        <item sd="0" m="1" x="6665"/>
        <item sd="0" m="1" x="5275"/>
        <item sd="0" m="1" x="2139"/>
        <item sd="0" m="1" x="1"/>
        <item sd="0" m="1" x="5964"/>
        <item sd="0" m="1" x="3802"/>
        <item sd="0" m="1" x="2347"/>
        <item sd="0" m="1" x="239"/>
        <item sd="0" m="1" x="6156"/>
        <item sd="0" m="1" x="3999"/>
        <item sd="0" m="1" x="2549"/>
        <item sd="0" m="1" x="447"/>
        <item sd="0" m="1" x="5483"/>
        <item sd="0" m="1" x="3448"/>
        <item sd="0" m="1" x="1440"/>
        <item sd="0" m="1" x="7261"/>
        <item sd="0" m="1" x="5120"/>
        <item sd="0" m="1" x="3091"/>
        <item sd="0" m="1" x="5646"/>
        <item sd="0" m="1" x="3660"/>
        <item sd="0" m="1" x="1628"/>
        <item sd="0" m="1" x="7476"/>
        <item sd="0" m="1" x="5322"/>
        <item sd="0" m="1" x="3296"/>
        <item sd="0" m="1" x="5809"/>
        <item sd="0" m="1" x="3829"/>
        <item sd="0" m="1" x="1824"/>
        <item sd="0" m="1" x="7677"/>
        <item sd="0" m="1" x="4747"/>
        <item sd="0" m="1" x="2774"/>
        <item sd="0" m="1" x="568"/>
        <item sd="0" m="1" x="6405"/>
        <item sd="0" m="1" x="4413"/>
        <item sd="0" m="1" x="2471"/>
        <item sd="0" m="1" x="4967"/>
        <item sd="0" m="1" x="2938"/>
        <item sd="0" m="1" x="761"/>
        <item sd="0" m="1" x="6572"/>
        <item sd="0" m="1" x="4596"/>
        <item sd="0" m="1" x="2641"/>
        <item sd="0" m="1" x="5153"/>
        <item sd="0" m="1" x="3117"/>
        <item sd="0" m="1" x="6498"/>
        <item sd="0" m="1" x="4527"/>
        <item sd="0" m="1" x="2578"/>
        <item sd="0" m="1" x="479"/>
        <item sd="0" m="1" x="6667"/>
        <item sd="0" m="1" x="4715"/>
        <item sd="0" m="1" x="2742"/>
        <item sd="0" m="1" x="693"/>
        <item sd="0" m="1" x="6882"/>
        <item sd="0" m="1" x="4915"/>
        <item sd="0" m="1" x="7879"/>
        <item sd="0" m="1" x="5833"/>
        <item sd="0" m="1" x="3871"/>
        <item sd="0" m="1" x="1681"/>
        <item sd="0" m="1" x="7526"/>
        <item sd="0" m="1" x="75"/>
        <item sd="0" m="1" x="6036"/>
        <item sd="0" m="1" x="4063"/>
        <item sd="0" m="1" x="1872"/>
        <item sd="0" m="1" x="7723"/>
        <item sd="0" m="1" x="331"/>
        <item sd="0" m="1" x="6228"/>
        <item sd="0" m="1" x="4220"/>
        <item sd="0" m="1" x="1331"/>
        <item sd="0" m="1" x="7145"/>
        <item sd="0" m="1" x="5196"/>
        <item sd="0" m="1" x="2979"/>
        <item sd="0" m="1" x="994"/>
        <item sd="0" m="1" x="6799"/>
        <item sd="0" m="1" x="1514"/>
        <item sd="0" m="1" x="7340"/>
        <item sd="0" m="1" x="5390"/>
        <item sd="0" m="1" x="3162"/>
        <item sd="0" m="1" x="1195"/>
        <item sd="0" m="1" x="6982"/>
        <item sd="0" m="1" x="1718"/>
        <item sd="0" m="1" x="7565"/>
        <item sd="0" m="1" x="5569"/>
        <item sd="0" m="1" x="627"/>
        <item sd="0" m="1" x="6460"/>
        <item sd="0" m="1" x="4292"/>
        <item sd="0" m="1" x="2324"/>
        <item sd="0" m="1" x="208"/>
        <item sd="0" m="1" x="820"/>
        <item sd="0" m="1" x="6624"/>
        <item sd="0" m="1" x="4487"/>
        <item sd="0" m="1" x="2536"/>
        <item sd="0" m="1" x="427"/>
        <item sd="0" m="1" x="1025"/>
        <item sd="0" m="1" x="6828"/>
        <item sd="0" m="1" x="7655"/>
        <item sd="0" m="1" x="5626"/>
        <item sd="0" m="1" x="3642"/>
        <item sd="0" m="1" x="1606"/>
        <item sd="0" m="1" x="7851"/>
        <item sd="0" m="1" x="5802"/>
        <item sd="0" m="1" x="3813"/>
        <item sd="0" m="1" x="1808"/>
        <item sd="0" m="1" x="2419"/>
        <item sd="0" m="1" x="7707"/>
        <item sd="0" m="1" x="5689"/>
        <item sd="0" m="1" x="3536"/>
        <item sd="0" m="1" x="1498"/>
        <item sd="0" m="1" x="7324"/>
        <item sd="0" m="1" x="7893"/>
        <item sd="0" m="1" x="5845"/>
        <item sd="0" m="1" x="3712"/>
        <item sd="0" m="1" x="1703"/>
        <item sd="0" m="1" x="7548"/>
        <item sd="0" m="1" x="88"/>
        <item sd="0" m="1" x="6044"/>
        <item sd="0" m="1" x="6965"/>
        <item sd="0" m="1" x="6803"/>
        <item sd="0" m="1" x="4819"/>
        <item sd="0" m="1" x="2831"/>
        <item sd="0" m="1" x="809"/>
        <item sd="0" m="1" x="7154"/>
        <item sd="0" m="1" x="6986"/>
        <item sd="0" m="1" x="5027"/>
        <item sd="0" m="1" x="2998"/>
        <item sd="0" m="1" x="1016"/>
        <item sd="0" m="1" x="7352"/>
        <item sd="0" m="1" x="212"/>
        <item sd="0" m="1" x="6136"/>
        <item sd="0" m="1" x="4148"/>
        <item sd="0" m="1" x="2138"/>
        <item sd="0" m="1" x="431"/>
        <item sd="0" m="1" x="6315"/>
        <item sd="0" m="1" x="4317"/>
        <item sd="0" m="1" x="2346"/>
        <item sd="0" m="1" x="648"/>
        <item sd="0" m="1" x="1608"/>
        <item sd="0" m="1" x="7452"/>
        <item sd="0" m="1" x="5482"/>
        <item sd="0" m="1" x="3273"/>
        <item sd="0" m="1" x="1810"/>
        <item sd="0" m="1" x="7665"/>
        <item sd="0" m="1" x="5645"/>
        <item sd="0" m="1" x="3472"/>
        <item sd="0" m="1" x="2012"/>
        <item sd="0" m="1" x="7856"/>
        <item sd="0" m="1" x="4954"/>
        <item sd="0" m="1" x="2922"/>
        <item sd="0" m="1" x="927"/>
        <item sd="0" m="1" x="6723"/>
        <item sd="0" m="1" x="4575"/>
        <item sd="0" m="1" x="2624"/>
        <item sd="0" m="1" x="5140"/>
        <item sd="0" m="1" x="3107"/>
        <item sd="0" m="1" x="1144"/>
        <item sd="0" m="1" x="6930"/>
        <item sd="0" m="1" x="4760"/>
        <item sd="0" m="1" x="2786"/>
        <item sd="0" m="1" x="5336"/>
        <item sd="0" m="1" x="3309"/>
        <item sd="0" m="1" x="1304"/>
        <item sd="0" m="1" x="7127"/>
        <item sd="0" m="1" x="2730"/>
        <item sd="0" m="1" x="673"/>
        <item sd="0" m="1" x="6497"/>
        <item sd="0" m="1" x="2889"/>
        <item sd="0" m="1" x="871"/>
        <item sd="0" m="1" x="6666"/>
        <item sd="0" m="1" x="485"/>
        <item sd="0" m="1" x="6346"/>
        <item sd="0" m="1" x="4361"/>
        <item sd="0" m="1" x="2222"/>
        <item sd="0" m="1" x="63"/>
        <item sd="0" m="1" x="701"/>
        <item sd="0" m="1" x="6518"/>
        <item sd="0" m="1" x="4543"/>
        <item sd="0" m="1" x="2424"/>
        <item sd="0" m="1" x="324"/>
        <item sd="0" m="1" x="887"/>
        <item sd="0" m="1" x="6687"/>
        <item sd="0" m="1" x="4725"/>
        <item sd="0" m="1" x="1859"/>
        <item sd="0" m="1" x="7711"/>
        <item sd="0" m="1" x="5692"/>
        <item sd="0" m="1" x="3538"/>
        <item sd="0" m="1" x="1500"/>
        <item sd="0" m="1" x="7328"/>
        <item sd="0" m="1" x="2059"/>
        <item sd="0" m="1" x="7898"/>
        <item sd="0" m="1" x="5849"/>
        <item sd="0" m="1" x="3713"/>
        <item sd="0" m="1" x="1706"/>
        <item sd="0" m="1" x="7553"/>
        <item sd="0" m="1" x="2244"/>
        <item sd="0" m="1" x="90"/>
        <item sd="0" m="1" x="6046"/>
        <item sd="0" m="1" x="1186"/>
        <item sd="0" m="1" x="6971"/>
        <item sd="0" m="1" x="6809"/>
        <item sd="0" m="1" x="4824"/>
        <item sd="0" m="1" x="2833"/>
        <item sd="0" m="1" x="810"/>
        <item sd="0" m="1" x="1351"/>
        <item sd="0" m="1" x="7158"/>
        <item sd="0" m="1" x="6992"/>
        <item sd="0" m="1" x="5029"/>
        <item sd="0" m="1" x="3001"/>
        <item sd="0" m="1" x="1018"/>
        <item sd="0" m="1" x="1529"/>
        <item sd="0" m="1" x="7354"/>
        <item sd="0" m="1" x="220"/>
        <item sd="0" m="1" x="6141"/>
        <item sd="0" m="1" x="4152"/>
        <item sd="0" m="1" x="2142"/>
        <item sd="0" m="1" x="436"/>
        <item sd="0" m="1" x="6317"/>
        <item sd="0" m="1" x="4320"/>
        <item sd="0" m="1" x="2349"/>
        <item sd="0" m="1" x="5337"/>
        <item sd="0" m="1" x="6266"/>
        <item sd="0" m="1" x="4246"/>
        <item sd="0" m="1" x="2279"/>
        <item sd="0" m="1" x="132"/>
        <item sd="0" m="1" x="7942"/>
        <item sd="0" m="1" x="5896"/>
        <item sd="0" m="1" x="3932"/>
        <item sd="0" m="1" x="6429"/>
        <item sd="0" m="1" x="4435"/>
        <item sd="0" m="1" x="2487"/>
        <item sd="0" m="1" x="385"/>
        <item sd="0" m="1" x="152"/>
        <item sd="0" m="1" x="6095"/>
        <item sd="0" m="1" x="4113"/>
        <item sd="0" m="1" x="6585"/>
        <item sd="0" m="1" x="4615"/>
        <item sd="0" m="1" x="2650"/>
        <item sd="0" m="1" x="596"/>
        <item sd="0" m="1" x="5595"/>
        <item sd="0" m="1" x="3599"/>
        <item sd="0" m="1" x="1392"/>
        <item sd="0" m="1" x="7197"/>
        <item sd="0" m="1" x="5256"/>
        <item sd="0" m="1" x="3211"/>
        <item sd="0" m="1" x="5765"/>
        <item sd="0" m="1" x="3761"/>
        <item sd="0" m="1" x="1567"/>
        <item sd="0" m="1" x="7401"/>
        <item sd="0" m="1" x="5446"/>
        <item sd="0" m="1" x="3415"/>
        <item sd="0" m="1" x="5927"/>
        <item sd="0" m="1" x="3951"/>
        <item sd="0" m="1" x="4894"/>
        <item sd="0" m="1" x="2734"/>
        <item sd="0" m="1" x="676"/>
        <item sd="0" m="1" x="6499"/>
        <item sd="0" m="1" x="5081"/>
        <item sd="0" m="1" x="2891"/>
        <item sd="0" m="1" x="873"/>
        <item sd="0" m="1" x="6670"/>
        <item sd="0" m="1" x="5278"/>
        <item sd="0" m="1" x="2144"/>
        <item sd="0" m="1" x="5"/>
        <item sd="0" m="1" x="5968"/>
        <item sd="0" m="1" x="3806"/>
        <item sd="0" m="1" x="2352"/>
        <item sd="0" m="1" x="245"/>
        <item sd="0" m="1" x="6161"/>
        <item sd="0" m="1" x="4003"/>
        <item sd="0" m="1" x="2551"/>
        <item sd="0" m="1" x="450"/>
        <item sd="0" m="1" x="5489"/>
        <item sd="0" m="1" x="3454"/>
        <item sd="0" m="1" x="1445"/>
        <item sd="0" m="1" x="7267"/>
        <item sd="0" m="1" x="5124"/>
        <item sd="0" m="1" x="3094"/>
        <item sd="0" m="1" x="5651"/>
        <item sd="0" m="1" x="3664"/>
        <item sd="0" m="1" x="1633"/>
        <item sd="0" m="1" x="7481"/>
        <item sd="0" m="1" x="5325"/>
        <item sd="0" m="1" x="3298"/>
        <item sd="0" m="1" x="5812"/>
        <item sd="0" m="1" x="3832"/>
        <item sd="0" m="1" x="1826"/>
        <item sd="0" m="1" x="7678"/>
        <item sd="0" m="1" x="3213"/>
        <item sd="0" m="1" x="1236"/>
        <item sd="0" m="1" x="7046"/>
        <item sd="0" m="1" x="3417"/>
        <item sd="0" m="1" x="1411"/>
        <item sd="0" m="1" x="7218"/>
        <item sd="0" m="1" x="6502"/>
        <item sd="0" m="1" x="4530"/>
        <item sd="0" m="1" x="2580"/>
        <item sd="0" m="1" x="484"/>
        <item sd="0" m="1" x="6673"/>
        <item sd="0" m="1" x="4718"/>
        <item sd="0" m="1" x="2747"/>
        <item sd="0" m="1" x="699"/>
        <item sd="0" m="1" x="6886"/>
        <item sd="0" m="1" x="4918"/>
        <item sd="0" m="1" x="7881"/>
        <item sd="0" m="1" x="5834"/>
        <item sd="0" m="1" x="3875"/>
        <item sd="0" m="1" x="1685"/>
        <item sd="0" m="1" x="7530"/>
        <item sd="0" m="1" x="79"/>
        <item sd="0" m="1" x="6038"/>
        <item sd="0" m="1" x="4067"/>
        <item sd="0" m="1" x="1877"/>
        <item sd="0" m="1" x="7728"/>
        <item sd="0" m="1" x="334"/>
        <item sd="0" m="1" x="6230"/>
        <item sd="0" m="1" x="4221"/>
        <item sd="0" m="1" x="1334"/>
        <item sd="0" m="1" x="7147"/>
        <item sd="0" m="1" x="5200"/>
        <item sd="0" m="1" x="2983"/>
        <item sd="0" m="1" x="999"/>
        <item sd="0" m="1" x="6806"/>
        <item sd="0" m="1" x="1519"/>
        <item sd="0" m="1" x="7344"/>
        <item sd="0" m="1" x="5395"/>
        <item sd="0" m="1" x="3165"/>
        <item sd="0" m="1" x="1199"/>
        <item sd="0" m="1" x="6989"/>
        <item sd="0" m="1" x="1721"/>
        <item sd="0" m="1" x="7568"/>
        <item sd="0" m="1" x="5570"/>
        <item sd="0" m="1" x="629"/>
        <item sd="0" m="1" x="6464"/>
        <item sd="0" m="1" x="4297"/>
        <item sd="0" m="1" x="2328"/>
        <item sd="0" m="1" x="217"/>
        <item sd="0" m="1" x="824"/>
        <item sd="0" m="1" x="6628"/>
        <item sd="0" m="1" x="4491"/>
        <item sd="0" m="1" x="2539"/>
        <item sd="0" m="1" x="432"/>
        <item sd="0" m="1" x="1028"/>
        <item sd="0" m="1" x="6829"/>
        <item sd="0" m="1" x="1087"/>
        <item sd="0" m="1" x="486"/>
        <item sd="0" m="1" x="6347"/>
        <item sd="0" m="1" x="4362"/>
        <item sd="0" m="1" x="2223"/>
        <item sd="0" m="1" x="64"/>
        <item sd="0" m="1" x="6030"/>
        <item sd="0" m="1" x="702"/>
        <item sd="0" m="1" x="6519"/>
        <item sd="0" m="1" x="4544"/>
        <item sd="0" m="1" x="2425"/>
        <item sd="0" m="1" x="325"/>
        <item sd="0" m="1" x="6223"/>
        <item sd="0" m="1" x="888"/>
        <item sd="0" m="1" x="6688"/>
        <item sd="0" m="1" x="4726"/>
        <item sd="0" m="1" x="7712"/>
        <item sd="0" m="1" x="5693"/>
        <item sd="0" m="1" x="3539"/>
        <item sd="0" m="1" x="1501"/>
        <item sd="0" m="1" x="7329"/>
        <item sd="0" m="1" x="7899"/>
        <item sd="0" m="1" x="5850"/>
        <item sd="0" m="1" x="3714"/>
        <item sd="0" m="1" x="1707"/>
        <item sd="0" m="1" x="7554"/>
        <item sd="0" m="1" x="91"/>
        <item sd="0" m="1" x="6047"/>
        <item sd="0" m="1" x="6972"/>
        <item sd="0" m="1" x="6810"/>
        <item sd="0" m="1" x="4825"/>
        <item sd="0" m="1" x="2834"/>
        <item sd="0" m="1" x="811"/>
        <item sd="0" m="1" x="7159"/>
        <item sd="0" m="1" x="6993"/>
        <item sd="0" m="1" x="5030"/>
        <item sd="0" m="1" x="3002"/>
        <item sd="0" m="1" x="1019"/>
        <item sd="0" m="1" x="7355"/>
        <item sd="0" m="1" x="221"/>
        <item sd="0" m="1" x="6142"/>
        <item sd="0" m="1" x="4153"/>
        <item sd="0" m="1" x="2143"/>
        <item sd="0" m="1" x="437"/>
        <item sd="0" m="1" x="6318"/>
        <item sd="0" m="1" x="4321"/>
        <item sd="0" m="1" x="2350"/>
        <item sd="0" m="1" x="652"/>
        <item sd="0" m="1" x="1612"/>
        <item sd="0" m="1" x="7457"/>
        <item sd="0" m="1" x="5488"/>
        <item sd="0" m="1" x="3279"/>
        <item sd="0" m="1" x="1813"/>
        <item sd="0" m="1" x="7667"/>
        <item sd="0" m="1" x="5649"/>
        <item sd="0" m="1" x="3478"/>
        <item sd="0" m="1" x="2015"/>
        <item sd="0" m="1" x="3600"/>
        <item sd="0" m="1" x="1393"/>
        <item sd="0" m="1" x="7198"/>
        <item sd="0" m="1" x="5257"/>
        <item sd="0" m="1" x="3212"/>
        <item sd="0" m="1" x="3762"/>
        <item sd="0" m="1" x="1568"/>
        <item sd="0" m="1" x="7402"/>
        <item sd="0" m="1" x="5447"/>
        <item sd="0" m="1" x="3416"/>
        <item sd="0" m="1" x="3952"/>
        <item sd="0" m="1" x="2735"/>
        <item sd="0" m="1" x="677"/>
        <item sd="0" m="1" x="6500"/>
        <item sd="0" m="1" x="2892"/>
        <item sd="0" m="1" x="874"/>
        <item sd="0" m="1" x="6671"/>
        <item sd="0" m="1" x="2145"/>
        <item sd="0" m="1" x="6"/>
        <item sd="0" m="1" x="5969"/>
        <item sd="0" m="1" x="3807"/>
        <item sd="0" m="1" x="1801"/>
        <item sd="0" m="1" x="2353"/>
        <item sd="0" m="1" x="246"/>
        <item sd="0" m="1" x="6162"/>
        <item sd="0" m="1" x="4004"/>
        <item sd="0" m="1" x="2007"/>
        <item sd="0" m="1" x="2552"/>
        <item sd="0" m="1" x="451"/>
        <item sd="0" m="1" x="6324"/>
        <item sd="0" m="1" x="3455"/>
        <item sd="0" m="1" x="1446"/>
        <item sd="0" m="1" x="7268"/>
        <item sd="0" m="1" x="5125"/>
        <item sd="0" m="1" x="3095"/>
        <item sd="0" m="1" x="1135"/>
        <item sd="0" m="1" x="3665"/>
        <item sd="0" m="1" x="1634"/>
        <item sd="0" m="1" x="7482"/>
        <item sd="0" m="1" x="5326"/>
        <item sd="0" m="1" x="3299"/>
        <item sd="0" m="1" x="1298"/>
        <item sd="0" m="1" x="3833"/>
        <item sd="0" m="1" x="1827"/>
        <item sd="0" m="1" x="7679"/>
        <item sd="0" m="1" x="491"/>
        <item sd="0" m="1" x="6350"/>
        <item sd="0" m="1" x="4366"/>
        <item sd="0" m="1" x="2229"/>
        <item sd="0" m="1" x="68"/>
        <item sd="0" m="1" x="707"/>
        <item sd="0" m="1" x="6523"/>
        <item sd="0" m="1" x="4547"/>
        <item sd="0" m="1" x="2429"/>
        <item sd="0" m="1" x="327"/>
        <item sd="0" m="1" x="891"/>
        <item sd="0" m="1" x="6692"/>
        <item sd="0" m="1" x="4728"/>
        <item sd="0" m="1" x="228"/>
        <item sd="0" m="1" x="6148"/>
        <item sd="0" m="1" x="4159"/>
        <item sd="0" m="1" x="2152"/>
        <item sd="0" m="1" x="441"/>
        <item sd="0" m="1" x="6320"/>
        <item sd="0" m="1" x="4325"/>
        <item sd="0" m="1" x="2357"/>
        <item sd="0" m="1" x="1617"/>
        <item sd="0" m="1" x="7463"/>
        <item sd="0" m="1" x="5493"/>
        <item sd="0" m="1" x="1816"/>
        <item sd="0" m="1" x="7670"/>
        <item sd="0" m="1" x="5653"/>
        <item sd="0" m="1" x="2017"/>
        <item sd="0" m="1" x="4958"/>
        <item sd="0" m="1" x="2926"/>
        <item sd="0" m="1" x="933"/>
        <item sd="0" m="1" x="6730"/>
        <item sd="0" m="1" x="4584"/>
        <item sd="0" m="1" x="5146"/>
        <item sd="0" m="1" x="3110"/>
        <item sd="0" m="1" x="1148"/>
        <item sd="0" m="1" x="6935"/>
        <item sd="0" m="1" x="4771"/>
        <item sd="0" m="1" x="5340"/>
        <item sd="0" m="1" x="3311"/>
        <item sd="0" m="1" x="1306"/>
        <item sd="0" m="1" x="6268"/>
        <item sd="0" m="1" x="4247"/>
        <item sd="0" m="1" x="2281"/>
        <item sd="0" m="1" x="134"/>
        <item sd="0" m="1" x="7947"/>
        <item sd="0" m="1" x="5901"/>
        <item sd="0" m="1" x="3935"/>
        <item sd="0" m="1" x="6431"/>
        <item sd="0" m="1" x="4437"/>
        <item sd="0" m="1" x="2490"/>
        <item sd="0" m="1" x="387"/>
        <item sd="0" m="1" x="157"/>
        <item sd="0" m="1" x="6098"/>
        <item sd="0" m="1" x="4115"/>
        <item sd="0" m="1" x="6587"/>
        <item sd="0" m="1" x="4617"/>
        <item sd="0" m="1" x="2652"/>
        <item sd="0" m="1" x="597"/>
        <item sd="0" m="1" x="5596"/>
        <item sd="0" m="1" x="3601"/>
        <item sd="0" m="1" x="1399"/>
        <item sd="0" m="1" x="7204"/>
        <item sd="0" m="1" x="5260"/>
        <item sd="0" m="1" x="3217"/>
        <item sd="0" m="1" x="5767"/>
        <item sd="0" m="1" x="3763"/>
        <item sd="0" m="1" x="1571"/>
        <item sd="0" m="1" x="7406"/>
        <item sd="0" m="1" x="5449"/>
        <item sd="0" m="1" x="3418"/>
        <item sd="0" m="1" x="5929"/>
        <item sd="0" m="1" x="3953"/>
        <item sd="0" m="1" x="5495"/>
        <item sd="0" m="1" x="3462"/>
        <item sd="0" m="1" x="1453"/>
        <item sd="0" m="1" x="7276"/>
        <item sd="0" m="1" x="5130"/>
        <item sd="0" m="1" x="3099"/>
        <item sd="0" m="1" x="5656"/>
        <item sd="0" m="1" x="3670"/>
        <item sd="0" m="1" x="1643"/>
        <item sd="0" m="1" x="7490"/>
        <item sd="0" m="1" x="5328"/>
        <item sd="0" m="1" x="3302"/>
        <item sd="0" m="1" x="5815"/>
        <item sd="0" m="1" x="3836"/>
        <item sd="0" m="1" x="1831"/>
        <item sd="0" m="1" x="7682"/>
        <item sd="0" m="1" x="4753"/>
        <item sd="0" m="1" x="2781"/>
        <item sd="0" m="1" x="578"/>
        <item sd="0" m="1" x="6415"/>
        <item sd="0" m="1" x="4421"/>
        <item sd="0" m="1" x="2478"/>
        <item sd="0" m="1" x="4975"/>
        <item sd="0" m="1" x="2947"/>
        <item sd="0" m="1" x="768"/>
        <item sd="0" m="1" x="6577"/>
        <item sd="0" m="1" x="4604"/>
        <item sd="0" m="1" x="2644"/>
        <item sd="0" m="1" x="5158"/>
        <item sd="0" m="1" x="3122"/>
        <item sd="0" m="1" x="4101"/>
        <item sd="0" m="1" x="1949"/>
        <item sd="0" m="1" x="7795"/>
        <item sd="0" m="1" x="5754"/>
        <item sd="0" m="1" x="4263"/>
        <item sd="0" m="1" x="2111"/>
        <item sd="0" m="1" x="7964"/>
        <item sd="0" m="1" x="5917"/>
        <item sd="0" m="1" x="4448"/>
        <item sd="0" m="1" x="3219"/>
        <item sd="0" m="1" x="1241"/>
        <item sd="0" m="1" x="7051"/>
        <item sd="0" m="1" x="3420"/>
        <item sd="0" m="1" x="1415"/>
        <item sd="0" m="1" x="7222"/>
        <item sd="0" m="1" x="6505"/>
        <item sd="0" m="1" x="4533"/>
        <item sd="0" m="1" x="2582"/>
        <item sd="0" m="1" x="490"/>
        <item sd="0" m="1" x="6677"/>
        <item sd="0" m="1" x="4719"/>
        <item sd="0" m="1" x="2749"/>
        <item sd="0" m="1" x="704"/>
        <item sd="0" m="1" x="6889"/>
        <item sd="0" m="1" x="4920"/>
        <item sd="0" m="1" x="631"/>
        <item sd="0" m="1" x="6467"/>
        <item sd="0" m="1" x="4303"/>
        <item sd="0" m="1" x="2333"/>
        <item sd="0" m="1" x="225"/>
        <item sd="0" m="1" x="826"/>
        <item sd="0" m="1" x="6631"/>
        <item sd="0" m="1" x="4495"/>
        <item sd="0" m="1" x="2543"/>
        <item sd="0" m="1" x="438"/>
        <item sd="0" m="1" x="1029"/>
        <item sd="0" m="1" x="6830"/>
        <item sd="0" m="1" x="7659"/>
        <item sd="0" m="1" x="5630"/>
        <item sd="0" m="1" x="3646"/>
        <item sd="0" m="1" x="1615"/>
        <item sd="0" m="1" x="7853"/>
        <item sd="0" m="1" x="5804"/>
        <item sd="0" m="1" x="3819"/>
        <item sd="0" m="1" x="1814"/>
        <item sd="0" m="1" x="7055"/>
        <item sd="0" m="1" x="5068"/>
        <item sd="0" m="1" x="3050"/>
        <item sd="0" m="1" x="1074"/>
        <item sd="0" m="1" x="866"/>
        <item sd="0" m="1" x="6659"/>
        <item sd="0" m="1" x="7226"/>
        <item sd="0" m="1" x="5270"/>
        <item sd="0" m="1" x="3235"/>
        <item sd="0" m="1" x="1255"/>
        <item sd="0" m="1" x="1092"/>
        <item sd="0" m="1" x="6878"/>
        <item sd="0" m="1" x="7422"/>
        <item sd="0" m="1" x="5458"/>
        <item sd="0" m="1" x="3429"/>
        <item sd="0" m="1" x="492"/>
        <item sd="0" m="1" x="6351"/>
        <item sd="0" m="1" x="4367"/>
        <item sd="0" m="1" x="2230"/>
        <item sd="0" m="1" x="69"/>
        <item sd="0" m="1" x="6032"/>
        <item sd="0" m="1" x="708"/>
        <item sd="0" m="1" x="6524"/>
        <item sd="0" m="1" x="4548"/>
        <item sd="0" m="1" x="2430"/>
        <item sd="0" m="1" x="328"/>
        <item sd="0" m="1" x="6225"/>
        <item sd="0" m="1" x="892"/>
        <item sd="0" m="1" x="6693"/>
        <item sd="0" m="1" x="4729"/>
        <item sd="0" m="1" x="7715"/>
        <item sd="0" m="1" x="5697"/>
        <item sd="0" m="1" x="3547"/>
        <item sd="0" m="1" x="1507"/>
        <item sd="0" m="1" x="7333"/>
        <item sd="0" m="1" x="7901"/>
        <item sd="0" m="1" x="5852"/>
        <item sd="0" m="1" x="3718"/>
        <item sd="0" m="1" x="1711"/>
        <item sd="0" m="1" x="7558"/>
        <item sd="0" m="1" x="92"/>
        <item sd="0" m="1" x="6048"/>
        <item sd="0" m="1" x="1618"/>
        <item sd="0" m="1" x="7464"/>
        <item sd="0" m="1" x="5494"/>
        <item sd="0" m="1" x="3285"/>
        <item sd="0" m="1" x="1817"/>
        <item sd="0" m="1" x="7671"/>
        <item sd="0" m="1" x="5654"/>
        <item sd="0" m="1" x="3485"/>
        <item sd="0" m="1" x="2018"/>
        <item sd="0" m="1" x="7860"/>
        <item sd="0" m="1" x="4959"/>
        <item sd="0" m="1" x="2927"/>
        <item sd="0" m="1" x="934"/>
        <item sd="0" m="1" x="6731"/>
        <item sd="0" m="1" x="4585"/>
        <item sd="0" m="1" x="2632"/>
        <item sd="0" m="1" x="5147"/>
        <item sd="0" m="1" x="3111"/>
        <item sd="0" m="1" x="1149"/>
        <item sd="0" m="1" x="6936"/>
        <item sd="0" m="1" x="4772"/>
        <item sd="0" m="1" x="2793"/>
        <item sd="0" m="1" x="5341"/>
        <item sd="0" m="1" x="3312"/>
        <item sd="0" m="1" x="1307"/>
        <item sd="0" m="1" x="7129"/>
        <item sd="0" m="1" x="4248"/>
        <item sd="0" m="1" x="2282"/>
        <item sd="0" m="1" x="135"/>
        <item sd="0" m="1" x="7948"/>
        <item sd="0" m="1" x="5902"/>
        <item sd="0" m="1" x="3936"/>
        <item sd="0" m="1" x="1948"/>
        <item sd="0" m="1" x="4438"/>
        <item sd="0" m="1" x="2491"/>
        <item sd="0" m="1" x="388"/>
        <item sd="0" m="1" x="158"/>
        <item sd="0" m="1" x="6099"/>
        <item sd="0" m="1" x="4116"/>
        <item sd="0" m="1" x="2110"/>
        <item sd="0" m="1" x="4618"/>
        <item sd="0" m="1" x="2653"/>
        <item sd="0" m="1" x="598"/>
        <item sd="0" m="1" x="3602"/>
        <item sd="0" m="1" x="1400"/>
        <item sd="0" m="1" x="7205"/>
        <item sd="0" m="1" x="5261"/>
        <item sd="0" m="1" x="3218"/>
        <item sd="0" m="1" x="3764"/>
        <item sd="0" m="1" x="1572"/>
        <item sd="0" m="1" x="7407"/>
        <item sd="0" m="1" x="5450"/>
        <item sd="0" m="1" x="3419"/>
        <item sd="0" m="1" x="3954"/>
        <item sd="0" m="1" x="2737"/>
        <item sd="0" m="1" x="681"/>
        <item sd="0" m="1" x="6503"/>
        <item sd="0" m="1" x="2893"/>
        <item sd="0" m="1" x="877"/>
        <item sd="0" m="1" x="6675"/>
        <item sd="0" m="1" x="2434"/>
        <item sd="0" m="1" x="1870"/>
        <item sd="0" m="1" x="7722"/>
        <item sd="0" m="1" x="5703"/>
        <item sd="0" m="1" x="3551"/>
        <item sd="0" m="1" x="1512"/>
        <item sd="0" m="1" x="7338"/>
        <item sd="0" m="1" x="2067"/>
        <item sd="0" m="1" x="7906"/>
        <item sd="0" m="1" x="5857"/>
        <item sd="0" m="1" x="3721"/>
        <item sd="0" m="1" x="1715"/>
        <item sd="0" m="1" x="7562"/>
        <item sd="0" m="1" x="2245"/>
        <item sd="0" m="1" x="94"/>
        <item sd="0" m="1" x="6050"/>
        <item sd="0" m="1" x="1194"/>
        <item sd="0" m="1" x="6980"/>
        <item sd="0" m="1" x="6817"/>
        <item sd="0" m="1" x="4836"/>
        <item sd="0" m="1" x="2842"/>
        <item sd="0" m="1" x="818"/>
        <item sd="0" m="1" x="1360"/>
        <item sd="0" m="1" x="7165"/>
        <item sd="0" m="1" x="7000"/>
        <item sd="0" m="1" x="5033"/>
        <item sd="0" m="1" x="3006"/>
        <item sd="0" m="1" x="1023"/>
        <item sd="0" m="1" x="1531"/>
        <item sd="0" m="1" x="7357"/>
        <item sd="0" m="1" x="235"/>
        <item sd="0" m="1" x="6152"/>
        <item sd="0" m="1" x="4161"/>
        <item sd="0" m="1" x="2156"/>
        <item sd="0" m="1" x="445"/>
        <item sd="0" m="1" x="6321"/>
        <item sd="0" m="1" x="4327"/>
        <item sd="0" m="1" x="2360"/>
        <item sd="0" m="1" x="1623"/>
        <item sd="0" m="1" x="7470"/>
        <item sd="0" m="1" x="5498"/>
        <item sd="0" m="1" x="1821"/>
        <item sd="0" m="1" x="7674"/>
        <item sd="0" m="1" x="5657"/>
        <item sd="0" m="1" x="2020"/>
        <item sd="0" m="1" x="4963"/>
        <item sd="0" m="1" x="2933"/>
        <item sd="0" m="1" x="937"/>
        <item sd="0" m="1" x="6735"/>
        <item sd="0" m="1" x="4591"/>
        <item sd="0" m="1" x="5151"/>
        <item sd="0" m="1" x="3115"/>
        <item sd="0" m="1" x="1152"/>
        <item sd="0" m="1" x="6938"/>
        <item sd="0" m="1" x="4777"/>
        <item sd="0" m="1" x="5344"/>
        <item sd="0" m="1" x="3315"/>
        <item sd="0" m="1" x="1309"/>
        <item sd="0" m="1" x="4900"/>
        <item sd="0" m="1" x="2740"/>
        <item sd="0" m="1" x="687"/>
        <item sd="0" m="1" x="6507"/>
        <item sd="0" m="1" x="5087"/>
        <item sd="0" m="1" x="2894"/>
        <item sd="0" m="1" x="879"/>
        <item sd="0" m="1" x="6678"/>
        <item sd="0" m="1" x="5280"/>
        <item sd="0" m="1" x="2158"/>
        <item sd="0" m="1" x="16"/>
        <item sd="0" m="1" x="5979"/>
        <item sd="0" m="1" x="3811"/>
        <item sd="0" m="1" x="2362"/>
        <item sd="0" m="1" x="257"/>
        <item sd="0" m="1" x="6170"/>
        <item sd="0" m="1" x="4007"/>
        <item sd="0" m="1" x="2554"/>
        <item sd="0" m="1" x="456"/>
        <item sd="0" m="1" x="5500"/>
        <item sd="0" m="1" x="3467"/>
        <item sd="0" m="1" x="1457"/>
        <item sd="0" m="1" x="7280"/>
        <item sd="0" m="1" x="5136"/>
        <item sd="0" m="1" x="3104"/>
        <item sd="0" m="1" x="5660"/>
        <item sd="0" m="1" x="3673"/>
        <item sd="0" m="1" x="1650"/>
        <item sd="0" m="1" x="7496"/>
        <item sd="0" m="1" x="5332"/>
        <item sd="0" m="1" x="3306"/>
        <item sd="0" m="1" x="5817"/>
        <item sd="0" m="1" x="3838"/>
        <item sd="0" m="1" x="1835"/>
        <item sd="0" m="1" x="7685"/>
        <item sd="0" m="1" x="4758"/>
        <item sd="0" m="1" x="2785"/>
        <item sd="0" m="1" x="585"/>
        <item sd="0" m="1" x="6422"/>
        <item sd="0" m="1" x="4428"/>
        <item sd="0" m="1" x="2483"/>
        <item sd="0" m="1" x="4978"/>
        <item sd="0" m="1" x="2950"/>
        <item sd="0" m="1" x="773"/>
        <item sd="0" m="1" x="6581"/>
        <item sd="0" m="1" x="4610"/>
        <item sd="0" m="1" x="2648"/>
        <item sd="0" m="1" x="5160"/>
        <item sd="0" m="1" x="3124"/>
        <item sd="0" m="1" x="4106"/>
        <item sd="0" m="1" x="1955"/>
        <item sd="0" m="1" x="7803"/>
        <item sd="0" m="1" x="5759"/>
        <item sd="0" m="1" x="4266"/>
        <item sd="0" m="1" x="2114"/>
        <item sd="0" m="1" x="7967"/>
        <item sd="0" m="1" x="5921"/>
        <item sd="0" m="1" x="4449"/>
        <item sd="0" m="1" x="6891"/>
        <item sd="0" m="1" x="7887"/>
        <item sd="0" m="1" x="5840"/>
        <item sd="0" m="1" x="3883"/>
        <item sd="0" m="1" x="1695"/>
        <item sd="0" m="1" x="7540"/>
        <item sd="0" m="1" x="84"/>
        <item sd="0" m="1" x="6041"/>
        <item sd="0" m="1" x="4071"/>
        <item sd="0" m="1" x="1887"/>
        <item sd="0" m="1" x="7738"/>
        <item sd="0" m="1" x="338"/>
        <item sd="0" m="1" x="6232"/>
        <item sd="0" m="1" x="4222"/>
        <item sd="0" m="1" x="1340"/>
        <item sd="0" m="1" x="7149"/>
        <item sd="0" m="1" x="5209"/>
        <item sd="0" m="1" x="2991"/>
        <item sd="0" m="1" x="1009"/>
        <item sd="0" m="1" x="6814"/>
        <item sd="0" m="1" x="1524"/>
        <item sd="0" m="1" x="7348"/>
        <item sd="0" m="1" x="5403"/>
        <item sd="0" m="1" x="3170"/>
        <item sd="0" m="1" x="1205"/>
        <item sd="0" m="1" x="6997"/>
        <item sd="0" m="1" x="1725"/>
        <item sd="0" m="1" x="7572"/>
        <item sd="0" m="1" x="5571"/>
        <item sd="0" m="1" x="634"/>
        <item sd="0" m="1" x="6468"/>
        <item sd="0" m="1" x="4310"/>
        <item sd="0" m="1" x="2340"/>
        <item sd="0" m="1" x="232"/>
        <item sd="0" m="1" x="830"/>
        <item sd="0" m="1" x="6632"/>
        <item sd="0" m="1" x="4498"/>
        <item sd="0" m="1" x="2546"/>
        <item sd="0" m="1" x="442"/>
        <item sd="0" m="1" x="1032"/>
        <item sd="0" m="1" x="6831"/>
        <item sd="0" m="1" x="7663"/>
        <item sd="0" m="1" x="5638"/>
        <item sd="0" m="1" x="3652"/>
        <item sd="0" m="1" x="1621"/>
        <item sd="0" m="1" x="7855"/>
        <item sd="0" m="1" x="5806"/>
        <item sd="0" m="1" x="3824"/>
        <item sd="0" m="1" x="1819"/>
        <item sd="0" m="1" x="7061"/>
        <item sd="0" m="1" x="5074"/>
        <item sd="0" m="1" x="3054"/>
        <item sd="0" m="1" x="1080"/>
        <item sd="0" m="1" x="869"/>
        <item sd="0" m="1" x="6664"/>
        <item sd="0" m="1" x="7229"/>
        <item sd="0" m="1" x="5274"/>
        <item sd="0" m="1" x="3238"/>
        <item sd="0" m="1" x="1257"/>
        <item sd="0" m="1" x="1094"/>
        <item sd="0" m="1" x="6881"/>
        <item sd="0" m="1" x="7425"/>
        <item sd="0" m="1" x="5461"/>
        <item sd="0" m="1" x="3432"/>
        <item sd="0" m="1" x="6981"/>
        <item sd="0" m="1" x="6818"/>
        <item sd="0" m="1" x="4837"/>
        <item sd="0" m="1" x="2843"/>
        <item sd="0" m="1" x="819"/>
        <item sd="0" m="1" x="7166"/>
        <item sd="0" m="1" x="7001"/>
        <item sd="0" m="1" x="5034"/>
        <item sd="0" m="1" x="3007"/>
        <item sd="0" m="1" x="1024"/>
        <item sd="0" m="1" x="7358"/>
        <item sd="0" m="1" x="236"/>
        <item sd="0" m="1" x="6153"/>
        <item sd="0" m="1" x="4162"/>
        <item sd="0" m="1" x="2157"/>
        <item sd="0" m="1" x="446"/>
        <item sd="0" m="1" x="6322"/>
        <item sd="0" m="1" x="4328"/>
        <item sd="0" m="1" x="2361"/>
        <item sd="0" m="1" x="657"/>
        <item sd="0" m="1" x="1624"/>
        <item sd="0" m="1" x="7471"/>
        <item sd="0" m="1" x="5499"/>
        <item sd="0" m="1" x="3293"/>
        <item sd="0" m="1" x="1822"/>
        <item sd="0" m="1" x="7675"/>
        <item sd="0" m="1" x="5658"/>
        <item sd="0" m="1" x="3494"/>
        <item sd="0" m="1" x="2021"/>
        <item sd="0" m="1" x="7862"/>
        <item sd="0" m="1" x="4964"/>
        <item sd="0" m="1" x="2934"/>
        <item sd="0" m="1" x="938"/>
        <item sd="0" m="1" x="6736"/>
        <item sd="0" m="1" x="4592"/>
        <item sd="0" m="1" x="2638"/>
        <item sd="0" m="1" x="5152"/>
        <item sd="0" m="1" x="3116"/>
        <item sd="0" m="1" x="1153"/>
        <item sd="0" m="1" x="6939"/>
        <item sd="0" m="1" x="4778"/>
        <item sd="0" m="1" x="2797"/>
        <item sd="0" m="1" x="5345"/>
        <item sd="0" m="1" x="3316"/>
        <item sd="0" m="1" x="1310"/>
        <item sd="0" m="1" x="7130"/>
        <item sd="0" m="1" x="4252"/>
        <item sd="0" m="1" x="2286"/>
        <item sd="0" m="1" x="142"/>
        <item sd="0" m="1" x="7953"/>
        <item sd="0" m="1" x="5907"/>
        <item sd="0" m="1" x="3940"/>
        <item sd="0" m="1" x="1954"/>
        <item sd="0" m="1" x="4441"/>
        <item sd="0" m="1" x="2495"/>
        <item sd="0" m="1" x="392"/>
        <item sd="0" m="1" x="160"/>
        <item sd="0" m="1" x="6101"/>
        <item sd="0" m="1" x="4118"/>
        <item sd="0" m="1" x="2113"/>
        <item sd="0" m="1" x="4620"/>
        <item sd="0" m="1" x="2655"/>
        <item sd="0" m="1" x="599"/>
        <item sd="0" m="1" x="2159"/>
        <item sd="0" m="1" x="17"/>
        <item sd="0" m="1" x="5980"/>
        <item sd="0" m="1" x="3812"/>
        <item sd="0" m="1" x="1807"/>
        <item sd="0" m="1" x="2363"/>
        <item sd="0" m="1" x="258"/>
        <item sd="0" m="1" x="6171"/>
        <item sd="0" m="1" x="4008"/>
        <item sd="0" m="1" x="2010"/>
        <item sd="0" m="1" x="2555"/>
        <item sd="0" m="1" x="457"/>
        <item sd="0" m="1" x="6328"/>
        <item sd="0" m="1" x="3468"/>
        <item sd="0" m="1" x="1458"/>
        <item sd="0" m="1" x="7281"/>
        <item sd="0" m="1" x="5137"/>
        <item sd="0" m="1" x="3105"/>
        <item sd="0" m="1" x="1142"/>
        <item sd="0" m="1" x="3674"/>
        <item sd="0" m="1" x="1651"/>
        <item sd="0" m="1" x="7497"/>
        <item sd="0" m="1" x="5333"/>
        <item sd="0" m="1" x="3307"/>
        <item sd="0" m="1" x="1302"/>
        <item sd="0" m="1" x="3839"/>
        <item sd="0" m="1" x="1836"/>
        <item sd="0" m="1" x="7686"/>
        <item sd="0" m="1" x="504"/>
        <item sd="0" m="1" x="6361"/>
        <item sd="0" m="1" x="4373"/>
        <item sd="0" m="1" x="2236"/>
        <item sd="0" m="1" x="77"/>
        <item sd="0" m="1" x="713"/>
        <item sd="0" m="1" x="6531"/>
        <item sd="0" m="1" x="4554"/>
        <item sd="0" m="1" x="2435"/>
        <item sd="0" m="1" x="332"/>
        <item sd="0" m="1" x="897"/>
        <item sd="0" m="1" x="6698"/>
        <item sd="0" m="1" x="4732"/>
        <item sd="0" m="1" x="1875"/>
        <item sd="0" m="1" x="7726"/>
        <item sd="0" m="1" x="5706"/>
        <item sd="0" m="1" x="3555"/>
        <item sd="0" m="1" x="1517"/>
        <item sd="0" m="1" x="7342"/>
        <item sd="0" m="1" x="2070"/>
        <item sd="0" m="1" x="7909"/>
        <item sd="0" m="1" x="5861"/>
        <item sd="0" m="1" x="3723"/>
        <item sd="0" m="1" x="1719"/>
        <item sd="0" m="1" x="7566"/>
        <item sd="0" m="1" x="2250"/>
        <item sd="0" m="1" x="98"/>
        <item sd="0" m="1" x="6054"/>
        <item sd="0" m="1" x="1198"/>
        <item sd="0" m="1" x="6987"/>
        <item sd="0" m="1" x="6820"/>
        <item sd="0" m="1" x="4842"/>
        <item sd="0" m="1" x="2847"/>
        <item sd="0" m="1" x="822"/>
        <item sd="0" m="1" x="1363"/>
        <item sd="0" m="1" x="7168"/>
        <item sd="0" m="1" x="7004"/>
        <item sd="0" m="1" x="5036"/>
        <item sd="0" m="1" x="3009"/>
        <item sd="0" m="1" x="1026"/>
        <item sd="0" m="1" x="1534"/>
        <item sd="0" m="1" x="7361"/>
        <item sd="0" m="1" x="4968"/>
        <item sd="0" m="1" x="2939"/>
        <item sd="0" m="1" x="944"/>
        <item sd="0" m="1" x="6743"/>
        <item sd="0" m="1" x="4597"/>
        <item sd="0" m="1" x="5154"/>
        <item sd="0" m="1" x="3118"/>
        <item sd="0" m="1" x="1155"/>
        <item sd="0" m="1" x="6942"/>
        <item sd="0" m="1" x="4782"/>
        <item sd="0" m="1" x="5347"/>
        <item sd="0" m="1" x="3318"/>
        <item sd="0" m="1" x="1311"/>
        <item sd="0" m="1" x="6273"/>
        <item sd="0" m="1" x="4254"/>
        <item sd="0" m="1" x="2290"/>
        <item sd="0" m="1" x="149"/>
        <item sd="0" m="1" x="7956"/>
        <item sd="0" m="1" x="5910"/>
        <item sd="0" m="1" x="3941"/>
        <item sd="0" m="1" x="6434"/>
        <item sd="0" m="1" x="4443"/>
        <item sd="0" m="1" x="2499"/>
        <item sd="0" m="1" x="396"/>
        <item sd="0" m="1" x="165"/>
        <item sd="0" m="1" x="6104"/>
        <item sd="0" m="1" x="4120"/>
        <item sd="0" m="1" x="6593"/>
        <item sd="0" m="1" x="4623"/>
        <item sd="0" m="1" x="2658"/>
        <item sd="0" m="1" x="601"/>
        <item sd="0" m="1" x="5600"/>
        <item sd="0" m="1" x="3606"/>
        <item sd="0" m="1" x="1407"/>
        <item sd="0" m="1" x="7214"/>
        <item sd="0" m="1" x="5264"/>
        <item sd="0" m="1" x="3226"/>
        <item sd="0" m="1" x="5769"/>
        <item sd="0" m="1" x="3768"/>
        <item sd="0" m="1" x="1576"/>
        <item sd="0" m="1" x="7413"/>
        <item sd="0" m="1" x="5453"/>
        <item sd="0" m="1" x="3422"/>
        <item sd="0" m="1" x="5932"/>
        <item sd="0" m="1" x="3956"/>
        <item sd="0" m="1" x="4903"/>
        <item sd="0" m="1" x="2743"/>
        <item sd="0" m="1" x="694"/>
        <item sd="0" m="1" x="6511"/>
        <item sd="0" m="1" x="5089"/>
        <item sd="0" m="1" x="2895"/>
        <item sd="0" m="1" x="883"/>
        <item sd="0" m="1" x="6682"/>
        <item sd="0" m="1" x="5283"/>
        <item sd="0" m="1" x="2163"/>
        <item sd="0" m="1" x="19"/>
        <item sd="0" m="1" x="5983"/>
        <item sd="0" m="1" x="3816"/>
        <item sd="0" m="1" x="2366"/>
        <item sd="0" m="1" x="259"/>
        <item sd="0" m="1" x="6172"/>
        <item sd="0" m="1" x="4011"/>
        <item sd="0" m="1" x="2557"/>
        <item sd="0" m="1" x="458"/>
        <item sd="0" m="1" x="4110"/>
        <item sd="0" m="1" x="1958"/>
        <item sd="0" m="1" x="7809"/>
        <item sd="0" m="1" x="5764"/>
        <item sd="0" m="1" x="4272"/>
        <item sd="0" m="1" x="2116"/>
        <item sd="0" m="1" x="7971"/>
        <item sd="0" m="1" x="5926"/>
        <item sd="0" m="1" x="4452"/>
        <item sd="0" m="1" x="3228"/>
        <item sd="0" m="1" x="1250"/>
        <item sd="0" m="1" x="7065"/>
        <item sd="0" m="1" x="3424"/>
        <item sd="0" m="1" x="1420"/>
        <item sd="0" m="1" x="7230"/>
        <item sd="0" m="1" x="6514"/>
        <item sd="0" m="1" x="4541"/>
        <item sd="0" m="1" x="2591"/>
        <item sd="0" m="1" x="503"/>
        <item sd="0" m="1" x="6685"/>
        <item sd="0" m="1" x="4724"/>
        <item sd="0" m="1" x="2754"/>
        <item sd="0" m="1" x="712"/>
        <item sd="0" m="1" x="6896"/>
        <item sd="0" m="1" x="4925"/>
        <item sd="0" m="1" x="7894"/>
        <item sd="0" m="1" x="5846"/>
        <item sd="0" m="1" x="3885"/>
        <item sd="0" m="1" x="1704"/>
        <item sd="0" m="1" x="7549"/>
        <item sd="0" m="1" x="89"/>
        <item sd="0" m="1" x="6045"/>
        <item sd="0" m="1" x="4072"/>
        <item sd="0" m="1" x="1896"/>
        <item sd="0" m="1" x="7747"/>
        <item sd="0" m="1" x="344"/>
        <item sd="0" m="1" x="6236"/>
        <item sd="0" m="1" x="4225"/>
        <item sd="0" m="1" x="1347"/>
        <item sd="0" m="1" x="7155"/>
        <item sd="0" m="1" x="5214"/>
        <item sd="0" m="1" x="2999"/>
        <item sd="0" m="1" x="1017"/>
        <item sd="0" m="1" x="6819"/>
        <item sd="0" m="1" x="1528"/>
        <item sd="0" m="1" x="7353"/>
        <item sd="0" m="1" x="5407"/>
        <item sd="0" m="1" x="3174"/>
        <item sd="0" m="1" x="1209"/>
        <item sd="0" m="1" x="7003"/>
        <item sd="0" m="1" x="1731"/>
        <item sd="0" m="1" x="7577"/>
        <item sd="0" m="1" x="5575"/>
        <item sd="0" m="1" x="7066"/>
        <item sd="0" m="1" x="5080"/>
        <item sd="0" m="1" x="3058"/>
        <item sd="0" m="1" x="1085"/>
        <item sd="0" m="1" x="872"/>
        <item sd="0" m="1" x="6669"/>
        <item sd="0" m="1" x="7231"/>
        <item sd="0" m="1" x="5277"/>
        <item sd="0" m="1" x="3241"/>
        <item sd="0" m="1" x="1261"/>
        <item sd="0" m="1" x="1096"/>
        <item sd="0" m="1" x="6884"/>
        <item sd="0" m="1" x="7428"/>
        <item sd="0" m="1" x="5462"/>
        <item sd="0" m="1" x="3434"/>
        <item sd="0" m="1" x="505"/>
        <item sd="0" m="1" x="6362"/>
        <item sd="0" m="1" x="4374"/>
        <item sd="0" m="1" x="2237"/>
        <item sd="0" m="1" x="78"/>
        <item sd="0" m="1" x="6037"/>
        <item sd="0" m="1" x="714"/>
        <item sd="0" m="1" x="6532"/>
        <item sd="0" m="1" x="4555"/>
        <item sd="0" m="1" x="2436"/>
        <item sd="0" m="1" x="333"/>
        <item sd="0" m="1" x="6229"/>
        <item sd="0" m="1" x="898"/>
        <item sd="0" m="1" x="6699"/>
        <item sd="0" m="1" x="4733"/>
        <item sd="0" m="1" x="7727"/>
        <item sd="0" m="1" x="5707"/>
        <item sd="0" m="1" x="3556"/>
        <item sd="0" m="1" x="1518"/>
        <item sd="0" m="1" x="7343"/>
        <item sd="0" m="1" x="7910"/>
        <item sd="0" m="1" x="5862"/>
        <item sd="0" m="1" x="3724"/>
        <item sd="0" m="1" x="1720"/>
        <item sd="0" m="1" x="7567"/>
        <item sd="0" m="1" x="99"/>
        <item sd="0" m="1" x="6055"/>
        <item sd="0" m="1" x="6988"/>
        <item sd="0" m="1" x="6821"/>
        <item sd="0" m="1" x="4843"/>
        <item sd="0" m="1" x="2848"/>
        <item sd="0" m="1" x="823"/>
        <item sd="0" m="1" x="7169"/>
        <item sd="0" m="1" x="7005"/>
        <item sd="0" m="1" x="5037"/>
        <item sd="0" m="1" x="3010"/>
        <item sd="0" m="1" x="1027"/>
        <item sd="0" m="1" x="7362"/>
        <item sd="0" m="1" x="240"/>
        <item sd="0" m="1" x="6157"/>
        <item sd="0" m="1" x="4166"/>
        <item sd="0" m="1" x="2162"/>
        <item sd="0" m="1" x="448"/>
        <item sd="0" m="1" x="6323"/>
        <item sd="0" m="1" x="4330"/>
        <item sd="0" m="1" x="2365"/>
        <item sd="0" m="1" x="659"/>
        <item sd="0" m="1" x="5348"/>
        <item sd="0" m="1" x="4255"/>
        <item sd="0" m="1" x="2291"/>
        <item sd="0" m="1" x="150"/>
        <item sd="0" m="1" x="7957"/>
        <item sd="0" m="1" x="5911"/>
        <item sd="0" m="1" x="3942"/>
        <item sd="0" m="1" x="1957"/>
        <item sd="0" m="1" x="4444"/>
        <item sd="0" m="1" x="2500"/>
        <item sd="0" m="1" x="397"/>
        <item sd="0" m="1" x="166"/>
        <item sd="0" m="1" x="6105"/>
        <item sd="0" m="1" x="4121"/>
        <item sd="0" m="1" x="2115"/>
        <item sd="0" m="1" x="4624"/>
        <item sd="0" m="1" x="2659"/>
        <item sd="0" m="1" x="602"/>
        <item sd="0" m="1" x="3607"/>
        <item sd="0" m="1" x="1408"/>
        <item sd="0" m="1" x="7215"/>
        <item sd="0" m="1" x="5265"/>
        <item sd="0" m="1" x="3227"/>
        <item sd="0" m="1" x="3769"/>
        <item sd="0" m="1" x="1577"/>
        <item sd="0" m="1" x="7414"/>
        <item sd="0" m="1" x="5454"/>
        <item sd="0" m="1" x="3423"/>
        <item sd="0" m="1" x="3957"/>
        <item sd="0" m="1" x="2744"/>
        <item sd="0" m="1" x="695"/>
        <item sd="0" m="1" x="6512"/>
        <item sd="0" m="1" x="2896"/>
        <item sd="0" m="1" x="884"/>
        <item sd="0" m="1" x="6683"/>
        <item sd="0" m="1" x="2164"/>
        <item sd="0" m="1" x="20"/>
        <item sd="0" m="1" x="5984"/>
        <item sd="0" m="1" x="3817"/>
        <item sd="0" m="1" x="1811"/>
        <item sd="0" m="1" x="2367"/>
        <item sd="0" m="1" x="260"/>
        <item sd="0" m="1" x="6173"/>
        <item sd="0" m="1" x="4012"/>
        <item sd="0" m="1" x="2013"/>
        <item sd="0" m="1" x="2558"/>
        <item sd="0" m="1" x="459"/>
        <item sd="0" m="1" x="6329"/>
        <item sd="0" m="1" x="512"/>
        <item sd="0" m="1" x="6366"/>
        <item sd="0" m="1" x="4377"/>
        <item sd="0" m="1" x="2238"/>
        <item sd="0" m="1" x="80"/>
        <item sd="0" m="1" x="717"/>
        <item sd="0" m="1" x="6533"/>
        <item sd="0" m="1" x="4556"/>
        <item sd="0" m="1" x="2437"/>
        <item sd="0" m="1" x="335"/>
        <item sd="0" m="1" x="900"/>
        <item sd="0" m="1" x="6700"/>
        <item sd="0" m="1" x="4734"/>
        <item sd="0" m="1" x="247"/>
        <item sd="0" m="1" x="6163"/>
        <item sd="0" m="1" x="4170"/>
        <item sd="0" m="1" x="2168"/>
        <item sd="0" m="1" x="452"/>
        <item sd="0" m="1" x="6325"/>
        <item sd="0" m="1" x="4331"/>
        <item sd="0" m="1" x="2368"/>
        <item sd="0" m="1" x="1635"/>
        <item sd="0" m="1" x="7483"/>
        <item sd="0" m="1" x="5508"/>
        <item sd="0" m="1" x="1828"/>
        <item sd="0" m="1" x="7680"/>
        <item sd="0" m="1" x="5661"/>
        <item sd="0" m="1" x="2025"/>
        <item sd="0" m="1" x="4971"/>
        <item sd="0" m="1" x="2941"/>
        <item sd="0" m="1" x="948"/>
        <item sd="0" m="1" x="6748"/>
        <item sd="0" m="1" x="4601"/>
        <item sd="0" m="1" x="5156"/>
        <item sd="0" m="1" x="3120"/>
        <item sd="0" m="1" x="1156"/>
        <item sd="0" m="1" x="6943"/>
        <item sd="0" m="1" x="4786"/>
        <item sd="0" m="1" x="5351"/>
        <item sd="0" m="1" x="3322"/>
        <item sd="0" m="1" x="1313"/>
        <item sd="0" m="1" x="6278"/>
        <item sd="0" m="1" x="4259"/>
        <item sd="0" m="1" x="2294"/>
        <item sd="0" m="1" x="155"/>
        <item sd="0" m="1" x="7962"/>
        <item sd="0" m="1" x="5915"/>
        <item sd="0" m="1" x="3943"/>
        <item sd="0" m="1" x="6436"/>
        <item sd="0" m="1" x="4446"/>
        <item sd="0" m="1" x="2502"/>
        <item sd="0" m="1" x="398"/>
        <item sd="0" m="1" x="169"/>
        <item sd="0" m="1" x="6108"/>
        <item sd="0" m="1" x="4122"/>
        <item sd="0" m="1" x="6596"/>
        <item sd="0" m="1" x="4626"/>
        <item sd="0" m="1" x="2661"/>
        <item sd="0" m="1" x="606"/>
        <item sd="0" m="1" x="5603"/>
        <item sd="0" m="1" x="3608"/>
        <item sd="0" m="1" x="1412"/>
        <item sd="0" m="1" x="7219"/>
        <item sd="0" m="1" x="5266"/>
        <item sd="0" m="1" x="3230"/>
        <item sd="0" m="1" x="5770"/>
        <item sd="0" m="1" x="3770"/>
        <item sd="0" m="1" x="1579"/>
        <item sd="0" m="1" x="7416"/>
        <item sd="0" m="1" x="5455"/>
        <item sd="0" m="1" x="3425"/>
        <item sd="0" m="1" x="5934"/>
        <item sd="0" m="1" x="3959"/>
        <item sd="0" m="1" x="5510"/>
        <item sd="0" m="1" x="3481"/>
        <item sd="0" m="1" x="1463"/>
        <item sd="0" m="1" x="7288"/>
        <item sd="0" m="1" x="5144"/>
        <item sd="0" m="1" x="3109"/>
        <item sd="0" m="1" x="5663"/>
        <item sd="0" m="1" x="3677"/>
        <item sd="0" m="1" x="1654"/>
        <item sd="0" m="1" x="7501"/>
        <item sd="0" m="1" x="5338"/>
        <item sd="0" m="1" x="3310"/>
        <item sd="0" m="1" x="5819"/>
        <item sd="0" m="1" x="3840"/>
        <item sd="0" m="1" x="1838"/>
        <item sd="0" m="1" x="7688"/>
        <item sd="0" m="1" x="4770"/>
        <item sd="0" m="1" x="2792"/>
        <item sd="0" m="1" x="590"/>
        <item sd="0" m="1" x="6430"/>
        <item sd="0" m="1" x="4436"/>
        <item sd="0" m="1" x="2489"/>
        <item sd="0" m="1" x="4984"/>
        <item sd="0" m="1" x="2955"/>
        <item sd="0" m="1" x="777"/>
        <item sd="0" m="1" x="6586"/>
        <item sd="0" m="1" x="4616"/>
        <item sd="0" m="1" x="2651"/>
        <item sd="0" m="1" x="5164"/>
        <item sd="0" m="1" x="3128"/>
        <item sd="0" m="1" x="4114"/>
        <item sd="0" m="1" x="1961"/>
        <item sd="0" m="1" x="7810"/>
        <item sd="0" m="1" x="5766"/>
        <item sd="0" m="1" x="4273"/>
        <item sd="0" m="1" x="2118"/>
        <item sd="0" m="1" x="7972"/>
        <item sd="0" m="1" x="5928"/>
        <item sd="0" m="1" x="4455"/>
        <item sd="0" m="1" x="3232"/>
        <item sd="0" m="1" x="1252"/>
        <item sd="0" m="1" x="7069"/>
        <item sd="0" m="1" x="3427"/>
        <item sd="0" m="1" x="1421"/>
        <item sd="0" m="1" x="7232"/>
        <item sd="0" m="1" x="6520"/>
        <item sd="0" m="1" x="4545"/>
        <item sd="0" m="1" x="2595"/>
        <item sd="0" m="1" x="511"/>
        <item sd="0" m="1" x="6689"/>
        <item sd="0" m="1" x="4727"/>
        <item sd="0" m="1" x="2755"/>
        <item sd="0" m="1" x="716"/>
        <item sd="0" m="1" x="6898"/>
        <item sd="0" m="1" x="4927"/>
        <item sd="0" m="1" x="640"/>
        <item sd="0" m="1" x="6472"/>
        <item sd="0" m="1" x="4322"/>
        <item sd="0" m="1" x="2351"/>
        <item sd="0" m="1" x="244"/>
        <item sd="0" m="1" x="833"/>
        <item sd="0" m="1" x="6636"/>
        <item sd="0" m="1" x="4504"/>
        <item sd="0" m="1" x="2550"/>
        <item sd="0" m="1" x="449"/>
        <item sd="0" m="1" x="1037"/>
        <item sd="0" m="1" x="6835"/>
        <item sd="0" m="1" x="7668"/>
        <item sd="0" m="1" x="5650"/>
        <item sd="0" m="1" x="3663"/>
        <item sd="0" m="1" x="1632"/>
        <item sd="0" m="1" x="7858"/>
        <item sd="0" m="1" x="5811"/>
        <item sd="0" m="1" x="3831"/>
        <item sd="0" m="1" x="1825"/>
        <item sd="0" m="1" x="7070"/>
        <item sd="0" m="1" x="5083"/>
        <item sd="0" m="1" x="3060"/>
        <item sd="0" m="1" x="1088"/>
        <item sd="0" m="1" x="876"/>
        <item sd="0" m="1" x="6674"/>
        <item sd="0" m="1" x="7233"/>
        <item sd="0" m="1" x="5279"/>
        <item sd="0" m="1" x="3242"/>
        <item sd="0" m="1" x="1262"/>
        <item sd="0" m="1" x="1098"/>
        <item sd="0" m="1" x="6887"/>
        <item sd="0" m="1" x="7431"/>
        <item sd="0" m="1" x="5463"/>
        <item sd="0" m="1" x="3435"/>
        <item sd="0" m="1" x="513"/>
        <item sd="0" m="1" x="6367"/>
        <item sd="0" m="1" x="4378"/>
        <item sd="0" m="1" x="2239"/>
        <item sd="0" m="1" x="81"/>
        <item sd="0" m="1" x="6039"/>
        <item sd="0" m="1" x="718"/>
        <item sd="0" m="1" x="6534"/>
        <item sd="0" m="1" x="4557"/>
        <item sd="0" m="1" x="2438"/>
        <item sd="0" m="1" x="336"/>
        <item sd="0" m="1" x="6231"/>
        <item sd="0" m="1" x="901"/>
        <item sd="0" m="1" x="6701"/>
        <item sd="0" m="1" x="4735"/>
        <item sd="0" m="1" x="7732"/>
        <item sd="0" m="1" x="5711"/>
        <item sd="0" m="1" x="3559"/>
        <item sd="0" m="1" x="1520"/>
        <item sd="0" m="1" x="7345"/>
        <item sd="0" m="1" x="7912"/>
        <item sd="0" m="1" x="5864"/>
        <item sd="0" m="1" x="3725"/>
        <item sd="0" m="1" x="1722"/>
        <item sd="0" m="1" x="7569"/>
        <item sd="0" m="1" x="100"/>
        <item sd="0" m="1" x="6056"/>
        <item sd="0" m="1" x="1636"/>
        <item sd="0" m="1" x="7484"/>
        <item sd="0" m="1" x="5509"/>
        <item sd="0" m="1" x="3300"/>
        <item sd="0" m="1" x="1829"/>
        <item sd="0" m="1" x="7681"/>
        <item sd="0" m="1" x="5662"/>
        <item sd="0" m="1" x="3498"/>
        <item sd="0" m="1" x="2026"/>
        <item sd="0" m="1" x="7865"/>
        <item sd="0" m="1" x="4972"/>
        <item sd="0" m="1" x="2942"/>
        <item sd="0" m="1" x="949"/>
        <item sd="0" m="1" x="6749"/>
        <item sd="0" m="1" x="4602"/>
        <item sd="0" m="1" x="2643"/>
        <item sd="0" m="1" x="5157"/>
        <item sd="0" m="1" x="3121"/>
        <item sd="0" m="1" x="1157"/>
        <item sd="0" m="1" x="6944"/>
        <item sd="0" m="1" x="4787"/>
        <item sd="0" m="1" x="2801"/>
        <item sd="0" m="1" x="5352"/>
        <item sd="0" m="1" x="3323"/>
        <item sd="0" m="1" x="1314"/>
        <item sd="0" m="1" x="7133"/>
        <item sd="0" m="1" x="4260"/>
        <item sd="0" m="1" x="2295"/>
        <item sd="0" m="1" x="156"/>
        <item sd="0" m="1" x="7963"/>
        <item sd="0" m="1" x="5916"/>
        <item sd="0" m="1" x="3944"/>
        <item sd="0" m="1" x="1960"/>
        <item sd="0" m="1" x="4447"/>
        <item sd="0" m="1" x="2503"/>
        <item sd="0" m="1" x="399"/>
        <item sd="0" m="1" x="170"/>
        <item sd="0" m="1" x="6109"/>
        <item sd="0" m="1" x="4123"/>
        <item sd="0" m="1" x="2117"/>
        <item sd="0" m="1" x="4627"/>
        <item sd="0" m="1" x="2662"/>
        <item sd="0" m="1" x="607"/>
        <item sd="0" m="1" x="3609"/>
        <item sd="0" m="1" x="1413"/>
        <item sd="0" m="1" x="7220"/>
        <item sd="0" m="1" x="5267"/>
        <item sd="0" m="1" x="3231"/>
        <item sd="0" m="1" x="3771"/>
        <item sd="0" m="1" x="1580"/>
        <item sd="0" m="1" x="7417"/>
        <item sd="0" m="1" x="5456"/>
        <item sd="0" m="1" x="3426"/>
        <item sd="0" m="1" x="3960"/>
        <item sd="0" m="1" x="2748"/>
        <item sd="0" m="1" x="700"/>
        <item sd="0" m="1" x="6517"/>
        <item sd="0" m="1" x="2898"/>
        <item sd="0" m="1" x="886"/>
        <item sd="0" m="1" x="6686"/>
        <item sd="0" m="1" x="520"/>
        <item sd="0" m="1" x="6371"/>
        <item sd="0" m="1" x="4382"/>
        <item sd="0" m="1" x="2240"/>
        <item sd="0" m="1" x="82"/>
        <item sd="0" m="1" x="721"/>
        <item sd="0" m="1" x="6535"/>
        <item sd="0" m="1" x="4558"/>
        <item sd="0" m="1" x="2439"/>
        <item sd="0" m="1" x="337"/>
        <item sd="0" m="1" x="903"/>
        <item sd="0" m="1" x="6702"/>
        <item sd="0" m="1" x="4736"/>
        <item sd="0" m="1" x="1885"/>
        <item sd="0" m="1" x="7736"/>
        <item sd="0" m="1" x="5715"/>
        <item sd="0" m="1" x="3562"/>
        <item sd="0" m="1" x="1522"/>
        <item sd="0" m="1" x="7346"/>
        <item sd="0" m="1" x="2075"/>
        <item sd="0" m="1" x="7915"/>
        <item sd="0" m="1" x="5867"/>
        <item sd="0" m="1" x="3726"/>
        <item sd="0" m="1" x="1723"/>
        <item sd="0" m="1" x="7570"/>
        <item sd="0" m="1" x="2252"/>
        <item sd="0" m="1" x="102"/>
        <item sd="0" m="1" x="6058"/>
        <item sd="0" m="1" x="1204"/>
        <item sd="0" m="1" x="6995"/>
        <item sd="0" m="1" x="6824"/>
        <item sd="0" m="1" x="4847"/>
        <item sd="0" m="1" x="2851"/>
        <item sd="0" m="1" x="828"/>
        <item sd="0" m="1" x="1367"/>
        <item sd="0" m="1" x="7172"/>
        <item sd="0" m="1" x="7007"/>
        <item sd="0" m="1" x="5038"/>
        <item sd="0" m="1" x="3011"/>
        <item sd="0" m="1" x="1030"/>
        <item sd="0" m="1" x="1535"/>
        <item sd="0" m="1" x="7363"/>
        <item sd="0" m="1" x="252"/>
        <item sd="0" m="1" x="6166"/>
        <item sd="0" m="1" x="4174"/>
        <item sd="0" m="1" x="2171"/>
        <item sd="0" m="1" x="454"/>
        <item sd="0" m="1" x="6326"/>
        <item sd="0" m="1" x="4332"/>
        <item sd="0" m="1" x="2369"/>
        <item sd="0" m="1" x="1644"/>
        <item sd="0" m="1" x="7491"/>
        <item sd="0" m="1" x="5516"/>
        <item sd="0" m="1" x="1832"/>
        <item sd="0" m="1" x="7683"/>
        <item sd="0" m="1" x="5664"/>
        <item sd="0" m="1" x="2029"/>
        <item sd="0" m="1" x="171"/>
        <item sd="0" m="1" x="6600"/>
        <item sd="0" m="1" x="5605"/>
        <item sd="0" m="1" x="3611"/>
        <item sd="0" m="1" x="1416"/>
        <item sd="0" m="1" x="7223"/>
        <item sd="0" m="1" x="5269"/>
        <item sd="0" m="1" x="3234"/>
        <item sd="0" m="1" x="5771"/>
        <item sd="0" m="1" x="3772"/>
        <item sd="0" m="1" x="1582"/>
        <item sd="0" m="1" x="7419"/>
        <item sd="0" m="1" x="5457"/>
        <item sd="0" m="1" x="3428"/>
        <item sd="0" m="1" x="5936"/>
        <item sd="0" m="1" x="3962"/>
        <item sd="0" m="1" x="4909"/>
        <item sd="0" m="1" x="2750"/>
        <item sd="0" m="1" x="705"/>
        <item sd="0" m="1" x="6521"/>
        <item sd="0" m="1" x="5091"/>
        <item sd="0" m="1" x="2899"/>
        <item sd="0" m="1" x="889"/>
        <item sd="0" m="1" x="6690"/>
        <item sd="0" m="1" x="5284"/>
        <item sd="0" m="1" x="2173"/>
        <item sd="0" m="1" x="25"/>
        <item sd="0" m="1" x="5987"/>
        <item sd="0" m="1" x="3822"/>
        <item sd="0" m="1" x="2371"/>
        <item sd="0" m="1" x="261"/>
        <item sd="0" m="1" x="6174"/>
        <item sd="0" m="1" x="4016"/>
        <item sd="0" m="1" x="2561"/>
        <item sd="0" m="1" x="460"/>
        <item sd="0" m="1" x="5518"/>
        <item sd="0" m="1" x="3490"/>
        <item sd="0" m="1" x="1468"/>
        <item sd="0" m="1" x="7291"/>
        <item sd="0" m="1" x="5148"/>
        <item sd="0" m="1" x="3112"/>
        <item sd="0" m="1" x="5666"/>
        <item sd="0" m="1" x="3678"/>
        <item sd="0" m="1" x="1655"/>
        <item sd="0" m="1" x="7502"/>
        <item sd="0" m="1" x="5342"/>
        <item sd="0" m="1" x="3313"/>
        <item sd="0" m="1" x="5821"/>
        <item sd="0" m="1" x="3841"/>
        <item sd="0" m="1" x="1839"/>
        <item sd="0" m="1" x="7689"/>
        <item sd="0" m="1" x="4776"/>
        <item sd="0" m="1" x="2796"/>
        <item sd="0" m="1" x="591"/>
        <item sd="0" m="1" x="6432"/>
        <item sd="0" m="1" x="4439"/>
        <item sd="0" m="1" x="2494"/>
        <item sd="0" m="1" x="4986"/>
        <item sd="0" m="1" x="2956"/>
        <item sd="0" m="1" x="778"/>
        <item sd="0" m="1" x="6588"/>
        <item sd="0" m="1" x="4619"/>
        <item sd="0" m="1" x="2654"/>
        <item sd="0" m="1" x="5166"/>
        <item sd="0" m="1" x="3130"/>
        <item sd="0" m="1" x="6525"/>
        <item sd="0" m="1" x="4549"/>
        <item sd="0" m="1" x="2598"/>
        <item sd="0" m="1" x="519"/>
        <item sd="0" m="1" x="6694"/>
        <item sd="0" m="1" x="4730"/>
        <item sd="0" m="1" x="2756"/>
        <item sd="0" m="1" x="720"/>
        <item sd="0" m="1" x="6900"/>
        <item sd="0" m="1" x="4929"/>
        <item sd="0" m="1" x="7902"/>
        <item sd="0" m="1" x="5853"/>
        <item sd="0" m="1" x="3890"/>
        <item sd="0" m="1" x="1712"/>
        <item sd="0" m="1" x="7559"/>
        <item sd="0" m="1" x="93"/>
        <item sd="0" m="1" x="6049"/>
        <item sd="0" m="1" x="4074"/>
        <item sd="0" m="1" x="1902"/>
        <item sd="0" m="1" x="7752"/>
        <item sd="0" m="1" x="345"/>
        <item sd="0" m="1" x="6237"/>
        <item sd="0" m="1" x="4226"/>
        <item sd="0" m="1" x="1356"/>
        <item sd="0" m="1" x="7162"/>
        <item sd="0" m="1" x="5218"/>
        <item sd="0" m="1" x="3005"/>
        <item sd="0" m="1" x="1021"/>
        <item sd="0" m="1" x="6823"/>
        <item sd="0" m="1" x="1530"/>
        <item sd="0" m="1" x="7356"/>
        <item sd="0" m="1" x="5411"/>
        <item sd="0" m="1" x="3177"/>
        <item sd="0" m="1" x="1210"/>
        <item sd="0" m="1" x="7006"/>
        <item sd="0" m="1" x="1736"/>
        <item sd="0" m="1" x="7580"/>
        <item sd="0" m="1" x="5578"/>
        <item sd="0" m="1" x="644"/>
        <item sd="0" m="1" x="6474"/>
        <item sd="0" m="1" x="4326"/>
        <item sd="0" m="1" x="2358"/>
        <item sd="0" m="1" x="251"/>
        <item sd="0" m="1" x="834"/>
        <item sd="0" m="1" x="6638"/>
        <item sd="0" m="1" x="4507"/>
        <item sd="0" m="1" x="2553"/>
        <item sd="0" m="1" x="453"/>
        <item sd="0" m="1" x="1040"/>
        <item sd="0" m="1" x="6838"/>
        <item sd="0" m="1" x="7672"/>
        <item sd="0" m="1" x="5655"/>
        <item sd="0" m="1" x="3669"/>
        <item sd="0" m="1" x="1642"/>
        <item sd="0" m="1" x="7861"/>
        <item sd="0" m="1" x="5814"/>
        <item sd="0" m="1" x="3835"/>
        <item sd="0" m="1" x="1830"/>
        <item sd="0" m="1" x="2440"/>
        <item sd="0" m="1" x="7737"/>
        <item sd="0" m="1" x="5716"/>
        <item sd="0" m="1" x="3563"/>
        <item sd="0" m="1" x="1523"/>
        <item sd="0" m="1" x="7347"/>
        <item sd="0" m="1" x="7916"/>
        <item sd="0" m="1" x="5868"/>
        <item sd="0" m="1" x="3727"/>
        <item sd="0" m="1" x="1724"/>
        <item sd="0" m="1" x="7571"/>
        <item sd="0" m="1" x="103"/>
        <item sd="0" m="1" x="6059"/>
        <item sd="0" m="1" x="6996"/>
        <item sd="0" m="1" x="6825"/>
        <item sd="0" m="1" x="4848"/>
        <item sd="0" m="1" x="2852"/>
        <item sd="0" m="1" x="829"/>
        <item sd="0" m="1" x="7173"/>
        <item sd="0" m="1" x="7008"/>
        <item sd="0" m="1" x="5039"/>
        <item sd="0" m="1" x="3012"/>
        <item sd="0" m="1" x="1031"/>
        <item sd="0" m="1" x="7364"/>
        <item sd="0" m="1" x="253"/>
        <item sd="0" m="1" x="6167"/>
        <item sd="0" m="1" x="4175"/>
        <item sd="0" m="1" x="2172"/>
        <item sd="0" m="1" x="455"/>
        <item sd="0" m="1" x="6327"/>
        <item sd="0" m="1" x="4333"/>
        <item sd="0" m="1" x="2370"/>
        <item sd="0" m="1" x="662"/>
        <item sd="0" m="1" x="1645"/>
        <item sd="0" m="1" x="7492"/>
        <item sd="0" m="1" x="5517"/>
        <item sd="0" m="1" x="3303"/>
        <item sd="0" m="1" x="1833"/>
        <item sd="0" m="1" x="7684"/>
        <item sd="0" m="1" x="5665"/>
        <item sd="0" m="1" x="3500"/>
        <item sd="0" m="1" x="2030"/>
        <item sd="0" m="1" x="7867"/>
        <item sd="0" m="1" x="4976"/>
        <item sd="0" m="1" x="2948"/>
        <item sd="0" m="1" x="955"/>
        <item sd="0" m="1" x="6754"/>
        <item sd="0" m="1" x="4605"/>
        <item sd="0" m="1" x="2645"/>
        <item sd="0" m="1" x="5159"/>
        <item sd="0" m="1" x="3123"/>
        <item sd="0" m="1" x="1158"/>
        <item sd="0" m="1" x="6946"/>
        <item sd="0" m="1" x="4789"/>
        <item sd="0" m="1" x="2802"/>
        <item sd="0" m="1" x="5355"/>
        <item sd="0" m="1" x="3327"/>
        <item sd="0" m="1" x="1316"/>
        <item sd="0" m="1" x="7136"/>
        <item sd="0" m="1" x="2751"/>
        <item sd="0" m="1" x="706"/>
        <item sd="0" m="1" x="6522"/>
        <item sd="0" m="1" x="2900"/>
        <item sd="0" m="1" x="890"/>
        <item sd="0" m="1" x="6691"/>
        <item sd="0" m="1" x="2174"/>
        <item sd="0" m="1" x="26"/>
        <item sd="0" m="1" x="5988"/>
        <item sd="0" m="1" x="3823"/>
        <item sd="0" m="1" x="1818"/>
        <item sd="0" m="1" x="2372"/>
        <item sd="0" m="1" x="262"/>
        <item sd="0" m="1" x="6175"/>
        <item sd="0" m="1" x="4017"/>
        <item sd="0" m="1" x="2019"/>
        <item sd="0" m="1" x="2562"/>
        <item sd="0" m="1" x="461"/>
        <item sd="0" m="1" x="6332"/>
        <item sd="0" m="1" x="3491"/>
        <item sd="0" m="1" x="1469"/>
        <item sd="0" m="1" x="7292"/>
        <item sd="0" m="1" x="5149"/>
        <item sd="0" m="1" x="3113"/>
        <item sd="0" m="1" x="1151"/>
        <item sd="0" m="1" x="3679"/>
        <item sd="0" m="1" x="1656"/>
        <item sd="0" m="1" x="7503"/>
        <item sd="0" m="1" x="5343"/>
        <item sd="0" m="1" x="3314"/>
        <item sd="0" m="1" x="1308"/>
        <item sd="0" m="1" x="3842"/>
        <item sd="0" m="1" x="1840"/>
        <item sd="0" m="1" x="7690"/>
        <item sd="0" m="1" x="528"/>
        <item sd="0" m="1" x="6376"/>
        <item sd="0" m="1" x="4386"/>
        <item sd="0" m="1" x="2241"/>
        <item sd="0" m="1" x="85"/>
        <item sd="0" m="1" x="724"/>
        <item sd="0" m="1" x="6537"/>
        <item sd="0" m="1" x="4559"/>
        <item sd="0" m="1" x="2442"/>
        <item sd="0" m="1" x="340"/>
        <item sd="0" m="1" x="908"/>
        <item sd="0" m="1" x="6705"/>
        <item sd="0" m="1" x="4738"/>
        <item sd="0" m="1" x="1895"/>
        <item sd="0" m="1" x="7745"/>
        <item sd="0" m="1" x="5720"/>
        <item sd="0" m="1" x="3565"/>
        <item sd="0" m="1" x="1525"/>
        <item sd="0" m="1" x="7349"/>
        <item sd="0" m="1" x="2078"/>
        <item sd="0" m="1" x="7918"/>
        <item sd="0" m="1" x="5870"/>
        <item sd="0" m="1" x="3729"/>
        <item sd="0" m="1" x="1727"/>
        <item sd="0" m="1" x="7573"/>
        <item sd="0" m="1" x="2257"/>
        <item sd="0" m="1" x="106"/>
        <item sd="0" m="1" x="6062"/>
        <item sd="0" m="1" x="1652"/>
        <item sd="0" m="1" x="7498"/>
        <item sd="0" m="1" x="5522"/>
        <item sd="0" m="1" x="1837"/>
        <item sd="0" m="1" x="7687"/>
        <item sd="0" m="1" x="5667"/>
        <item sd="0" m="1" x="2036"/>
        <item sd="0" m="1" x="4979"/>
        <item sd="0" m="1" x="2951"/>
        <item sd="0" m="1" x="958"/>
        <item sd="0" m="1" x="6758"/>
        <item sd="0" m="1" x="4611"/>
        <item sd="0" m="1" x="5161"/>
        <item sd="0" m="1" x="3125"/>
        <item sd="0" m="1" x="1159"/>
        <item sd="0" m="1" x="6948"/>
        <item sd="0" m="1" x="4792"/>
        <item sd="0" m="1" x="5357"/>
        <item sd="0" m="1" x="3331"/>
        <item sd="0" m="1" x="1319"/>
        <item sd="0" m="1" x="6284"/>
        <item sd="0" m="1" x="4267"/>
        <item sd="0" m="1" x="2300"/>
        <item sd="0" m="1" x="163"/>
        <item sd="0" m="1" x="7968"/>
        <item sd="0" m="1" x="5922"/>
        <item sd="0" m="1" x="3947"/>
        <item sd="0" m="1" x="6437"/>
        <item sd="0" m="1" x="4450"/>
        <item sd="0" m="1" x="2504"/>
        <item sd="0" m="1" x="401"/>
        <item sd="0" m="1" x="174"/>
        <item sd="0" m="1" x="6112"/>
        <item sd="0" m="1" x="4124"/>
        <item sd="0" m="1" x="6602"/>
        <item sd="0" m="1" x="4631"/>
        <item sd="0" m="1" x="2666"/>
        <item sd="0" m="1" x="613"/>
        <item sd="0" m="1" x="5608"/>
        <item sd="0" m="1" x="3614"/>
        <item sd="0" m="1" x="1418"/>
        <item sd="0" m="1" x="7227"/>
        <item sd="0" m="1" x="5272"/>
        <item sd="0" m="1" x="3236"/>
        <item sd="0" m="1" x="5772"/>
        <item sd="0" m="1" x="3773"/>
        <item sd="0" m="1" x="1584"/>
        <item sd="0" m="1" x="7423"/>
        <item sd="0" m="1" x="5459"/>
        <item sd="0" m="1" x="3430"/>
        <item sd="0" m="1" x="5938"/>
        <item sd="0" m="1" x="3965"/>
        <item sd="0" m="1" x="4912"/>
        <item sd="0" m="1" x="2752"/>
        <item sd="0" m="1" x="710"/>
        <item sd="0" m="1" x="6527"/>
        <item sd="0" m="1" x="5092"/>
        <item sd="0" m="1" x="2901"/>
        <item sd="0" m="1" x="893"/>
        <item sd="0" m="1" x="6695"/>
        <item sd="0" m="1" x="5286"/>
        <item sd="0" m="1" x="5826"/>
        <item sd="0" m="1" x="4781"/>
        <item sd="0" m="1" x="2799"/>
        <item sd="0" m="1" x="594"/>
        <item sd="0" m="1" x="6433"/>
        <item sd="0" m="1" x="4442"/>
        <item sd="0" m="1" x="2498"/>
        <item sd="0" m="1" x="4989"/>
        <item sd="0" m="1" x="2957"/>
        <item sd="0" m="1" x="781"/>
        <item sd="0" m="1" x="6591"/>
        <item sd="0" m="1" x="4621"/>
        <item sd="0" m="1" x="2656"/>
        <item sd="0" m="1" x="5172"/>
        <item sd="0" m="1" x="3134"/>
        <item sd="0" m="1" x="4119"/>
        <item sd="0" m="1" x="1964"/>
        <item sd="0" m="1" x="7812"/>
        <item sd="0" m="1" x="5768"/>
        <item sd="0" m="1" x="4275"/>
        <item sd="0" m="1" x="2120"/>
        <item sd="0" m="1" x="7973"/>
        <item sd="0" m="1" x="5930"/>
        <item sd="0" m="1" x="4459"/>
        <item sd="0" m="1" x="3239"/>
        <item sd="0" m="1" x="1258"/>
        <item sd="0" m="1" x="7075"/>
        <item sd="0" m="1" x="3433"/>
        <item sd="0" m="1" x="1422"/>
        <item sd="0" m="1" x="7234"/>
        <item sd="0" m="1" x="6529"/>
        <item sd="0" m="1" x="4552"/>
        <item sd="0" m="1" x="2603"/>
        <item sd="0" m="1" x="527"/>
        <item sd="0" m="1" x="6697"/>
        <item sd="0" m="1" x="4731"/>
        <item sd="0" m="1" x="2757"/>
        <item sd="0" m="1" x="722"/>
        <item sd="0" m="1" x="6904"/>
        <item sd="0" m="1" x="4932"/>
        <item sd="0" m="1" x="7907"/>
        <item sd="0" m="1" x="5858"/>
        <item sd="0" m="1" x="3895"/>
        <item sd="0" m="1" x="1716"/>
        <item sd="0" m="1" x="7563"/>
        <item sd="0" m="1" x="95"/>
        <item sd="0" m="1" x="6051"/>
        <item sd="0" m="1" x="4075"/>
        <item sd="0" m="1" x="1905"/>
        <item sd="0" m="1" x="7755"/>
        <item sd="0" m="1" x="350"/>
        <item sd="0" m="1" x="6241"/>
        <item sd="0" m="1" x="4229"/>
        <item sd="0" m="1" x="7676"/>
        <item sd="0" m="1" x="5659"/>
        <item sd="0" m="1" x="3672"/>
        <item sd="0" m="1" x="1649"/>
        <item sd="0" m="1" x="7863"/>
        <item sd="0" m="1" x="5816"/>
        <item sd="0" m="1" x="3837"/>
        <item sd="0" m="1" x="1834"/>
        <item sd="0" m="1" x="7076"/>
        <item sd="0" m="1" x="5088"/>
        <item sd="0" m="1" x="3064"/>
        <item sd="0" m="1" x="1095"/>
        <item sd="0" m="1" x="882"/>
        <item sd="0" m="1" x="6681"/>
        <item sd="0" m="1" x="7236"/>
        <item sd="0" m="1" x="5282"/>
        <item sd="0" m="1" x="3243"/>
        <item sd="0" m="1" x="1263"/>
        <item sd="0" m="1" x="1102"/>
        <item sd="0" m="1" x="6893"/>
        <item sd="0" m="1" x="7437"/>
        <item sd="0" m="1" x="5466"/>
        <item sd="0" m="1" x="3436"/>
        <item sd="0" m="1" x="529"/>
        <item sd="0" m="1" x="6377"/>
        <item sd="0" m="1" x="4387"/>
        <item sd="0" m="1" x="2242"/>
        <item sd="0" m="1" x="86"/>
        <item sd="0" m="1" x="6042"/>
        <item sd="0" m="1" x="725"/>
        <item sd="0" m="1" x="6538"/>
        <item sd="0" m="1" x="4560"/>
        <item sd="0" m="1" x="2443"/>
        <item sd="0" m="1" x="341"/>
        <item sd="0" m="1" x="6233"/>
        <item sd="0" m="1" x="909"/>
        <item sd="0" m="1" x="6706"/>
        <item sd="0" m="1" x="4739"/>
        <item sd="0" m="1" x="7746"/>
        <item sd="0" m="1" x="5721"/>
        <item sd="0" m="1" x="3566"/>
        <item sd="0" m="1" x="1526"/>
        <item sd="0" m="1" x="7350"/>
        <item sd="0" m="1" x="7919"/>
        <item sd="0" m="1" x="5871"/>
        <item sd="0" m="1" x="3730"/>
        <item sd="0" m="1" x="1728"/>
        <item sd="0" m="1" x="7574"/>
        <item sd="0" m="1" x="107"/>
        <item sd="0" m="1" x="6063"/>
        <item sd="0" m="1" x="7002"/>
        <item sd="0" m="1" x="6827"/>
        <item sd="0" m="1" x="4851"/>
        <item sd="0" m="1" x="2854"/>
        <item sd="0" m="1" x="832"/>
        <item sd="0" m="1" x="7175"/>
        <item sd="0" m="1" x="7009"/>
        <item sd="0" m="1" x="5040"/>
        <item sd="0" m="1" x="3013"/>
        <item sd="0" m="1" x="1033"/>
        <item sd="0" m="1" x="7367"/>
        <item sd="0" m="1" x="3501"/>
        <item sd="0" m="1" x="4980"/>
        <item sd="0" m="1" x="2952"/>
        <item sd="0" m="1" x="959"/>
        <item sd="0" m="1" x="6759"/>
        <item sd="0" m="1" x="4612"/>
        <item sd="0" m="1" x="2649"/>
        <item sd="0" m="1" x="5162"/>
        <item sd="0" m="1" x="3126"/>
        <item sd="0" m="1" x="1160"/>
        <item sd="0" m="1" x="6949"/>
        <item sd="0" m="1" x="4793"/>
        <item sd="0" m="1" x="2803"/>
        <item sd="0" m="1" x="5358"/>
        <item sd="0" m="1" x="3332"/>
        <item sd="0" m="1" x="1320"/>
        <item sd="0" m="1" x="7140"/>
        <item sd="0" m="1" x="4268"/>
        <item sd="0" m="1" x="2301"/>
        <item sd="0" m="1" x="164"/>
        <item sd="0" m="1" x="7969"/>
        <item sd="0" m="1" x="5923"/>
        <item sd="0" m="1" x="3948"/>
        <item sd="0" m="1" x="1963"/>
        <item sd="0" m="1" x="4451"/>
        <item sd="0" m="1" x="2505"/>
        <item sd="0" m="1" x="402"/>
        <item sd="0" m="1" x="175"/>
        <item sd="0" m="1" x="6113"/>
        <item sd="0" m="1" x="4125"/>
        <item sd="0" m="1" x="2119"/>
        <item sd="0" m="1" x="4632"/>
        <item sd="0" m="1" x="2667"/>
        <item sd="0" m="1" x="614"/>
        <item sd="0" m="1" x="3615"/>
        <item sd="0" m="1" x="1419"/>
        <item sd="0" m="1" x="7228"/>
        <item sd="0" m="1" x="5273"/>
        <item sd="0" m="1" x="3237"/>
        <item sd="0" m="1" x="3774"/>
        <item sd="0" m="1" x="1585"/>
        <item sd="0" m="1" x="7424"/>
        <item sd="0" m="1" x="5460"/>
        <item sd="0" m="1" x="3431"/>
        <item sd="0" m="1" x="3966"/>
        <item sd="0" m="1" x="2753"/>
        <item sd="0" m="1" x="711"/>
        <item sd="0" m="1" x="6528"/>
        <item sd="0" m="1" x="2902"/>
        <item sd="0" m="1" x="894"/>
        <item sd="0" m="1" x="6696"/>
        <item sd="0" m="1" x="2179"/>
        <item sd="0" m="1" x="30"/>
        <item sd="0" m="1" x="5991"/>
        <item sd="0" m="1" x="3828"/>
        <item sd="0" m="1" x="1823"/>
        <item sd="0" m="1" x="2373"/>
        <item sd="0" m="1" x="263"/>
        <item sd="0" m="1" x="6176"/>
        <item sd="0" m="1" x="4020"/>
        <item sd="0" m="1" x="2022"/>
        <item sd="0" m="1" x="2566"/>
        <item sd="0" m="1" x="462"/>
        <item sd="0" m="1" x="6333"/>
        <item sd="0" m="1" x="798"/>
        <item sd="0" m="1" x="6448"/>
        <item sd="0" m="1" x="4466"/>
        <item sd="0" m="1" x="2516"/>
        <item sd="0" m="1" x="1004"/>
        <item sd="0" m="1" x="6615"/>
        <item sd="0" m="1" x="4659"/>
        <item sd="0" m="1" x="2682"/>
        <item sd="0" m="1" x="1202"/>
        <item sd="0" m="1" x="1988"/>
        <item sd="0" m="1" x="7832"/>
        <item sd="0" m="1" x="5786"/>
        <item sd="0" m="1" x="3785"/>
        <item sd="0" m="1" x="2148"/>
        <item sd="0" m="1" x="7"/>
        <item sd="0" m="1" x="5970"/>
        <item sd="0" m="1" x="3986"/>
        <item sd="0" m="1" x="2354"/>
        <item sd="0" m="1" x="3258"/>
        <item sd="0" m="1" x="1271"/>
        <item sd="0" m="1" x="7100"/>
        <item sd="0" m="1" x="5102"/>
        <item sd="0" m="1" x="4945"/>
        <item sd="0" m="1" x="3458"/>
        <item sd="0" m="1" x="1447"/>
        <item sd="0" m="1" x="7269"/>
        <item sd="0" m="1" x="5305"/>
        <item sd="0" m="1" x="5127"/>
        <item sd="0" m="1" x="3666"/>
        <item sd="0" m="1" x="1637"/>
        <item sd="0" m="1" x="4566"/>
        <item sd="0" m="1" x="2614"/>
        <item sd="0" m="1" x="552"/>
        <item sd="0" m="1" x="6253"/>
        <item sd="0" m="1" x="4236"/>
        <item sd="0" m="1" x="4751"/>
        <item sd="0" m="1" x="2777"/>
        <item sd="0" m="1" x="748"/>
        <item sd="0" m="1" x="6412"/>
        <item sd="0" m="1" x="4419"/>
        <item sd="0" m="1" x="4973"/>
        <item sd="0" m="1" x="2943"/>
        <item sd="0" m="1" x="950"/>
        <item sd="0" m="1" x="5879"/>
        <item sd="0" m="1" x="3919"/>
        <item sd="0" m="1" x="1927"/>
        <item sd="0" m="1" x="7592"/>
        <item sd="0" m="1" x="5587"/>
        <item sd="0" m="1" x="3582"/>
        <item sd="0" m="1" x="6081"/>
        <item sd="0" m="1" x="4099"/>
        <item sd="0" m="1" x="2097"/>
        <item sd="0" m="1" x="7791"/>
        <item sd="0" m="1" x="5752"/>
        <item sd="0" m="1" x="3747"/>
        <item sd="0" m="1" x="6280"/>
        <item sd="0" m="1" x="4261"/>
        <item sd="0" m="1" x="2296"/>
        <item sd="0" m="1" x="3787"/>
        <item sd="0" m="1" x="1792"/>
        <item sd="0" m="1" x="7647"/>
        <item sd="0" m="1" x="5470"/>
        <item sd="0" m="1" x="3437"/>
        <item sd="0" m="1" x="3990"/>
        <item sd="0" m="1" x="2001"/>
        <item sd="0" m="1" x="7846"/>
        <item sd="0" m="1" x="5632"/>
        <item sd="0" m="1" x="3649"/>
        <item sd="0" m="1" x="4173"/>
        <item sd="0" m="1" x="2170"/>
        <item sd="0" m="1" x="24"/>
        <item sd="0" m="1" x="5104"/>
        <item sd="0" m="1" x="3082"/>
        <item sd="0" m="1" x="1119"/>
        <item sd="0" m="1" x="6713"/>
        <item sd="0" m="1" x="4742"/>
        <item sd="0" m="1" x="2765"/>
        <item sd="0" m="1" x="5310"/>
        <item sd="0" m="1" x="3286"/>
        <item sd="0" m="1" x="1289"/>
        <item sd="0" m="1" x="6921"/>
        <item sd="0" m="1" x="4960"/>
        <item sd="0" m="1" x="2928"/>
        <item sd="0" m="1" x="5514"/>
        <item sd="0" m="1" x="3486"/>
        <item sd="0" m="1" x="1465"/>
        <item sd="0" m="1" x="4405"/>
        <item sd="0" m="1" x="2460"/>
        <item sd="0" m="1" x="118"/>
        <item sd="0" m="1" x="6072"/>
        <item sd="0" m="1" x="4087"/>
        <item sd="0" m="1" x="4586"/>
        <item sd="0" m="1" x="2633"/>
        <item sd="0" m="1" x="373"/>
        <item sd="0" m="1" x="6269"/>
        <item sd="0" m="1" x="4249"/>
        <item sd="0" m="1" x="4773"/>
        <item sd="0" m="1" x="2794"/>
        <item sd="0" m="1" x="3584"/>
        <item sd="0" m="1" x="1546"/>
        <item sd="0" m="1" x="7379"/>
        <item sd="0" m="1" x="5419"/>
        <item sd="0" m="1" x="3749"/>
        <item sd="0" m="1" x="1761"/>
        <item sd="0" m="1" x="7611"/>
        <item sd="0" m="1" x="5597"/>
        <item sd="0" m="1" x="4879"/>
        <item sd="0" m="1" x="2872"/>
        <item sd="0" m="1" x="850"/>
        <item sd="0" m="1" x="5065"/>
        <item sd="0" m="1" x="3046"/>
        <item sd="0" m="1" x="1069"/>
        <item sd="0" m="1" x="5268"/>
        <item sd="0" m="1" x="2060"/>
        <item sd="0" m="1" x="984"/>
        <item sd="0" m="1" x="6788"/>
        <item sd="0" m="1" x="4645"/>
        <item sd="0" m="1" x="2673"/>
        <item sd="0" m="1" x="622"/>
        <item sd="0" m="1" x="6447"/>
        <item sd="0" m="1" x="1188"/>
        <item sd="0" m="1" x="6974"/>
        <item sd="0" m="1" x="4827"/>
        <item sd="0" m="1" x="2836"/>
        <item sd="0" m="1" x="812"/>
        <item sd="0" m="1" x="6614"/>
        <item sd="0" m="1" x="1353"/>
        <item sd="0" m="1" x="7160"/>
        <item sd="0" m="1" x="194"/>
        <item sd="0" m="1" x="5953"/>
        <item sd="0" m="1" x="3977"/>
        <item sd="0" m="1" x="1986"/>
        <item sd="0" m="1" x="7831"/>
        <item sd="0" m="1" x="420"/>
        <item sd="0" m="1" x="6143"/>
        <item sd="0" m="1" x="4155"/>
        <item sd="0" m="1" x="2146"/>
        <item sd="0" m="1" x="641"/>
        <item sd="0" m="1" x="7247"/>
        <item sd="0" m="1" x="5294"/>
        <item sd="0" m="1" x="3256"/>
        <item sd="0" m="1" x="7458"/>
        <item sd="0" m="1" x="5490"/>
        <item sd="0" m="1" x="3456"/>
        <item sd="0" m="1" x="852"/>
        <item sd="0" m="1" x="6649"/>
        <item sd="0" m="1" x="4703"/>
        <item sd="0" m="1" x="2723"/>
        <item sd="0" m="1" x="469"/>
        <item sd="0" m="1" x="6336"/>
        <item sd="0" m="1" x="1072"/>
        <item sd="0" m="1" x="6870"/>
        <item sd="0" m="1" x="4896"/>
        <item sd="0" m="1" x="2883"/>
        <item sd="0" m="1" x="683"/>
        <item sd="0" m="1" x="6506"/>
        <item sd="0" m="1" x="1254"/>
        <item sd="0" m="1" x="7072"/>
        <item sd="0" m="1" x="5084"/>
        <item sd="0" m="1" x="3061"/>
        <item sd="0" m="1" x="50"/>
        <item sd="0" m="1" x="6015"/>
        <item sd="0" m="1" x="4035"/>
        <item sd="0" m="1" x="3861"/>
        <item sd="0" m="1" x="1847"/>
        <item sd="0" m="1" x="7697"/>
        <item sd="0" m="1" x="5676"/>
        <item sd="0" m="1" x="308"/>
        <item sd="0" m="1" x="6210"/>
        <item sd="0" m="1" x="4210"/>
        <item sd="0" m="1" x="4054"/>
        <item sd="0" m="1" x="2048"/>
        <item sd="0" m="1" x="7883"/>
        <item sd="0" m="1" x="5836"/>
        <item sd="0" m="1" x="515"/>
        <item sd="0" m="1" x="6368"/>
        <item sd="0" m="1" x="4379"/>
        <item sd="0" m="1" x="1989"/>
        <item sd="0" m="1" x="7833"/>
        <item sd="0" m="1" x="5787"/>
        <item sd="0" m="1" x="3786"/>
        <item sd="0" m="1" x="2149"/>
        <item sd="0" m="1" x="8"/>
        <item sd="0" m="1" x="5971"/>
        <item sd="0" m="1" x="3987"/>
        <item sd="0" m="1" x="2355"/>
        <item sd="0" m="1" x="248"/>
        <item sd="0" m="1" x="3259"/>
        <item sd="0" m="1" x="1272"/>
        <item sd="0" m="1" x="7101"/>
        <item sd="0" m="1" x="5103"/>
        <item sd="0" m="1" x="4946"/>
        <item sd="0" m="1" x="2914"/>
        <item sd="0" m="1" x="3459"/>
        <item sd="0" m="1" x="1448"/>
        <item sd="0" m="1" x="7270"/>
        <item sd="0" m="1" x="5306"/>
        <item sd="0" m="1" x="5128"/>
        <item sd="0" m="1" x="3097"/>
        <item sd="0" m="1" x="3667"/>
        <item sd="0" m="1" x="1638"/>
        <item sd="0" m="1" x="7485"/>
        <item sd="0" m="1" x="4567"/>
        <item sd="0" m="1" x="2615"/>
        <item sd="0" m="1" x="553"/>
        <item sd="0" m="1" x="6254"/>
        <item sd="0" m="1" x="4237"/>
        <item sd="0" m="1" x="2271"/>
        <item sd="0" m="1" x="4752"/>
        <item sd="0" m="1" x="2778"/>
        <item sd="0" m="1" x="749"/>
        <item sd="0" m="1" x="6413"/>
        <item sd="0" m="1" x="4420"/>
        <item sd="0" m="1" x="2476"/>
        <item sd="0" m="1" x="4974"/>
        <item sd="0" m="1" x="2944"/>
        <item sd="0" m="1" x="951"/>
        <item sd="0" m="1" x="3920"/>
        <item sd="0" m="1" x="1928"/>
        <item sd="0" m="1" x="7593"/>
        <item sd="0" m="1" x="5588"/>
        <item sd="0" m="1" x="3583"/>
        <item sd="0" m="1" x="4100"/>
        <item sd="0" m="1" x="2098"/>
        <item sd="0" m="1" x="7792"/>
        <item sd="0" m="1" x="5753"/>
        <item sd="0" m="1" x="3748"/>
        <item sd="0" m="1" x="4262"/>
        <item sd="0" m="1" x="2297"/>
        <item sd="0" m="1" x="3194"/>
        <item sd="0" m="1" x="3028"/>
        <item sd="0" m="1" x="1050"/>
        <item sd="0" m="1" x="6854"/>
        <item sd="0" m="1" x="4878"/>
        <item sd="0" m="1" x="3403"/>
        <item sd="0" m="1" x="3214"/>
        <item sd="0" m="1" x="1238"/>
        <item sd="0" m="1" x="7048"/>
        <item sd="0" m="1" x="5064"/>
        <item sd="0" m="1" x="3610"/>
        <item sd="0" m="1" x="5633"/>
        <item sd="0" m="1" x="3083"/>
        <item sd="0" m="1" x="1120"/>
        <item sd="0" m="1" x="6714"/>
        <item sd="0" m="1" x="4743"/>
        <item sd="0" m="1" x="2766"/>
        <item sd="0" m="1" x="3287"/>
        <item sd="0" m="1" x="1290"/>
        <item sd="0" m="1" x="6922"/>
        <item sd="0" m="1" x="4961"/>
        <item sd="0" m="1" x="2929"/>
        <item sd="0" m="1" x="3487"/>
        <item sd="0" m="1" x="1466"/>
        <item sd="0" m="1" x="2209"/>
        <item sd="0" m="1" x="54"/>
        <item sd="0" m="1" x="6020"/>
        <item sd="0" m="1" x="4042"/>
        <item sd="0" m="1" x="3866"/>
        <item sd="0" m="1" x="1851"/>
        <item sd="0" m="1" x="7702"/>
        <item sd="0" m="1" x="2413"/>
        <item sd="0" m="1" x="315"/>
        <item sd="0" m="1" x="6215"/>
        <item sd="0" m="1" x="4215"/>
        <item sd="0" m="1" x="4058"/>
        <item sd="0" m="1" x="2051"/>
        <item sd="0" m="1" x="7888"/>
        <item sd="0" m="1" x="2600"/>
        <item sd="0" m="1" x="522"/>
        <item sd="0" m="1" x="6372"/>
        <item sd="0" m="1" x="4383"/>
        <item sd="0" m="1" x="1492"/>
        <item sd="0" m="1" x="7318"/>
        <item sd="0" m="1" x="5189"/>
        <item sd="0" m="1" x="3144"/>
        <item sd="0" m="1" x="1176"/>
        <item sd="0" m="1" x="6958"/>
        <item sd="0" m="1" x="1696"/>
        <item sd="0" m="1" x="7541"/>
        <item sd="0" m="1" x="5384"/>
        <item sd="0" m="1" x="3358"/>
        <item sd="0" m="1" x="1341"/>
        <item sd="0" m="1" x="7150"/>
        <item sd="0" m="1" x="1888"/>
        <item sd="0" m="1" x="7739"/>
        <item sd="0" m="1" x="804"/>
        <item sd="0" m="1" x="6454"/>
        <item sd="0" m="1" x="4470"/>
        <item sd="0" m="1" x="2521"/>
        <item sd="0" m="1" x="1010"/>
        <item sd="0" m="1" x="6620"/>
        <item sd="0" m="1" x="4663"/>
        <item sd="0" m="1" x="2686"/>
        <item sd="0" m="1" x="1206"/>
        <item sd="0" m="1" x="1993"/>
        <item sd="0" m="1" x="7838"/>
        <item sd="0" m="1" x="5791"/>
        <item sd="0" m="1" x="3793"/>
        <item sd="0" m="1" x="2154"/>
        <item sd="0" m="1" x="12"/>
        <item sd="0" m="1" x="5975"/>
        <item sd="0" m="1" x="3991"/>
        <item sd="0" m="1" x="6419"/>
        <item sd="0" m="1" x="5883"/>
        <item sd="0" m="1" x="3925"/>
        <item sd="0" m="1" x="1935"/>
        <item sd="0" m="1" x="7596"/>
        <item sd="0" m="1" x="5590"/>
        <item sd="0" m="1" x="3588"/>
        <item sd="0" m="1" x="6085"/>
        <item sd="0" m="1" x="4104"/>
        <item sd="0" m="1" x="2102"/>
        <item sd="0" m="1" x="7798"/>
        <item sd="0" m="1" x="5758"/>
        <item sd="0" m="1" x="3752"/>
        <item sd="0" m="1" x="6282"/>
        <item sd="0" m="1" x="4264"/>
        <item sd="0" m="1" x="2298"/>
        <item sd="0" m="1" x="5248"/>
        <item sd="0" m="1" x="3199"/>
        <item sd="0" m="1" x="3031"/>
        <item sd="0" m="1" x="1053"/>
        <item sd="0" m="1" x="6857"/>
        <item sd="0" m="1" x="4882"/>
        <item sd="0" m="1" x="5439"/>
        <item sd="0" m="1" x="3406"/>
        <item sd="0" m="1" x="3220"/>
        <item sd="0" m="1" x="1243"/>
        <item sd="0" m="1" x="7056"/>
        <item sd="0" m="1" x="5069"/>
        <item sd="0" m="1" x="5606"/>
        <item sd="0" m="1" x="3612"/>
        <item sd="0" m="1" x="4347"/>
        <item sd="0" m="1" x="2384"/>
        <item sd="0" m="1" x="289"/>
        <item sd="0" m="1" x="6192"/>
        <item sd="0" m="1" x="4534"/>
        <item sd="0" m="1" x="2583"/>
        <item sd="0" m="1" x="493"/>
        <item sd="0" m="1" x="6352"/>
        <item sd="0" m="1" x="3795"/>
        <item sd="0" m="1" x="1797"/>
        <item sd="0" m="1" x="7653"/>
        <item sd="0" m="1" x="5476"/>
        <item sd="0" m="1" x="3441"/>
        <item sd="0" m="1" x="3995"/>
        <item sd="0" m="1" x="2003"/>
        <item sd="0" m="1" x="7848"/>
        <item sd="0" m="1" x="5641"/>
        <item sd="0" m="1" x="3656"/>
        <item sd="0" m="1" x="4178"/>
        <item sd="0" m="1" x="2176"/>
        <item sd="0" m="1" x="27"/>
        <item sd="0" m="1" x="5114"/>
        <item sd="0" m="1" x="3089"/>
        <item sd="0" m="1" x="1128"/>
        <item sd="0" m="1" x="6720"/>
        <item sd="0" m="1" x="4745"/>
        <item sd="0" m="1" x="2770"/>
        <item sd="0" m="1" x="5318"/>
        <item sd="0" m="1" x="3294"/>
        <item sd="0" m="1" x="1294"/>
        <item sd="0" m="1" x="6928"/>
        <item sd="0" m="1" x="4965"/>
        <item sd="0" m="1" x="2935"/>
        <item sd="0" m="1" x="5521"/>
        <item sd="0" m="1" x="3495"/>
        <item sd="0" m="1" x="1470"/>
        <item sd="0" m="1" x="4884"/>
        <item sd="0" m="1" x="2875"/>
        <item sd="0" m="1" x="855"/>
        <item sd="0" m="1" x="5071"/>
        <item sd="0" m="1" x="3051"/>
        <item sd="0" m="1" x="1076"/>
        <item sd="0" m="1" x="5271"/>
        <item sd="0" m="1" x="6194"/>
        <item sd="0" m="1" x="4199"/>
        <item sd="0" m="1" x="2205"/>
        <item sd="0" m="1" x="7876"/>
        <item sd="0" m="1" x="6354"/>
        <item sd="0" m="1" x="4368"/>
        <item sd="0" m="1" x="2408"/>
        <item sd="0" m="1" x="72"/>
        <item sd="0" m="1" x="6526"/>
        <item sd="0" m="1" x="4550"/>
        <item sd="0" m="1" x="1673"/>
        <item sd="0" m="1" x="7518"/>
        <item sd="0" m="1" x="5545"/>
        <item sd="0" m="1" x="3526"/>
        <item sd="0" m="1" x="1329"/>
        <item sd="0" m="1" x="7144"/>
        <item sd="0" m="1" x="1865"/>
        <item sd="0" m="1" x="7716"/>
        <item sd="0" m="1" x="5698"/>
        <item sd="0" m="1" x="3704"/>
        <item sd="0" m="1" x="1511"/>
        <item sd="0" m="1" x="7337"/>
        <item sd="0" m="1" x="2064"/>
        <item sd="0" m="1" x="7903"/>
        <item sd="0" m="1" x="5854"/>
        <item sd="0" m="1" x="3891"/>
        <item sd="0" m="1" x="989"/>
        <item sd="0" m="1" x="6794"/>
        <item sd="0" m="1" x="4649"/>
        <item sd="0" m="1" x="2676"/>
        <item sd="0" m="1" x="625"/>
        <item sd="0" m="1" x="6453"/>
        <item sd="0" m="1" x="1192"/>
        <item sd="0" m="1" x="6978"/>
        <item sd="0" m="1" x="4832"/>
        <item sd="0" m="1" x="2840"/>
        <item sd="0" m="1" x="816"/>
        <item sd="0" m="1" x="6619"/>
        <item sd="0" m="1" x="1358"/>
        <item sd="0" m="1" x="7163"/>
        <item sd="0" m="1" x="202"/>
        <item sd="0" m="1" x="5957"/>
        <item sd="0" m="1" x="3980"/>
        <item sd="0" m="1" x="1992"/>
        <item sd="0" m="1" x="425"/>
        <item sd="0" m="1" x="6149"/>
        <item sd="0" m="1" x="4160"/>
        <item sd="0" m="1" x="2153"/>
        <item sd="0" m="1" x="645"/>
        <item sd="0" m="1" x="1256"/>
        <item sd="0" m="1" x="55"/>
        <item sd="0" m="1" x="6021"/>
        <item sd="0" m="1" x="4043"/>
        <item sd="0" m="1" x="3867"/>
        <item sd="0" m="1" x="1852"/>
        <item sd="0" m="1" x="7703"/>
        <item sd="0" m="1" x="5684"/>
        <item sd="0" m="1" x="316"/>
        <item sd="0" m="1" x="6216"/>
        <item sd="0" m="1" x="4216"/>
        <item sd="0" m="1" x="4059"/>
        <item sd="0" m="1" x="2052"/>
        <item sd="0" m="1" x="7889"/>
        <item sd="0" m="1" x="5841"/>
        <item sd="0" m="1" x="523"/>
        <item sd="0" m="1" x="6373"/>
        <item sd="0" m="1" x="4384"/>
        <item sd="0" m="1" x="7319"/>
        <item sd="0" m="1" x="5190"/>
        <item sd="0" m="1" x="3145"/>
        <item sd="0" m="1" x="1177"/>
        <item sd="0" m="1" x="6959"/>
        <item sd="0" m="1" x="7542"/>
        <item sd="0" m="1" x="5385"/>
        <item sd="0" m="1" x="3359"/>
        <item sd="0" m="1" x="1342"/>
        <item sd="0" m="1" x="7151"/>
        <item sd="0" m="1" x="7740"/>
        <item sd="0" m="1" x="6455"/>
        <item sd="0" m="1" x="4471"/>
        <item sd="0" m="1" x="2522"/>
        <item sd="0" m="1" x="6621"/>
        <item sd="0" m="1" x="4664"/>
        <item sd="0" m="1" x="2687"/>
        <item sd="0" m="1" x="1994"/>
        <item sd="0" m="1" x="7839"/>
        <item sd="0" m="1" x="5792"/>
        <item sd="0" m="1" x="3794"/>
        <item sd="0" m="1" x="2155"/>
        <item sd="0" m="1" x="13"/>
        <item sd="0" m="1" x="5976"/>
        <item sd="0" m="1" x="3992"/>
        <item sd="0" m="1" x="2359"/>
        <item sd="0" m="1" x="254"/>
        <item sd="0" m="1" x="3266"/>
        <item sd="0" m="1" x="1277"/>
        <item sd="0" m="1" x="7109"/>
        <item sd="0" m="1" x="5112"/>
        <item sd="0" m="1" x="4951"/>
        <item sd="0" m="1" x="2919"/>
        <item sd="0" m="1" x="3465"/>
        <item sd="0" m="1" x="1454"/>
        <item sd="0" m="1" x="7277"/>
        <item sd="0" m="1" x="5314"/>
        <item sd="0" m="1" x="5134"/>
        <item sd="0" m="1" x="3102"/>
        <item sd="0" m="1" x="3671"/>
        <item sd="0" m="1" x="1646"/>
        <item sd="0" m="1" x="7493"/>
        <item sd="0" m="1" x="3200"/>
        <item sd="0" m="1" x="3032"/>
        <item sd="0" m="1" x="1054"/>
        <item sd="0" m="1" x="6858"/>
        <item sd="0" m="1" x="4883"/>
        <item sd="0" m="1" x="3407"/>
        <item sd="0" m="1" x="3221"/>
        <item sd="0" m="1" x="1244"/>
        <item sd="0" m="1" x="7057"/>
        <item sd="0" m="1" x="5070"/>
        <item sd="0" m="1" x="3613"/>
        <item sd="0" m="1" x="4348"/>
        <item sd="0" m="1" x="2385"/>
        <item sd="0" m="1" x="290"/>
        <item sd="0" m="1" x="6193"/>
        <item sd="0" m="1" x="4535"/>
        <item sd="0" m="1" x="2584"/>
        <item sd="0" m="1" x="494"/>
        <item sd="0" m="1" x="6353"/>
        <item sd="0" m="1" x="4720"/>
        <item sd="0" m="1" x="3796"/>
        <item sd="0" m="1" x="1798"/>
        <item sd="0" m="1" x="7654"/>
        <item sd="0" m="1" x="5477"/>
        <item sd="0" m="1" x="3442"/>
        <item sd="0" m="1" x="1436"/>
        <item sd="0" m="1" x="3996"/>
        <item sd="0" m="1" x="2004"/>
        <item sd="0" m="1" x="7849"/>
        <item sd="0" m="1" x="5642"/>
        <item sd="0" m="1" x="3657"/>
        <item sd="0" m="1" x="1625"/>
        <item sd="0" m="1" x="4179"/>
        <item sd="0" m="1" x="2177"/>
        <item sd="0" m="1" x="28"/>
        <item sd="0" m="1" x="2217"/>
        <item sd="0" m="1" x="60"/>
        <item sd="0" m="1" x="6026"/>
        <item sd="0" m="1" x="4048"/>
        <item sd="0" m="1" x="3872"/>
        <item sd="0" m="1" x="1856"/>
        <item sd="0" m="1" x="7708"/>
        <item sd="0" m="1" x="2420"/>
        <item sd="0" m="1" x="321"/>
        <item sd="0" m="1" x="6220"/>
        <item sd="0" m="1" x="4218"/>
        <item sd="0" m="1" x="4064"/>
        <item sd="0" m="1" x="2056"/>
        <item sd="0" m="1" x="7895"/>
        <item sd="0" m="1" x="2604"/>
        <item sd="0" m="1" x="530"/>
        <item sd="0" m="1" x="6378"/>
        <item sd="0" m="1" x="4388"/>
        <item sd="0" m="1" x="1499"/>
        <item sd="0" m="1" x="7325"/>
        <item sd="0" m="1" x="5197"/>
        <item sd="0" m="1" x="3150"/>
        <item sd="0" m="1" x="1182"/>
        <item sd="0" m="1" x="6966"/>
        <item sd="0" m="1" x="1705"/>
        <item sd="0" m="1" x="7550"/>
        <item sd="0" m="1" x="5391"/>
        <item sd="0" m="1" x="3365"/>
        <item sd="0" m="1" x="1348"/>
        <item sd="0" m="1" x="7156"/>
        <item sd="0" m="1" x="1897"/>
        <item sd="0" m="1" x="7748"/>
        <item sd="0" m="1" x="2364"/>
        <item sd="0" m="1" x="3274"/>
        <item sd="0" m="1" x="1281"/>
        <item sd="0" m="1" x="7112"/>
        <item sd="0" m="1" x="5119"/>
        <item sd="0" m="1" x="4955"/>
        <item sd="0" m="1" x="3473"/>
        <item sd="0" m="1" x="1459"/>
        <item sd="0" m="1" x="7282"/>
        <item sd="0" m="1" x="5321"/>
        <item sd="0" m="1" x="5141"/>
        <item sd="0" m="1" x="3675"/>
        <item sd="0" m="1" x="1653"/>
        <item sd="0" m="1" x="4576"/>
        <item sd="0" m="1" x="2625"/>
        <item sd="0" m="1" x="566"/>
        <item sd="0" m="1" x="6261"/>
        <item sd="0" m="1" x="4242"/>
        <item sd="0" m="1" x="4761"/>
        <item sd="0" m="1" x="2787"/>
        <item sd="0" m="1" x="758"/>
        <item sd="0" m="1" x="6425"/>
        <item sd="0" m="1" x="4431"/>
        <item sd="0" m="1" x="4981"/>
        <item sd="0" m="1" x="2953"/>
        <item sd="0" m="1" x="960"/>
        <item sd="0" m="1" x="5888"/>
        <item sd="0" m="1" x="3927"/>
        <item sd="0" m="1" x="1939"/>
        <item sd="0" m="1" x="7602"/>
        <item sd="0" m="1" x="5592"/>
        <item sd="0" m="1" x="3593"/>
        <item sd="0" m="1" x="6089"/>
        <item sd="0" m="1" x="4107"/>
        <item sd="0" m="1" x="2105"/>
        <item sd="0" m="1" x="7805"/>
        <item sd="0" m="1" x="5762"/>
        <item sd="0" m="1" x="3756"/>
        <item sd="0" m="1" x="6286"/>
        <item sd="0" m="1" x="4269"/>
        <item sd="0" m="1" x="2302"/>
        <item sd="0" m="1" x="5253"/>
        <item sd="0" m="1" x="3206"/>
        <item sd="0" m="1" x="3038"/>
        <item sd="0" m="1" x="1061"/>
        <item sd="0" m="1" x="6863"/>
        <item sd="0" m="1" x="4889"/>
        <item sd="0" m="1" x="5443"/>
        <item sd="0" m="1" x="3411"/>
        <item sd="0" m="1" x="3224"/>
        <item sd="0" m="1" x="1248"/>
        <item sd="0" m="1" x="7062"/>
        <item sd="0" m="1" x="5076"/>
        <item sd="0" m="1" x="5609"/>
        <item sd="0" m="1" x="3616"/>
        <item sd="0" m="1" x="4354"/>
        <item sd="0" m="1" x="2392"/>
        <item sd="0" m="1" x="297"/>
        <item sd="0" m="1" x="6201"/>
        <item sd="0" m="1" x="4538"/>
        <item sd="0" m="1" x="2588"/>
        <item sd="0" m="1" x="500"/>
        <item sd="0" m="1" x="6358"/>
        <item sd="0" m="1" x="4414"/>
        <item sd="0" m="1" x="2472"/>
        <item sd="0" m="1" x="127"/>
        <item sd="0" m="1" x="6076"/>
        <item sd="0" m="1" x="4096"/>
        <item sd="0" m="1" x="4598"/>
        <item sd="0" m="1" x="2642"/>
        <item sd="0" m="1" x="380"/>
        <item sd="0" m="1" x="6274"/>
        <item sd="0" m="1" x="4256"/>
        <item sd="0" m="1" x="4783"/>
        <item sd="0" m="1" x="2800"/>
        <item sd="0" m="1" x="3595"/>
        <item sd="0" m="1" x="1552"/>
        <item sd="0" m="1" x="7385"/>
        <item sd="0" m="1" x="5429"/>
        <item sd="0" m="1" x="3758"/>
        <item sd="0" m="1" x="1767"/>
        <item sd="0" m="1" x="7617"/>
        <item sd="0" m="1" x="5601"/>
        <item sd="0" m="1" x="4891"/>
        <item sd="0" m="1" x="2879"/>
        <item sd="0" m="1" x="859"/>
        <item sd="0" m="1" x="5078"/>
        <item sd="0" m="1" x="3055"/>
        <item sd="0" m="1" x="1081"/>
        <item sd="0" m="1" x="5276"/>
        <item sd="0" m="1" x="6203"/>
        <item sd="0" m="1" x="4204"/>
        <item sd="0" m="1" x="2215"/>
        <item sd="0" m="1" x="7880"/>
        <item sd="0" m="1" x="6360"/>
        <item sd="0" m="1" x="4372"/>
        <item sd="0" m="1" x="2417"/>
        <item sd="0" m="1" x="76"/>
        <item sd="0" m="1" x="6530"/>
        <item sd="0" m="1" x="4553"/>
        <item sd="0" m="1" x="1682"/>
        <item sd="0" m="1" x="7527"/>
        <item sd="0" m="1" x="5552"/>
        <item sd="0" m="1" x="3534"/>
        <item sd="0" m="1" x="1332"/>
        <item sd="0" m="1" x="7146"/>
        <item sd="0" m="1" x="1873"/>
        <item sd="0" m="1" x="7724"/>
        <item sd="0" m="1" x="5704"/>
        <item sd="0" m="1" x="3710"/>
        <item sd="0" m="1" x="1515"/>
        <item sd="0" m="1" x="7341"/>
        <item sd="0" m="1" x="2068"/>
        <item sd="0" m="1" x="7908"/>
        <item sd="0" m="1" x="5859"/>
        <item sd="0" m="1" x="3896"/>
        <item sd="0" m="1" x="7256"/>
        <item sd="0" m="1" x="5298"/>
        <item sd="0" m="1" x="3270"/>
        <item sd="0" m="1" x="7472"/>
        <item sd="0" m="1" x="5501"/>
        <item sd="0" m="1" x="3469"/>
        <item sd="0" m="1" x="861"/>
        <item sd="0" m="1" x="6656"/>
        <item sd="0" m="1" x="4708"/>
        <item sd="0" m="1" x="2731"/>
        <item sd="0" m="1" x="481"/>
        <item sd="0" m="1" x="6343"/>
        <item sd="0" m="1" x="1083"/>
        <item sd="0" m="1" x="6876"/>
        <item sd="0" m="1" x="4906"/>
        <item sd="0" m="1" x="2890"/>
        <item sd="0" m="1" x="697"/>
        <item sd="0" m="1" x="6515"/>
        <item sd="0" m="1" x="1259"/>
        <item sd="0" m="1" x="7077"/>
        <item sd="0" m="1" x="5090"/>
        <item sd="0" m="1" x="3065"/>
        <item sd="0" m="1" x="61"/>
        <item sd="0" m="1" x="6027"/>
        <item sd="0" m="1" x="4049"/>
        <item sd="0" m="1" x="3873"/>
        <item sd="0" m="1" x="1857"/>
        <item sd="0" m="1" x="7709"/>
        <item sd="0" m="1" x="5690"/>
        <item sd="0" m="1" x="322"/>
        <item sd="0" m="1" x="6221"/>
        <item sd="0" m="1" x="4219"/>
        <item sd="0" m="1" x="4065"/>
        <item sd="0" m="1" x="2057"/>
        <item sd="0" m="1" x="7896"/>
        <item sd="0" m="1" x="5847"/>
        <item sd="0" m="1" x="531"/>
        <item sd="0" m="1" x="6379"/>
        <item sd="0" m="1" x="4389"/>
        <item sd="0" m="1" x="7326"/>
        <item sd="0" m="1" x="5198"/>
        <item sd="0" m="1" x="3151"/>
        <item sd="0" m="1" x="1183"/>
        <item sd="0" m="1" x="6967"/>
        <item sd="0" m="1" x="7551"/>
        <item sd="0" m="1" x="5392"/>
        <item sd="0" m="1" x="3366"/>
        <item sd="0" m="1" x="1349"/>
        <item sd="0" m="1" x="7157"/>
        <item sd="0" m="1" x="7749"/>
        <item sd="0" m="1" x="6461"/>
        <item sd="0" m="1" x="4477"/>
        <item sd="0" m="1" x="2527"/>
        <item sd="0" m="1" x="6625"/>
        <item sd="0" m="1" x="4670"/>
        <item sd="0" m="1" x="2692"/>
        <item sd="0" m="1" x="5142"/>
        <item sd="0" m="1" x="3676"/>
        <item sd="0" m="1" x="2276"/>
        <item sd="0" m="1" x="4762"/>
        <item sd="0" m="1" x="2788"/>
        <item sd="0" m="1" x="759"/>
        <item sd="0" m="1" x="6426"/>
        <item sd="0" m="1" x="4432"/>
        <item sd="0" m="1" x="2484"/>
        <item sd="0" m="1" x="4982"/>
        <item sd="0" m="1" x="2954"/>
        <item sd="0" m="1" x="961"/>
        <item sd="0" m="1" x="3928"/>
        <item sd="0" m="1" x="1940"/>
        <item sd="0" m="1" x="7603"/>
        <item sd="0" m="1" x="5593"/>
        <item sd="0" m="1" x="3594"/>
        <item sd="0" m="1" x="4108"/>
        <item sd="0" m="1" x="2106"/>
        <item sd="0" m="1" x="7806"/>
        <item sd="0" m="1" x="5763"/>
        <item sd="0" m="1" x="3757"/>
        <item sd="0" m="1" x="4270"/>
        <item sd="0" m="1" x="2303"/>
        <item sd="0" m="1" x="3207"/>
        <item sd="0" m="1" x="3039"/>
        <item sd="0" m="1" x="1062"/>
        <item sd="0" m="1" x="6864"/>
        <item sd="0" m="1" x="4890"/>
        <item sd="0" m="1" x="3412"/>
        <item sd="0" m="1" x="3225"/>
        <item sd="0" m="1" x="1249"/>
        <item sd="0" m="1" x="7063"/>
        <item sd="0" m="1" x="5077"/>
        <item sd="0" m="1" x="3617"/>
        <item sd="0" m="1" x="4355"/>
        <item sd="0" m="1" x="2393"/>
        <item sd="0" m="1" x="298"/>
        <item sd="0" m="1" x="6202"/>
        <item sd="0" m="1" x="4539"/>
        <item sd="0" m="1" x="2589"/>
        <item sd="0" m="1" x="501"/>
        <item sd="0" m="1" x="6359"/>
        <item sd="0" m="1" x="4722"/>
        <item sd="0" m="1" x="3803"/>
        <item sd="0" m="1" x="1800"/>
        <item sd="0" m="1" x="7657"/>
        <item sd="0" m="1" x="5484"/>
        <item sd="0" m="1" x="3449"/>
        <item sd="0" m="1" x="1441"/>
        <item sd="0" m="1" x="4000"/>
        <item sd="0" m="1" x="2006"/>
        <item sd="0" m="1" x="7852"/>
        <item sd="0" m="1" x="5647"/>
        <item sd="0" m="1" x="3661"/>
        <item sd="0" m="1" x="1629"/>
        <item sd="0" m="1" x="4180"/>
        <item sd="0" m="1" x="2180"/>
        <item sd="0" m="1" x="31"/>
        <item sd="0" m="1" x="7368"/>
        <item sd="0" m="1" x="2084"/>
        <item sd="0" m="1" x="7932"/>
        <item sd="0" m="1" x="5884"/>
        <item sd="0" m="1" x="3740"/>
        <item sd="0" m="1" x="1751"/>
        <item sd="0" m="1" x="7597"/>
        <item sd="0" m="1" x="2285"/>
        <item sd="0" m="1" x="140"/>
        <item sd="0" m="1" x="6086"/>
        <item sd="0" m="1" x="1214"/>
        <item sd="0" m="1" x="7012"/>
        <item sd="0" m="1" x="6844"/>
        <item sd="0" m="1" x="4863"/>
        <item sd="0" m="1" x="2860"/>
        <item sd="0" m="1" x="837"/>
        <item sd="0" m="1" x="1381"/>
        <item sd="0" m="1" x="7186"/>
        <item sd="0" m="1" x="7031"/>
        <item sd="0" m="1" x="5055"/>
        <item sd="0" m="1" x="3033"/>
        <item sd="0" m="1" x="1055"/>
        <item sd="0" m="1" x="1562"/>
        <item sd="0" m="1" x="7394"/>
        <item sd="0" m="1" x="273"/>
        <item sd="0" m="1" x="6177"/>
        <item sd="0" m="1" x="4184"/>
        <item sd="0" m="1" x="2181"/>
        <item sd="0" m="1" x="472"/>
        <item sd="0" m="1" x="6337"/>
        <item sd="0" m="1" x="4349"/>
        <item sd="0" m="1" x="2386"/>
        <item sd="0" m="1" x="1659"/>
        <item sd="0" m="1" x="7506"/>
        <item sd="0" m="1" x="5529"/>
        <item sd="0" m="1" x="1849"/>
        <item sd="0" m="1" x="7698"/>
        <item sd="0" m="1" x="5677"/>
        <item sd="0" m="1" x="2049"/>
        <item sd="0" m="1" x="4996"/>
        <item sd="0" m="1" x="2961"/>
        <item sd="0" m="1" x="974"/>
        <item sd="0" m="1" x="6775"/>
        <item sd="0" m="1" x="4633"/>
        <item sd="0" m="1" x="5186"/>
        <item sd="0" m="1" x="3142"/>
        <item sd="0" m="1" x="1173"/>
        <item sd="0" m="1" x="6956"/>
        <item sd="0" m="1" x="4807"/>
        <item sd="0" m="1" x="5382"/>
        <item sd="0" m="1" x="3356"/>
        <item sd="0" m="1" x="1338"/>
        <item sd="0" m="1" x="4933"/>
        <item sd="0" m="1" x="2759"/>
        <item sd="0" m="1" x="727"/>
        <item sd="0" m="1" x="6540"/>
        <item sd="0" m="1" x="5106"/>
        <item sd="0" m="1" x="2916"/>
        <item sd="0" m="1" x="922"/>
        <item sd="0" m="1" x="6716"/>
        <item sd="0" m="1" x="5312"/>
        <item sd="0" m="1" x="2183"/>
        <item sd="0" m="1" x="38"/>
        <item sd="0" m="1" x="6002"/>
        <item sd="0" m="1" x="3849"/>
        <item sd="0" m="1" x="2389"/>
        <item sd="0" m="1" x="292"/>
        <item sd="0" m="1" x="6195"/>
        <item sd="0" m="1" x="4038"/>
        <item sd="0" m="1" x="2586"/>
        <item sd="0" m="1" x="496"/>
        <item sd="0" m="1" x="5531"/>
        <item sd="0" m="1" x="3506"/>
        <item sd="0" m="1" x="1480"/>
        <item sd="0" m="1" x="7303"/>
        <item sd="0" m="1" x="5173"/>
        <item sd="0" m="1" x="3135"/>
        <item sd="0" m="1" x="5680"/>
        <item sd="0" m="1" x="3693"/>
        <item sd="0" m="1" x="1674"/>
        <item sd="0" m="1" x="7519"/>
        <item sd="0" m="1" x="5370"/>
        <item sd="0" m="1" x="3346"/>
        <item sd="0" m="1" x="5838"/>
        <item sd="0" m="1" x="3881"/>
        <item sd="0" m="1" x="1866"/>
        <item sd="0" m="1" x="7717"/>
        <item sd="0" m="1" x="4799"/>
        <item sd="0" m="1" x="2815"/>
        <item sd="0" m="1" x="617"/>
        <item sd="0" m="1" x="6442"/>
        <item sd="0" m="1" x="4460"/>
        <item sd="0" m="1" x="2509"/>
        <item sd="0" m="1" x="5006"/>
        <item sd="0" m="1" x="2976"/>
        <item sd="0" m="1" x="801"/>
        <item sd="0" m="1" x="6611"/>
        <item sd="0" m="1" x="4650"/>
        <item sd="0" m="1" x="2677"/>
        <item sd="0" m="1" x="5207"/>
        <item sd="0" m="1" x="3159"/>
        <item sd="0" m="1" x="4129"/>
        <item sd="0" m="1" x="1974"/>
        <item sd="0" m="1" x="7821"/>
        <item sd="0" m="1" x="5779"/>
        <item sd="0" m="1" x="4290"/>
        <item sd="0" m="1" x="2130"/>
        <item sd="0" m="1" x="7994"/>
        <item sd="0" m="1" x="5958"/>
        <item sd="0" m="1" x="4485"/>
        <item sd="0" m="1" x="6925"/>
        <item sd="0" m="1" x="7921"/>
        <item sd="0" m="1" x="5873"/>
        <item sd="0" m="1" x="3908"/>
        <item sd="0" m="1" x="1741"/>
        <item sd="0" m="1" x="7584"/>
        <item sd="0" m="1" x="120"/>
        <item sd="0" m="1" x="6074"/>
        <item sd="0" m="1" x="4088"/>
        <item sd="0" m="1" x="1929"/>
        <item sd="0" m="1" x="7776"/>
        <item sd="0" m="1" x="375"/>
        <item sd="0" m="1" x="6271"/>
        <item sd="0" m="1" x="4250"/>
        <item sd="0" m="1" x="1371"/>
        <item sd="0" m="1" x="7177"/>
        <item sd="0" m="1" x="5231"/>
        <item sd="0" m="1" x="3021"/>
        <item sd="0" m="1" x="1044"/>
        <item sd="0" m="1" x="6842"/>
        <item sd="0" m="1" x="1547"/>
        <item sd="0" m="1" x="7380"/>
        <item sd="0" m="1" x="5421"/>
        <item sd="0" m="1" x="3195"/>
        <item sd="0" m="1" x="1228"/>
        <item sd="0" m="1" x="7029"/>
        <item sd="0" m="1" x="1763"/>
        <item sd="0" m="1" x="7613"/>
        <item sd="0" m="1" x="5598"/>
        <item sd="0" m="1" x="665"/>
        <item sd="0" m="1" x="6485"/>
        <item sd="0" m="1" x="4339"/>
        <item sd="0" m="1" x="2379"/>
        <item sd="0" m="1" x="271"/>
        <item sd="0" m="1" x="853"/>
        <item sd="0" m="1" x="6650"/>
        <item sd="0" m="1" x="4522"/>
        <item sd="0" m="1" x="2574"/>
        <item sd="0" m="1" x="470"/>
        <item sd="0" m="1" x="1075"/>
        <item sd="0" m="1" x="6874"/>
        <item sd="0" m="1" x="7693"/>
        <item sd="0" m="1" x="5671"/>
        <item sd="0" m="1" x="3685"/>
        <item sd="0" m="1" x="1658"/>
        <item sd="0" m="1" x="7875"/>
        <item sd="0" m="1" x="5831"/>
        <item sd="0" m="1" x="3863"/>
        <item sd="0" m="1" x="1848"/>
        <item sd="0" m="1" x="7089"/>
        <item sd="0" m="1" x="5095"/>
        <item sd="0" m="1" x="3073"/>
        <item sd="0" m="1" x="1109"/>
        <item sd="0" m="1" x="913"/>
        <item sd="0" m="1" x="6707"/>
        <item sd="0" m="1" x="7254"/>
        <item sd="0" m="1" x="5297"/>
        <item sd="0" m="1" x="3267"/>
        <item sd="0" m="1" x="1278"/>
        <item sd="0" m="1" x="1126"/>
        <item sd="0" m="1" x="6915"/>
        <item sd="0" m="1" x="7468"/>
        <item sd="0" m="1" x="5497"/>
        <item sd="0" m="1" x="3466"/>
        <item sd="0" m="1" x="7013"/>
        <item sd="0" m="1" x="6845"/>
        <item sd="0" m="1" x="4864"/>
        <item sd="0" m="1" x="2861"/>
        <item sd="0" m="1" x="838"/>
        <item sd="0" m="1" x="7187"/>
        <item sd="0" m="1" x="7032"/>
        <item sd="0" m="1" x="5056"/>
        <item sd="0" m="1" x="3034"/>
        <item sd="0" m="1" x="1056"/>
        <item sd="0" m="1" x="7395"/>
        <item sd="0" m="1" x="274"/>
        <item sd="0" m="1" x="6178"/>
        <item sd="0" m="1" x="4185"/>
        <item sd="0" m="1" x="2182"/>
        <item sd="0" m="1" x="473"/>
        <item sd="0" m="1" x="6338"/>
        <item sd="0" m="1" x="4350"/>
        <item sd="0" m="1" x="2387"/>
        <item sd="0" m="1" x="685"/>
        <item sd="0" m="1" x="1660"/>
        <item sd="0" m="1" x="7507"/>
        <item sd="0" m="1" x="5530"/>
        <item sd="0" m="1" x="3335"/>
        <item sd="0" m="1" x="1850"/>
        <item sd="0" m="1" x="7699"/>
        <item sd="0" m="1" x="5678"/>
        <item sd="0" m="1" x="3524"/>
        <item sd="0" m="1" x="2050"/>
        <item sd="0" m="1" x="7884"/>
        <item sd="0" m="1" x="4997"/>
        <item sd="0" m="1" x="2962"/>
        <item sd="0" m="1" x="975"/>
        <item sd="0" m="1" x="6776"/>
        <item sd="0" m="1" x="4634"/>
        <item sd="0" m="1" x="2668"/>
        <item sd="0" m="1" x="5187"/>
        <item sd="0" m="1" x="3143"/>
        <item sd="0" m="1" x="1174"/>
        <item sd="0" m="1" x="6957"/>
        <item sd="0" m="1" x="4808"/>
        <item sd="0" m="1" x="2823"/>
        <item sd="0" m="1" x="5383"/>
        <item sd="0" m="1" x="3357"/>
        <item sd="0" m="1" x="1339"/>
        <item sd="0" m="1" x="7148"/>
        <item sd="0" m="1" x="4278"/>
        <item sd="0" m="1" x="2311"/>
        <item sd="0" m="1" x="183"/>
        <item sd="0" m="1" x="7979"/>
        <item sd="0" m="1" x="5939"/>
        <item sd="0" m="1" x="3967"/>
        <item sd="0" m="1" x="1971"/>
        <item sd="0" m="1" x="4468"/>
        <item sd="0" m="1" x="2518"/>
        <item sd="0" m="1" x="409"/>
        <item sd="0" m="1" x="197"/>
        <item sd="0" m="1" x="6124"/>
        <item sd="0" m="1" x="4138"/>
        <item sd="0" m="1" x="2127"/>
        <item sd="0" m="1" x="4662"/>
        <item sd="0" m="1" x="2685"/>
        <item sd="0" m="1" x="633"/>
        <item sd="0" m="1" x="2184"/>
        <item sd="0" m="1" x="39"/>
        <item sd="0" m="1" x="6003"/>
        <item sd="0" m="1" x="3850"/>
        <item sd="0" m="1" x="1843"/>
        <item sd="0" m="1" x="2390"/>
        <item sd="0" m="1" x="293"/>
        <item sd="0" m="1" x="6196"/>
        <item sd="0" m="1" x="4039"/>
        <item sd="0" m="1" x="2044"/>
        <item sd="0" m="1" x="2587"/>
        <item sd="0" m="1" x="497"/>
        <item sd="0" m="1" x="6355"/>
        <item sd="0" m="1" x="3507"/>
        <item sd="0" m="1" x="1481"/>
        <item sd="0" m="1" x="7304"/>
        <item sd="0" m="1" x="5174"/>
        <item sd="0" m="1" x="3136"/>
        <item sd="0" m="1" x="1166"/>
        <item sd="0" m="1" x="3694"/>
        <item sd="0" m="1" x="1675"/>
        <item sd="0" m="1" x="7520"/>
        <item sd="0" m="1" x="5371"/>
        <item sd="0" m="1" x="3347"/>
        <item sd="0" m="1" x="1330"/>
        <item sd="0" m="1" x="3882"/>
        <item sd="0" m="1" x="1867"/>
        <item sd="0" m="1" x="7718"/>
        <item sd="0" m="1" x="542"/>
        <item sd="0" m="1" x="6386"/>
        <item sd="0" m="1" x="4399"/>
        <item sd="0" m="1" x="2264"/>
        <item sd="0" m="1" x="111"/>
        <item sd="0" m="1" x="740"/>
        <item sd="0" m="1" x="6554"/>
        <item sd="0" m="1" x="4577"/>
        <item sd="0" m="1" x="2468"/>
        <item sd="0" m="1" x="366"/>
        <item sd="0" m="1" x="942"/>
        <item sd="0" m="1" x="6740"/>
        <item sd="0" m="1" x="4763"/>
        <item sd="0" m="1" x="1917"/>
        <item sd="0" m="1" x="7766"/>
        <item sd="0" m="1" x="5731"/>
        <item sd="0" m="1" x="3575"/>
        <item sd="0" m="1" x="1540"/>
        <item sd="0" m="1" x="7372"/>
        <item sd="0" m="1" x="2088"/>
        <item sd="0" m="1" x="7936"/>
        <item sd="0" m="1" x="5889"/>
        <item sd="0" m="1" x="3742"/>
        <item sd="0" m="1" x="1755"/>
        <item sd="0" m="1" x="7604"/>
        <item sd="0" m="1" x="2289"/>
        <item sd="0" m="1" x="146"/>
        <item sd="0" m="1" x="6090"/>
        <item sd="0" m="1" x="1219"/>
        <item sd="0" m="1" x="7018"/>
        <item sd="0" m="1" x="6848"/>
        <item sd="0" m="1" x="4868"/>
        <item sd="0" m="1" x="2864"/>
        <item sd="0" m="1" x="842"/>
        <item sd="0" m="1" x="1388"/>
        <item sd="0" m="1" x="7193"/>
        <item sd="0" m="1" x="7039"/>
        <item sd="0" m="1" x="5059"/>
        <item sd="0" m="1" x="3040"/>
        <item sd="0" m="1" x="1063"/>
        <item sd="0" m="1" x="1566"/>
        <item sd="0" m="1" x="7399"/>
        <item sd="0" m="1" x="4998"/>
        <item sd="0" m="1" x="2965"/>
        <item sd="0" m="1" x="978"/>
        <item sd="0" m="1" x="6780"/>
        <item sd="0" m="1" x="4638"/>
        <item sd="0" m="1" x="5193"/>
        <item sd="0" m="1" x="3149"/>
        <item sd="0" m="1" x="1180"/>
        <item sd="0" m="1" x="6962"/>
        <item sd="0" m="1" x="4813"/>
        <item sd="0" m="1" x="5388"/>
        <item sd="0" m="1" x="3364"/>
        <item sd="0" m="1" x="1345"/>
        <item sd="0" m="1" x="6292"/>
        <item sd="0" m="1" x="4280"/>
        <item sd="0" m="1" x="2314"/>
        <item sd="0" m="1" x="187"/>
        <item sd="0" m="1" x="7983"/>
        <item sd="0" m="1" x="5944"/>
        <item sd="0" m="1" x="3971"/>
        <item sd="0" m="1" x="6457"/>
        <item sd="0" m="1" x="4473"/>
        <item sd="0" m="1" x="2524"/>
        <item sd="0" m="1" x="413"/>
        <item sd="0" m="1" x="204"/>
        <item sd="0" m="1" x="6130"/>
        <item sd="0" m="1" x="4143"/>
        <item sd="0" m="1" x="6623"/>
        <item sd="0" m="1" x="4668"/>
        <item sd="0" m="1" x="2690"/>
        <item sd="0" m="1" x="636"/>
        <item sd="0" m="1" x="5616"/>
        <item sd="0" m="1" x="3632"/>
        <item sd="0" m="1" x="1427"/>
        <item sd="0" m="1" x="7241"/>
        <item sd="0" m="1" x="5289"/>
        <item sd="0" m="1" x="3247"/>
        <item sd="0" m="1" x="5793"/>
        <item sd="0" m="1" x="3797"/>
        <item sd="0" m="1" x="1604"/>
        <item sd="0" m="1" x="7448"/>
        <item sd="0" m="1" x="5478"/>
        <item sd="0" m="1" x="3443"/>
        <item sd="0" m="1" x="5981"/>
        <item sd="0" m="1" x="3997"/>
        <item sd="0" m="1" x="4939"/>
        <item sd="0" m="1" x="2761"/>
        <item sd="0" m="1" x="729"/>
        <item sd="0" m="1" x="6542"/>
        <item sd="0" m="1" x="5115"/>
        <item sd="0" m="1" x="2921"/>
        <item sd="0" m="1" x="926"/>
        <item sd="0" m="1" x="6721"/>
        <item sd="0" m="1" x="5319"/>
        <item sd="0" m="1" x="2189"/>
        <item sd="0" m="1" x="42"/>
        <item sd="0" m="1" x="6007"/>
        <item sd="0" m="1" x="3856"/>
        <item sd="0" m="1" x="2395"/>
        <item sd="0" m="1" x="299"/>
        <item sd="0" m="1" x="6204"/>
        <item sd="0" m="1" x="4047"/>
        <item sd="0" m="1" x="2590"/>
        <item sd="0" m="1" x="502"/>
        <item sd="0" m="1" x="4131"/>
        <item sd="0" m="1" x="1980"/>
        <item sd="0" m="1" x="7825"/>
        <item sd="0" m="1" x="5782"/>
        <item sd="0" m="1" x="4293"/>
        <item sd="0" m="1" x="2136"/>
        <item sd="0" m="1" x="7997"/>
        <item sd="0" m="1" x="5961"/>
        <item sd="0" m="1" x="4488"/>
        <item sd="0" m="1" x="3251"/>
        <item sd="0" m="1" x="1268"/>
        <item sd="0" m="1" x="7091"/>
        <item sd="0" m="1" x="3447"/>
        <item sd="0" m="1" x="1437"/>
        <item sd="0" m="1" x="7257"/>
        <item sd="0" m="1" x="6543"/>
        <item sd="0" m="1" x="4562"/>
        <item sd="0" m="1" x="2610"/>
        <item sd="0" m="1" x="541"/>
        <item sd="0" m="1" x="6722"/>
        <item sd="0" m="1" x="4746"/>
        <item sd="0" m="1" x="2771"/>
        <item sd="0" m="1" x="737"/>
        <item sd="0" m="1" x="6929"/>
        <item sd="0" m="1" x="4966"/>
        <item sd="0" m="1" x="7924"/>
        <item sd="0" m="1" x="5875"/>
        <item sd="0" m="1" x="3913"/>
        <item sd="0" m="1" x="1746"/>
        <item sd="0" m="1" x="7589"/>
        <item sd="0" m="1" x="125"/>
        <item sd="0" m="1" x="6075"/>
        <item sd="0" m="1" x="4093"/>
        <item sd="0" m="1" x="1938"/>
        <item sd="0" m="1" x="7784"/>
        <item sd="0" m="1" x="379"/>
        <item sd="0" m="1" x="6272"/>
        <item sd="0" m="1" x="4253"/>
        <item sd="0" m="1" x="1374"/>
        <item sd="0" m="1" x="7179"/>
        <item sd="0" m="1" x="5237"/>
        <item sd="0" m="1" x="3023"/>
        <item sd="0" m="1" x="1046"/>
        <item sd="0" m="1" x="6846"/>
        <item sd="0" m="1" x="1551"/>
        <item sd="0" m="1" x="7384"/>
        <item sd="0" m="1" x="5427"/>
        <item sd="0" m="1" x="3202"/>
        <item sd="0" m="1" x="1232"/>
        <item sd="0" m="1" x="7037"/>
        <item sd="0" m="1" x="1766"/>
        <item sd="0" m="1" x="7616"/>
        <item sd="0" m="1" x="5599"/>
        <item sd="0" m="1" x="7092"/>
        <item sd="0" m="1" x="5097"/>
        <item sd="0" m="1" x="3077"/>
        <item sd="0" m="1" x="1113"/>
        <item sd="0" m="1" x="916"/>
        <item sd="0" m="1" x="6709"/>
        <item sd="0" m="1" x="7260"/>
        <item sd="0" m="1" x="5301"/>
        <item sd="0" m="1" x="3275"/>
        <item sd="0" m="1" x="1282"/>
        <item sd="0" m="1" x="1130"/>
        <item sd="0" m="1" x="6917"/>
        <item sd="0" m="1" x="7475"/>
        <item sd="0" m="1" x="5504"/>
        <item sd="0" m="1" x="3474"/>
        <item sd="0" m="1" x="543"/>
        <item sd="0" m="1" x="6387"/>
        <item sd="0" m="1" x="4400"/>
        <item sd="0" m="1" x="2265"/>
        <item sd="0" m="1" x="112"/>
        <item sd="0" m="1" x="6067"/>
        <item sd="0" m="1" x="741"/>
        <item sd="0" m="1" x="6555"/>
        <item sd="0" m="1" x="4578"/>
        <item sd="0" m="1" x="2469"/>
        <item sd="0" m="1" x="367"/>
        <item sd="0" m="1" x="6262"/>
        <item sd="0" m="1" x="943"/>
        <item sd="0" m="1" x="6741"/>
        <item sd="0" m="1" x="4764"/>
        <item sd="0" m="1" x="7767"/>
        <item sd="0" m="1" x="5732"/>
        <item sd="0" m="1" x="3576"/>
        <item sd="0" m="1" x="1541"/>
        <item sd="0" m="1" x="7373"/>
        <item sd="0" m="1" x="7937"/>
        <item sd="0" m="1" x="5890"/>
        <item sd="0" m="1" x="3743"/>
        <item sd="0" m="1" x="1756"/>
        <item sd="0" m="1" x="7605"/>
        <item sd="0" m="1" x="147"/>
        <item sd="0" m="1" x="6091"/>
        <item sd="0" m="1" x="7019"/>
        <item sd="0" m="1" x="6849"/>
        <item sd="0" m="1" x="4869"/>
        <item sd="0" m="1" x="2865"/>
        <item sd="0" m="1" x="843"/>
        <item sd="0" m="1" x="7194"/>
        <item sd="0" m="1" x="7040"/>
        <item sd="0" m="1" x="5060"/>
        <item sd="0" m="1" x="3041"/>
        <item sd="0" m="1" x="1064"/>
        <item sd="0" m="1" x="7400"/>
        <item sd="0" m="1" x="279"/>
        <item sd="0" m="1" x="6182"/>
        <item sd="0" m="1" x="4189"/>
        <item sd="0" m="1" x="2188"/>
        <item sd="0" m="1" x="478"/>
        <item sd="0" m="1" x="6341"/>
        <item sd="0" m="1" x="4356"/>
        <item sd="0" m="1" x="2394"/>
        <item sd="0" m="1" x="692"/>
        <item sd="0" m="1" x="5389"/>
        <item sd="0" m="1" x="4281"/>
        <item sd="0" m="1" x="2315"/>
        <item sd="0" m="1" x="188"/>
        <item sd="0" m="1" x="7984"/>
        <item sd="0" m="1" x="5945"/>
        <item sd="0" m="1" x="3972"/>
        <item sd="0" m="1" x="1977"/>
        <item sd="0" m="1" x="4474"/>
        <item sd="0" m="1" x="2525"/>
        <item sd="0" m="1" x="414"/>
        <item sd="0" m="1" x="205"/>
        <item sd="0" m="1" x="6131"/>
        <item sd="0" m="1" x="4144"/>
        <item sd="0" m="1" x="2133"/>
        <item sd="0" m="1" x="4669"/>
        <item sd="0" m="1" x="2691"/>
        <item sd="0" m="1" x="637"/>
        <item sd="0" m="1" x="3633"/>
        <item sd="0" m="1" x="1428"/>
        <item sd="0" m="1" x="7242"/>
        <item sd="0" m="1" x="5290"/>
        <item sd="0" m="1" x="3248"/>
        <item sd="0" m="1" x="3798"/>
        <item sd="0" m="1" x="1605"/>
        <item sd="0" m="1" x="7449"/>
        <item sd="0" m="1" x="5479"/>
        <item sd="0" m="1" x="3444"/>
        <item sd="0" m="1" x="3998"/>
        <item sd="0" m="1" x="546"/>
        <item sd="0" m="1" x="6389"/>
        <item sd="0" m="1" x="4401"/>
        <item sd="0" m="1" x="2268"/>
        <item sd="0" m="1" x="116"/>
        <item sd="0" m="1" x="745"/>
        <item sd="0" m="1" x="6560"/>
        <item sd="0" m="1" x="4582"/>
        <item sd="0" m="1" x="2474"/>
        <item sd="0" m="1" x="371"/>
        <item sd="0" m="1" x="946"/>
        <item sd="0" m="1" x="6746"/>
        <item sd="0" m="1" x="4768"/>
        <item sd="0" m="1" x="1922"/>
        <item sd="0" m="1" x="7771"/>
        <item sd="0" m="1" x="5736"/>
        <item sd="0" m="1" x="3579"/>
        <item sd="0" m="1" x="1543"/>
        <item sd="0" m="1" x="7376"/>
        <item sd="0" m="1" x="2093"/>
        <item sd="0" m="1" x="7943"/>
        <item sd="0" m="1" x="5897"/>
        <item sd="0" m="1" x="3745"/>
        <item sd="0" m="1" x="1759"/>
        <item sd="0" m="1" x="7609"/>
        <item sd="0" m="1" x="2293"/>
        <item sd="0" m="1" x="153"/>
        <item sd="0" m="1" x="6096"/>
        <item sd="0" m="1" x="1223"/>
        <item sd="0" m="1" x="7023"/>
        <item sd="0" m="1" x="6852"/>
        <item sd="0" m="1" x="4873"/>
        <item sd="0" m="1" x="2868"/>
        <item sd="0" m="1" x="846"/>
        <item sd="0" m="1" x="1394"/>
        <item sd="0" m="1" x="7199"/>
        <item sd="0" m="1" x="7044"/>
        <item sd="0" m="1" x="5062"/>
        <item sd="0" m="1" x="3043"/>
        <item sd="0" m="1" x="1066"/>
        <item sd="0" m="1" x="1569"/>
        <item sd="0" m="1" x="7403"/>
        <item sd="0" m="1" x="5000"/>
        <item sd="0" m="1" x="2968"/>
        <item sd="0" m="1" x="981"/>
        <item sd="0" m="1" x="6785"/>
        <item sd="0" m="1" x="4642"/>
        <item sd="0" m="1" x="5199"/>
        <item sd="0" m="1" x="3152"/>
        <item sd="0" m="1" x="1184"/>
        <item sd="0" m="1" x="6969"/>
        <item sd="0" m="1" x="4821"/>
        <item sd="0" m="1" x="5393"/>
        <item sd="0" m="1" x="3367"/>
        <item sd="0" m="1" x="1350"/>
        <item sd="0" m="1" x="6296"/>
        <item sd="0" m="1" x="4283"/>
        <item sd="0" m="1" x="2317"/>
        <item sd="0" m="1" x="191"/>
        <item sd="0" m="1" x="7987"/>
        <item sd="0" m="1" x="5949"/>
        <item sd="0" m="1" x="3975"/>
        <item sd="0" m="1" x="6463"/>
        <item sd="0" m="1" x="4479"/>
        <item sd="0" m="1" x="2529"/>
        <item sd="0" m="1" x="417"/>
        <item sd="0" m="1" x="213"/>
        <item sd="0" m="1" x="6137"/>
        <item sd="0" m="1" x="4150"/>
        <item sd="0" m="1" x="6627"/>
        <item sd="0" m="1" x="4672"/>
        <item sd="0" m="1" x="2694"/>
        <item sd="0" m="1" x="638"/>
        <item sd="0" m="1" x="5619"/>
        <item sd="0" m="1" x="3637"/>
        <item sd="0" m="1" x="1429"/>
        <item sd="0" m="1" x="7244"/>
        <item sd="0" m="1" x="5292"/>
        <item sd="0" m="1" x="3252"/>
        <item sd="0" m="1" x="5797"/>
        <item sd="0" m="1" x="3804"/>
        <item sd="0" m="1" x="1609"/>
        <item sd="0" m="1" x="7453"/>
        <item sd="0" m="1" x="5485"/>
        <item sd="0" m="1" x="3450"/>
        <item sd="0" m="1" x="5985"/>
        <item sd="0" m="1" x="4001"/>
        <item sd="0" m="1" x="4943"/>
        <item sd="0" m="1" x="2763"/>
        <item sd="0" m="1" x="730"/>
        <item sd="0" m="1" x="6544"/>
        <item sd="0" m="1" x="5122"/>
        <item sd="0" m="1" x="2924"/>
        <item sd="0" m="1" x="929"/>
        <item sd="0" m="1" x="6725"/>
        <item sd="0" m="1" x="5324"/>
        <item sd="0" m="1" x="2194"/>
        <item sd="0" m="1" x="45"/>
        <item sd="0" m="1" x="6010"/>
        <item sd="0" m="1" x="3859"/>
        <item sd="0" m="1" x="2399"/>
        <item sd="0" m="1" x="302"/>
        <item sd="0" m="1" x="6206"/>
        <item sd="0" m="1" x="4052"/>
        <item sd="0" m="1" x="2593"/>
        <item sd="0" m="1" x="507"/>
        <item sd="0" m="1" x="4134"/>
        <item sd="0" m="1" x="1983"/>
        <item sd="0" m="1" x="7827"/>
        <item sd="0" m="1" x="5783"/>
        <item sd="0" m="1" x="4298"/>
        <item sd="0" m="1" x="2141"/>
        <item sd="0" m="1" x="2"/>
        <item sd="0" m="1" x="5965"/>
        <item sd="0" m="1" x="4492"/>
        <item sd="0" m="1" x="3254"/>
        <item sd="0" m="1" x="1269"/>
        <item sd="0" m="1" x="7094"/>
        <item sd="0" m="1" x="3452"/>
        <item sd="0" m="1" x="1442"/>
        <item sd="0" m="1" x="7262"/>
        <item sd="0" m="1" x="6546"/>
        <item sd="0" m="1" x="4563"/>
        <item sd="0" m="1" x="2611"/>
        <item sd="0" m="1" x="545"/>
        <item sd="0" m="1" x="6727"/>
        <item sd="0" m="1" x="4748"/>
        <item sd="0" m="1" x="2775"/>
        <item sd="0" m="1" x="743"/>
        <item sd="0" m="1" x="6932"/>
        <item sd="0" m="1" x="4969"/>
        <item sd="0" m="1" x="7927"/>
        <item sd="0" m="1" x="5877"/>
        <item sd="0" m="1" x="3917"/>
        <item sd="0" m="1" x="1747"/>
        <item sd="0" m="1" x="7590"/>
        <item sd="0" m="1" x="130"/>
        <item sd="0" m="1" x="6078"/>
        <item sd="0" m="1" x="4097"/>
        <item sd="0" m="1" x="1942"/>
        <item sd="0" m="1" x="7787"/>
        <item sd="0" m="1" x="383"/>
        <item sd="0" m="1" x="6276"/>
        <item sd="0" m="1" x="4257"/>
        <item sd="0" m="1" x="1375"/>
        <item sd="0" m="1" x="7180"/>
        <item sd="0" m="1" x="5241"/>
        <item sd="0" m="1" x="3025"/>
        <item sd="0" m="1" x="1048"/>
        <item sd="0" m="1" x="6850"/>
        <item sd="0" m="1" x="1555"/>
        <item sd="0" m="1" x="7388"/>
        <item sd="0" m="1" x="5432"/>
        <item sd="0" m="1" x="3208"/>
        <item sd="0" m="1" x="1234"/>
        <item sd="0" m="1" x="7042"/>
        <item sd="0" m="1" x="1770"/>
        <item sd="0" m="1" x="7620"/>
        <item sd="0" m="1" x="5602"/>
        <item sd="0" m="1" x="7096"/>
        <item sd="0" m="1" x="5099"/>
        <item sd="0" m="1" x="3079"/>
        <item sd="0" m="1" x="1115"/>
        <item sd="0" m="1" x="919"/>
        <item sd="0" m="1" x="6711"/>
        <item sd="0" m="1" x="7266"/>
        <item sd="0" m="1" x="5304"/>
        <item sd="0" m="1" x="3280"/>
        <item sd="0" m="1" x="1285"/>
        <item sd="0" m="1" x="1134"/>
        <item sd="0" m="1" x="6919"/>
        <item sd="0" m="1" x="7480"/>
        <item sd="0" m="1" x="5507"/>
        <item sd="0" m="1" x="3479"/>
        <item sd="0" m="1" x="547"/>
        <item sd="0" m="1" x="6390"/>
        <item sd="0" m="1" x="4402"/>
        <item sd="0" m="1" x="2269"/>
        <item sd="0" m="1" x="117"/>
        <item sd="0" m="1" x="6071"/>
        <item sd="0" m="1" x="746"/>
        <item sd="0" m="1" x="6561"/>
        <item sd="0" m="1" x="4583"/>
        <item sd="0" m="1" x="2475"/>
        <item sd="0" m="1" x="372"/>
        <item sd="0" m="1" x="6267"/>
        <item sd="0" m="1" x="947"/>
        <item sd="0" m="1" x="6747"/>
        <item sd="0" m="1" x="4769"/>
        <item sd="0" m="1" x="7772"/>
        <item sd="0" m="1" x="5737"/>
        <item sd="0" m="1" x="3580"/>
        <item sd="0" m="1" x="1544"/>
        <item sd="0" m="1" x="7377"/>
        <item sd="0" m="1" x="7944"/>
        <item sd="0" m="1" x="5898"/>
        <item sd="0" m="1" x="3746"/>
        <item sd="0" m="1" x="1760"/>
        <item sd="0" m="1" x="7610"/>
        <item sd="0" m="1" x="154"/>
        <item sd="0" m="1" x="6097"/>
        <item sd="0" m="1" x="7024"/>
        <item sd="0" m="1" x="6853"/>
        <item sd="0" m="1" x="4874"/>
        <item sd="0" m="1" x="2869"/>
        <item sd="0" m="1" x="847"/>
        <item sd="0" m="1" x="7200"/>
        <item sd="0" m="1" x="7045"/>
        <item sd="0" m="1" x="5063"/>
        <item sd="0" m="1" x="3044"/>
        <item sd="0" m="1" x="1067"/>
        <item sd="0" m="1" x="7404"/>
        <item sd="0" m="1" x="283"/>
        <item sd="0" m="1" x="6186"/>
        <item sd="0" m="1" x="4193"/>
        <item sd="0" m="1" x="2193"/>
        <item sd="0" m="1" x="483"/>
        <item sd="0" m="1" x="6345"/>
        <item sd="0" m="1" x="4359"/>
        <item sd="0" m="1" x="2397"/>
        <item sd="0" m="1" x="5394"/>
        <item sd="0" m="1" x="4284"/>
        <item sd="0" m="1" x="2318"/>
        <item sd="0" m="1" x="192"/>
        <item sd="0" m="1" x="7988"/>
        <item sd="0" m="1" x="5950"/>
        <item sd="0" m="1" x="3976"/>
        <item sd="0" m="1" x="1982"/>
        <item sd="0" m="1" x="4480"/>
        <item sd="0" m="1" x="2530"/>
        <item sd="0" m="1" x="418"/>
        <item sd="0" m="1" x="214"/>
        <item sd="0" m="1" x="6138"/>
        <item sd="0" m="1" x="4151"/>
        <item sd="0" m="1" x="2140"/>
        <item sd="0" m="1" x="4673"/>
        <item sd="0" m="1" x="2695"/>
        <item sd="0" m="1" x="639"/>
        <item sd="0" m="1" x="3638"/>
        <item sd="0" m="1" x="1430"/>
        <item sd="0" m="1" x="7245"/>
        <item sd="0" m="1" x="5293"/>
        <item sd="0" m="1" x="3253"/>
        <item sd="0" m="1" x="3805"/>
        <item sd="0" m="1" x="1610"/>
        <item sd="0" m="1" x="7454"/>
        <item sd="0" m="1" x="5486"/>
        <item sd="0" m="1" x="3451"/>
        <item sd="0" m="1" x="4002"/>
        <item sd="0" m="1" x="2764"/>
        <item sd="0" m="1" x="731"/>
        <item sd="0" m="1" x="6545"/>
        <item sd="0" m="1" x="2925"/>
        <item sd="0" m="1" x="930"/>
        <item sd="0" m="1" x="6726"/>
        <item sd="0" m="1" x="2195"/>
        <item sd="0" m="1" x="46"/>
        <item sd="0" m="1" x="6011"/>
        <item sd="0" m="1" x="3860"/>
        <item sd="0" m="1" x="1846"/>
        <item sd="0" m="1" x="2400"/>
        <item sd="0" m="1" x="303"/>
        <item sd="0" m="1" x="6207"/>
        <item sd="0" m="1" x="4053"/>
        <item sd="0" m="1" x="2047"/>
        <item sd="0" m="1" x="2594"/>
        <item sd="0" m="1" x="508"/>
        <item sd="0" m="1" x="6363"/>
        <item sd="0" m="1" x="3517"/>
        <item sd="0" m="1" x="1486"/>
        <item sd="0" m="1" x="7311"/>
        <item sd="0" m="1" x="5179"/>
        <item sd="0" m="1" x="3138"/>
        <item sd="0" m="1" x="1170"/>
        <item sd="0" m="1" x="3700"/>
        <item sd="0" m="1" x="1686"/>
        <item sd="0" m="1" x="7531"/>
        <item sd="0" m="1" x="5376"/>
        <item sd="0" m="1" x="3350"/>
        <item sd="0" m="1" x="1335"/>
        <item sd="0" m="1" x="3887"/>
        <item sd="0" m="1" x="1878"/>
        <item sd="0" m="1" x="7729"/>
        <item sd="0" m="1" x="1227"/>
        <item sd="0" m="1" x="7028"/>
        <item sd="0" m="1" x="6856"/>
        <item sd="0" m="1" x="4880"/>
        <item sd="0" m="1" x="2873"/>
        <item sd="0" m="1" x="851"/>
        <item sd="0" m="1" x="1401"/>
        <item sd="0" m="1" x="7206"/>
        <item sd="0" m="1" x="7050"/>
        <item sd="0" m="1" x="5066"/>
        <item sd="0" m="1" x="3047"/>
        <item sd="0" m="1" x="1070"/>
        <item sd="0" m="1" x="1573"/>
        <item sd="0" m="1" x="7408"/>
        <item sd="0" m="1" x="286"/>
        <item sd="0" m="1" x="6189"/>
        <item sd="0" m="1" x="4196"/>
        <item sd="0" m="1" x="2201"/>
        <item sd="0" m="1" x="488"/>
        <item sd="0" m="1" x="6348"/>
        <item sd="0" m="1" x="4363"/>
        <item sd="0" m="1" x="2403"/>
        <item sd="0" m="1" x="1667"/>
        <item sd="0" m="1" x="7514"/>
        <item sd="0" m="1" x="5540"/>
        <item sd="0" m="1" x="1861"/>
        <item sd="0" m="1" x="7713"/>
        <item sd="0" m="1" x="5694"/>
        <item sd="0" m="1" x="2061"/>
        <item sd="0" m="1" x="5001"/>
        <item sd="0" m="1" x="2970"/>
        <item sd="0" m="1" x="985"/>
        <item sd="0" m="1" x="6789"/>
        <item sd="0" m="1" x="4646"/>
        <item sd="0" m="1" x="5203"/>
        <item sd="0" m="1" x="3155"/>
        <item sd="0" m="1" x="1189"/>
        <item sd="0" m="1" x="6975"/>
        <item sd="0" m="1" x="4828"/>
        <item sd="0" m="1" x="5398"/>
        <item sd="0" m="1" x="3370"/>
        <item sd="0" m="1" x="1354"/>
        <item sd="0" m="1" x="6298"/>
        <item sd="0" m="1" x="4285"/>
        <item sd="0" m="1" x="2319"/>
        <item sd="0" m="1" x="195"/>
        <item sd="0" m="1" x="7991"/>
        <item sd="0" m="1" x="5954"/>
        <item sd="0" m="1" x="3978"/>
        <item sd="0" m="1" x="6466"/>
        <item sd="0" m="1" x="4482"/>
        <item sd="0" m="1" x="2532"/>
        <item sd="0" m="1" x="421"/>
        <item sd="0" m="1" x="222"/>
        <item sd="0" m="1" x="6144"/>
        <item sd="0" m="1" x="4156"/>
        <item sd="0" m="1" x="6630"/>
        <item sd="0" m="1" x="4675"/>
        <item sd="0" m="1" x="2697"/>
        <item sd="0" m="1" x="642"/>
        <item sd="0" m="1" x="2203"/>
        <item sd="0" m="1" x="51"/>
        <item sd="0" m="1" x="6016"/>
        <item sd="0" m="1" x="3862"/>
        <item sd="0" m="1" x="2406"/>
        <item sd="0" m="1" x="309"/>
        <item sd="0" m="1" x="6211"/>
        <item sd="0" m="1" x="4055"/>
        <item sd="0" m="1" x="2597"/>
        <item sd="0" m="1" x="516"/>
        <item sd="0" m="1" x="5542"/>
        <item sd="0" m="1" x="3521"/>
        <item sd="0" m="1" x="1489"/>
        <item sd="0" m="1" x="7315"/>
        <item sd="0" m="1" x="5184"/>
        <item sd="0" m="1" x="3141"/>
        <item sd="0" m="1" x="5696"/>
        <item sd="0" m="1" x="3703"/>
        <item sd="0" m="1" x="1691"/>
        <item sd="0" m="1" x="7536"/>
        <item sd="0" m="1" x="5379"/>
        <item sd="0" m="1" x="3353"/>
        <item sd="0" m="1" x="5851"/>
        <item sd="0" m="1" x="3888"/>
        <item sd="0" m="1" x="1881"/>
        <item sd="0" m="1" x="7733"/>
        <item sd="0" m="1" x="4806"/>
        <item sd="0" m="1" x="2822"/>
        <item sd="0" m="1" x="623"/>
        <item sd="0" m="1" x="6449"/>
        <item sd="0" m="1" x="4467"/>
        <item sd="0" m="1" x="2517"/>
        <item sd="0" m="1" x="5018"/>
        <item sd="0" m="1" x="2988"/>
        <item sd="0" m="1" x="813"/>
        <item sd="0" m="1" x="6616"/>
        <item sd="0" m="1" x="4660"/>
        <item sd="0" m="1" x="2683"/>
        <item sd="0" m="1" x="5217"/>
        <item sd="0" m="1" x="3168"/>
        <item sd="0" m="1" x="4137"/>
        <item sd="0" m="1" x="1990"/>
        <item sd="0" m="1" x="7834"/>
        <item sd="0" m="1" x="5788"/>
        <item sd="0" m="1" x="4304"/>
        <item sd="0" m="1" x="2150"/>
        <item sd="0" m="1" x="9"/>
        <item sd="0" m="1" x="5972"/>
        <item sd="0" m="1" x="4496"/>
        <item sd="0" m="1" x="3260"/>
        <item sd="0" m="1" x="1273"/>
        <item sd="0" m="1" x="7102"/>
        <item sd="0" m="1" x="3460"/>
        <item sd="0" m="1" x="1449"/>
        <item sd="0" m="1" x="7271"/>
        <item sd="0" m="1" x="1945"/>
        <item sd="0" m="1" x="1376"/>
        <item sd="0" m="1" x="7181"/>
        <item sd="0" m="1" x="5244"/>
        <item sd="0" m="1" x="3029"/>
        <item sd="0" m="1" x="1051"/>
        <item sd="0" m="1" x="6855"/>
        <item sd="0" m="1" x="1556"/>
        <item sd="0" m="1" x="7389"/>
        <item sd="0" m="1" x="5435"/>
        <item sd="0" m="1" x="3215"/>
        <item sd="0" m="1" x="1239"/>
        <item sd="0" m="1" x="7049"/>
        <item sd="0" m="1" x="1771"/>
        <item sd="0" m="1" x="7621"/>
        <item sd="0" m="1" x="5604"/>
        <item sd="0" m="1" x="667"/>
        <item sd="0" m="1" x="6491"/>
        <item sd="0" m="1" x="4345"/>
        <item sd="0" m="1" x="2383"/>
        <item sd="0" m="1" x="285"/>
        <item sd="0" m="1" x="863"/>
        <item sd="0" m="1" x="6658"/>
        <item sd="0" m="1" x="4531"/>
        <item sd="0" m="1" x="2581"/>
        <item sd="0" m="1" x="487"/>
        <item sd="0" m="1" x="1089"/>
        <item sd="0" m="1" x="6877"/>
        <item sd="0" m="1" x="7696"/>
        <item sd="0" m="1" x="5673"/>
        <item sd="0" m="1" x="3689"/>
        <item sd="0" m="1" x="1666"/>
        <item sd="0" m="1" x="7882"/>
        <item sd="0" m="1" x="5835"/>
        <item sd="0" m="1" x="3877"/>
        <item sd="0" m="1" x="1860"/>
        <item sd="0" m="1" x="7103"/>
        <item sd="0" m="1" x="5105"/>
        <item sd="0" m="1" x="3084"/>
        <item sd="0" m="1" x="1121"/>
        <item sd="0" m="1" x="921"/>
        <item sd="0" m="1" x="6715"/>
        <item sd="0" m="1" x="7275"/>
        <item sd="0" m="1" x="5311"/>
        <item sd="0" m="1" x="3288"/>
        <item sd="0" m="1" x="1291"/>
        <item sd="0" m="1" x="1138"/>
        <item sd="0" m="1" x="6923"/>
        <item sd="0" m="1" x="7489"/>
        <item sd="0" m="1" x="5515"/>
        <item sd="0" m="1" x="3488"/>
        <item sd="0" m="1" x="554"/>
        <item sd="0" m="1" x="6394"/>
        <item sd="0" m="1" x="4406"/>
        <item sd="0" m="1" x="2272"/>
        <item sd="0" m="1" x="119"/>
        <item sd="0" m="1" x="6073"/>
        <item sd="0" m="1" x="752"/>
        <item sd="0" m="1" x="6564"/>
        <item sd="0" m="1" x="4587"/>
        <item sd="0" m="1" x="2477"/>
        <item sd="0" m="1" x="374"/>
        <item sd="0" m="1" x="6270"/>
        <item sd="0" m="1" x="954"/>
        <item sd="0" m="1" x="6752"/>
        <item sd="0" m="1" x="4774"/>
        <item sd="0" m="1" x="287"/>
        <item sd="0" m="1" x="6190"/>
        <item sd="0" m="1" x="4197"/>
        <item sd="0" m="1" x="2202"/>
        <item sd="0" m="1" x="489"/>
        <item sd="0" m="1" x="6349"/>
        <item sd="0" m="1" x="4364"/>
        <item sd="0" m="1" x="2404"/>
        <item sd="0" m="1" x="703"/>
        <item sd="0" m="1" x="1668"/>
        <item sd="0" m="1" x="7515"/>
        <item sd="0" m="1" x="5541"/>
        <item sd="0" m="1" x="3342"/>
        <item sd="0" m="1" x="1862"/>
        <item sd="0" m="1" x="7714"/>
        <item sd="0" m="1" x="5695"/>
        <item sd="0" m="1" x="3542"/>
        <item sd="0" m="1" x="2062"/>
        <item sd="0" m="1" x="7900"/>
        <item sd="0" m="1" x="5002"/>
        <item sd="0" m="1" x="2971"/>
        <item sd="0" m="1" x="986"/>
        <item sd="0" m="1" x="6790"/>
        <item sd="0" m="1" x="4647"/>
        <item sd="0" m="1" x="2674"/>
        <item sd="0" m="1" x="5204"/>
        <item sd="0" m="1" x="3156"/>
        <item sd="0" m="1" x="1190"/>
        <item sd="0" m="1" x="6976"/>
        <item sd="0" m="1" x="4829"/>
        <item sd="0" m="1" x="2837"/>
        <item sd="0" m="1" x="5399"/>
        <item sd="0" m="1" x="3371"/>
        <item sd="0" m="1" x="1355"/>
        <item sd="0" m="1" x="7161"/>
        <item sd="0" m="1" x="4286"/>
        <item sd="0" m="1" x="2320"/>
        <item sd="0" m="1" x="196"/>
        <item sd="0" m="1" x="7992"/>
        <item sd="0" m="1" x="5955"/>
        <item sd="0" m="1" x="3979"/>
        <item sd="0" m="1" x="1987"/>
        <item sd="0" m="1" x="4483"/>
        <item sd="0" m="1" x="2533"/>
        <item sd="0" m="1" x="422"/>
        <item sd="0" m="1" x="223"/>
        <item sd="0" m="1" x="6145"/>
        <item sd="0" m="1" x="4157"/>
        <item sd="0" m="1" x="2147"/>
        <item sd="0" m="1" x="4676"/>
        <item sd="0" m="1" x="2698"/>
        <item sd="0" m="1" x="643"/>
        <item sd="0" m="1" x="3639"/>
        <item sd="0" m="1" x="1431"/>
        <item sd="0" m="1" x="7248"/>
        <item sd="0" m="1" x="5295"/>
        <item sd="0" m="1" x="3257"/>
        <item sd="0" m="1" x="3808"/>
        <item sd="0" m="1" x="1613"/>
        <item sd="0" m="1" x="7459"/>
        <item sd="0" m="1" x="5491"/>
        <item sd="0" m="1" x="3457"/>
        <item sd="0" m="1" x="4005"/>
        <item sd="0" m="1" x="564"/>
        <item sd="0" m="1" x="6402"/>
        <item sd="0" m="1" x="4411"/>
        <item sd="0" m="1" x="2275"/>
        <item sd="0" m="1" x="124"/>
        <item sd="0" m="1" x="757"/>
        <item sd="0" m="1" x="6569"/>
        <item sd="0" m="1" x="4593"/>
        <item sd="0" m="1" x="2481"/>
        <item sd="0" m="1" x="378"/>
        <item sd="0" m="1" x="957"/>
        <item sd="0" m="1" x="6756"/>
        <item sd="0" m="1" x="4779"/>
        <item sd="0" m="1" x="1937"/>
        <item sd="0" m="1" x="7782"/>
        <item sd="0" m="1" x="5746"/>
        <item sd="0" m="1" x="3589"/>
        <item sd="0" m="1" x="1549"/>
        <item sd="0" m="1" x="7382"/>
        <item sd="0" m="1" x="2104"/>
        <item sd="0" m="1" x="7954"/>
        <item sd="0" m="1" x="5908"/>
        <item sd="0" m="1" x="3753"/>
        <item sd="0" m="1" x="1764"/>
        <item sd="0" m="1" x="7614"/>
        <item sd="0" m="1" x="2299"/>
        <item sd="0" m="1" x="161"/>
        <item sd="0" m="1" x="6102"/>
        <item sd="0" m="1" x="1231"/>
        <item sd="0" m="1" x="7034"/>
        <item sd="0" m="1" x="6860"/>
        <item sd="0" m="1" x="4885"/>
        <item sd="0" m="1" x="2876"/>
        <item sd="0" m="1" x="856"/>
        <item sd="0" m="1" x="1405"/>
        <item sd="0" m="1" x="7210"/>
        <item sd="0" m="1" x="7059"/>
        <item sd="0" m="1" x="5072"/>
        <item sd="0" m="1" x="3052"/>
        <item sd="0" m="1" x="1077"/>
        <item sd="0" m="1" x="1575"/>
        <item sd="0" m="1" x="7410"/>
        <item sd="0" m="1" x="294"/>
        <item sd="0" m="1" x="6197"/>
        <item sd="0" m="1" x="4200"/>
        <item sd="0" m="1" x="2206"/>
        <item sd="0" m="1" x="498"/>
        <item sd="0" m="1" x="6356"/>
        <item sd="0" m="1" x="4369"/>
        <item sd="0" m="1" x="2409"/>
        <item sd="0" m="1" x="1676"/>
        <item sd="0" m="1" x="7521"/>
        <item sd="0" m="1" x="5546"/>
        <item sd="0" m="1" x="1868"/>
        <item sd="0" m="1" x="7719"/>
        <item sd="0" m="1" x="5699"/>
        <item sd="0" m="1" x="2065"/>
        <item sd="0" m="1" x="229"/>
        <item sd="0" m="1" x="5624"/>
        <item sd="0" m="1" x="3641"/>
        <item sd="0" m="1" x="1433"/>
        <item sd="0" m="1" x="7251"/>
        <item sd="0" m="1" x="5296"/>
        <item sd="0" m="1" x="3264"/>
        <item sd="0" m="1" x="5800"/>
        <item sd="0" m="1" x="3810"/>
        <item sd="0" m="1" x="1619"/>
        <item sd="0" m="1" x="7465"/>
        <item sd="0" m="1" x="5496"/>
        <item sd="0" m="1" x="3463"/>
        <item sd="0" m="1" x="5989"/>
        <item sd="0" m="1" x="4006"/>
        <item sd="0" m="1" x="4948"/>
        <item sd="0" m="1" x="2767"/>
        <item sd="0" m="1" x="734"/>
        <item sd="0" m="1" x="6548"/>
        <item sd="0" m="1" x="5131"/>
        <item sd="0" m="1" x="2930"/>
        <item sd="0" m="1" x="935"/>
        <item sd="0" m="1" x="6732"/>
        <item sd="0" m="1" x="5329"/>
        <item sd="0" m="1" x="2210"/>
        <item sd="0" m="1" x="56"/>
        <item sd="0" m="1" x="6022"/>
        <item sd="0" m="1" x="3868"/>
        <item sd="0" m="1" x="2414"/>
        <item sd="0" m="1" x="317"/>
        <item sd="0" m="1" x="6217"/>
        <item sd="0" m="1" x="4060"/>
        <item sd="0" m="1" x="2601"/>
        <item sd="0" m="1" x="524"/>
        <item sd="0" m="1" x="5548"/>
        <item sd="0" m="1" x="3528"/>
        <item sd="0" m="1" x="1493"/>
        <item sd="0" m="1" x="7320"/>
        <item sd="0" m="1" x="5191"/>
        <item sd="0" m="1" x="3146"/>
        <item sd="0" m="1" x="5702"/>
        <item sd="0" m="1" x="3707"/>
        <item sd="0" m="1" x="1697"/>
        <item sd="0" m="1" x="7543"/>
        <item sd="0" m="1" x="5386"/>
        <item sd="0" m="1" x="3360"/>
        <item sd="0" m="1" x="5856"/>
        <item sd="0" m="1" x="3893"/>
        <item sd="0" m="1" x="1889"/>
        <item sd="0" m="1" x="7741"/>
        <item sd="0" m="1" x="4811"/>
        <item sd="0" m="1" x="2826"/>
        <item sd="0" m="1" x="626"/>
        <item sd="0" m="1" x="6456"/>
        <item sd="0" m="1" x="4472"/>
        <item sd="0" m="1" x="2523"/>
        <item sd="0" m="1" x="5021"/>
        <item sd="0" m="1" x="2992"/>
        <item sd="0" m="1" x="817"/>
        <item sd="0" m="1" x="6622"/>
        <item sd="0" m="1" x="4665"/>
        <item sd="0" m="1" x="2688"/>
        <item sd="0" m="1" x="5219"/>
        <item sd="0" m="1" x="3171"/>
        <item sd="0" m="1" x="6550"/>
        <item sd="0" m="1" x="4573"/>
        <item sd="0" m="1" x="2622"/>
        <item sd="0" m="1" x="562"/>
        <item sd="0" m="1" x="6734"/>
        <item sd="0" m="1" x="4757"/>
        <item sd="0" m="1" x="2783"/>
        <item sd="0" m="1" x="754"/>
        <item sd="0" m="1" x="6937"/>
        <item sd="0" m="1" x="4977"/>
        <item sd="0" m="1" x="7933"/>
        <item sd="0" m="1" x="5885"/>
        <item sd="0" m="1" x="3926"/>
        <item sd="0" m="1" x="1752"/>
        <item sd="0" m="1" x="7598"/>
        <item sd="0" m="1" x="141"/>
        <item sd="0" m="1" x="6087"/>
        <item sd="0" m="1" x="4105"/>
        <item sd="0" m="1" x="1951"/>
        <item sd="0" m="1" x="7799"/>
        <item sd="0" m="1" x="391"/>
        <item sd="0" m="1" x="6283"/>
        <item sd="0" m="1" x="4265"/>
        <item sd="0" m="1" x="1382"/>
        <item sd="0" m="1" x="7188"/>
        <item sd="0" m="1" x="5249"/>
        <item sd="0" m="1" x="3035"/>
        <item sd="0" m="1" x="1057"/>
        <item sd="0" m="1" x="6859"/>
        <item sd="0" m="1" x="1563"/>
        <item sd="0" m="1" x="7396"/>
        <item sd="0" m="1" x="5440"/>
        <item sd="0" m="1" x="3222"/>
        <item sd="0" m="1" x="1245"/>
        <item sd="0" m="1" x="7058"/>
        <item sd="0" m="1" x="1774"/>
        <item sd="0" m="1" x="7624"/>
        <item sd="0" m="1" x="5607"/>
        <item sd="0" m="1" x="669"/>
        <item sd="0" m="1" x="6494"/>
        <item sd="0" m="1" x="4351"/>
        <item sd="0" m="1" x="2388"/>
        <item sd="0" m="1" x="291"/>
        <item sd="0" m="1" x="868"/>
        <item sd="0" m="1" x="6662"/>
        <item sd="0" m="1" x="4536"/>
        <item sd="0" m="1" x="2585"/>
        <item sd="0" m="1" x="495"/>
        <item sd="0" m="1" x="1093"/>
        <item sd="0" m="1" x="6879"/>
        <item sd="0" m="1" x="7700"/>
        <item sd="0" m="1" x="5679"/>
        <item sd="0" m="1" x="3692"/>
        <item sd="0" m="1" x="1672"/>
        <item sd="0" m="1" x="7885"/>
        <item sd="0" m="1" x="5837"/>
        <item sd="0" m="1" x="3880"/>
        <item sd="0" m="1" x="1864"/>
        <item sd="0" m="1" x="2482"/>
        <item sd="0" m="1" x="7783"/>
        <item sd="0" m="1" x="5747"/>
        <item sd="0" m="1" x="3590"/>
        <item sd="0" m="1" x="1550"/>
        <item sd="0" m="1" x="7383"/>
        <item sd="0" m="1" x="7955"/>
        <item sd="0" m="1" x="5909"/>
        <item sd="0" m="1" x="3754"/>
        <item sd="0" m="1" x="1765"/>
        <item sd="0" m="1" x="7615"/>
        <item sd="0" m="1" x="162"/>
        <item sd="0" m="1" x="6103"/>
        <item sd="0" m="1" x="7035"/>
        <item sd="0" m="1" x="6861"/>
        <item sd="0" m="1" x="4886"/>
        <item sd="0" m="1" x="2877"/>
        <item sd="0" m="1" x="857"/>
        <item sd="0" m="1" x="7211"/>
        <item sd="0" m="1" x="7060"/>
        <item sd="0" m="1" x="5073"/>
        <item sd="0" m="1" x="3053"/>
        <item sd="0" m="1" x="1078"/>
        <item sd="0" m="1" x="7411"/>
        <item sd="0" m="1" x="295"/>
        <item sd="0" m="1" x="6198"/>
        <item sd="0" m="1" x="4201"/>
        <item sd="0" m="1" x="2207"/>
        <item sd="0" m="1" x="499"/>
        <item sd="0" m="1" x="6357"/>
        <item sd="0" m="1" x="4370"/>
        <item sd="0" m="1" x="2410"/>
        <item sd="0" m="1" x="709"/>
        <item sd="0" m="1" x="1677"/>
        <item sd="0" m="1" x="7522"/>
        <item sd="0" m="1" x="5547"/>
        <item sd="0" m="1" x="3348"/>
        <item sd="0" m="1" x="1869"/>
        <item sd="0" m="1" x="7720"/>
        <item sd="0" m="1" x="5700"/>
        <item sd="0" m="1" x="3550"/>
        <item sd="0" m="1" x="2066"/>
        <item sd="0" m="1" x="7904"/>
        <item sd="0" m="1" x="5007"/>
        <item sd="0" m="1" x="2977"/>
        <item sd="0" m="1" x="990"/>
        <item sd="0" m="1" x="6795"/>
        <item sd="0" m="1" x="4651"/>
        <item sd="0" m="1" x="2678"/>
        <item sd="0" m="1" x="5208"/>
        <item sd="0" m="1" x="3160"/>
        <item sd="0" m="1" x="1193"/>
        <item sd="0" m="1" x="6979"/>
        <item sd="0" m="1" x="4833"/>
        <item sd="0" m="1" x="2841"/>
        <item sd="0" m="1" x="5402"/>
        <item sd="0" m="1" x="3374"/>
        <item sd="0" m="1" x="1359"/>
        <item sd="0" m="1" x="7164"/>
        <item sd="0" m="1" x="2768"/>
        <item sd="0" m="1" x="735"/>
        <item sd="0" m="1" x="6549"/>
        <item sd="0" m="1" x="2931"/>
        <item sd="0" m="1" x="936"/>
        <item sd="0" m="1" x="6733"/>
        <item sd="0" m="1" x="2211"/>
        <item sd="0" m="1" x="57"/>
        <item sd="0" m="1" x="6023"/>
        <item sd="0" m="1" x="3869"/>
        <item sd="0" m="1" x="1853"/>
        <item sd="0" m="1" x="2415"/>
        <item sd="0" m="1" x="318"/>
        <item sd="0" m="1" x="6218"/>
        <item sd="0" m="1" x="4061"/>
        <item sd="0" m="1" x="2053"/>
        <item sd="0" m="1" x="2602"/>
        <item sd="0" m="1" x="525"/>
        <item sd="0" m="1" x="6374"/>
        <item sd="0" m="1" x="3529"/>
        <item sd="0" m="1" x="1494"/>
        <item sd="0" m="1" x="7321"/>
        <item sd="0" m="1" x="5192"/>
        <item sd="0" m="1" x="3147"/>
        <item sd="0" m="1" x="1178"/>
        <item sd="0" m="1" x="3708"/>
        <item sd="0" m="1" x="1698"/>
        <item sd="0" m="1" x="7544"/>
        <item sd="0" m="1" x="5387"/>
        <item sd="0" m="1" x="3361"/>
        <item sd="0" m="1" x="1343"/>
        <item sd="0" m="1" x="3894"/>
        <item sd="0" m="1" x="1890"/>
        <item sd="0" m="1" x="7742"/>
        <item sd="0" m="1" x="569"/>
        <item sd="0" m="1" x="6406"/>
        <item sd="0" m="1" x="4415"/>
        <item sd="0" m="1" x="2277"/>
        <item sd="0" m="1" x="128"/>
        <item sd="0" m="1" x="762"/>
        <item sd="0" m="1" x="6573"/>
        <item sd="0" m="1" x="4599"/>
        <item sd="0" m="1" x="2485"/>
        <item sd="0" m="1" x="381"/>
        <item sd="0" m="1" x="962"/>
        <item sd="0" m="1" x="6760"/>
        <item sd="0" m="1" x="4784"/>
        <item sd="0" m="1" x="1941"/>
        <item sd="0" m="1" x="7785"/>
        <item sd="0" m="1" x="5748"/>
        <item sd="0" m="1" x="3596"/>
        <item sd="0" m="1" x="1553"/>
        <item sd="0" m="1" x="7386"/>
        <item sd="0" m="1" x="2107"/>
        <item sd="0" m="1" x="7958"/>
        <item sd="0" m="1" x="5912"/>
        <item sd="0" m="1" x="3759"/>
        <item sd="0" m="1" x="1768"/>
        <item sd="0" m="1" x="7618"/>
        <item sd="0" m="1" x="2304"/>
        <item sd="0" m="1" x="167"/>
        <item sd="0" m="1" x="6106"/>
        <item sd="0" m="1" x="1683"/>
        <item sd="0" m="1" x="7528"/>
        <item sd="0" m="1" x="5553"/>
        <item sd="0" m="1" x="1874"/>
        <item sd="0" m="1" x="7725"/>
        <item sd="0" m="1" x="5705"/>
        <item sd="0" m="1" x="2069"/>
        <item sd="0" m="1" x="5010"/>
        <item sd="0" m="1" x="2980"/>
        <item sd="0" m="1" x="995"/>
        <item sd="0" m="1" x="6800"/>
        <item sd="0" m="1" x="4654"/>
        <item sd="0" m="1" x="5212"/>
        <item sd="0" m="1" x="3163"/>
        <item sd="0" m="1" x="1196"/>
        <item sd="0" m="1" x="6983"/>
        <item sd="0" m="1" x="4839"/>
        <item sd="0" m="1" x="5405"/>
        <item sd="0" m="1" x="3376"/>
        <item sd="0" m="1" x="1361"/>
        <item sd="0" m="1" x="6303"/>
        <item sd="0" m="1" x="4294"/>
        <item sd="0" m="1" x="2325"/>
        <item sd="0" m="1" x="209"/>
        <item sd="0" m="1" x="7998"/>
        <item sd="0" m="1" x="5962"/>
        <item sd="0" m="1" x="3981"/>
        <item sd="0" m="1" x="6470"/>
        <item sd="0" m="1" x="4489"/>
        <item sd="0" m="1" x="2537"/>
        <item sd="0" m="1" x="428"/>
        <item sd="0" m="1" x="237"/>
        <item sd="0" m="1" x="6154"/>
        <item sd="0" m="1" x="4164"/>
        <item sd="0" m="1" x="6634"/>
        <item sd="0" m="1" x="4678"/>
        <item sd="0" m="1" x="2700"/>
        <item sd="0" m="1" x="646"/>
        <item sd="0" m="1" x="5627"/>
        <item sd="0" m="1" x="3643"/>
        <item sd="0" m="1" x="1438"/>
        <item sd="0" m="1" x="7258"/>
        <item sd="0" m="1" x="5299"/>
        <item sd="0" m="1" x="3271"/>
        <item sd="0" m="1" x="5803"/>
        <item sd="0" m="1" x="3814"/>
        <item sd="0" m="1" x="1626"/>
        <item sd="0" m="1" x="7473"/>
        <item sd="0" m="1" x="5502"/>
        <item sd="0" m="1" x="3470"/>
        <item sd="0" m="1" x="5992"/>
        <item sd="0" m="1" x="4009"/>
        <item sd="0" m="1" x="4953"/>
        <item sd="0" m="1" x="2772"/>
        <item sd="0" m="1" x="738"/>
        <item sd="0" m="1" x="6552"/>
        <item sd="0" m="1" x="5139"/>
        <item sd="0" m="1" x="2936"/>
        <item sd="0" m="1" x="940"/>
        <item sd="0" m="1" x="6738"/>
        <item sd="0" m="1" x="5335"/>
        <item sd="0" m="1" x="5860"/>
        <item sd="0" m="1" x="4820"/>
        <item sd="0" m="1" x="2832"/>
        <item sd="0" m="1" x="628"/>
        <item sd="0" m="1" x="6462"/>
        <item sd="0" m="1" x="4478"/>
        <item sd="0" m="1" x="2528"/>
        <item sd="0" m="1" x="5028"/>
        <item sd="0" m="1" x="3000"/>
        <item sd="0" m="1" x="821"/>
        <item sd="0" m="1" x="6626"/>
        <item sd="0" m="1" x="4671"/>
        <item sd="0" m="1" x="2693"/>
        <item sd="0" m="1" x="5222"/>
        <item sd="0" m="1" x="3175"/>
        <item sd="0" m="1" x="4149"/>
        <item sd="0" m="1" x="1996"/>
        <item sd="0" m="1" x="7842"/>
        <item sd="0" m="1" x="5796"/>
        <item sd="0" m="1" x="4318"/>
        <item sd="0" m="1" x="2161"/>
        <item sd="0" m="1" x="18"/>
        <item sd="0" m="1" x="5982"/>
        <item sd="0" m="1" x="4502"/>
        <item sd="0" m="1" x="3276"/>
        <item sd="0" m="1" x="1283"/>
        <item sd="0" m="1" x="7113"/>
        <item sd="0" m="1" x="3475"/>
        <item sd="0" m="1" x="1460"/>
        <item sd="0" m="1" x="7283"/>
        <item sd="0" m="1" x="6556"/>
        <item sd="0" m="1" x="4579"/>
        <item sd="0" m="1" x="2626"/>
        <item sd="0" m="1" x="567"/>
        <item sd="0" m="1" x="6742"/>
        <item sd="0" m="1" x="4765"/>
        <item sd="0" m="1" x="2789"/>
        <item sd="0" m="1" x="760"/>
        <item sd="0" m="1" x="6941"/>
        <item sd="0" m="1" x="4983"/>
        <item sd="0" m="1" x="7938"/>
        <item sd="0" m="1" x="5891"/>
        <item sd="0" m="1" x="3929"/>
        <item sd="0" m="1" x="1757"/>
        <item sd="0" m="1" x="7606"/>
        <item sd="0" m="1" x="148"/>
        <item sd="0" m="1" x="6092"/>
        <item sd="0" m="1" x="4109"/>
        <item sd="0" m="1" x="1956"/>
        <item sd="0" m="1" x="7807"/>
        <item sd="0" m="1" x="395"/>
        <item sd="0" m="1" x="6287"/>
        <item sd="0" m="1" x="4271"/>
        <item sd="0" m="1" x="7705"/>
        <item sd="0" m="1" x="5686"/>
        <item sd="0" m="1" x="3698"/>
        <item sd="0" m="1" x="1680"/>
        <item sd="0" m="1" x="7891"/>
        <item sd="0" m="1" x="5843"/>
        <item sd="0" m="1" x="3884"/>
        <item sd="0" m="1" x="1871"/>
        <item sd="0" m="1" x="7114"/>
        <item sd="0" m="1" x="5121"/>
        <item sd="0" m="1" x="3092"/>
        <item sd="0" m="1" x="1132"/>
        <item sd="0" m="1" x="928"/>
        <item sd="0" m="1" x="6724"/>
        <item sd="0" m="1" x="7284"/>
        <item sd="0" m="1" x="5323"/>
        <item sd="0" m="1" x="3297"/>
        <item sd="0" m="1" x="1297"/>
        <item sd="0" m="1" x="1145"/>
        <item sd="0" m="1" x="6931"/>
        <item sd="0" m="1" x="7499"/>
        <item sd="0" m="1" x="5523"/>
        <item sd="0" m="1" x="3497"/>
        <item sd="0" m="1" x="570"/>
        <item sd="0" m="1" x="6407"/>
        <item sd="0" m="1" x="4416"/>
        <item sd="0" m="1" x="2278"/>
        <item sd="0" m="1" x="129"/>
        <item sd="0" m="1" x="6077"/>
        <item sd="0" m="1" x="763"/>
        <item sd="0" m="1" x="6574"/>
        <item sd="0" m="1" x="4600"/>
        <item sd="0" m="1" x="2486"/>
        <item sd="0" m="1" x="382"/>
        <item sd="0" m="1" x="6275"/>
        <item sd="0" m="1" x="963"/>
        <item sd="0" m="1" x="6761"/>
        <item sd="0" m="1" x="4785"/>
        <item sd="0" m="1" x="7786"/>
        <item sd="0" m="1" x="5749"/>
        <item sd="0" m="1" x="3597"/>
        <item sd="0" m="1" x="1554"/>
        <item sd="0" m="1" x="7387"/>
        <item sd="0" m="1" x="7959"/>
        <item sd="0" m="1" x="5913"/>
        <item sd="0" m="1" x="3760"/>
        <item sd="0" m="1" x="1769"/>
        <item sd="0" m="1" x="7619"/>
        <item sd="0" m="1" x="168"/>
        <item sd="0" m="1" x="6107"/>
        <item sd="0" m="1" x="7041"/>
        <item sd="0" m="1" x="6865"/>
        <item sd="0" m="1" x="4892"/>
        <item sd="0" m="1" x="2880"/>
        <item sd="0" m="1" x="860"/>
        <item sd="0" m="1" x="7216"/>
        <item sd="0" m="1" x="7064"/>
        <item sd="0" m="1" x="5079"/>
        <item sd="0" m="1" x="3056"/>
        <item sd="0" m="1" x="1082"/>
        <item sd="0" m="1" x="7415"/>
        <item sd="0" m="1" x="3553"/>
        <item sd="0" m="1" x="5011"/>
        <item sd="0" m="1" x="2981"/>
        <item sd="0" m="1" x="996"/>
        <item sd="0" m="1" x="6801"/>
        <item sd="0" m="1" x="4655"/>
        <item sd="0" m="1" x="2679"/>
        <item sd="0" m="1" x="5213"/>
        <item sd="0" m="1" x="3164"/>
        <item sd="0" m="1" x="1197"/>
        <item sd="0" m="1" x="6984"/>
        <item sd="0" m="1" x="4840"/>
        <item sd="0" m="1" x="2845"/>
        <item sd="0" m="1" x="5406"/>
        <item sd="0" m="1" x="3377"/>
        <item sd="0" m="1" x="1362"/>
        <item sd="0" m="1" x="7167"/>
        <item sd="0" m="1" x="4295"/>
        <item sd="0" m="1" x="2326"/>
        <item sd="0" m="1" x="210"/>
        <item sd="0" m="1" x="7999"/>
        <item sd="0" m="1" x="5963"/>
        <item sd="0" m="1" x="3982"/>
        <item sd="0" m="1" x="1995"/>
        <item sd="0" m="1" x="4490"/>
        <item sd="0" m="1" x="2538"/>
        <item sd="0" m="1" x="429"/>
        <item sd="0" m="1" x="238"/>
        <item sd="0" m="1" x="6155"/>
        <item sd="0" m="1" x="4165"/>
        <item sd="0" m="1" x="2160"/>
        <item sd="0" m="1" x="4679"/>
        <item sd="0" m="1" x="2701"/>
        <item sd="0" m="1" x="647"/>
        <item sd="0" m="1" x="3644"/>
        <item sd="0" m="1" x="1439"/>
        <item sd="0" m="1" x="7259"/>
        <item sd="0" m="1" x="5300"/>
        <item sd="0" m="1" x="3272"/>
        <item sd="0" m="1" x="3815"/>
        <item sd="0" m="1" x="1627"/>
        <item sd="0" m="1" x="7474"/>
        <item sd="0" m="1" x="5503"/>
        <item sd="0" m="1" x="3471"/>
        <item sd="0" m="1" x="4010"/>
        <item sd="0" m="1" x="2773"/>
        <item sd="0" m="1" x="739"/>
        <item sd="0" m="1" x="6553"/>
        <item sd="0" m="1" x="2937"/>
        <item sd="0" m="1" x="941"/>
        <item sd="0" m="1" x="6739"/>
        <item sd="0" m="1" x="2218"/>
        <item sd="0" m="1" x="62"/>
        <item sd="0" m="1" x="6028"/>
        <item sd="0" m="1" x="3874"/>
        <item sd="0" m="1" x="1858"/>
        <item sd="0" m="1" x="2421"/>
        <item sd="0" m="1" x="323"/>
        <item sd="0" m="1" x="6222"/>
        <item sd="0" m="1" x="4066"/>
        <item sd="0" m="1" x="2058"/>
        <item sd="0" m="1" x="2605"/>
        <item sd="0" m="1" x="532"/>
        <item sd="0" m="1" x="6380"/>
        <item sd="0" m="1" x="1237"/>
        <item sd="0" m="1" x="7047"/>
        <item sd="0" m="1" x="6868"/>
        <item sd="0" m="1" x="4895"/>
        <item sd="0" m="1" x="2882"/>
        <item sd="0" m="1" x="862"/>
        <item sd="0" m="1" x="1414"/>
        <item sd="0" m="1" x="7221"/>
        <item sd="0" m="1" x="7068"/>
        <item sd="0" m="1" x="5082"/>
        <item sd="0" m="1" x="3059"/>
        <item sd="0" m="1" x="1086"/>
        <item sd="0" m="1" x="1581"/>
        <item sd="0" m="1" x="7418"/>
        <item sd="0" m="1" x="304"/>
        <item sd="0" m="1" x="6208"/>
        <item sd="0" m="1" x="4206"/>
        <item sd="0" m="1" x="2220"/>
        <item sd="0" m="1" x="509"/>
        <item sd="0" m="1" x="6364"/>
        <item sd="0" m="1" x="4375"/>
        <item sd="0" m="1" x="2422"/>
        <item sd="0" m="1" x="1687"/>
        <item sd="0" m="1" x="7532"/>
        <item sd="0" m="1" x="5555"/>
        <item sd="0" m="1" x="1879"/>
        <item sd="0" m="1" x="7730"/>
        <item sd="0" m="1" x="5708"/>
        <item sd="0" m="1" x="2071"/>
        <item sd="0" m="1" x="5014"/>
        <item sd="0" m="1" x="2984"/>
        <item sd="0" m="1" x="1000"/>
        <item sd="0" m="1" x="6807"/>
        <item sd="0" m="1" x="4657"/>
        <item sd="0" m="1" x="5215"/>
        <item sd="0" m="1" x="3166"/>
        <item sd="0" m="1" x="1200"/>
        <item sd="0" m="1" x="6990"/>
        <item sd="0" m="1" x="4844"/>
        <item sd="0" m="1" x="5408"/>
        <item sd="0" m="1" x="3378"/>
        <item sd="0" m="1" x="1364"/>
        <item sd="0" m="1" x="6306"/>
        <item sd="0" m="1" x="4299"/>
        <item sd="0" m="1" x="2329"/>
        <item sd="0" m="1" x="218"/>
        <item sd="0" m="1" x="3"/>
        <item sd="0" m="1" x="5966"/>
        <item sd="0" m="1" x="3983"/>
        <item sd="0" m="1" x="6471"/>
        <item sd="0" m="1" x="4493"/>
        <item sd="0" m="1" x="2540"/>
        <item sd="0" m="1" x="433"/>
        <item sd="0" m="1" x="241"/>
        <item sd="0" m="1" x="6158"/>
        <item sd="0" m="1" x="4167"/>
        <item sd="0" m="1" x="6635"/>
        <item sd="0" m="1" x="4680"/>
        <item sd="0" m="1" x="2702"/>
        <item sd="0" m="1" x="649"/>
        <item sd="0" m="1" x="2224"/>
        <item sd="0" m="1" x="65"/>
        <item sd="0" m="1" x="6031"/>
        <item sd="0" m="1" x="3876"/>
        <item sd="0" m="1" x="2426"/>
        <item sd="0" m="1" x="326"/>
        <item sd="0" m="1" x="6224"/>
        <item sd="0" m="1" x="4068"/>
        <item sd="0" m="1" x="2606"/>
        <item sd="0" m="1" x="533"/>
        <item sd="0" m="1" x="5557"/>
        <item sd="0" m="1" x="3540"/>
        <item sd="0" m="1" x="1502"/>
        <item sd="0" m="1" x="7330"/>
        <item sd="0" m="1" x="5201"/>
        <item sd="0" m="1" x="3153"/>
        <item sd="0" m="1" x="5710"/>
        <item sd="0" m="1" x="3715"/>
        <item sd="0" m="1" x="1708"/>
        <item sd="0" m="1" x="7555"/>
        <item sd="0" m="1" x="5396"/>
        <item sd="0" m="1" x="3368"/>
        <item sd="0" m="1" x="5863"/>
        <item sd="0" m="1" x="3897"/>
        <item sd="0" m="1" x="1900"/>
        <item sd="0" m="1" x="7750"/>
        <item sd="0" m="1" x="4826"/>
        <item sd="0" m="1" x="2835"/>
        <item sd="0" m="1" x="630"/>
        <item sd="0" m="1" x="6465"/>
        <item sd="0" m="1" x="4481"/>
        <item sd="0" m="1" x="2531"/>
        <item sd="0" m="1" x="5031"/>
        <item sd="0" m="1" x="3003"/>
        <item sd="0" m="1" x="825"/>
        <item sd="0" m="1" x="6629"/>
        <item sd="0" m="1" x="4674"/>
        <item sd="0" m="1" x="2696"/>
        <item sd="0" m="1" x="5223"/>
        <item sd="0" m="1" x="3176"/>
        <item sd="0" m="1" x="4154"/>
        <item sd="0" m="1" x="1999"/>
        <item sd="0" m="1" x="7844"/>
        <item sd="0" m="1" x="5798"/>
        <item sd="0" m="1" x="4323"/>
        <item sd="0" m="1" x="2167"/>
        <item sd="0" m="1" x="22"/>
        <item sd="0" m="1" x="5986"/>
        <item sd="0" m="1" x="4505"/>
        <item sd="0" m="1" x="3281"/>
        <item sd="0" m="1" x="1286"/>
        <item sd="0" m="1" x="7117"/>
        <item sd="0" m="1" x="3480"/>
        <item sd="0" m="1" x="1462"/>
        <item sd="0" m="1" x="7286"/>
        <item sd="0" m="1" x="1959"/>
        <item sd="0" m="1" x="1395"/>
        <item sd="0" m="1" x="7201"/>
        <item sd="0" m="1" x="5258"/>
        <item sd="0" m="1" x="3045"/>
        <item sd="0" m="1" x="1068"/>
        <item sd="0" m="1" x="6867"/>
        <item sd="0" m="1" x="1570"/>
        <item sd="0" m="1" x="7405"/>
        <item sd="0" m="1" x="5448"/>
        <item sd="0" m="1" x="3229"/>
        <item sd="0" m="1" x="1251"/>
        <item sd="0" m="1" x="7067"/>
        <item sd="0" m="1" x="1776"/>
        <item sd="0" m="1" x="7626"/>
        <item sd="0" m="1" x="5611"/>
        <item sd="0" m="1" x="678"/>
        <item sd="0" m="1" x="6501"/>
        <item sd="0" m="1" x="4360"/>
        <item sd="0" m="1" x="2398"/>
        <item sd="0" m="1" x="301"/>
        <item sd="0" m="1" x="875"/>
        <item sd="0" m="1" x="6672"/>
        <item sd="0" m="1" x="4542"/>
        <item sd="0" m="1" x="2592"/>
        <item sd="0" m="1" x="506"/>
        <item sd="0" m="1" x="1097"/>
        <item sd="0" m="1" x="6885"/>
        <item sd="0" m="1" x="7710"/>
        <item sd="0" m="1" x="5691"/>
        <item sd="0" m="1" x="3699"/>
        <item sd="0" m="1" x="1684"/>
        <item sd="0" m="1" x="7897"/>
        <item sd="0" m="1" x="5848"/>
        <item sd="0" m="1" x="3886"/>
        <item sd="0" m="1" x="1876"/>
        <item sd="0" m="1" x="7118"/>
        <item sd="0" m="1" x="5126"/>
        <item sd="0" m="1" x="3096"/>
        <item sd="0" m="1" x="1136"/>
        <item sd="0" m="1" x="932"/>
        <item sd="0" m="1" x="6729"/>
        <item sd="0" m="1" x="7287"/>
        <item sd="0" m="1" x="5327"/>
        <item sd="0" m="1" x="3301"/>
        <item sd="0" m="1" x="1299"/>
        <item sd="0" m="1" x="1147"/>
        <item sd="0" m="1" x="6934"/>
        <item sd="0" m="1" x="7500"/>
        <item sd="0" m="1" x="5524"/>
        <item sd="0" m="1" x="3499"/>
        <item sd="0" m="1" x="574"/>
        <item sd="0" m="1" x="6411"/>
        <item sd="0" m="1" x="4418"/>
        <item sd="0" m="1" x="2280"/>
        <item sd="0" m="1" x="133"/>
        <item sd="0" m="1" x="6080"/>
        <item sd="0" m="1" x="766"/>
        <item sd="0" m="1" x="6576"/>
        <item sd="0" m="1" x="4603"/>
        <item sd="0" m="1" x="2488"/>
        <item sd="0" m="1" x="386"/>
        <item sd="0" m="1" x="6279"/>
        <item sd="0" m="1" x="964"/>
        <item sd="0" m="1" x="6762"/>
        <item sd="0" m="1" x="4788"/>
        <item sd="0" m="1" x="305"/>
        <item sd="0" m="1" x="6209"/>
        <item sd="0" m="1" x="4207"/>
        <item sd="0" m="1" x="2221"/>
        <item sd="0" m="1" x="510"/>
        <item sd="0" m="1" x="6365"/>
        <item sd="0" m="1" x="4376"/>
        <item sd="0" m="1" x="2423"/>
        <item sd="0" m="1" x="715"/>
        <item sd="0" m="1" x="1688"/>
        <item sd="0" m="1" x="7533"/>
        <item sd="0" m="1" x="5556"/>
        <item sd="0" m="1" x="3351"/>
        <item sd="0" m="1" x="1880"/>
        <item sd="0" m="1" x="7731"/>
        <item sd="0" m="1" x="5709"/>
        <item sd="0" m="1" x="3557"/>
        <item sd="0" m="1" x="2072"/>
        <item sd="0" m="1" x="7911"/>
        <item sd="0" m="1" x="5015"/>
        <item sd="0" m="1" x="2985"/>
        <item sd="0" m="1" x="1001"/>
        <item sd="0" m="1" x="6808"/>
        <item sd="0" m="1" x="4658"/>
        <item sd="0" m="1" x="2681"/>
        <item sd="0" m="1" x="5216"/>
        <item sd="0" m="1" x="3167"/>
        <item sd="0" m="1" x="1201"/>
        <item sd="0" m="1" x="6991"/>
        <item sd="0" m="1" x="4845"/>
        <item sd="0" m="1" x="2849"/>
        <item sd="0" m="1" x="5409"/>
        <item sd="0" m="1" x="3379"/>
        <item sd="0" m="1" x="1365"/>
        <item sd="0" m="1" x="7170"/>
        <item sd="0" m="1" x="4300"/>
        <item sd="0" m="1" x="2330"/>
        <item sd="0" m="1" x="219"/>
        <item sd="0" m="1" x="4"/>
        <item sd="0" m="1" x="5967"/>
        <item sd="0" m="1" x="3984"/>
        <item sd="0" m="1" x="1997"/>
        <item sd="0" m="1" x="4494"/>
        <item sd="0" m="1" x="2541"/>
        <item sd="0" m="1" x="434"/>
        <item sd="0" m="1" x="242"/>
        <item sd="0" m="1" x="6159"/>
        <item sd="0" m="1" x="4168"/>
        <item sd="0" m="1" x="2165"/>
        <item sd="0" m="1" x="4681"/>
        <item sd="0" m="1" x="2703"/>
        <item sd="0" m="1" x="650"/>
        <item sd="0" m="1" x="3645"/>
        <item sd="0" m="1" x="1443"/>
        <item sd="0" m="1" x="7263"/>
        <item sd="0" m="1" x="5302"/>
        <item sd="0" m="1" x="3277"/>
        <item sd="0" m="1" x="3818"/>
        <item sd="0" m="1" x="1630"/>
        <item sd="0" m="1" x="7477"/>
        <item sd="0" m="1" x="5505"/>
        <item sd="0" m="1" x="3476"/>
        <item sd="0" m="1" x="4013"/>
        <item sd="0" m="1" x="3541"/>
        <item sd="0" m="1" x="1503"/>
        <item sd="0" m="1" x="7331"/>
        <item sd="0" m="1" x="5202"/>
        <item sd="0" m="1" x="3154"/>
        <item sd="0" m="1" x="1187"/>
        <item sd="0" m="1" x="3716"/>
        <item sd="0" m="1" x="1709"/>
        <item sd="0" m="1" x="7556"/>
        <item sd="0" m="1" x="5397"/>
        <item sd="0" m="1" x="3369"/>
        <item sd="0" m="1" x="1352"/>
        <item sd="0" m="1" x="3898"/>
        <item sd="0" m="1" x="1901"/>
        <item sd="0" m="1" x="7751"/>
        <item sd="0" m="1" x="579"/>
        <item sd="0" m="1" x="6416"/>
        <item sd="0" m="1" x="4422"/>
        <item sd="0" m="1" x="2283"/>
        <item sd="0" m="1" x="136"/>
        <item sd="0" m="1" x="769"/>
        <item sd="0" m="1" x="6578"/>
        <item sd="0" m="1" x="4606"/>
        <item sd="0" m="1" x="2492"/>
        <item sd="0" m="1" x="389"/>
        <item sd="0" m="1" x="965"/>
        <item sd="0" m="1" x="6763"/>
        <item sd="0" m="1" x="4790"/>
        <item sd="0" m="1" x="1950"/>
        <item sd="0" m="1" x="7796"/>
        <item sd="0" m="1" x="5755"/>
        <item sd="0" m="1" x="3603"/>
        <item sd="0" m="1" x="1557"/>
        <item sd="0" m="1" x="7390"/>
        <item sd="0" m="1" x="2112"/>
        <item sd="0" m="1" x="7965"/>
        <item sd="0" m="1" x="5918"/>
        <item sd="0" m="1" x="3765"/>
        <item sd="0" m="1" x="1772"/>
        <item sd="0" m="1" x="7622"/>
        <item sd="0" m="1" x="2305"/>
        <item sd="0" m="1" x="172"/>
        <item sd="0" m="1" x="6110"/>
        <item sd="0" m="1" x="1242"/>
        <item sd="0" m="1" x="7052"/>
        <item sd="0" m="1" x="6871"/>
        <item sd="0" m="1" x="4897"/>
        <item sd="0" m="1" x="2884"/>
        <item sd="0" m="1" x="864"/>
        <item sd="0" m="1" x="1417"/>
        <item sd="0" m="1" x="7224"/>
        <item sd="0" m="1" x="7073"/>
        <item sd="0" m="1" x="5085"/>
        <item sd="0" m="1" x="3062"/>
        <item sd="0" m="1" x="1090"/>
        <item sd="0" m="1" x="1583"/>
        <item sd="0" m="1" x="7420"/>
        <item sd="0" m="1" x="310"/>
        <item sd="0" m="1" x="6212"/>
        <item sd="0" m="1" x="4211"/>
        <item sd="0" m="1" x="2227"/>
        <item sd="0" m="1" x="517"/>
        <item sd="0" m="1" x="6369"/>
        <item sd="0" m="1" x="4380"/>
        <item sd="0" m="1" x="2427"/>
        <item sd="0" m="1" x="5410"/>
        <item sd="0" m="1" x="6308"/>
        <item sd="0" m="1" x="4305"/>
        <item sd="0" m="1" x="2334"/>
        <item sd="0" m="1" x="226"/>
        <item sd="0" m="1" x="10"/>
        <item sd="0" m="1" x="5973"/>
        <item sd="0" m="1" x="3988"/>
        <item sd="0" m="1" x="6473"/>
        <item sd="0" m="1" x="4497"/>
        <item sd="0" m="1" x="2544"/>
        <item sd="0" m="1" x="439"/>
        <item sd="0" m="1" x="249"/>
        <item sd="0" m="1" x="6164"/>
        <item sd="0" m="1" x="4171"/>
        <item sd="0" m="1" x="6637"/>
        <item sd="0" m="1" x="4682"/>
        <item sd="0" m="1" x="2705"/>
        <item sd="0" m="1" x="653"/>
        <item sd="0" m="1" x="5631"/>
        <item sd="0" m="1" x="3647"/>
        <item sd="0" m="1" x="1450"/>
        <item sd="0" m="1" x="7272"/>
        <item sd="0" m="1" x="5307"/>
        <item sd="0" m="1" x="3282"/>
        <item sd="0" m="1" x="5805"/>
        <item sd="0" m="1" x="3820"/>
        <item sd="0" m="1" x="1639"/>
        <item sd="0" m="1" x="7486"/>
        <item sd="0" m="1" x="5511"/>
        <item sd="0" m="1" x="3482"/>
        <item sd="0" m="1" x="5993"/>
        <item sd="0" m="1" x="4014"/>
        <item sd="0" m="1" x="4957"/>
        <item sd="0" m="1" x="2779"/>
        <item sd="0" m="1" x="750"/>
        <item sd="0" m="1" x="6562"/>
        <item sd="0" m="1" x="5145"/>
        <item sd="0" m="1" x="2945"/>
        <item sd="0" m="1" x="952"/>
        <item sd="0" m="1" x="6750"/>
        <item sd="0" m="1" x="5339"/>
        <item sd="0" m="1" x="2231"/>
        <item sd="0" m="1" x="70"/>
        <item sd="0" m="1" x="6033"/>
        <item sd="0" m="1" x="3878"/>
        <item sd="0" m="1" x="2431"/>
        <item sd="0" m="1" x="329"/>
        <item sd="0" m="1" x="6226"/>
        <item sd="0" m="1" x="4069"/>
        <item sd="0" m="1" x="2607"/>
        <item sd="0" m="1" x="534"/>
        <item sd="0" m="1" x="5562"/>
        <item sd="0" m="1" x="3548"/>
        <item sd="0" m="1" x="1508"/>
        <item sd="0" m="1" x="7334"/>
        <item sd="0" m="1" x="5205"/>
        <item sd="0" m="1" x="3157"/>
        <item sd="0" m="1" x="5714"/>
        <item sd="0" m="1" x="3719"/>
        <item sd="0" m="1" x="1713"/>
        <item sd="0" m="1" x="7560"/>
        <item sd="0" m="1" x="5400"/>
        <item sd="0" m="1" x="3372"/>
        <item sd="0" m="1" x="5866"/>
        <item sd="0" m="1" x="3899"/>
        <item sd="0" m="1" x="1903"/>
        <item sd="0" m="1" x="7753"/>
        <item sd="0" m="1" x="3289"/>
        <item sd="0" m="1" x="1292"/>
        <item sd="0" m="1" x="7121"/>
        <item sd="0" m="1" x="3489"/>
        <item sd="0" m="1" x="1467"/>
        <item sd="0" m="1" x="7290"/>
        <item sd="0" m="1" x="6565"/>
        <item sd="0" m="1" x="4588"/>
        <item sd="0" m="1" x="2634"/>
        <item sd="0" m="1" x="577"/>
        <item sd="0" m="1" x="6753"/>
        <item sd="0" m="1" x="4775"/>
        <item sd="0" m="1" x="2795"/>
        <item sd="0" m="1" x="767"/>
        <item sd="0" m="1" x="6945"/>
        <item sd="0" m="1" x="4985"/>
        <item sd="0" m="1" x="7949"/>
        <item sd="0" m="1" x="5903"/>
        <item sd="0" m="1" x="3937"/>
        <item sd="0" m="1" x="1762"/>
        <item sd="0" m="1" x="7612"/>
        <item sd="0" m="1" x="159"/>
        <item sd="0" m="1" x="6100"/>
        <item sd="0" m="1" x="4117"/>
        <item sd="0" m="1" x="1962"/>
        <item sd="0" m="1" x="7811"/>
        <item sd="0" m="1" x="400"/>
        <item sd="0" m="1" x="6288"/>
        <item sd="0" m="1" x="4274"/>
        <item sd="0" m="1" x="1402"/>
        <item sd="0" m="1" x="7207"/>
        <item sd="0" m="1" x="5262"/>
        <item sd="0" m="1" x="3048"/>
        <item sd="0" m="1" x="1071"/>
        <item sd="0" m="1" x="6869"/>
        <item sd="0" m="1" x="1574"/>
        <item sd="0" m="1" x="7409"/>
        <item sd="0" m="1" x="5451"/>
        <item sd="0" m="1" x="3233"/>
        <item sd="0" m="1" x="1253"/>
        <item sd="0" m="1" x="7071"/>
        <item sd="0" m="1" x="1777"/>
        <item sd="0" m="1" x="7627"/>
        <item sd="0" m="1" x="5612"/>
        <item sd="0" m="1" x="682"/>
        <item sd="0" m="1" x="6504"/>
        <item sd="0" m="1" x="4365"/>
        <item sd="0" m="1" x="2405"/>
        <item sd="0" m="1" x="307"/>
        <item sd="0" m="1" x="878"/>
        <item sd="0" m="1" x="6676"/>
        <item sd="0" m="1" x="4546"/>
        <item sd="0" m="1" x="2596"/>
        <item sd="0" m="1" x="514"/>
        <item sd="0" m="1" x="1099"/>
        <item sd="0" m="1" x="6888"/>
        <item sd="0" m="1" x="1150"/>
        <item sd="0" m="1" x="580"/>
        <item sd="0" m="1" x="6417"/>
        <item sd="0" m="1" x="4423"/>
        <item sd="0" m="1" x="2284"/>
        <item sd="0" m="1" x="137"/>
        <item sd="0" m="1" x="6082"/>
        <item sd="0" m="1" x="770"/>
        <item sd="0" m="1" x="6579"/>
        <item sd="0" m="1" x="4607"/>
        <item sd="0" m="1" x="2493"/>
        <item sd="0" m="1" x="390"/>
        <item sd="0" m="1" x="6281"/>
        <item sd="0" m="1" x="966"/>
        <item sd="0" m="1" x="6764"/>
        <item sd="0" m="1" x="4791"/>
        <item sd="0" m="1" x="7797"/>
        <item sd="0" m="1" x="5756"/>
        <item sd="0" m="1" x="3604"/>
        <item sd="0" m="1" x="1558"/>
        <item sd="0" m="1" x="7391"/>
        <item sd="0" m="1" x="7966"/>
        <item sd="0" m="1" x="5919"/>
        <item sd="0" m="1" x="3766"/>
        <item sd="0" m="1" x="1773"/>
        <item sd="0" m="1" x="7623"/>
        <item sd="0" m="1" x="173"/>
        <item sd="0" m="1" x="6111"/>
        <item sd="0" m="1" x="7053"/>
        <item sd="0" m="1" x="6872"/>
        <item sd="0" m="1" x="4898"/>
        <item sd="0" m="1" x="2885"/>
        <item sd="0" m="1" x="865"/>
        <item sd="0" m="1" x="7225"/>
        <item sd="0" m="1" x="7074"/>
        <item sd="0" m="1" x="5086"/>
        <item sd="0" m="1" x="3063"/>
        <item sd="0" m="1" x="1091"/>
        <item sd="0" m="1" x="7421"/>
        <item sd="0" m="1" x="311"/>
        <item sd="0" m="1" x="6213"/>
        <item sd="0" m="1" x="4212"/>
        <item sd="0" m="1" x="2228"/>
        <item sd="0" m="1" x="518"/>
        <item sd="0" m="1" x="6370"/>
        <item sd="0" m="1" x="4381"/>
        <item sd="0" m="1" x="2428"/>
        <item sd="0" m="1" x="719"/>
        <item sd="0" m="1" x="1692"/>
        <item sd="0" m="1" x="7537"/>
        <item sd="0" m="1" x="5560"/>
        <item sd="0" m="1" x="3354"/>
        <item sd="0" m="1" x="1882"/>
        <item sd="0" m="1" x="7734"/>
        <item sd="0" m="1" x="5712"/>
        <item sd="0" m="1" x="3560"/>
        <item sd="0" m="1" x="2073"/>
        <item sd="0" m="1" x="7913"/>
        <item sd="0" m="1" x="3648"/>
        <item sd="0" m="1" x="1451"/>
        <item sd="0" m="1" x="7273"/>
        <item sd="0" m="1" x="5308"/>
        <item sd="0" m="1" x="3283"/>
        <item sd="0" m="1" x="3821"/>
        <item sd="0" m="1" x="1640"/>
        <item sd="0" m="1" x="7487"/>
        <item sd="0" m="1" x="5512"/>
        <item sd="0" m="1" x="3483"/>
        <item sd="0" m="1" x="4015"/>
        <item sd="0" m="1" x="2780"/>
        <item sd="0" m="1" x="751"/>
        <item sd="0" m="1" x="6563"/>
        <item sd="0" m="1" x="2946"/>
        <item sd="0" m="1" x="953"/>
        <item sd="0" m="1" x="6751"/>
        <item sd="0" m="1" x="2232"/>
        <item sd="0" m="1" x="71"/>
        <item sd="0" m="1" x="6034"/>
        <item sd="0" m="1" x="3879"/>
        <item sd="0" m="1" x="1863"/>
        <item sd="0" m="1" x="2432"/>
        <item sd="0" m="1" x="330"/>
        <item sd="0" m="1" x="6227"/>
        <item sd="0" m="1" x="4070"/>
        <item sd="0" m="1" x="2063"/>
        <item sd="0" m="1" x="2608"/>
        <item sd="0" m="1" x="535"/>
        <item sd="0" m="1" x="6381"/>
        <item sd="0" m="1" x="3549"/>
        <item sd="0" m="1" x="1509"/>
        <item sd="0" m="1" x="7335"/>
        <item sd="0" m="1" x="5206"/>
        <item sd="0" m="1" x="3158"/>
        <item sd="0" m="1" x="1191"/>
        <item sd="0" m="1" x="3720"/>
        <item sd="0" m="1" x="1714"/>
        <item sd="0" m="1" x="7561"/>
        <item sd="0" m="1" x="5401"/>
        <item sd="0" m="1" x="3373"/>
        <item sd="0" m="1" x="1357"/>
        <item sd="0" m="1" x="3900"/>
        <item sd="0" m="1" x="1904"/>
        <item sd="0" m="1" x="7754"/>
        <item sd="0" m="1" x="586"/>
        <item sd="0" m="1" x="6423"/>
        <item sd="0" m="1" x="4429"/>
        <item sd="0" m="1" x="2287"/>
        <item sd="0" m="1" x="143"/>
        <item sd="0" m="1" x="774"/>
        <item sd="0" m="1" x="6582"/>
        <item sd="0" m="1" x="4613"/>
        <item sd="0" m="1" x="2496"/>
        <item sd="0" m="1" x="393"/>
        <item sd="0" m="1" x="967"/>
        <item sd="0" m="1" x="6765"/>
        <item sd="0" m="1" x="4794"/>
        <item sd="0" m="1" x="319"/>
        <item sd="0" m="1" x="6219"/>
        <item sd="0" m="1" x="4217"/>
        <item sd="0" m="1" x="2235"/>
        <item sd="0" m="1" x="526"/>
        <item sd="0" m="1" x="6375"/>
        <item sd="0" m="1" x="4385"/>
        <item sd="0" m="1" x="2433"/>
        <item sd="0" m="1" x="1699"/>
        <item sd="0" m="1" x="7545"/>
        <item sd="0" m="1" x="5563"/>
        <item sd="0" m="1" x="1891"/>
        <item sd="0" m="1" x="7743"/>
        <item sd="0" m="1" x="5717"/>
        <item sd="0" m="1" x="2076"/>
        <item sd="0" m="1" x="5022"/>
        <item sd="0" m="1" x="2993"/>
        <item sd="0" m="1" x="1011"/>
        <item sd="0" m="1" x="6815"/>
        <item sd="0" m="1" x="4666"/>
        <item sd="0" m="1" x="5220"/>
        <item sd="0" m="1" x="3172"/>
        <item sd="0" m="1" x="1207"/>
        <item sd="0" m="1" x="6998"/>
        <item sd="0" m="1" x="4849"/>
        <item sd="0" m="1" x="5412"/>
        <item sd="0" m="1" x="3381"/>
        <item sd="0" m="1" x="1368"/>
        <item sd="0" m="1" x="6312"/>
        <item sd="0" m="1" x="4311"/>
        <item sd="0" m="1" x="2341"/>
        <item sd="0" m="1" x="233"/>
        <item sd="0" m="1" x="14"/>
        <item sd="0" m="1" x="5977"/>
        <item sd="0" m="1" x="3993"/>
        <item sd="0" m="1" x="6475"/>
        <item sd="0" m="1" x="4499"/>
        <item sd="0" m="1" x="2547"/>
        <item sd="0" m="1" x="443"/>
        <item sd="0" m="1" x="255"/>
        <item sd="0" m="1" x="6168"/>
        <item sd="0" m="1" x="4176"/>
        <item sd="0" m="1" x="6639"/>
        <item sd="0" m="1" x="4683"/>
        <item sd="0" m="1" x="2707"/>
        <item sd="0" m="1" x="655"/>
        <item sd="0" m="1" x="5639"/>
        <item sd="0" m="1" x="3653"/>
        <item sd="0" m="1" x="1455"/>
        <item sd="0" m="1" x="7278"/>
        <item sd="0" m="1" x="5315"/>
        <item sd="0" m="1" x="3290"/>
        <item sd="0" m="1" x="5807"/>
        <item sd="0" m="1" x="3825"/>
        <item sd="0" m="1" x="1647"/>
        <item sd="0" m="1" x="7494"/>
        <item sd="0" m="1" x="5519"/>
        <item sd="0" m="1" x="3492"/>
        <item sd="0" m="1" x="5994"/>
        <item sd="0" m="1" x="4018"/>
        <item sd="0" m="1" x="5565"/>
        <item sd="0" m="1" x="3552"/>
        <item sd="0" m="1" x="1513"/>
        <item sd="0" m="1" x="7339"/>
        <item sd="0" m="1" x="5210"/>
        <item sd="0" m="1" x="3161"/>
        <item sd="0" m="1" x="5719"/>
        <item sd="0" m="1" x="3722"/>
        <item sd="0" m="1" x="1717"/>
        <item sd="0" m="1" x="7564"/>
        <item sd="0" m="1" x="5404"/>
        <item sd="0" m="1" x="3375"/>
        <item sd="0" m="1" x="5869"/>
        <item sd="0" m="1" x="3901"/>
        <item sd="0" m="1" x="1906"/>
        <item sd="0" m="1" x="7756"/>
        <item sd="0" m="1" x="4838"/>
        <item sd="0" m="1" x="2844"/>
        <item sd="0" m="1" x="635"/>
        <item sd="0" m="1" x="6469"/>
        <item sd="0" m="1" x="4486"/>
        <item sd="0" m="1" x="2535"/>
        <item sd="0" m="1" x="5035"/>
        <item sd="0" m="1" x="3008"/>
        <item sd="0" m="1" x="831"/>
        <item sd="0" m="1" x="6633"/>
        <item sd="0" m="1" x="4677"/>
        <item sd="0" m="1" x="2699"/>
        <item sd="0" m="1" x="5225"/>
        <item sd="0" m="1" x="3178"/>
        <item sd="0" m="1" x="4163"/>
        <item sd="0" m="1" x="2005"/>
        <item sd="0" m="1" x="7850"/>
        <item sd="0" m="1" x="5801"/>
        <item sd="0" m="1" x="4329"/>
        <item sd="0" m="1" x="2178"/>
        <item sd="0" m="1" x="29"/>
        <item sd="0" m="1" x="5990"/>
        <item sd="0" m="1" x="4508"/>
        <item sd="0" m="1" x="3295"/>
        <item sd="0" m="1" x="1295"/>
        <item sd="0" m="1" x="7123"/>
        <item sd="0" m="1" x="3496"/>
        <item sd="0" m="1" x="1471"/>
        <item sd="0" m="1" x="7293"/>
        <item sd="0" m="1" x="6570"/>
        <item sd="0" m="1" x="4594"/>
        <item sd="0" m="1" x="2639"/>
        <item sd="0" m="1" x="584"/>
        <item sd="0" m="1" x="6757"/>
        <item sd="0" m="1" x="4780"/>
        <item sd="0" m="1" x="2798"/>
        <item sd="0" m="1" x="772"/>
        <item sd="0" m="1" x="6947"/>
        <item sd="0" m="1" x="4987"/>
        <item sd="0" m="1" x="688"/>
        <item sd="0" m="1" x="6508"/>
        <item sd="0" m="1" x="4371"/>
        <item sd="0" m="1" x="2411"/>
        <item sd="0" m="1" x="313"/>
        <item sd="0" m="1" x="880"/>
        <item sd="0" m="1" x="6679"/>
        <item sd="0" m="1" x="4551"/>
        <item sd="0" m="1" x="2599"/>
        <item sd="0" m="1" x="521"/>
        <item sd="0" m="1" x="1100"/>
        <item sd="0" m="1" x="6890"/>
        <item sd="0" m="1" x="7721"/>
        <item sd="0" m="1" x="5701"/>
        <item sd="0" m="1" x="3705"/>
        <item sd="0" m="1" x="1693"/>
        <item sd="0" m="1" x="7905"/>
        <item sd="0" m="1" x="5855"/>
        <item sd="0" m="1" x="3892"/>
        <item sd="0" m="1" x="1886"/>
        <item sd="0" m="1" x="7124"/>
        <item sd="0" m="1" x="5138"/>
        <item sd="0" m="1" x="3106"/>
        <item sd="0" m="1" x="1143"/>
        <item sd="0" m="1" x="939"/>
        <item sd="0" m="1" x="6737"/>
        <item sd="0" m="1" x="7294"/>
        <item sd="0" m="1" x="5334"/>
        <item sd="0" m="1" x="3308"/>
        <item sd="0" m="1" x="1303"/>
        <item sd="0" m="1" x="1154"/>
        <item sd="0" m="1" x="6940"/>
        <item sd="0" m="1" x="7504"/>
        <item sd="0" m="1" x="5525"/>
        <item sd="0" m="1" x="3502"/>
        <item sd="0" m="1" x="587"/>
        <item sd="0" m="1" x="6424"/>
        <item sd="0" m="1" x="4430"/>
        <item sd="0" m="1" x="2288"/>
        <item sd="0" m="1" x="144"/>
        <item sd="0" m="1" x="6088"/>
        <item sd="0" m="1" x="775"/>
        <item sd="0" m="1" x="6583"/>
        <item sd="0" m="1" x="4614"/>
        <item sd="0" m="1" x="2497"/>
        <item sd="0" m="1" x="394"/>
        <item sd="0" m="1" x="6285"/>
        <item sd="0" m="1" x="968"/>
        <item sd="0" m="1" x="6766"/>
        <item sd="0" m="1" x="4795"/>
        <item sd="0" m="1" x="7804"/>
        <item sd="0" m="1" x="5760"/>
        <item sd="0" m="1" x="3605"/>
        <item sd="0" m="1" x="1564"/>
        <item sd="0" m="1" x="7397"/>
        <item sd="0" m="1" x="7970"/>
        <item sd="0" m="1" x="5924"/>
        <item sd="0" m="1" x="3767"/>
        <item sd="0" m="1" x="1775"/>
        <item sd="0" m="1" x="7625"/>
        <item sd="0" m="1" x="176"/>
        <item sd="0" m="1" x="6114"/>
        <item sd="0" m="1" x="1700"/>
        <item sd="0" m="1" x="7546"/>
        <item sd="0" m="1" x="5564"/>
        <item sd="0" m="1" x="3362"/>
        <item sd="0" m="1" x="1892"/>
        <item sd="0" m="1" x="7744"/>
        <item sd="0" m="1" x="5718"/>
        <item sd="0" m="1" x="3564"/>
        <item sd="0" m="1" x="2077"/>
        <item sd="0" m="1" x="7917"/>
        <item sd="0" m="1" x="5023"/>
        <item sd="0" m="1" x="2994"/>
        <item sd="0" m="1" x="1012"/>
        <item sd="0" m="1" x="6816"/>
        <item sd="0" m="1" x="4667"/>
        <item sd="0" m="1" x="2689"/>
        <item sd="0" m="1" x="5221"/>
        <item sd="0" m="1" x="3173"/>
        <item sd="0" m="1" x="1208"/>
        <item sd="0" m="1" x="6999"/>
        <item sd="0" m="1" x="4850"/>
        <item sd="0" m="1" x="2853"/>
        <item sd="0" m="1" x="5413"/>
        <item sd="0" m="1" x="3382"/>
        <item sd="0" m="1" x="1369"/>
        <item sd="0" m="1" x="7174"/>
        <item sd="0" m="1" x="4312"/>
        <item sd="0" m="1" x="2342"/>
        <item sd="0" m="1" x="234"/>
        <item sd="0" m="1" x="15"/>
        <item sd="0" m="1" x="5978"/>
        <item sd="0" m="1" x="3994"/>
        <item sd="0" m="1" x="2002"/>
        <item sd="0" m="1" x="4500"/>
        <item sd="0" m="1" x="2548"/>
        <item sd="0" m="1" x="444"/>
        <item sd="0" m="1" x="256"/>
        <item sd="0" m="1" x="6169"/>
        <item sd="0" m="1" x="4177"/>
        <item sd="0" m="1" x="2175"/>
        <item sd="0" m="1" x="4684"/>
        <item sd="0" m="1" x="2708"/>
        <item sd="0" m="1" x="656"/>
        <item sd="0" m="1" x="3654"/>
        <item sd="0" m="1" x="1456"/>
        <item sd="0" m="1" x="7279"/>
        <item sd="0" m="1" x="5316"/>
        <item sd="0" m="1" x="3291"/>
        <item sd="0" m="1" x="3826"/>
        <item sd="0" m="1" x="1648"/>
        <item sd="0" m="1" x="7495"/>
        <item sd="0" m="1" x="5520"/>
        <item sd="0" m="1" x="3493"/>
        <item sd="0" m="1" x="4019"/>
        <item sd="0" m="1" x="2784"/>
        <item sd="0" m="1" x="755"/>
        <item sd="0" m="1" x="6567"/>
        <item sd="0" m="1" x="2949"/>
        <item sd="0" m="1" x="956"/>
        <item sd="0" m="1" x="6755"/>
        <item sd="0" m="1" x="4084"/>
        <item sd="0" m="1" x="1536"/>
        <item sd="0" m="1" x="7365"/>
        <item sd="0" m="1" x="5228"/>
        <item sd="0" m="1" x="3181"/>
        <item sd="0" m="1" x="1212"/>
        <item sd="0" m="1" x="7010"/>
        <item sd="0" m="1" x="1749"/>
        <item sd="0" m="1" x="7594"/>
        <item sd="0" m="1" x="5417"/>
        <item sd="0" m="1" x="3390"/>
        <item sd="0" m="1" x="1377"/>
        <item sd="0" m="1" x="7182"/>
        <item sd="0" m="1" x="1946"/>
        <item sd="0" m="1" x="7793"/>
        <item sd="0" m="1" x="835"/>
        <item sd="0" m="1" x="6482"/>
        <item sd="0" m="1" x="4512"/>
        <item sd="0" m="1" x="2563"/>
        <item sd="0" m="1" x="1052"/>
        <item sd="0" m="1" x="6646"/>
        <item sd="0" m="1" x="4700"/>
        <item sd="0" m="1" x="2720"/>
        <item sd="0" m="1" x="1240"/>
        <item sd="0" m="1" x="2033"/>
        <item sd="0" m="1" x="7868"/>
        <item sd="0" m="1" x="5822"/>
        <item sd="0" m="1" x="3843"/>
        <item sd="0" m="1" x="2198"/>
        <item sd="0" m="1" x="47"/>
        <item sd="0" m="1" x="6012"/>
        <item sd="0" m="1" x="4031"/>
        <item sd="0" m="1" x="2401"/>
        <item sd="0" m="1" x="3329"/>
        <item sd="0" m="1" x="1317"/>
        <item sd="0" m="1" x="7137"/>
        <item sd="0" m="1" x="5167"/>
        <item sd="0" m="1" x="4993"/>
        <item sd="0" m="1" x="3519"/>
        <item sd="0" m="1" x="1487"/>
        <item sd="0" m="1" x="7312"/>
        <item sd="0" m="1" x="5365"/>
        <item sd="0" m="1" x="5182"/>
        <item sd="0" m="1" x="3701"/>
        <item sd="0" m="1" x="1689"/>
        <item sd="0" m="1" x="4629"/>
        <item sd="0" m="1" x="2664"/>
        <item sd="0" m="1" x="611"/>
        <item sd="0" m="1" x="6289"/>
        <item sd="0" m="1" x="4276"/>
        <item sd="0" m="1" x="4804"/>
        <item sd="0" m="1" x="2820"/>
        <item sd="0" m="1" x="796"/>
        <item sd="0" m="1" x="6445"/>
        <item sd="0" m="1" x="4464"/>
        <item sd="0" m="1" x="5016"/>
        <item sd="0" m="1" x="2986"/>
        <item sd="0" m="1" x="1002"/>
        <item sd="0" m="1" x="4391"/>
        <item sd="0" m="1" x="2444"/>
        <item sd="0" m="1" x="346"/>
        <item sd="0" m="1" x="6238"/>
        <item sd="0" m="1" x="4564"/>
        <item sd="0" m="1" x="2612"/>
        <item sd="0" m="1" x="548"/>
        <item sd="0" m="1" x="6391"/>
        <item sd="0" m="1" x="3845"/>
        <item sd="0" m="1" x="1841"/>
        <item sd="0" m="1" x="7691"/>
        <item sd="0" m="1" x="5526"/>
        <item sd="0" m="1" x="3503"/>
        <item sd="0" m="1" x="4033"/>
        <item sd="0" m="1" x="2042"/>
        <item sd="0" m="1" x="7873"/>
        <item sd="0" m="1" x="5674"/>
        <item sd="0" m="1" x="3690"/>
        <item sd="0" m="1" x="4208"/>
        <item sd="0" m="1" x="2225"/>
        <item sd="0" m="1" x="66"/>
        <item sd="0" m="1" x="5169"/>
        <item sd="0" m="1" x="3131"/>
        <item sd="0" m="1" x="1163"/>
        <item sd="0" m="1" x="6769"/>
        <item sd="0" m="1" x="4796"/>
        <item sd="0" m="1" x="2810"/>
        <item sd="0" m="1" x="5367"/>
        <item sd="0" m="1" x="3343"/>
        <item sd="0" m="1" x="1326"/>
        <item sd="0" m="1" x="6952"/>
        <item sd="0" m="1" x="5003"/>
        <item sd="0" m="1" x="2972"/>
        <item sd="0" m="1" x="5558"/>
        <item sd="0" m="1" x="3543"/>
        <item sd="0" m="1" x="1504"/>
        <item sd="0" m="1" x="4458"/>
        <item sd="0" m="1" x="2506"/>
        <item sd="0" m="1" x="181"/>
        <item sd="0" m="1" x="6117"/>
        <item sd="0" m="1" x="4127"/>
        <item sd="0" m="1" x="4648"/>
        <item sd="0" m="1" x="2675"/>
        <item sd="0" m="1" x="407"/>
        <item sd="0" m="1" x="6299"/>
        <item sd="0" m="1" x="4287"/>
        <item sd="0" m="1" x="4830"/>
        <item sd="0" m="1" x="2838"/>
        <item sd="0" m="1" x="3625"/>
        <item sd="0" m="1" x="1591"/>
        <item sd="0" m="1" x="7434"/>
        <item sd="0" m="1" x="5464"/>
        <item sd="0" m="1" x="3783"/>
        <item sd="0" m="1" x="1790"/>
        <item sd="0" m="1" x="7645"/>
        <item sd="0" m="1" x="5621"/>
        <item sd="0" m="1" x="1738"/>
        <item sd="0" m="1" x="7581"/>
        <item sd="0" m="1" x="5579"/>
        <item sd="0" m="1" x="3569"/>
        <item sd="0" m="1" x="1370"/>
        <item sd="0" m="1" x="7176"/>
        <item sd="0" m="1" x="1924"/>
        <item sd="0" m="1" x="7773"/>
        <item sd="0" m="1" x="5738"/>
        <item sd="0" m="1" x="3737"/>
        <item sd="0" m="1" x="1545"/>
        <item sd="0" m="1" x="7378"/>
        <item sd="0" m="1" x="2094"/>
        <item sd="0" m="1" x="7945"/>
        <item sd="0" m="1" x="5899"/>
        <item sd="0" m="1" x="3933"/>
        <item sd="0" m="1" x="1041"/>
        <item sd="0" m="1" x="6839"/>
        <item sd="0" m="1" x="4691"/>
        <item sd="0" m="1" x="2712"/>
        <item sd="0" m="1" x="663"/>
        <item sd="0" m="1" x="6481"/>
        <item sd="0" m="1" x="1224"/>
        <item sd="0" m="1" x="7025"/>
        <item sd="0" m="1" x="4875"/>
        <item sd="0" m="1" x="2870"/>
        <item sd="0" m="1" x="848"/>
        <item sd="0" m="1" x="6645"/>
        <item sd="0" m="1" x="1396"/>
        <item sd="0" m="1" x="7202"/>
        <item sd="0" m="1" x="268"/>
        <item sd="0" m="1" x="5999"/>
        <item sd="0" m="1" x="4025"/>
        <item sd="0" m="1" x="2031"/>
        <item sd="0" m="1" x="467"/>
        <item sd="0" m="1" x="6187"/>
        <item sd="0" m="1" x="4194"/>
        <item sd="0" m="1" x="2196"/>
        <item sd="0" m="1" x="679"/>
        <item sd="0" m="1" x="7300"/>
        <item sd="0" m="1" x="5356"/>
        <item sd="0" m="1" x="3328"/>
        <item sd="0" m="1" x="7513"/>
        <item sd="0" m="1" x="5539"/>
        <item sd="0" m="1" x="3518"/>
        <item sd="0" m="1" x="906"/>
        <item sd="0" m="1" x="6703"/>
        <item sd="0" m="1" x="4737"/>
        <item sd="0" m="1" x="2758"/>
        <item sd="0" m="1" x="536"/>
        <item sd="0" m="1" x="6382"/>
        <item sd="0" m="1" x="1118"/>
        <item sd="0" m="1" x="6913"/>
        <item sd="0" m="1" x="4947"/>
        <item sd="0" m="1" x="2915"/>
        <item sd="0" m="1" x="732"/>
        <item sd="0" m="1" x="6547"/>
        <item sd="0" m="1" x="1287"/>
        <item sd="0" m="1" x="7119"/>
        <item sd="0" m="1" x="5129"/>
        <item sd="0" m="1" x="3098"/>
        <item sd="0" m="1" x="6483"/>
        <item sd="0" m="1" x="4513"/>
        <item sd="0" m="1" x="2564"/>
        <item sd="0" m="1" x="6647"/>
        <item sd="0" m="1" x="4701"/>
        <item sd="0" m="1" x="2721"/>
        <item sd="0" m="1" x="2034"/>
        <item sd="0" m="1" x="7869"/>
        <item sd="0" m="1" x="5823"/>
        <item sd="0" m="1" x="3844"/>
        <item sd="0" m="1" x="2199"/>
        <item sd="0" m="1" x="48"/>
        <item sd="0" m="1" x="6013"/>
        <item sd="0" m="1" x="4032"/>
        <item sd="0" m="1" x="2402"/>
        <item sd="0" m="1" x="306"/>
        <item sd="0" m="1" x="3330"/>
        <item sd="0" m="1" x="1318"/>
        <item sd="0" m="1" x="7138"/>
        <item sd="0" m="1" x="5168"/>
        <item sd="0" m="1" x="4994"/>
        <item sd="0" m="1" x="2958"/>
        <item sd="0" m="1" x="3520"/>
        <item sd="0" m="1" x="1488"/>
        <item sd="0" m="1" x="7313"/>
        <item sd="0" m="1" x="5366"/>
        <item sd="0" m="1" x="5183"/>
        <item sd="0" m="1" x="3140"/>
        <item sd="0" m="1" x="3702"/>
        <item sd="0" m="1" x="1690"/>
        <item sd="0" m="1" x="7534"/>
        <item sd="0" m="1" x="4630"/>
        <item sd="0" m="1" x="2665"/>
        <item sd="0" m="1" x="612"/>
        <item sd="0" m="1" x="6290"/>
        <item sd="0" m="1" x="4277"/>
        <item sd="0" m="1" x="2310"/>
        <item sd="0" m="1" x="4805"/>
        <item sd="0" m="1" x="2821"/>
        <item sd="0" m="1" x="797"/>
        <item sd="0" m="1" x="6446"/>
        <item sd="0" m="1" x="4465"/>
        <item sd="0" m="1" x="2515"/>
        <item sd="0" m="1" x="5017"/>
        <item sd="0" m="1" x="2987"/>
        <item sd="0" m="1" x="1003"/>
        <item sd="0" m="1" x="3963"/>
        <item sd="0" m="1" x="1968"/>
        <item sd="0" m="1" x="7631"/>
        <item sd="0" m="1" x="5613"/>
        <item sd="0" m="1" x="3624"/>
        <item sd="0" m="1" x="4135"/>
        <item sd="0" m="1" x="2125"/>
        <item sd="0" m="1" x="7829"/>
        <item sd="0" m="1" x="5785"/>
        <item sd="0" m="1" x="3782"/>
        <item sd="0" m="1" x="4301"/>
        <item sd="0" m="1" x="2331"/>
        <item sd="0" m="1" x="4750"/>
        <item sd="0" m="1" x="3846"/>
        <item sd="0" m="1" x="1842"/>
        <item sd="0" m="1" x="7692"/>
        <item sd="0" m="1" x="5527"/>
        <item sd="0" m="1" x="3504"/>
        <item sd="0" m="1" x="1477"/>
        <item sd="0" m="1" x="4034"/>
        <item sd="0" m="1" x="2043"/>
        <item sd="0" m="1" x="7874"/>
        <item sd="0" m="1" x="5675"/>
        <item sd="0" m="1" x="3691"/>
        <item sd="0" m="1" x="1669"/>
        <item sd="0" m="1" x="4209"/>
        <item sd="0" m="1" x="2226"/>
        <item sd="0" m="1" x="67"/>
        <item sd="0" m="1" x="3132"/>
        <item sd="0" m="1" x="1164"/>
        <item sd="0" m="1" x="6770"/>
        <item sd="0" m="1" x="4797"/>
        <item sd="0" m="1" x="2811"/>
        <item sd="0" m="1" x="3344"/>
        <item sd="0" m="1" x="1327"/>
        <item sd="0" m="1" x="6953"/>
        <item sd="0" m="1" x="5004"/>
        <item sd="0" m="1" x="2973"/>
        <item sd="0" m="1" x="3544"/>
        <item sd="0" m="1" x="1505"/>
        <item sd="0" m="1" x="2261"/>
        <item sd="0" m="1" x="108"/>
        <item sd="0" m="1" x="6064"/>
        <item sd="0" m="1" x="4078"/>
        <item sd="0" m="1" x="3909"/>
        <item sd="0" m="1" x="1913"/>
        <item sd="0" m="1" x="7763"/>
        <item sd="0" m="1" x="2464"/>
        <item sd="0" m="1" x="363"/>
        <item sd="0" m="1" x="6258"/>
        <item sd="0" m="1" x="4240"/>
        <item sd="0" m="1" x="4089"/>
        <item sd="0" m="1" x="2085"/>
        <item sd="0" m="1" x="7934"/>
        <item sd="0" m="1" x="2635"/>
        <item sd="0" m="1" x="581"/>
        <item sd="0" m="1" x="6420"/>
        <item sd="0" m="1" x="4426"/>
        <item sd="0" m="1" x="1538"/>
        <item sd="0" m="1" x="7369"/>
        <item sd="0" m="1" x="5232"/>
        <item sd="0" m="1" x="3184"/>
        <item sd="0" m="1" x="1215"/>
        <item sd="0" m="1" x="7014"/>
        <item sd="0" m="1" x="1753"/>
        <item sd="0" m="1" x="7599"/>
        <item sd="0" m="1" x="5422"/>
        <item sd="0" m="1" x="3393"/>
        <item sd="0" m="1" x="1383"/>
        <item sd="0" m="1" x="7189"/>
        <item sd="0" m="1" x="1952"/>
        <item sd="0" m="1" x="7800"/>
        <item sd="0" m="1" x="839"/>
        <item sd="0" m="1" x="6487"/>
        <item sd="0" m="1" x="4515"/>
        <item sd="0" m="1" x="2567"/>
        <item sd="0" m="1" x="1058"/>
        <item sd="0" m="1" x="6652"/>
        <item sd="0" m="1" x="4704"/>
        <item sd="0" m="1" x="2725"/>
        <item sd="0" m="1" x="1246"/>
        <item sd="0" m="1" x="5188"/>
        <item sd="0" m="1" x="4635"/>
        <item sd="0" m="1" x="2669"/>
        <item sd="0" m="1" x="615"/>
        <item sd="0" m="1" x="6291"/>
        <item sd="0" m="1" x="4279"/>
        <item sd="0" m="1" x="4809"/>
        <item sd="0" m="1" x="2824"/>
        <item sd="0" m="1" x="799"/>
        <item sd="0" m="1" x="6450"/>
        <item sd="0" m="1" x="4469"/>
        <item sd="0" m="1" x="5019"/>
        <item sd="0" m="1" x="2990"/>
        <item sd="0" m="1" x="1006"/>
        <item sd="0" m="1" x="5940"/>
        <item sd="0" m="1" x="3968"/>
        <item sd="0" m="1" x="1972"/>
        <item sd="0" m="1" x="7633"/>
        <item sd="0" m="1" x="5614"/>
        <item sd="0" m="1" x="3627"/>
        <item sd="0" m="1" x="6125"/>
        <item sd="0" m="1" x="4139"/>
        <item sd="0" m="1" x="2128"/>
        <item sd="0" m="1" x="7835"/>
        <item sd="0" m="1" x="5789"/>
        <item sd="0" m="1" x="3788"/>
        <item sd="0" m="1" x="6309"/>
        <item sd="0" m="1" x="4306"/>
        <item sd="0" m="1" x="2336"/>
        <item sd="0" m="1" x="5287"/>
        <item sd="0" m="1" x="3245"/>
        <item sd="0" m="1" x="3068"/>
        <item sd="0" m="1" x="1104"/>
        <item sd="0" m="1" x="6905"/>
        <item sd="0" m="1" x="4934"/>
        <item sd="0" m="1" x="5471"/>
        <item sd="0" m="1" x="3438"/>
        <item sd="0" m="1" x="3261"/>
        <item sd="0" m="1" x="1274"/>
        <item sd="0" m="1" x="7104"/>
        <item sd="0" m="1" x="5107"/>
        <item sd="0" m="1" x="5634"/>
        <item sd="0" m="1" x="3650"/>
        <item sd="0" m="1" x="4393"/>
        <item sd="0" m="1" x="2446"/>
        <item sd="0" m="1" x="351"/>
        <item sd="0" m="1" x="6242"/>
        <item sd="0" m="1" x="4568"/>
        <item sd="0" m="1" x="2616"/>
        <item sd="0" m="1" x="555"/>
        <item sd="0" m="1" x="6395"/>
        <item sd="0" m="1" x="3851"/>
        <item sd="0" m="1" x="1844"/>
        <item sd="0" m="1" x="7694"/>
        <item sd="0" m="1" x="5532"/>
        <item sd="0" m="1" x="3508"/>
        <item sd="0" m="1" x="4040"/>
        <item sd="0" m="1" x="2045"/>
        <item sd="0" m="1" x="7877"/>
        <item sd="0" m="1" x="5681"/>
        <item sd="0" m="1" x="3695"/>
        <item sd="0" m="1" x="4213"/>
        <item sd="0" m="1" x="2233"/>
        <item sd="0" m="1" x="73"/>
        <item sd="0" m="1" x="3629"/>
        <item sd="0" m="1" x="1594"/>
        <item sd="0" m="1" x="7438"/>
        <item sd="0" m="1" x="5467"/>
        <item sd="0" m="1" x="3790"/>
        <item sd="0" m="1" x="1794"/>
        <item sd="0" m="1" x="7650"/>
        <item sd="0" m="1" x="5625"/>
        <item sd="0" m="1" x="4936"/>
        <item sd="0" m="1" x="2909"/>
        <item sd="0" m="1" x="910"/>
        <item sd="0" m="1" x="5109"/>
        <item sd="0" m="1" x="3085"/>
        <item sd="0" m="1" x="1123"/>
        <item sd="0" m="1" x="5313"/>
        <item sd="0" m="1" x="6244"/>
        <item sd="0" m="1" x="4230"/>
        <item sd="0" m="1" x="2258"/>
        <item sd="0" m="1" x="7922"/>
        <item sd="0" m="1" x="6397"/>
        <item sd="0" m="1" x="4407"/>
        <item sd="0" m="1" x="2461"/>
        <item sd="0" m="1" x="121"/>
        <item sd="0" m="1" x="6566"/>
        <item sd="0" m="1" x="4589"/>
        <item sd="0" m="1" x="1742"/>
        <item sd="0" m="1" x="7585"/>
        <item sd="0" m="1" x="5583"/>
        <item sd="0" m="1" x="3572"/>
        <item sd="0" m="1" x="1372"/>
        <item sd="0" m="1" x="7178"/>
        <item sd="0" m="1" x="1930"/>
        <item sd="0" m="1" x="7777"/>
        <item sd="0" m="1" x="5742"/>
        <item sd="0" m="1" x="3739"/>
        <item sd="0" m="1" x="1548"/>
        <item sd="0" m="1" x="7381"/>
        <item sd="0" m="1" x="2099"/>
        <item sd="0" m="1" x="7950"/>
        <item sd="0" m="1" x="5904"/>
        <item sd="0" m="1" x="3938"/>
        <item sd="0" m="1" x="1045"/>
        <item sd="0" m="1" x="6843"/>
        <item sd="0" m="1" x="4694"/>
        <item sd="0" m="1" x="2714"/>
        <item sd="0" m="1" x="666"/>
        <item sd="0" m="1" x="6486"/>
        <item sd="0" m="1" x="1229"/>
        <item sd="0" m="1" x="7030"/>
        <item sd="0" m="1" x="4881"/>
        <item sd="0" m="1" x="2874"/>
        <item sd="0" m="1" x="854"/>
        <item sd="0" m="1" x="6651"/>
        <item sd="0" m="1" x="1403"/>
        <item sd="0" m="1" x="7208"/>
        <item sd="0" m="1" x="914"/>
        <item sd="0" m="1" x="6708"/>
        <item sd="0" m="1" x="4740"/>
        <item sd="0" m="1" x="2760"/>
        <item sd="0" m="1" x="540"/>
        <item sd="0" m="1" x="6385"/>
        <item sd="0" m="1" x="1127"/>
        <item sd="0" m="1" x="6916"/>
        <item sd="0" m="1" x="4952"/>
        <item sd="0" m="1" x="2920"/>
        <item sd="0" m="1" x="736"/>
        <item sd="0" m="1" x="6551"/>
        <item sd="0" m="1" x="1293"/>
        <item sd="0" m="1" x="7122"/>
        <item sd="0" m="1" x="5135"/>
        <item sd="0" m="1" x="3103"/>
        <item sd="0" m="1" x="109"/>
        <item sd="0" m="1" x="6065"/>
        <item sd="0" m="1" x="4079"/>
        <item sd="0" m="1" x="3910"/>
        <item sd="0" m="1" x="1914"/>
        <item sd="0" m="1" x="7764"/>
        <item sd="0" m="1" x="5729"/>
        <item sd="0" m="1" x="364"/>
        <item sd="0" m="1" x="6259"/>
        <item sd="0" m="1" x="4241"/>
        <item sd="0" m="1" x="4090"/>
        <item sd="0" m="1" x="2086"/>
        <item sd="0" m="1" x="7935"/>
        <item sd="0" m="1" x="5886"/>
        <item sd="0" m="1" x="582"/>
        <item sd="0" m="1" x="6421"/>
        <item sd="0" m="1" x="4427"/>
        <item sd="0" m="1" x="7370"/>
        <item sd="0" m="1" x="5233"/>
        <item sd="0" m="1" x="3185"/>
        <item sd="0" m="1" x="1216"/>
        <item sd="0" m="1" x="7015"/>
        <item sd="0" m="1" x="7600"/>
        <item sd="0" m="1" x="5423"/>
        <item sd="0" m="1" x="3394"/>
        <item sd="0" m="1" x="1384"/>
        <item sd="0" m="1" x="7190"/>
        <item sd="0" m="1" x="7801"/>
        <item sd="0" m="1" x="6488"/>
        <item sd="0" m="1" x="4516"/>
        <item sd="0" m="1" x="2568"/>
        <item sd="0" m="1" x="6653"/>
        <item sd="0" m="1" x="4705"/>
        <item sd="0" m="1" x="2726"/>
        <item sd="0" m="1" x="2037"/>
        <item sd="0" m="1" x="7871"/>
        <item sd="0" m="1" x="5827"/>
        <item sd="0" m="1" x="3848"/>
        <item sd="0" m="1" x="2204"/>
        <item sd="0" m="1" x="52"/>
        <item sd="0" m="1" x="6018"/>
        <item sd="0" m="1" x="4037"/>
        <item sd="0" m="1" x="2407"/>
        <item sd="0" m="1" x="312"/>
        <item sd="0" m="1" x="6451"/>
        <item sd="0" m="1" x="3969"/>
        <item sd="0" m="1" x="1973"/>
        <item sd="0" m="1" x="7634"/>
        <item sd="0" m="1" x="5615"/>
        <item sd="0" m="1" x="3628"/>
        <item sd="0" m="1" x="4140"/>
        <item sd="0" m="1" x="2129"/>
        <item sd="0" m="1" x="7836"/>
        <item sd="0" m="1" x="5790"/>
        <item sd="0" m="1" x="3789"/>
        <item sd="0" m="1" x="4307"/>
        <item sd="0" m="1" x="2337"/>
        <item sd="0" m="1" x="3246"/>
        <item sd="0" m="1" x="3069"/>
        <item sd="0" m="1" x="1105"/>
        <item sd="0" m="1" x="6906"/>
        <item sd="0" m="1" x="4935"/>
        <item sd="0" m="1" x="3439"/>
        <item sd="0" m="1" x="3262"/>
        <item sd="0" m="1" x="1275"/>
        <item sd="0" m="1" x="7105"/>
        <item sd="0" m="1" x="5108"/>
        <item sd="0" m="1" x="3651"/>
        <item sd="0" m="1" x="4394"/>
        <item sd="0" m="1" x="2447"/>
        <item sd="0" m="1" x="352"/>
        <item sd="0" m="1" x="6243"/>
        <item sd="0" m="1" x="4569"/>
        <item sd="0" m="1" x="2617"/>
        <item sd="0" m="1" x="556"/>
        <item sd="0" m="1" x="6396"/>
        <item sd="0" m="1" x="4754"/>
        <item sd="0" m="1" x="3852"/>
        <item sd="0" m="1" x="1845"/>
        <item sd="0" m="1" x="7695"/>
        <item sd="0" m="1" x="5533"/>
        <item sd="0" m="1" x="3509"/>
        <item sd="0" m="1" x="1482"/>
        <item sd="0" m="1" x="4041"/>
        <item sd="0" m="1" x="2046"/>
        <item sd="0" m="1" x="7878"/>
        <item sd="0" m="1" x="5682"/>
        <item sd="0" m="1" x="3696"/>
        <item sd="0" m="1" x="1678"/>
        <item sd="0" m="1" x="4214"/>
        <item sd="0" m="1" x="2234"/>
        <item sd="0" m="1" x="74"/>
        <item sd="0" m="1" x="2266"/>
        <item sd="0" m="1" x="113"/>
        <item sd="0" m="1" x="6068"/>
        <item sd="0" m="1" x="4080"/>
        <item sd="0" m="1" x="3914"/>
        <item sd="0" m="1" x="1918"/>
        <item sd="0" m="1" x="7768"/>
        <item sd="0" m="1" x="2470"/>
        <item sd="0" m="1" x="368"/>
        <item sd="0" m="1" x="6263"/>
        <item sd="0" m="1" x="4243"/>
        <item sd="0" m="1" x="4094"/>
        <item sd="0" m="1" x="2089"/>
        <item sd="0" m="1" x="7939"/>
        <item sd="0" m="1" x="2640"/>
        <item sd="0" m="1" x="588"/>
        <item sd="0" m="1" x="6427"/>
        <item sd="0" m="1" x="4433"/>
        <item sd="0" m="1" x="2040"/>
        <item sd="0" m="1" x="7872"/>
        <item sd="0" m="1" x="5829"/>
        <item sd="0" m="1" x="3855"/>
        <item sd="0" m="1" x="2214"/>
        <item sd="0" m="1" x="58"/>
        <item sd="0" m="1" x="6025"/>
        <item sd="0" m="1" x="4046"/>
        <item sd="0" m="1" x="2416"/>
        <item sd="0" m="1" x="3339"/>
        <item sd="0" m="1" x="1323"/>
        <item sd="0" m="1" x="7142"/>
        <item sd="0" m="1" x="5176"/>
        <item sd="0" m="1" x="4999"/>
        <item sd="0" m="1" x="3532"/>
        <item sd="0" m="1" x="1496"/>
        <item sd="0" m="1" x="7322"/>
        <item sd="0" m="1" x="5373"/>
        <item sd="0" m="1" x="5194"/>
        <item sd="0" m="1" x="3709"/>
        <item sd="0" m="1" x="1701"/>
        <item sd="0" m="1" x="4639"/>
        <item sd="0" m="1" x="2672"/>
        <item sd="0" m="1" x="621"/>
        <item sd="0" m="1" x="6293"/>
        <item sd="0" m="1" x="4282"/>
        <item sd="0" m="1" x="4814"/>
        <item sd="0" m="1" x="2828"/>
        <item sd="0" m="1" x="806"/>
        <item sd="0" m="1" x="6458"/>
        <item sd="0" m="1" x="4475"/>
        <item sd="0" m="1" x="5024"/>
        <item sd="0" m="1" x="2995"/>
        <item sd="0" m="1" x="1013"/>
        <item sd="0" m="1" x="5946"/>
        <item sd="0" m="1" x="3973"/>
        <item sd="0" m="1" x="1978"/>
        <item sd="0" m="1" x="7638"/>
        <item sd="0" m="1" x="5617"/>
        <item sd="0" m="1" x="3634"/>
        <item sd="0" m="1" x="6132"/>
        <item sd="0" m="1" x="4145"/>
        <item sd="0" m="1" x="2134"/>
        <item sd="0" m="1" x="7840"/>
        <item sd="0" m="1" x="5794"/>
        <item sd="0" m="1" x="3799"/>
        <item sd="0" m="1" x="6313"/>
        <item sd="0" m="1" x="4313"/>
        <item sd="0" m="1" x="2343"/>
        <item sd="0" m="1" x="5291"/>
        <item sd="0" m="1" x="3249"/>
        <item sd="0" m="1" x="3074"/>
        <item sd="0" m="1" x="1110"/>
        <item sd="0" m="1" x="6910"/>
        <item sd="0" m="1" x="4940"/>
        <item sd="0" m="1" x="5480"/>
        <item sd="0" m="1" x="3445"/>
        <item sd="0" m="1" x="3268"/>
        <item sd="0" m="1" x="1279"/>
        <item sd="0" m="1" x="7110"/>
        <item sd="0" m="1" x="5116"/>
        <item sd="0" m="1" x="5643"/>
        <item sd="0" m="1" x="3658"/>
        <item sd="0" m="1" x="5687"/>
        <item sd="0" m="1" x="5177"/>
        <item sd="0" m="1" x="3137"/>
        <item sd="0" m="1" x="1168"/>
        <item sd="0" m="1" x="6781"/>
        <item sd="0" m="1" x="4802"/>
        <item sd="0" m="1" x="2818"/>
        <item sd="0" m="1" x="5374"/>
        <item sd="0" m="1" x="3349"/>
        <item sd="0" m="1" x="1333"/>
        <item sd="0" m="1" x="6963"/>
        <item sd="0" m="1" x="5012"/>
        <item sd="0" m="1" x="2982"/>
        <item sd="0" m="1" x="5566"/>
        <item sd="0" m="1" x="3554"/>
        <item sd="0" m="1" x="1516"/>
        <item sd="0" m="1" x="4463"/>
        <item sd="0" m="1" x="2512"/>
        <item sd="0" m="1" x="189"/>
        <item sd="0" m="1" x="6121"/>
        <item sd="0" m="1" x="4132"/>
        <item sd="0" m="1" x="4656"/>
        <item sd="0" m="1" x="2680"/>
        <item sd="0" m="1" x="415"/>
        <item sd="0" m="1" x="6304"/>
        <item sd="0" m="1" x="4296"/>
        <item sd="0" m="1" x="4841"/>
        <item sd="0" m="1" x="2846"/>
        <item sd="0" m="1" x="3636"/>
        <item sd="0" m="1" x="1597"/>
        <item sd="0" m="1" x="7441"/>
        <item sd="0" m="1" x="5468"/>
        <item sd="0" m="1" x="3801"/>
        <item sd="0" m="1" x="1799"/>
        <item sd="0" m="1" x="7656"/>
        <item sd="0" m="1" x="5628"/>
        <item sd="0" m="1" x="4942"/>
        <item sd="0" m="1" x="2912"/>
        <item sd="0" m="1" x="915"/>
        <item sd="0" m="1" x="5118"/>
        <item sd="0" m="1" x="3090"/>
        <item sd="0" m="1" x="1129"/>
        <item sd="0" m="1" x="5320"/>
        <item sd="0" m="1" x="6250"/>
        <item sd="0" m="1" x="4233"/>
        <item sd="0" m="1" x="2263"/>
        <item sd="0" m="1" x="7925"/>
        <item sd="0" m="1" x="6404"/>
        <item sd="0" m="1" x="4412"/>
        <item sd="0" m="1" x="2467"/>
        <item sd="0" m="1" x="126"/>
        <item sd="0" m="1" x="6571"/>
        <item sd="0" m="1" x="4595"/>
        <item sd="0" m="1" x="277"/>
        <item sd="0" m="1" x="6004"/>
        <item sd="0" m="1" x="4028"/>
        <item sd="0" m="1" x="2038"/>
        <item sd="0" m="1" x="476"/>
        <item sd="0" m="1" x="6199"/>
        <item sd="0" m="1" x="4202"/>
        <item sd="0" m="1" x="2212"/>
        <item sd="0" m="1" x="690"/>
        <item sd="0" m="1" x="7305"/>
        <item sd="0" m="1" x="5361"/>
        <item sd="0" m="1" x="3337"/>
        <item sd="0" m="1" x="7523"/>
        <item sd="0" m="1" x="5549"/>
        <item sd="0" m="1" x="3530"/>
        <item sd="0" m="1" x="917"/>
        <item sd="0" m="1" x="6710"/>
        <item sd="0" m="1" x="4741"/>
        <item sd="0" m="1" x="2762"/>
        <item sd="0" m="1" x="544"/>
        <item sd="0" m="1" x="6388"/>
        <item sd="0" m="1" x="1131"/>
        <item sd="0" m="1" x="6918"/>
        <item sd="0" m="1" x="4956"/>
        <item sd="0" m="1" x="2923"/>
        <item sd="0" m="1" x="742"/>
        <item sd="0" m="1" x="6557"/>
        <item sd="0" m="1" x="1296"/>
        <item sd="0" m="1" x="7125"/>
        <item sd="0" m="1" x="5143"/>
        <item sd="0" m="1" x="3108"/>
        <item sd="0" m="1" x="114"/>
        <item sd="0" m="1" x="6069"/>
        <item sd="0" m="1" x="4081"/>
        <item sd="0" m="1" x="3915"/>
        <item sd="0" m="1" x="1919"/>
        <item sd="0" m="1" x="7769"/>
        <item sd="0" m="1" x="5733"/>
        <item sd="0" m="1" x="369"/>
        <item sd="0" m="1" x="6264"/>
        <item sd="0" m="1" x="4244"/>
        <item sd="0" m="1" x="4095"/>
        <item sd="0" m="1" x="2090"/>
        <item sd="0" m="1" x="7940"/>
        <item sd="0" m="1" x="5892"/>
        <item sd="0" m="1" x="589"/>
        <item sd="0" m="1" x="6428"/>
        <item sd="0" m="1" x="4434"/>
        <item sd="0" m="1" x="7374"/>
        <item sd="0" m="1" x="5238"/>
        <item sd="0" m="1" x="3189"/>
        <item sd="0" m="1" x="1220"/>
        <item sd="0" m="1" x="7020"/>
        <item sd="0" m="1" x="7607"/>
        <item sd="0" m="1" x="5428"/>
        <item sd="0" m="1" x="3398"/>
        <item sd="0" m="1" x="1389"/>
        <item sd="0" m="1" x="7195"/>
        <item sd="0" m="1" x="7808"/>
        <item sd="0" m="1" x="5195"/>
        <item sd="0" m="1" x="6294"/>
        <item sd="0" m="1" x="2316"/>
        <item sd="0" m="1" x="4815"/>
        <item sd="0" m="1" x="2829"/>
        <item sd="0" m="1" x="807"/>
        <item sd="0" m="1" x="6459"/>
        <item sd="0" m="1" x="4476"/>
        <item sd="0" m="1" x="2526"/>
        <item sd="0" m="1" x="5025"/>
        <item sd="0" m="1" x="2996"/>
        <item sd="0" m="1" x="1014"/>
        <item sd="0" m="1" x="3974"/>
        <item sd="0" m="1" x="1979"/>
        <item sd="0" m="1" x="7639"/>
        <item sd="0" m="1" x="5618"/>
        <item sd="0" m="1" x="3635"/>
        <item sd="0" m="1" x="4146"/>
        <item sd="0" m="1" x="2135"/>
        <item sd="0" m="1" x="7841"/>
        <item sd="0" m="1" x="5795"/>
        <item sd="0" m="1" x="3800"/>
        <item sd="0" m="1" x="4314"/>
        <item sd="0" m="1" x="2344"/>
        <item sd="0" m="1" x="3250"/>
        <item sd="0" m="1" x="3075"/>
        <item sd="0" m="1" x="1111"/>
        <item sd="0" m="1" x="6911"/>
        <item sd="0" m="1" x="4941"/>
        <item sd="0" m="1" x="3446"/>
        <item sd="0" m="1" x="3269"/>
        <item sd="0" m="1" x="1280"/>
        <item sd="0" m="1" x="7111"/>
        <item sd="0" m="1" x="5117"/>
        <item sd="0" m="1" x="3659"/>
        <item sd="0" m="1" x="4398"/>
        <item sd="0" m="1" x="2453"/>
        <item sd="0" m="1" x="358"/>
        <item sd="0" m="1" x="6249"/>
        <item sd="0" m="1" x="4574"/>
        <item sd="0" m="1" x="2623"/>
        <item sd="0" m="1" x="565"/>
        <item sd="0" m="1" x="6403"/>
        <item sd="0" m="1" x="4759"/>
        <item sd="0" m="1" x="2507"/>
        <item sd="0" m="1" x="7426"/>
        <item sd="0" m="1" x="2122"/>
        <item sd="0" m="1" x="7980"/>
        <item sd="0" m="1" x="5941"/>
        <item sd="0" m="1" x="3775"/>
        <item sd="0" m="1" x="1782"/>
        <item sd="0" m="1" x="7635"/>
        <item sd="0" m="1" x="2321"/>
        <item sd="0" m="1" x="198"/>
        <item sd="0" m="1" x="6126"/>
        <item sd="0" m="1" x="1264"/>
        <item sd="0" m="1" x="7078"/>
        <item sd="0" m="1" x="6894"/>
        <item sd="0" m="1" x="4923"/>
        <item sd="0" m="1" x="2903"/>
        <item sd="0" m="1" x="895"/>
        <item sd="0" m="1" x="1425"/>
        <item sd="0" m="1" x="7238"/>
        <item sd="0" m="1" x="7085"/>
        <item sd="0" m="1" x="5093"/>
        <item sd="0" m="1" x="3070"/>
        <item sd="0" m="1" x="1106"/>
        <item sd="0" m="1" x="1599"/>
        <item sd="0" m="1" x="7443"/>
        <item sd="0" m="1" x="342"/>
        <item sd="0" m="1" x="6234"/>
        <item sd="0" m="1" x="4223"/>
        <item sd="0" m="1" x="2246"/>
        <item sd="0" m="1" x="538"/>
        <item sd="0" m="1" x="6383"/>
        <item sd="0" m="1" x="4395"/>
        <item sd="0" m="1" x="2448"/>
        <item sd="0" m="1" x="1729"/>
        <item sd="0" m="1" x="7575"/>
        <item sd="0" m="1" x="5572"/>
        <item sd="0" m="1" x="1911"/>
        <item sd="0" m="1" x="7761"/>
        <item sd="0" m="1" x="5726"/>
        <item sd="0" m="1" x="2082"/>
        <item sd="0" m="1" x="270"/>
        <item sd="0" m="1" x="5668"/>
        <item sd="0" m="1" x="3680"/>
        <item sd="0" m="1" x="1472"/>
        <item sd="0" m="1" x="7295"/>
        <item sd="0" m="1" x="5346"/>
        <item sd="0" m="1" x="3317"/>
        <item sd="0" m="1" x="5825"/>
        <item sd="0" m="1" x="3847"/>
        <item sd="0" m="1" x="1657"/>
        <item sd="0" m="1" x="7505"/>
        <item sd="0" m="1" x="5528"/>
        <item sd="0" m="1" x="3505"/>
        <item sd="0" m="1" x="6017"/>
        <item sd="0" m="1" x="4036"/>
        <item sd="0" m="1" x="4988"/>
        <item sd="0" m="1" x="2804"/>
        <item sd="0" m="1" x="779"/>
        <item sd="0" m="1" x="6589"/>
        <item sd="0" m="1" x="5171"/>
        <item sd="0" m="1" x="2959"/>
        <item sd="0" m="1" x="972"/>
        <item sd="0" m="1" x="6772"/>
        <item sd="0" m="1" x="5369"/>
        <item sd="0" m="1" x="2248"/>
        <item sd="0" m="1" x="96"/>
        <item sd="0" m="1" x="6052"/>
        <item sd="0" m="1" x="3902"/>
        <item sd="0" m="1" x="2451"/>
        <item sd="0" m="1" x="354"/>
        <item sd="0" m="1" x="6245"/>
        <item sd="0" m="1" x="4076"/>
        <item sd="0" m="1" x="2619"/>
        <item sd="0" m="1" x="558"/>
        <item sd="0" m="1" x="5574"/>
        <item sd="0" m="1" x="3567"/>
        <item sd="0" m="1" x="1532"/>
        <item sd="0" m="1" x="7359"/>
        <item sd="0" m="1" x="5226"/>
        <item sd="0" m="1" x="3179"/>
        <item sd="0" m="1" x="5728"/>
        <item sd="0" m="1" x="3734"/>
        <item sd="0" m="1" x="1743"/>
        <item sd="0" m="1" x="7586"/>
        <item sd="0" m="1" x="5414"/>
        <item sd="0" m="1" x="3385"/>
        <item sd="0" m="1" x="5880"/>
        <item sd="0" m="1" x="3921"/>
        <item sd="0" m="1" x="1931"/>
        <item sd="0" m="1" x="7778"/>
        <item sd="0" m="1" x="4853"/>
        <item sd="0" m="1" x="2855"/>
        <item sd="0" m="1" x="658"/>
        <item sd="0" m="1" x="6478"/>
        <item sd="0" m="1" x="4509"/>
        <item sd="0" m="1" x="2556"/>
        <item sd="0" m="1" x="5048"/>
        <item sd="0" m="1" x="3022"/>
        <item sd="0" m="1" x="836"/>
        <item sd="0" m="1" x="6640"/>
        <item sd="0" m="1" x="4695"/>
        <item sd="0" m="1" x="2715"/>
        <item sd="0" m="1" x="5245"/>
        <item sd="0" m="1" x="3196"/>
        <item sd="0" m="1" x="6592"/>
        <item sd="0" m="1" x="4622"/>
        <item sd="0" m="1" x="2657"/>
        <item sd="0" m="1" x="600"/>
        <item sd="0" m="1" x="6774"/>
        <item sd="0" m="1" x="4798"/>
        <item sd="0" m="1" x="2812"/>
        <item sd="0" m="1" x="786"/>
        <item sd="0" m="1" x="6955"/>
        <item sd="0" m="1" x="5005"/>
        <item sd="0" m="1" x="7974"/>
        <item sd="0" m="1" x="5931"/>
        <item sd="0" m="1" x="3955"/>
        <item sd="0" m="1" x="1778"/>
        <item sd="0" m="1" x="7628"/>
        <item sd="0" m="1" x="182"/>
        <item sd="0" m="1" x="6118"/>
        <item sd="0" m="1" x="4128"/>
        <item sd="0" m="1" x="1970"/>
        <item sd="0" m="1" x="7820"/>
        <item sd="0" m="1" x="408"/>
        <item sd="0" m="1" x="6300"/>
        <item sd="0" m="1" x="4288"/>
        <item sd="0" m="1" x="1423"/>
        <item sd="0" m="1" x="7235"/>
        <item sd="0" m="1" x="5281"/>
        <item sd="0" m="1" x="3066"/>
        <item sd="0" m="1" x="1101"/>
        <item sd="0" m="1" x="6892"/>
        <item sd="0" m="1" x="1593"/>
        <item sd="0" m="1" x="7436"/>
        <item sd="0" m="1" x="5465"/>
        <item sd="0" m="1" x="3244"/>
        <item sd="0" m="1" x="1266"/>
        <item sd="0" m="1" x="7084"/>
        <item sd="0" m="1" x="1793"/>
        <item sd="0" m="1" x="7648"/>
        <item sd="0" m="1" x="5622"/>
        <item sd="0" m="1" x="723"/>
        <item sd="0" m="1" x="6536"/>
        <item sd="0" m="1" x="4390"/>
        <item sd="0" m="1" x="2441"/>
        <item sd="0" m="1" x="339"/>
        <item sd="0" m="1" x="907"/>
        <item sd="0" m="1" x="6704"/>
        <item sd="0" m="1" x="4561"/>
        <item sd="0" m="1" x="2609"/>
        <item sd="0" m="1" x="537"/>
        <item sd="0" m="1" x="1122"/>
        <item sd="0" m="1" x="6914"/>
        <item sd="0" m="1" x="7757"/>
        <item sd="0" m="1" x="5722"/>
        <item sd="0" m="1" x="3728"/>
        <item sd="0" m="1" x="1726"/>
        <item sd="0" m="1" x="7920"/>
        <item sd="0" m="1" x="5872"/>
        <item sd="0" m="1" x="3907"/>
        <item sd="0" m="1" x="1910"/>
        <item sd="0" m="1" x="2508"/>
        <item sd="0" m="1" x="7814"/>
        <item sd="0" m="1" x="5773"/>
        <item sd="0" m="1" x="3619"/>
        <item sd="0" m="1" x="1586"/>
        <item sd="0" m="1" x="7427"/>
        <item sd="0" m="1" x="7981"/>
        <item sd="0" m="1" x="5942"/>
        <item sd="0" m="1" x="3776"/>
        <item sd="0" m="1" x="1783"/>
        <item sd="0" m="1" x="7636"/>
        <item sd="0" m="1" x="199"/>
        <item sd="0" m="1" x="6127"/>
        <item sd="0" m="1" x="7079"/>
        <item sd="0" m="1" x="6895"/>
        <item sd="0" m="1" x="4924"/>
        <item sd="0" m="1" x="2904"/>
        <item sd="0" m="1" x="896"/>
        <item sd="0" m="1" x="7239"/>
        <item sd="0" m="1" x="7086"/>
        <item sd="0" m="1" x="5094"/>
        <item sd="0" m="1" x="3071"/>
        <item sd="0" m="1" x="1107"/>
        <item sd="0" m="1" x="7444"/>
        <item sd="0" m="1" x="343"/>
        <item sd="0" m="1" x="6235"/>
        <item sd="0" m="1" x="4224"/>
        <item sd="0" m="1" x="2247"/>
        <item sd="0" m="1" x="539"/>
        <item sd="0" m="1" x="6384"/>
        <item sd="0" m="1" x="4396"/>
        <item sd="0" m="1" x="2449"/>
        <item sd="0" m="1" x="733"/>
        <item sd="0" m="1" x="1730"/>
        <item sd="0" m="1" x="7576"/>
        <item sd="0" m="1" x="5573"/>
        <item sd="0" m="1" x="3383"/>
        <item sd="0" m="1" x="1912"/>
        <item sd="0" m="1" x="7762"/>
        <item sd="0" m="1" x="5727"/>
        <item sd="0" m="1" x="3571"/>
        <item sd="0" m="1" x="2083"/>
        <item sd="0" m="1" x="7929"/>
        <item sd="0" m="1" x="5041"/>
        <item sd="0" m="1" x="3014"/>
        <item sd="0" m="1" x="1034"/>
        <item sd="0" m="1" x="6832"/>
        <item sd="0" m="1" x="4685"/>
        <item sd="0" m="1" x="2709"/>
        <item sd="0" m="1" x="5230"/>
        <item sd="0" m="1" x="3183"/>
        <item sd="0" m="1" x="1213"/>
        <item sd="0" m="1" x="7011"/>
        <item sd="0" m="1" x="4861"/>
        <item sd="0" m="1" x="2859"/>
        <item sd="0" m="1" x="5420"/>
        <item sd="0" m="1" x="3392"/>
        <item sd="0" m="1" x="1378"/>
        <item sd="0" m="1" x="7183"/>
        <item sd="0" m="1" x="2805"/>
        <item sd="0" m="1" x="780"/>
        <item sd="0" m="1" x="6590"/>
        <item sd="0" m="1" x="2960"/>
        <item sd="0" m="1" x="973"/>
        <item sd="0" m="1" x="6773"/>
        <item sd="0" m="1" x="2249"/>
        <item sd="0" m="1" x="97"/>
        <item sd="0" m="1" x="6053"/>
        <item sd="0" m="1" x="3903"/>
        <item sd="0" m="1" x="1907"/>
        <item sd="0" m="1" x="2452"/>
        <item sd="0" m="1" x="355"/>
        <item sd="0" m="1" x="6246"/>
        <item sd="0" m="1" x="4077"/>
        <item sd="0" m="1" x="2079"/>
        <item sd="0" m="1" x="2620"/>
        <item sd="0" m="1" x="559"/>
        <item sd="0" m="1" x="6398"/>
        <item sd="0" m="1" x="3568"/>
        <item sd="0" m="1" x="1533"/>
        <item sd="0" m="1" x="7360"/>
        <item sd="0" m="1" x="5227"/>
        <item sd="0" m="1" x="3180"/>
        <item sd="0" m="1" x="1211"/>
        <item sd="0" m="1" x="3735"/>
        <item sd="0" m="1" x="1744"/>
        <item sd="0" m="1" x="7587"/>
        <item sd="0" m="1" x="5415"/>
        <item sd="0" m="1" x="3386"/>
        <item sd="0" m="1" x="1373"/>
        <item sd="0" m="1" x="3922"/>
        <item sd="0" m="1" x="1932"/>
        <item sd="0" m="1" x="7779"/>
        <item sd="0" m="1" x="604"/>
        <item sd="0" m="1" x="6438"/>
        <item sd="0" m="1" x="4453"/>
        <item sd="0" m="1" x="2306"/>
        <item sd="0" m="1" x="177"/>
        <item sd="0" m="1" x="791"/>
        <item sd="0" m="1" x="6607"/>
        <item sd="0" m="1" x="4640"/>
        <item sd="0" m="1" x="2510"/>
        <item sd="0" m="1" x="403"/>
        <item sd="0" m="1" x="992"/>
        <item sd="0" m="1" x="6797"/>
        <item sd="0" m="1" x="4816"/>
        <item sd="0" m="1" x="1966"/>
        <item sd="0" m="1" x="7815"/>
        <item sd="0" m="1" x="5774"/>
        <item sd="0" m="1" x="3620"/>
        <item sd="0" m="1" x="1587"/>
        <item sd="0" m="1" x="7429"/>
        <item sd="0" m="1" x="2123"/>
        <item sd="0" m="1" x="7985"/>
        <item sd="0" m="1" x="5947"/>
        <item sd="0" m="1" x="3777"/>
        <item sd="0" m="1" x="1785"/>
        <item sd="0" m="1" x="7640"/>
        <item sd="0" m="1" x="2323"/>
        <item sd="0" m="1" x="206"/>
        <item sd="0" m="1" x="6133"/>
        <item sd="0" m="1" x="1733"/>
        <item sd="0" m="1" x="7578"/>
        <item sd="0" m="1" x="5576"/>
        <item sd="0" m="1" x="1916"/>
        <item sd="0" m="1" x="7765"/>
        <item sd="0" m="1" x="5730"/>
        <item sd="0" m="1" x="2087"/>
        <item sd="0" m="1" x="5042"/>
        <item sd="0" m="1" x="3015"/>
        <item sd="0" m="1" x="1035"/>
        <item sd="0" m="1" x="6833"/>
        <item sd="0" m="1" x="4687"/>
        <item sd="0" m="1" x="5235"/>
        <item sd="0" m="1" x="3187"/>
        <item sd="0" m="1" x="1217"/>
        <item sd="0" m="1" x="7016"/>
        <item sd="0" m="1" x="4865"/>
        <item sd="0" m="1" x="5425"/>
        <item sd="0" m="1" x="3396"/>
        <item sd="0" m="1" x="1385"/>
        <item sd="0" m="1" x="6330"/>
        <item sd="0" m="1" x="4334"/>
        <item sd="0" m="1" x="2374"/>
        <item sd="0" m="1" x="264"/>
        <item sd="0" m="1" x="32"/>
        <item sd="0" m="1" x="5995"/>
        <item sd="0" m="1" x="4021"/>
        <item sd="0" m="1" x="6489"/>
        <item sd="0" m="1" x="4517"/>
        <item sd="0" m="1" x="2569"/>
        <item sd="0" m="1" x="463"/>
        <item sd="0" m="1" x="275"/>
        <item sd="0" m="1" x="6179"/>
        <item sd="0" m="1" x="4186"/>
        <item sd="0" m="1" x="6655"/>
        <item sd="0" m="1" x="4706"/>
        <item sd="0" m="1" x="2727"/>
        <item sd="0" m="1" x="670"/>
        <item sd="0" m="1" x="5669"/>
        <item sd="0" m="1" x="3681"/>
        <item sd="0" m="1" x="1473"/>
        <item sd="0" m="1" x="7296"/>
        <item sd="0" m="1" x="5349"/>
        <item sd="0" m="1" x="3319"/>
        <item sd="0" m="1" x="5828"/>
        <item sd="0" m="1" x="3853"/>
        <item sd="0" m="1" x="1661"/>
        <item sd="0" m="1" x="7508"/>
        <item sd="0" m="1" x="5534"/>
        <item sd="0" m="1" x="3510"/>
        <item sd="0" m="1" x="6024"/>
        <item sd="0" m="1" x="4044"/>
        <item sd="0" m="1" x="4990"/>
        <item sd="0" m="1" x="2806"/>
        <item sd="0" m="1" x="782"/>
        <item sd="0" m="1" x="6594"/>
        <item sd="0" m="1" x="5175"/>
        <item sd="0" m="1" x="2963"/>
        <item sd="0" m="1" x="976"/>
        <item sd="0" m="1" x="6777"/>
        <item sd="0" m="1" x="5372"/>
        <item sd="0" m="1" x="5887"/>
        <item sd="0" m="1" x="4856"/>
        <item sd="0" m="1" x="2856"/>
        <item sd="0" m="1" x="660"/>
        <item sd="0" m="1" x="6479"/>
        <item sd="0" m="1" x="4510"/>
        <item sd="0" m="1" x="2559"/>
        <item sd="0" m="1" x="5049"/>
        <item sd="0" m="1" x="3024"/>
        <item sd="0" m="1" x="840"/>
        <item sd="0" m="1" x="6641"/>
        <item sd="0" m="1" x="4696"/>
        <item sd="0" m="1" x="2716"/>
        <item sd="0" m="1" x="5250"/>
        <item sd="0" m="1" x="3203"/>
        <item sd="0" m="1" x="4181"/>
        <item sd="0" m="1" x="2024"/>
        <item sd="0" m="1" x="7864"/>
        <item sd="0" m="1" x="5818"/>
        <item sd="0" m="1" x="4341"/>
        <item sd="0" m="1" x="2186"/>
        <item sd="0" m="1" x="40"/>
        <item sd="0" m="1" x="6005"/>
        <item sd="0" m="1" x="4525"/>
        <item sd="0" m="1" x="3321"/>
        <item sd="0" m="1" x="1312"/>
        <item sd="0" m="1" x="7131"/>
        <item sd="0" m="1" x="3512"/>
        <item sd="0" m="1" x="1483"/>
        <item sd="0" m="1" x="7306"/>
        <item sd="0" m="1" x="6595"/>
        <item sd="0" m="1" x="4625"/>
        <item sd="0" m="1" x="2660"/>
        <item sd="0" m="1" x="603"/>
        <item sd="0" m="1" x="6778"/>
        <item sd="0" m="1" x="4800"/>
        <item sd="0" m="1" x="2816"/>
        <item sd="0" m="1" x="789"/>
        <item sd="0" m="1" x="6960"/>
        <item sd="0" m="1" x="5008"/>
        <item sd="0" m="1" x="7976"/>
        <item sd="0" m="1" x="5933"/>
        <item sd="0" m="1" x="3958"/>
        <item sd="0" m="1" x="1779"/>
        <item sd="0" m="1" x="7629"/>
        <item sd="0" m="1" x="186"/>
        <item sd="0" m="1" x="6120"/>
        <item sd="0" m="1" x="4130"/>
        <item sd="0" m="1" x="1976"/>
        <item sd="0" m="1" x="7824"/>
        <item sd="0" m="1" x="412"/>
        <item sd="0" m="1" x="6302"/>
        <item sd="0" m="1" x="4291"/>
        <item sd="0" m="1" x="7758"/>
        <item sd="0" m="1" x="5723"/>
        <item sd="0" m="1" x="3731"/>
        <item sd="0" m="1" x="1732"/>
        <item sd="0" m="1" x="7923"/>
        <item sd="0" m="1" x="5874"/>
        <item sd="0" m="1" x="3912"/>
        <item sd="0" m="1" x="1915"/>
        <item sd="0" m="1" x="7132"/>
        <item sd="0" m="1" x="5163"/>
        <item sd="0" m="1" x="3127"/>
        <item sd="0" m="1" x="1161"/>
        <item sd="0" m="1" x="969"/>
        <item sd="0" m="1" x="6767"/>
        <item sd="0" m="1" x="7308"/>
        <item sd="0" m="1" x="5363"/>
        <item sd="0" m="1" x="3340"/>
        <item sd="0" m="1" x="1324"/>
        <item sd="0" m="1" x="1167"/>
        <item sd="0" m="1" x="6950"/>
        <item sd="0" m="1" x="7525"/>
        <item sd="0" m="1" x="5551"/>
        <item sd="0" m="1" x="3533"/>
        <item sd="0" m="1" x="605"/>
        <item sd="0" m="1" x="6439"/>
        <item sd="0" m="1" x="4454"/>
        <item sd="0" m="1" x="2307"/>
        <item sd="0" m="1" x="178"/>
        <item sd="0" m="1" x="6115"/>
        <item sd="0" m="1" x="792"/>
        <item sd="0" m="1" x="6608"/>
        <item sd="0" m="1" x="4641"/>
        <item sd="0" m="1" x="2511"/>
        <item sd="0" m="1" x="404"/>
        <item sd="0" m="1" x="6295"/>
        <item sd="0" m="1" x="993"/>
        <item sd="0" m="1" x="6798"/>
        <item sd="0" m="1" x="4817"/>
        <item sd="0" m="1" x="7816"/>
        <item sd="0" m="1" x="5775"/>
        <item sd="0" m="1" x="3621"/>
        <item sd="0" m="1" x="1588"/>
        <item sd="0" m="1" x="7430"/>
        <item sd="0" m="1" x="7986"/>
        <item sd="0" m="1" x="5948"/>
        <item sd="0" m="1" x="3778"/>
        <item sd="0" m="1" x="1786"/>
        <item sd="0" m="1" x="7641"/>
        <item sd="0" m="1" x="207"/>
        <item sd="0" m="1" x="6134"/>
        <item sd="0" m="1" x="7080"/>
        <item sd="0" m="1" x="6897"/>
        <item sd="0" m="1" x="4926"/>
        <item sd="0" m="1" x="2905"/>
        <item sd="0" m="1" x="899"/>
        <item sd="0" m="1" x="7243"/>
        <item sd="0" m="1" x="7090"/>
        <item sd="0" m="1" x="5096"/>
        <item sd="0" m="1" x="3076"/>
        <item sd="0" m="1" x="1112"/>
        <item sd="0" m="1" x="7450"/>
        <item sd="0" m="1" x="3574"/>
        <item sd="0" m="1" x="5043"/>
        <item sd="0" m="1" x="3016"/>
        <item sd="0" m="1" x="1036"/>
        <item sd="0" m="1" x="6834"/>
        <item sd="0" m="1" x="4688"/>
        <item sd="0" m="1" x="2710"/>
        <item sd="0" m="1" x="5236"/>
        <item sd="0" m="1" x="3188"/>
        <item sd="0" m="1" x="1218"/>
        <item sd="0" m="1" x="7017"/>
        <item sd="0" m="1" x="4866"/>
        <item sd="0" m="1" x="2862"/>
        <item sd="0" m="1" x="5426"/>
        <item sd="0" m="1" x="3397"/>
        <item sd="0" m="1" x="1386"/>
        <item sd="0" m="1" x="7191"/>
        <item sd="0" m="1" x="4335"/>
        <item sd="0" m="1" x="2375"/>
        <item sd="0" m="1" x="265"/>
        <item sd="0" m="1" x="33"/>
        <item sd="0" m="1" x="5996"/>
        <item sd="0" m="1" x="4022"/>
        <item sd="0" m="1" x="2023"/>
        <item sd="0" m="1" x="4518"/>
        <item sd="0" m="1" x="2570"/>
        <item sd="0" m="1" x="464"/>
        <item sd="0" m="1" x="276"/>
        <item sd="0" m="1" x="6180"/>
        <item sd="0" m="1" x="4187"/>
        <item sd="0" m="1" x="2185"/>
        <item sd="0" m="1" x="4707"/>
        <item sd="0" m="1" x="2728"/>
        <item sd="0" m="1" x="671"/>
        <item sd="0" m="1" x="3682"/>
        <item sd="0" m="1" x="1474"/>
        <item sd="0" m="1" x="7297"/>
        <item sd="0" m="1" x="5350"/>
        <item sd="0" m="1" x="3320"/>
        <item sd="0" m="1" x="3854"/>
        <item sd="0" m="1" x="1662"/>
        <item sd="0" m="1" x="7509"/>
        <item sd="0" m="1" x="5535"/>
        <item sd="0" m="1" x="3511"/>
        <item sd="0" m="1" x="4045"/>
        <item sd="0" m="1" x="609"/>
        <item sd="0" m="1" x="6440"/>
        <item sd="0" m="1" x="4456"/>
        <item sd="0" m="1" x="2308"/>
        <item sd="0" m="1" x="179"/>
        <item sd="0" m="1" x="794"/>
        <item sd="0" m="1" x="6609"/>
        <item sd="0" m="1" x="4643"/>
        <item sd="0" m="1" x="2513"/>
        <item sd="0" m="1" x="405"/>
        <item sd="0" m="1" x="997"/>
        <item sd="0" m="1" x="6804"/>
        <item sd="0" m="1" x="4822"/>
        <item sd="0" m="1" x="1967"/>
        <item sd="0" m="1" x="7817"/>
        <item sd="0" m="1" x="5776"/>
        <item sd="0" m="1" x="3622"/>
        <item sd="0" m="1" x="1589"/>
        <item sd="0" m="1" x="7432"/>
        <item sd="0" m="1" x="2124"/>
        <item sd="0" m="1" x="7989"/>
        <item sd="0" m="1" x="5951"/>
        <item sd="0" m="1" x="3779"/>
        <item sd="0" m="1" x="1787"/>
        <item sd="0" m="1" x="7642"/>
        <item sd="0" m="1" x="2327"/>
        <item sd="0" m="1" x="215"/>
        <item sd="0" m="1" x="6139"/>
        <item sd="0" m="1" x="1735"/>
        <item sd="0" m="1" x="7579"/>
        <item sd="0" m="1" x="5577"/>
        <item sd="0" m="1" x="1921"/>
        <item sd="0" m="1" x="7770"/>
        <item sd="0" m="1" x="5734"/>
        <item sd="0" m="1" x="2091"/>
        <item sd="0" m="1" x="5044"/>
        <item sd="0" m="1" x="3017"/>
        <item sd="0" m="1" x="1038"/>
        <item sd="0" m="1" x="6836"/>
        <item sd="0" m="1" x="4689"/>
        <item sd="0" m="1" x="5239"/>
        <item sd="0" m="1" x="3190"/>
        <item sd="0" m="1" x="1221"/>
        <item sd="0" m="1" x="7021"/>
        <item sd="0" m="1" x="4870"/>
        <item sd="0" m="1" x="5430"/>
        <item sd="0" m="1" x="3399"/>
        <item sd="0" m="1" x="1390"/>
        <item sd="0" m="1" x="6331"/>
        <item sd="0" m="1" x="4336"/>
        <item sd="0" m="1" x="2376"/>
        <item sd="0" m="1" x="266"/>
        <item sd="0" m="1" x="34"/>
        <item sd="0" m="1" x="5997"/>
        <item sd="0" m="1" x="4023"/>
        <item sd="0" m="1" x="6490"/>
        <item sd="0" m="1" x="4519"/>
        <item sd="0" m="1" x="2571"/>
        <item sd="0" m="1" x="465"/>
        <item sd="0" m="1" x="280"/>
        <item sd="0" m="1" x="6183"/>
        <item sd="0" m="1" x="4190"/>
        <item sd="0" m="1" x="6657"/>
        <item sd="0" m="1" x="4709"/>
        <item sd="0" m="1" x="2732"/>
        <item sd="0" m="1" x="674"/>
        <item sd="0" m="1" x="5670"/>
        <item sd="0" m="1" x="3683"/>
        <item sd="0" m="1" x="1475"/>
        <item sd="0" m="1" x="7298"/>
        <item sd="0" m="1" x="5353"/>
        <item sd="0" m="1" x="3324"/>
        <item sd="0" m="1" x="5830"/>
        <item sd="0" m="1" x="3857"/>
        <item sd="0" m="1" x="1664"/>
        <item sd="0" m="1" x="7511"/>
        <item sd="0" m="1" x="5537"/>
        <item sd="0" m="1" x="3514"/>
        <item sd="0" m="1" x="6029"/>
        <item sd="0" m="1" x="4050"/>
        <item sd="0" m="1" x="4991"/>
        <item sd="0" m="1" x="2807"/>
        <item sd="0" m="1" x="783"/>
        <item sd="0" m="1" x="6597"/>
        <item sd="0" m="1" x="5178"/>
        <item sd="0" m="1" x="2966"/>
        <item sd="0" m="1" x="979"/>
        <item sd="0" m="1" x="6782"/>
        <item sd="0" m="1" x="5375"/>
        <item sd="0" m="1" x="5893"/>
        <item sd="0" m="1" x="7788"/>
        <item sd="0" m="1" x="4857"/>
        <item sd="0" m="1" x="2857"/>
        <item sd="0" m="1" x="661"/>
        <item sd="0" m="1" x="6480"/>
        <item sd="0" m="1" x="4511"/>
        <item sd="0" m="1" x="2560"/>
        <item sd="0" m="1" x="5051"/>
        <item sd="0" m="1" x="3026"/>
        <item sd="0" m="1" x="844"/>
        <item sd="0" m="1" x="6643"/>
        <item sd="0" m="1" x="4698"/>
        <item sd="0" m="1" x="2718"/>
        <item sd="0" m="1" x="5254"/>
        <item sd="0" m="1" x="3209"/>
        <item sd="0" m="1" x="4182"/>
        <item sd="0" m="1" x="2028"/>
        <item sd="0" m="1" x="7866"/>
        <item sd="0" m="1" x="5820"/>
        <item sd="0" m="1" x="4343"/>
        <item sd="0" m="1" x="2191"/>
        <item sd="0" m="1" x="43"/>
        <item sd="0" m="1" x="6008"/>
        <item sd="0" m="1" x="4528"/>
        <item sd="0" m="1" x="3326"/>
        <item sd="0" m="1" x="1315"/>
        <item sd="0" m="1" x="7134"/>
        <item sd="0" m="1" x="3516"/>
        <item sd="0" m="1" x="1485"/>
        <item sd="0" m="1" x="7309"/>
        <item sd="0" m="1" x="6599"/>
        <item sd="0" m="1" x="4628"/>
        <item sd="0" m="1" x="2663"/>
        <item sd="0" m="1" x="608"/>
        <item sd="0" m="1" x="6784"/>
        <item sd="0" m="1" x="4803"/>
        <item sd="0" m="1" x="2819"/>
        <item sd="0" m="1" x="793"/>
        <item sd="0" m="1" x="6968"/>
        <item sd="0" m="1" x="5013"/>
        <item sd="0" m="1" x="7977"/>
        <item sd="0" m="1" x="5935"/>
        <item sd="0" m="1" x="3961"/>
        <item sd="0" m="1" x="1780"/>
        <item sd="0" m="1" x="7630"/>
        <item sd="0" m="1" x="190"/>
        <item sd="0" m="1" x="6122"/>
        <item sd="0" m="1" x="4133"/>
        <item sd="0" m="1" x="1981"/>
        <item sd="0" m="1" x="7826"/>
        <item sd="0" m="1" x="416"/>
        <item sd="0" m="1" x="6305"/>
        <item sd="0" m="1" x="7759"/>
        <item sd="0" m="1" x="5724"/>
        <item sd="0" m="1" x="3732"/>
        <item sd="0" m="1" x="1734"/>
        <item sd="0" m="1" x="7926"/>
        <item sd="0" m="1" x="5876"/>
        <item sd="0" m="1" x="3916"/>
        <item sd="0" m="1" x="1920"/>
        <item sd="0" m="1" x="7135"/>
        <item sd="0" m="1" x="5165"/>
        <item sd="0" m="1" x="3129"/>
        <item sd="0" m="1" x="1162"/>
        <item sd="0" m="1" x="970"/>
        <item sd="0" m="1" x="6768"/>
        <item sd="0" m="1" x="7310"/>
        <item sd="0" m="1" x="5364"/>
        <item sd="0" m="1" x="3341"/>
        <item sd="0" m="1" x="1325"/>
        <item sd="0" m="1" x="1169"/>
        <item sd="0" m="1" x="6951"/>
        <item sd="0" m="1" x="7529"/>
        <item sd="0" m="1" x="5554"/>
        <item sd="0" m="1" x="3537"/>
        <item sd="0" m="1" x="610"/>
        <item sd="0" m="1" x="6441"/>
        <item sd="0" m="1" x="4457"/>
        <item sd="0" m="1" x="2309"/>
        <item sd="0" m="1" x="180"/>
        <item sd="0" m="1" x="6116"/>
        <item sd="0" m="1" x="795"/>
        <item sd="0" m="1" x="6610"/>
        <item sd="0" m="1" x="4644"/>
        <item sd="0" m="1" x="2514"/>
        <item sd="0" m="1" x="406"/>
        <item sd="0" m="1" x="6297"/>
        <item sd="0" m="1" x="998"/>
        <item sd="0" m="1" x="6805"/>
        <item sd="0" m="1" x="4823"/>
        <item sd="0" m="1" x="7818"/>
        <item sd="0" m="1" x="5777"/>
        <item sd="0" m="1" x="3623"/>
        <item sd="0" m="1" x="1590"/>
        <item sd="0" m="1" x="7433"/>
        <item sd="0" m="1" x="7990"/>
        <item sd="0" m="1" x="5952"/>
        <item sd="0" m="1" x="3780"/>
        <item sd="0" m="1" x="1788"/>
        <item sd="0" m="1" x="7643"/>
        <item sd="0" m="1" x="216"/>
        <item sd="0" m="1" x="6140"/>
        <item sd="0" m="1" x="7081"/>
        <item sd="0" m="1" x="6899"/>
        <item sd="0" m="1" x="4928"/>
        <item sd="0" m="1" x="2906"/>
        <item sd="0" m="1" x="902"/>
        <item sd="0" m="1" x="7246"/>
        <item sd="0" m="1" x="7093"/>
        <item sd="0" m="1" x="5098"/>
        <item sd="0" m="1" x="3078"/>
        <item sd="0" m="1" x="1114"/>
        <item sd="0" m="1" x="7455"/>
        <item sd="0" m="1" x="3577"/>
        <item sd="0" m="1" x="5045"/>
        <item sd="0" m="1" x="3018"/>
        <item sd="0" m="1" x="1039"/>
        <item sd="0" m="1" x="6837"/>
        <item sd="0" m="1" x="4690"/>
        <item sd="0" m="1" x="2711"/>
        <item sd="0" m="1" x="5240"/>
        <item sd="0" m="1" x="3191"/>
        <item sd="0" m="1" x="1222"/>
        <item sd="0" m="1" x="7022"/>
        <item sd="0" m="1" x="4871"/>
        <item sd="0" m="1" x="2866"/>
        <item sd="0" m="1" x="5431"/>
        <item sd="0" m="1" x="3400"/>
        <item sd="0" m="1" x="1391"/>
        <item sd="0" m="1" x="7196"/>
        <item sd="0" m="1" x="4337"/>
        <item sd="0" m="1" x="2377"/>
        <item sd="0" m="1" x="267"/>
        <item sd="0" m="1" x="35"/>
        <item sd="0" m="1" x="5998"/>
        <item sd="0" m="1" x="4024"/>
        <item sd="0" m="1" x="2027"/>
        <item sd="0" m="1" x="4520"/>
        <item sd="0" m="1" x="2572"/>
        <item sd="0" m="1" x="466"/>
        <item sd="0" m="1" x="281"/>
        <item sd="0" m="1" x="6184"/>
        <item sd="0" m="1" x="4191"/>
        <item sd="0" m="1" x="2190"/>
        <item sd="0" m="1" x="4710"/>
        <item sd="0" m="1" x="2733"/>
        <item sd="0" m="1" x="675"/>
        <item sd="0" m="1" x="3684"/>
        <item sd="0" m="1" x="1476"/>
        <item sd="0" m="1" x="7299"/>
        <item sd="0" m="1" x="5354"/>
        <item sd="0" m="1" x="3325"/>
        <item sd="0" m="1" x="3858"/>
        <item sd="0" m="1" x="1665"/>
        <item sd="0" m="1" x="7512"/>
        <item sd="0" m="1" x="5538"/>
        <item sd="0" m="1" x="3515"/>
        <item sd="0" m="1" x="4051"/>
        <item sd="0" m="1" x="2808"/>
        <item sd="0" m="1" x="784"/>
        <item sd="0" m="1" x="6598"/>
        <item sd="0" m="1" x="2967"/>
        <item sd="0" m="1" x="980"/>
        <item sd="0" m="1" x="6783"/>
        <item sd="0" m="1" x="2251"/>
        <item sd="0" m="1" x="101"/>
        <item sd="0" m="1" x="6057"/>
        <item sd="0" m="1" x="3904"/>
        <item sd="0" m="1" x="1908"/>
        <item sd="0" m="1" x="2454"/>
        <item sd="0" m="1" x="359"/>
        <item sd="0" m="1" x="6251"/>
        <item sd="0" m="1" x="4082"/>
        <item sd="0" m="1" x="2080"/>
        <item sd="0" m="1" x="2627"/>
        <item sd="0" m="1" x="571"/>
        <item sd="0" m="1" x="6408"/>
        <item sd="0" m="1" x="1969"/>
        <item sd="0" m="1" x="7819"/>
        <item sd="0" m="1" x="5778"/>
        <item sd="0" m="1" x="3626"/>
        <item sd="0" m="1" x="1592"/>
        <item sd="0" m="1" x="7435"/>
        <item sd="0" m="1" x="2126"/>
        <item sd="0" m="1" x="7993"/>
        <item sd="0" m="1" x="5956"/>
        <item sd="0" m="1" x="3784"/>
        <item sd="0" m="1" x="1791"/>
        <item sd="0" m="1" x="7646"/>
        <item sd="0" m="1" x="2332"/>
        <item sd="0" m="1" x="224"/>
        <item sd="0" m="1" x="6146"/>
        <item sd="0" m="1" x="1265"/>
        <item sd="0" m="1" x="7082"/>
        <item sd="0" m="1" x="6902"/>
        <item sd="0" m="1" x="4930"/>
        <item sd="0" m="1" x="2907"/>
        <item sd="0" m="1" x="904"/>
        <item sd="0" m="1" x="1432"/>
        <item sd="0" m="1" x="7249"/>
        <item sd="0" m="1" x="7098"/>
        <item sd="0" m="1" x="5100"/>
        <item sd="0" m="1" x="3080"/>
        <item sd="0" m="1" x="1116"/>
        <item sd="0" m="1" x="1614"/>
        <item sd="0" m="1" x="7460"/>
        <item sd="0" m="1" x="348"/>
        <item sd="0" m="1" x="6239"/>
        <item sd="0" m="1" x="4227"/>
        <item sd="0" m="1" x="2253"/>
        <item sd="0" m="1" x="550"/>
        <item sd="0" m="1" x="6392"/>
        <item sd="0" m="1" x="4403"/>
        <item sd="0" m="1" x="2456"/>
        <item sd="0" m="1" x="1739"/>
        <item sd="0" m="1" x="7582"/>
        <item sd="0" m="1" x="5580"/>
        <item sd="0" m="1" x="1925"/>
        <item sd="0" m="1" x="7774"/>
        <item sd="0" m="1" x="5739"/>
        <item sd="0" m="1" x="2095"/>
        <item sd="0" m="1" x="5046"/>
        <item sd="0" m="1" x="3019"/>
        <item sd="0" m="1" x="1042"/>
        <item sd="0" m="1" x="6840"/>
        <item sd="0" m="1" x="4692"/>
        <item sd="0" m="1" x="5242"/>
        <item sd="0" m="1" x="3192"/>
        <item sd="0" m="1" x="1225"/>
        <item sd="0" m="1" x="7026"/>
        <item sd="0" m="1" x="4876"/>
        <item sd="0" m="1" x="5433"/>
        <item sd="0" m="1" x="3401"/>
        <item sd="0" m="1" x="1397"/>
        <item sd="0" m="1" x="4992"/>
        <item sd="0" m="1" x="2809"/>
        <item sd="0" m="1" x="785"/>
        <item sd="0" m="1" x="6601"/>
        <item sd="0" m="1" x="5181"/>
        <item sd="0" m="1" x="2969"/>
        <item sd="0" m="1" x="983"/>
        <item sd="0" m="1" x="6787"/>
        <item sd="0" m="1" x="5378"/>
        <item sd="0" m="1" x="2255"/>
        <item sd="0" m="1" x="104"/>
        <item sd="0" m="1" x="6060"/>
        <item sd="0" m="1" x="3905"/>
        <item sd="0" m="1" x="2458"/>
        <item sd="0" m="1" x="361"/>
        <item sd="0" m="1" x="6255"/>
        <item sd="0" m="1" x="4085"/>
        <item sd="0" m="1" x="2630"/>
        <item sd="0" m="1" x="575"/>
        <item sd="0" m="1" x="5582"/>
        <item sd="0" m="1" x="3570"/>
        <item sd="0" m="1" x="1537"/>
        <item sd="0" m="1" x="7366"/>
        <item sd="0" m="1" x="5229"/>
        <item sd="0" m="1" x="3182"/>
        <item sd="0" m="1" x="5741"/>
        <item sd="0" m="1" x="3738"/>
        <item sd="0" m="1" x="1750"/>
        <item sd="0" m="1" x="7595"/>
        <item sd="0" m="1" x="5418"/>
        <item sd="0" m="1" x="3391"/>
        <item sd="0" m="1" x="5900"/>
        <item sd="0" m="1" x="3934"/>
        <item sd="0" m="1" x="1947"/>
        <item sd="0" m="1" x="7794"/>
        <item sd="0" m="1" x="4860"/>
        <item sd="0" m="1" x="2858"/>
        <item sd="0" m="1" x="664"/>
        <item sd="0" m="1" x="6484"/>
        <item sd="0" m="1" x="4514"/>
        <item sd="0" m="1" x="2565"/>
        <item sd="0" m="1" x="5053"/>
        <item sd="0" m="1" x="3030"/>
        <item sd="0" m="1" x="849"/>
        <item sd="0" m="1" x="6648"/>
        <item sd="0" m="1" x="4702"/>
        <item sd="0" m="1" x="2722"/>
        <item sd="0" m="1" x="5259"/>
        <item sd="0" m="1" x="3216"/>
        <item sd="0" m="1" x="4183"/>
        <item sd="0" m="1" x="2035"/>
        <item sd="0" m="1" x="7870"/>
        <item sd="0" m="1" x="5824"/>
        <item sd="0" m="1" x="4346"/>
        <item sd="0" m="1" x="2200"/>
        <item sd="0" m="1" x="49"/>
        <item sd="0" m="1" x="6014"/>
        <item sd="0" m="1" x="4532"/>
        <item sd="0" m="1" x="6973"/>
        <item sd="0" m="1" x="7978"/>
        <item sd="0" m="1" x="5937"/>
        <item sd="0" m="1" x="3964"/>
        <item sd="0" m="1" x="1781"/>
        <item sd="0" m="1" x="7632"/>
        <item sd="0" m="1" x="193"/>
        <item sd="0" m="1" x="6123"/>
        <item sd="0" m="1" x="4136"/>
        <item sd="0" m="1" x="1985"/>
        <item sd="0" m="1" x="7830"/>
        <item sd="0" m="1" x="419"/>
        <item sd="0" m="1" x="6307"/>
        <item sd="0" m="1" x="4302"/>
        <item sd="0" m="1" x="1424"/>
        <item sd="0" m="1" x="7237"/>
        <item sd="0" m="1" x="5285"/>
        <item sd="0" m="1" x="3067"/>
        <item sd="0" m="1" x="1103"/>
        <item sd="0" m="1" x="6901"/>
        <item sd="0" m="1" x="1598"/>
        <item sd="0" m="1" x="7442"/>
        <item sd="0" m="1" x="5469"/>
        <item sd="0" m="1" x="3255"/>
        <item sd="0" m="1" x="1270"/>
        <item sd="0" m="1" x="7097"/>
        <item sd="0" m="1" x="1802"/>
        <item sd="0" m="1" x="7658"/>
        <item sd="0" m="1" x="5629"/>
        <item sd="0" m="1" x="726"/>
        <item sd="0" m="1" x="6539"/>
        <item sd="0" m="1" x="4392"/>
        <item sd="0" m="1" x="2445"/>
        <item sd="0" m="1" x="347"/>
        <item sd="0" m="1" x="920"/>
        <item sd="0" m="1" x="6712"/>
        <item sd="0" m="1" x="4565"/>
        <item sd="0" m="1" x="2613"/>
        <item sd="0" m="1" x="549"/>
        <item sd="0" m="1" x="1137"/>
        <item sd="0" m="1" x="6920"/>
        <item sd="0" m="1" x="7760"/>
        <item sd="0" m="1" x="5725"/>
        <item sd="0" m="1" x="3733"/>
        <item sd="0" m="1" x="1737"/>
        <item sd="0" m="1" x="7928"/>
        <item sd="0" m="1" x="5878"/>
        <item sd="0" m="1" x="3918"/>
        <item sd="0" m="1" x="1923"/>
        <item sd="0" m="1" x="7139"/>
        <item sd="0" m="1" x="5170"/>
        <item sd="0" m="1" x="3133"/>
        <item sd="0" m="1" x="1165"/>
        <item sd="0" m="1" x="971"/>
        <item sd="0" m="1" x="6771"/>
        <item sd="0" m="1" x="7314"/>
        <item sd="0" m="1" x="5368"/>
        <item sd="0" m="1" x="3345"/>
        <item sd="0" m="1" x="1328"/>
        <item sd="0" m="1" x="1172"/>
        <item sd="0" m="1" x="6954"/>
        <item sd="0" m="1" x="7535"/>
        <item sd="0" m="1" x="5559"/>
        <item sd="0" m="1" x="3545"/>
        <item sd="0" m="1" x="7083"/>
        <item sd="0" m="1" x="6903"/>
        <item sd="0" m="1" x="4931"/>
        <item sd="0" m="1" x="2908"/>
        <item sd="0" m="1" x="905"/>
        <item sd="0" m="1" x="7250"/>
        <item sd="0" m="1" x="7099"/>
        <item sd="0" m="1" x="5101"/>
        <item sd="0" m="1" x="3081"/>
        <item sd="0" m="1" x="1117"/>
        <item sd="0" m="1" x="7461"/>
        <item sd="0" m="1" x="349"/>
        <item sd="0" m="1" x="6240"/>
        <item sd="0" m="1" x="4228"/>
        <item sd="0" m="1" x="2254"/>
        <item sd="0" m="1" x="551"/>
        <item sd="0" m="1" x="6393"/>
        <item sd="0" m="1" x="4404"/>
        <item sd="0" m="1" x="2457"/>
        <item sd="0" m="1" x="747"/>
        <item sd="0" m="1" x="1740"/>
        <item sd="0" m="1" x="7583"/>
        <item sd="0" m="1" x="5581"/>
        <item sd="0" m="1" x="3384"/>
        <item sd="0" m="1" x="1926"/>
        <item sd="0" m="1" x="7775"/>
        <item sd="0" m="1" x="5740"/>
        <item sd="0" m="1" x="3581"/>
        <item sd="0" m="1" x="2096"/>
        <item sd="0" m="1" x="7946"/>
        <item sd="0" m="1" x="5047"/>
        <item sd="0" m="1" x="3020"/>
        <item sd="0" m="1" x="1043"/>
        <item sd="0" m="1" x="6841"/>
        <item sd="0" m="1" x="4693"/>
        <item sd="0" m="1" x="2713"/>
        <item sd="0" m="1" x="5243"/>
        <item sd="0" m="1" x="3193"/>
        <item sd="0" m="1" x="1226"/>
        <item sd="0" m="1" x="7027"/>
        <item sd="0" m="1" x="4877"/>
        <item sd="0" m="1" x="2871"/>
        <item sd="0" m="1" x="5434"/>
        <item sd="0" m="1" x="3402"/>
        <item sd="0" m="1" x="1398"/>
        <item sd="0" m="1" x="7203"/>
        <item sd="0" m="1" x="4338"/>
        <item sd="0" m="1" x="2378"/>
        <item sd="0" m="1" x="269"/>
        <item sd="0" m="1" x="36"/>
        <item sd="0" m="1" x="6000"/>
        <item sd="0" m="1" x="4026"/>
        <item sd="0" m="1" x="2032"/>
        <item sd="0" m="1" x="4521"/>
        <item sd="0" m="1" x="2573"/>
        <item sd="0" m="1" x="468"/>
        <item sd="0" m="1" x="284"/>
        <item sd="0" m="1" x="6188"/>
        <item sd="0" m="1" x="4195"/>
        <item sd="0" m="1" x="2197"/>
        <item sd="0" m="1" x="4711"/>
        <item sd="0" m="1" x="2736"/>
        <item sd="0" m="1" x="680"/>
        <item sd="0" m="1" x="2256"/>
        <item sd="0" m="1" x="105"/>
        <item sd="0" m="1" x="6061"/>
        <item sd="0" m="1" x="3906"/>
        <item sd="0" m="1" x="1909"/>
        <item sd="0" m="1" x="2459"/>
        <item sd="0" m="1" x="362"/>
        <item sd="0" m="1" x="6256"/>
        <item sd="0" m="1" x="4086"/>
        <item sd="0" m="1" x="2081"/>
        <item sd="0" m="1" x="2631"/>
        <item sd="0" m="1" x="576"/>
        <item sd="0" m="1" x="6414"/>
        <item sd="0" m="1" x="618"/>
        <item sd="0" m="1" x="6443"/>
        <item sd="0" m="1" x="4461"/>
        <item sd="0" m="1" x="2312"/>
        <item sd="0" m="1" x="184"/>
        <item sd="0" m="1" x="802"/>
        <item sd="0" m="1" x="6612"/>
        <item sd="0" m="1" x="4652"/>
        <item sd="0" m="1" x="2519"/>
        <item sd="0" m="1" x="410"/>
        <item sd="0" m="1" x="1007"/>
        <item sd="0" m="1" x="6812"/>
        <item sd="0" m="1" x="4834"/>
        <item sd="0" m="1" x="1975"/>
        <item sd="0" m="1" x="7822"/>
        <item sd="0" m="1" x="5780"/>
        <item sd="0" m="1" x="3630"/>
        <item sd="0" m="1" x="1595"/>
        <item sd="0" m="1" x="7439"/>
        <item sd="0" m="1" x="2131"/>
        <item sd="0" m="1" x="7995"/>
        <item sd="0" m="1" x="5959"/>
        <item sd="0" m="1" x="3791"/>
        <item sd="0" m="1" x="1795"/>
        <item sd="0" m="1" x="7651"/>
        <item sd="0" m="1" x="2338"/>
        <item sd="0" m="1" x="230"/>
        <item sd="0" m="1" x="6150"/>
        <item sd="0" m="1" x="1267"/>
        <item sd="0" m="1" x="7087"/>
        <item sd="0" m="1" x="6908"/>
        <item sd="0" m="1" x="4937"/>
        <item sd="0" m="1" x="2910"/>
        <item sd="0" m="1" x="911"/>
        <item sd="0" m="1" x="1434"/>
        <item sd="0" m="1" x="7252"/>
        <item sd="0" m="1" x="7107"/>
        <item sd="0" m="1" x="5110"/>
        <item sd="0" m="1" x="3086"/>
        <item sd="0" m="1" x="1124"/>
        <item sd="0" m="1" x="1620"/>
        <item sd="0" m="1" x="7466"/>
        <item sd="0" m="1" x="356"/>
        <item sd="0" m="1" x="6247"/>
        <item sd="0" m="1" x="4231"/>
        <item sd="0" m="1" x="2259"/>
        <item sd="0" m="1" x="560"/>
        <item sd="0" m="1" x="6399"/>
        <item sd="0" m="1" x="4408"/>
        <item sd="0" m="1" x="2462"/>
        <item sd="0" m="1" x="5436"/>
        <item sd="0" m="1" x="6334"/>
        <item sd="0" m="1" x="4340"/>
        <item sd="0" m="1" x="2380"/>
        <item sd="0" m="1" x="272"/>
        <item sd="0" m="1" x="37"/>
        <item sd="0" m="1" x="6001"/>
        <item sd="0" m="1" x="4027"/>
        <item sd="0" m="1" x="6492"/>
        <item sd="0" m="1" x="4523"/>
        <item sd="0" m="1" x="2575"/>
        <item sd="0" m="1" x="471"/>
        <item sd="0" m="1" x="288"/>
        <item sd="0" m="1" x="6191"/>
        <item sd="0" m="1" x="4198"/>
        <item sd="0" m="1" x="6660"/>
        <item sd="0" m="1" x="4712"/>
        <item sd="0" m="1" x="2738"/>
        <item sd="0" m="1" x="684"/>
        <item sd="0" m="1" x="5672"/>
        <item sd="0" m="1" x="3686"/>
        <item sd="0" m="1" x="1478"/>
        <item sd="0" m="1" x="7301"/>
        <item sd="0" m="1" x="5359"/>
        <item sd="0" m="1" x="3333"/>
        <item sd="0" m="1" x="5832"/>
        <item sd="0" m="1" x="3864"/>
        <item sd="0" m="1" x="1670"/>
        <item sd="0" m="1" x="7516"/>
        <item sd="0" m="1" x="5543"/>
        <item sd="0" m="1" x="3522"/>
        <item sd="0" m="1" x="6035"/>
        <item sd="0" m="1" x="4056"/>
        <item sd="0" m="1" x="4995"/>
        <item sd="0" m="1" x="2813"/>
        <item sd="0" m="1" x="787"/>
        <item sd="0" m="1" x="6603"/>
        <item sd="0" m="1" x="5185"/>
        <item sd="0" m="1" x="2974"/>
        <item sd="0" m="1" x="987"/>
        <item sd="0" m="1" x="6791"/>
        <item sd="0" m="1" x="5381"/>
        <item sd="0" m="1" x="2262"/>
        <item sd="0" m="1" x="110"/>
        <item sd="0" m="1" x="6066"/>
        <item sd="0" m="1" x="3911"/>
        <item sd="0" m="1" x="2465"/>
        <item sd="0" m="1" x="365"/>
        <item sd="0" m="1" x="6260"/>
        <item sd="0" m="1" x="4091"/>
        <item sd="0" m="1" x="2636"/>
        <item sd="0" m="1" x="583"/>
        <item sd="0" m="1" x="5585"/>
        <item sd="0" m="1" x="3573"/>
        <item sd="0" m="1" x="1539"/>
        <item sd="0" m="1" x="7371"/>
        <item sd="0" m="1" x="5234"/>
        <item sd="0" m="1" x="3186"/>
        <item sd="0" m="1" x="5744"/>
        <item sd="0" m="1" x="3741"/>
        <item sd="0" m="1" x="1754"/>
        <item sd="0" m="1" x="7601"/>
        <item sd="0" m="1" x="5424"/>
        <item sd="0" m="1" x="3395"/>
        <item sd="0" m="1" x="5905"/>
        <item sd="0" m="1" x="3939"/>
        <item sd="0" m="1" x="1953"/>
        <item sd="0" m="1" x="7802"/>
        <item sd="0" m="1" x="3336"/>
        <item sd="0" m="1" x="1321"/>
        <item sd="0" m="1" x="7141"/>
        <item sd="0" m="1" x="3525"/>
        <item sd="0" m="1" x="1490"/>
        <item sd="0" m="1" x="7316"/>
        <item sd="0" m="1" x="6605"/>
        <item sd="0" m="1" x="4636"/>
        <item sd="0" m="1" x="2670"/>
        <item sd="0" m="1" x="616"/>
        <item sd="0" m="1" x="6793"/>
        <item sd="0" m="1" x="4810"/>
        <item sd="0" m="1" x="2825"/>
        <item sd="0" m="1" x="800"/>
        <item sd="0" m="1" x="6977"/>
        <item sd="0" m="1" x="5020"/>
        <item sd="0" m="1" x="7982"/>
        <item sd="0" m="1" x="5943"/>
        <item sd="0" m="1" x="3970"/>
        <item sd="0" m="1" x="1784"/>
        <item sd="0" m="1" x="7637"/>
        <item sd="0" m="1" x="200"/>
        <item sd="0" m="1" x="6128"/>
        <item sd="0" m="1" x="4141"/>
        <item sd="0" m="1" x="1991"/>
        <item sd="0" m="1" x="7837"/>
        <item sd="0" m="1" x="423"/>
        <item sd="0" m="1" x="6310"/>
        <item sd="0" m="1" x="4308"/>
        <item sd="0" m="1" x="1426"/>
        <item sd="0" m="1" x="7240"/>
        <item sd="0" m="1" x="5288"/>
        <item sd="0" m="1" x="3072"/>
        <item sd="0" m="1" x="1108"/>
        <item sd="0" m="1" x="6907"/>
        <item sd="0" m="1" x="1600"/>
        <item sd="0" m="1" x="7445"/>
        <item sd="0" m="1" x="5472"/>
        <item sd="0" m="1" x="3263"/>
        <item sd="0" m="1" x="1276"/>
        <item sd="0" m="1" x="7106"/>
        <item sd="0" m="1" x="1803"/>
        <item sd="0" m="1" x="7660"/>
        <item sd="0" m="1" x="5635"/>
        <item sd="0" m="1" x="728"/>
        <item sd="0" m="1" x="6541"/>
        <item sd="0" m="1" x="4397"/>
        <item sd="0" m="1" x="2450"/>
        <item sd="0" m="1" x="353"/>
        <item sd="0" m="1" x="923"/>
        <item sd="0" m="1" x="6717"/>
        <item sd="0" m="1" x="4570"/>
        <item sd="0" m="1" x="2618"/>
        <item sd="0" m="1" x="557"/>
        <item sd="0" m="1" x="1139"/>
        <item sd="0" m="1" x="6924"/>
        <item sd="0" m="1" x="1175"/>
        <item sd="0" m="1" x="619"/>
        <item sd="0" m="1" x="6444"/>
        <item sd="0" m="1" x="4462"/>
        <item sd="0" m="1" x="2313"/>
        <item sd="0" m="1" x="185"/>
        <item sd="0" m="1" x="6119"/>
        <item sd="0" m="1" x="803"/>
        <item sd="0" m="1" x="6613"/>
        <item sd="0" m="1" x="4653"/>
        <item sd="0" m="1" x="2520"/>
        <item sd="0" m="1" x="411"/>
        <item sd="0" m="1" x="6301"/>
        <item sd="0" m="1" x="1008"/>
        <item sd="0" m="1" x="6813"/>
        <item sd="0" m="1" x="4835"/>
        <item sd="0" m="1" x="7823"/>
        <item sd="0" m="1" x="5781"/>
        <item sd="0" m="1" x="3631"/>
        <item sd="0" m="1" x="1596"/>
        <item sd="0" m="1" x="7440"/>
        <item sd="0" m="1" x="7996"/>
        <item sd="0" m="1" x="5960"/>
        <item sd="0" m="1" x="3792"/>
        <item sd="0" m="1" x="1796"/>
        <item sd="0" m="1" x="7652"/>
        <item sd="0" m="1" x="231"/>
        <item sd="0" m="1" x="6151"/>
        <item sd="0" m="1" x="7088"/>
        <item sd="0" m="1" x="6909"/>
        <item sd="0" m="1" x="4938"/>
        <item sd="0" m="1" x="2911"/>
        <item sd="0" m="1" x="912"/>
        <item sd="0" m="1" x="7253"/>
        <item sd="0" m="1" x="7108"/>
        <item sd="0" m="1" x="5111"/>
        <item sd="0" m="1" x="3087"/>
        <item sd="0" m="1" x="1125"/>
        <item sd="0" m="1" x="7467"/>
        <item sd="0" m="1" x="357"/>
        <item sd="0" m="1" x="6248"/>
        <item sd="0" m="1" x="4232"/>
        <item sd="0" m="1" x="2260"/>
        <item sd="0" m="1" x="561"/>
        <item sd="0" m="1" x="6400"/>
        <item sd="0" m="1" x="4409"/>
        <item sd="0" m="1" x="2463"/>
        <item sd="0" m="1" x="753"/>
        <item sd="0" m="1" x="1745"/>
        <item sd="0" m="1" x="7588"/>
        <item sd="0" m="1" x="5584"/>
        <item sd="0" m="1" x="3387"/>
        <item sd="0" m="1" x="1933"/>
        <item sd="0" m="1" x="7780"/>
        <item sd="0" m="1" x="5743"/>
        <item sd="0" m="1" x="3585"/>
        <item sd="0" m="1" x="2100"/>
        <item sd="0" m="1" x="7951"/>
        <item sd="0" m="1" x="3687"/>
        <item sd="0" m="1" x="1479"/>
        <item sd="0" m="1" x="7302"/>
        <item sd="0" m="1" x="5360"/>
        <item sd="0" m="1" x="3334"/>
        <item sd="0" m="1" x="3865"/>
        <item sd="0" m="1" x="1671"/>
        <item sd="0" m="1" x="7517"/>
        <item sd="0" m="1" x="5544"/>
        <item sd="0" m="1" x="3523"/>
        <item sd="0" m="1" x="4057"/>
        <item sd="0" m="1" x="2814"/>
        <item sd="0" m="1" x="788"/>
        <item sd="0" m="1" x="6604"/>
        <item sd="0" m="1" x="2975"/>
        <item sd="0" m="1" x="988"/>
        <item sd="0" m="1" x="6792"/>
        <item sd="0" m="1" x="3388"/>
        <item sd="0" m="1" x="3591"/>
        <item sd="0" m="1" x="5050"/>
        <item m="1" x="1047"/>
        <item m="1" x="6847"/>
        <item m="1" x="4867"/>
        <item m="1" x="2863"/>
        <item m="1" x="841"/>
        <item m="1" x="6642"/>
        <item m="1" x="4697"/>
        <item m="1" x="2717"/>
        <item sd="0" m="1" x="5251"/>
        <item m="1" x="3204"/>
        <item m="1" x="1233"/>
        <item m="1" x="7038"/>
        <item m="1" x="5058"/>
        <item m="1" x="3037"/>
        <item m="1" x="1060"/>
        <item m="1" x="6862"/>
        <item m="1" x="4887"/>
        <item m="1" x="2878"/>
        <item sd="0" m="1" x="5441"/>
        <item m="1" x="3409"/>
        <item m="1" x="1406"/>
        <item m="1" x="7213"/>
        <item m="1" x="4342"/>
        <item m="1" x="2381"/>
        <item m="1" x="278"/>
        <item m="1" x="6181"/>
        <item m="1" x="4188"/>
        <item m="1" x="2187"/>
        <item sd="0" m="1" x="41"/>
        <item m="1" x="6006"/>
        <item m="1" x="4029"/>
        <item m="1" x="2039"/>
        <item m="1" x="4526"/>
        <item m="1" x="2577"/>
        <item m="1" x="477"/>
        <item m="1" x="6340"/>
        <item m="1" x="4353"/>
        <item m="1" x="2391"/>
        <item sd="0" m="1" x="296"/>
        <item m="1" x="6200"/>
        <item m="1" x="4203"/>
        <item m="1" x="2213"/>
        <item m="1" x="4714"/>
        <item m="1" x="2741"/>
        <item m="1" x="691"/>
        <item m="1" x="6510"/>
        <item m="1" x="3688"/>
        <item m="1" x="1663"/>
        <item m="1" x="7510"/>
        <item m="1" x="5536"/>
        <item m="1" x="3513"/>
        <item sd="0" m="1" x="1484"/>
        <item m="1" x="7307"/>
        <item m="1" x="5362"/>
        <item m="1" x="3338"/>
        <item m="1" x="1322"/>
        <item m="1" x="3870"/>
        <item m="1" x="1854"/>
        <item m="1" x="7704"/>
        <item m="1" x="5685"/>
        <item m="1" x="3697"/>
        <item sd="0" m="1" x="1679"/>
        <item m="1" x="7524"/>
        <item m="1" x="5550"/>
        <item m="1" x="3531"/>
        <item m="1" x="1495"/>
        <item m="1" x="4062"/>
        <item m="1" x="2054"/>
        <item m="1" x="7890"/>
        <item m="1" x="5842"/>
        <item m="1" x="2964"/>
        <item m="1" x="977"/>
        <item m="1" x="6779"/>
        <item m="1" x="4801"/>
        <item m="1" x="2817"/>
        <item m="1" x="790"/>
        <item m="1" x="6606"/>
        <item m="1" x="4637"/>
        <item m="1" x="2671"/>
        <item m="1" x="620"/>
        <item m="1" x="3148"/>
        <item m="1" x="1179"/>
        <item m="1" x="6961"/>
        <item m="1" x="5009"/>
        <item m="1" x="2978"/>
        <item m="1" x="991"/>
        <item m="1" x="6796"/>
        <item m="1" x="4812"/>
        <item m="1" x="2827"/>
        <item m="1" x="805"/>
        <item m="1" x="3363"/>
        <item m="1" x="1344"/>
        <item m="1" x="7152"/>
        <item m="1" x="5211"/>
        <item m="1" x="1984"/>
        <item m="1" x="7828"/>
        <item m="1" x="5784"/>
        <item m="1" x="3781"/>
        <item m="1" x="1789"/>
        <item m="1" x="7644"/>
        <item m="1" x="5620"/>
        <item sd="0" m="1" x="7143"/>
        <item sd="0" m="1" x="5180"/>
        <item sd="0" m="1" x="3139"/>
        <item sd="0" m="1" x="1171"/>
        <item sd="0" m="1" x="982"/>
        <item sd="0" m="1" x="6786"/>
        <item sd="0" m="1" x="7327"/>
        <item sd="0" m="1" x="5377"/>
        <item sd="0" m="1" x="3352"/>
        <item sd="0" m="1" x="1336"/>
        <item sd="0" m="1" x="1185"/>
        <item sd="0" m="1" x="6970"/>
        <item sd="0" m="1" x="7552"/>
        <item sd="0" m="1" x="5567"/>
        <item sd="0" m="1" x="3558"/>
        <item sd="0" m="1" x="7095"/>
        <item sd="0" m="1" x="6912"/>
        <item sd="0" m="1" x="4944"/>
        <item sd="0" m="1" x="2913"/>
        <item sd="0" m="1" x="918"/>
        <item sd="0" m="1" x="7264"/>
        <item sd="0" m="1" x="7115"/>
        <item sd="0" m="1" x="5123"/>
        <item sd="0" m="1" x="3093"/>
        <item sd="0" m="1" x="1133"/>
        <item sd="0" m="1" x="7478"/>
        <item sd="0" m="1" x="2455"/>
        <item sd="0" m="1" x="360"/>
        <item sd="0" m="1" x="6252"/>
        <item sd="0" m="1" x="4234"/>
        <item sd="0" m="1" x="2267"/>
        <item sd="0" m="1" x="115"/>
        <item sd="0" m="1" x="6070"/>
        <item sd="0" m="1" x="4083"/>
        <item sd="0" m="1" x="6558"/>
        <item sd="0" m="1" x="4580"/>
        <item sd="0" m="1" x="2628"/>
        <item sd="0" m="1" x="572"/>
        <item sd="0" m="1" x="6409"/>
        <item sd="0" m="1" x="4417"/>
        <item sd="0" m="1" x="2473"/>
        <item sd="0" m="1" x="370"/>
        <item sd="0" m="1" x="6265"/>
        <item sd="0" m="1" x="4245"/>
        <item sd="0" m="1" x="6744"/>
        <item sd="0" m="1" x="4766"/>
        <item sd="0" m="1" x="2790"/>
        <item sd="0" m="1" x="764"/>
        <item sd="0" m="1" x="5735"/>
        <item sd="0" m="1" x="3736"/>
        <item sd="0" m="1" x="1748"/>
        <item sd="0" m="1" x="7591"/>
        <item sd="0" m="1" x="5586"/>
        <item sd="0" m="1" x="3578"/>
        <item sd="0" m="1" x="1542"/>
        <item sd="0" m="1" x="7375"/>
        <item sd="0" m="1" x="5416"/>
        <item sd="0" m="1" x="3389"/>
        <item sd="0" m="1" x="5894"/>
        <item sd="0" m="1" x="3930"/>
        <item sd="0" m="1" x="1943"/>
        <item sd="0" m="1" x="7789"/>
        <item sd="0" m="1" x="5750"/>
        <item sd="0" m="1" x="3744"/>
        <item sd="0" m="1" x="1758"/>
        <item sd="0" m="1" x="7608"/>
        <item sd="0" m="1" x="5594"/>
        <item sd="0" m="1" x="3598"/>
        <item sd="0" m="1" x="6093"/>
        <item sd="0" m="1" x="4111"/>
        <item sd="0" m="1" x="2108"/>
        <item sd="0" m="1" x="7960"/>
        <item sd="0" m="1" x="5052"/>
        <item sd="0" m="1" x="3027"/>
        <item sd="0" m="1" x="1049"/>
        <item sd="0" m="1" x="6851"/>
        <item sd="0" m="1" x="4872"/>
        <item sd="0" m="1" x="2867"/>
        <item sd="0" m="1" x="845"/>
        <item sd="0" m="1" x="6644"/>
        <item sd="0" m="1" x="4699"/>
        <item sd="0" m="1" x="2719"/>
        <item sd="0" m="1" x="5255"/>
        <item sd="0" m="1" x="3210"/>
        <item sd="0" m="1" x="1235"/>
        <item sd="0" m="1" x="7043"/>
        <item sd="0" m="1" x="5061"/>
        <item sd="0" m="1" x="3042"/>
        <item sd="0" m="1" x="1065"/>
        <item sd="0" m="1" x="6866"/>
        <item sd="0" m="1" x="4893"/>
        <item sd="0" m="1" x="2881"/>
        <item sd="0" m="1" x="5445"/>
        <item sd="0" m="1" x="3414"/>
        <item sd="0" m="1" x="1410"/>
        <item sd="0" m="1" x="7217"/>
        <item sd="0" m="1" x="4344"/>
        <item sd="0" m="1" x="2382"/>
        <item sd="0" m="1" x="282"/>
        <item sd="0" m="1" x="6185"/>
        <item sd="0" m="1" x="4192"/>
        <item sd="0" m="1" x="2192"/>
        <item sd="0" m="1" x="44"/>
        <item sd="0" m="1" x="6009"/>
        <item sd="0" m="1" x="4030"/>
        <item sd="0" m="1" x="2041"/>
        <item sd="0" m="1" x="4529"/>
        <item sd="0" m="1" x="2579"/>
        <item sd="0" m="1" x="482"/>
        <item sd="0" m="1" x="6344"/>
        <item sd="0" m="1" x="4358"/>
        <item sd="0" m="1" x="2396"/>
        <item sd="0" m="1" x="300"/>
        <item sd="0" m="1" x="6205"/>
        <item sd="0" m="1" x="4205"/>
        <item sd="0" m="1" x="2219"/>
        <item sd="0" m="1" x="4717"/>
        <item sd="0" m="1" x="2746"/>
        <item sd="0" m="1" x="698"/>
        <item sd="0" m="1" x="6516"/>
        <item sd="0" m="1" x="4235"/>
        <item m="1" x="2270"/>
        <item sd="0" m="1" x="5054"/>
        <item sd="0" m="1" x="6335"/>
        <item m="1" x="3985"/>
        <item m="1" x="1998"/>
        <item m="1" x="7843"/>
        <item m="1" x="2542"/>
        <item m="1" x="435"/>
        <item m="1" x="6316"/>
        <item m="1" x="4319"/>
        <item m="1" x="2348"/>
        <item m="1" x="243"/>
        <item m="1" x="6160"/>
        <item m="1" x="4169"/>
        <item m="1" x="2166"/>
        <item m="1" x="21"/>
        <item m="1" x="2704"/>
        <item m="1" x="651"/>
        <item m="1" x="6476"/>
        <item m="1" x="4503"/>
        <item m="1" x="1611"/>
        <item m="1" x="7456"/>
        <item m="1" x="5487"/>
        <item m="1" x="3453"/>
        <item m="1" x="1444"/>
        <item m="1" x="7265"/>
        <item m="1" x="5303"/>
        <item m="1" x="3278"/>
        <item m="1" x="1284"/>
        <item m="1" x="7116"/>
        <item m="1" x="1812"/>
        <item m="1" x="7666"/>
        <item m="1" x="5648"/>
        <item m="1" x="3662"/>
        <item m="1" x="1631"/>
        <item m="1" x="7479"/>
        <item m="1" x="5506"/>
        <item m="1" x="3477"/>
        <item m="1" x="1461"/>
        <item m="1" x="7285"/>
        <item m="1" x="2014"/>
        <item m="1" x="7857"/>
        <item m="1" x="5810"/>
        <item m="1" x="3830"/>
        <item m="1" x="931"/>
        <item m="1" x="6728"/>
        <item m="1" x="4749"/>
        <item m="1" x="2776"/>
        <item m="1" x="744"/>
        <item m="1" x="6559"/>
        <item m="1" x="4581"/>
        <item m="1" x="2629"/>
        <item m="1" x="573"/>
        <item m="1" x="6410"/>
        <item m="1" x="1146"/>
        <item m="1" x="6933"/>
        <item m="1" x="4970"/>
        <item m="1" x="2940"/>
        <item m="1" x="945"/>
        <item m="1" x="6745"/>
        <item m="1" x="4767"/>
        <item m="1" x="2791"/>
        <item m="1" x="765"/>
        <item m="1" x="6575"/>
        <item m="1" x="1305"/>
        <item m="1" x="7128"/>
        <item m="1" x="5155"/>
        <item m="1" x="3119"/>
        <item m="1" x="131"/>
        <item m="1" x="6079"/>
        <item m="1" x="4098"/>
        <item m="1" x="2092"/>
        <item m="1" x="7941"/>
        <item m="1" x="5895"/>
        <item m="1" x="3931"/>
        <item m="1" x="1944"/>
        <item m="1" x="7790"/>
        <item m="1" x="5751"/>
        <item m="1" x="384"/>
        <item m="1" x="6277"/>
        <item m="1" x="4258"/>
        <item m="1" x="2292"/>
        <item m="1" x="151"/>
        <item m="1" x="6094"/>
        <item m="1" x="4112"/>
        <item m="1" x="2109"/>
        <item m="1" x="7961"/>
        <item m="1" x="5914"/>
        <item m="1" x="595"/>
        <item m="1" x="6435"/>
        <item m="1" x="4445"/>
        <item m="1" x="2501"/>
        <item m="1" x="7054"/>
        <item m="1" x="5067"/>
        <item m="1" x="3049"/>
        <item m="1" x="1073"/>
        <item m="1" x="6873"/>
        <item m="1" x="4899"/>
        <item m="1" x="2886"/>
        <item m="1" x="7538"/>
        <item m="1" x="5561"/>
        <item m="1" x="3546"/>
        <item m="1" x="1506"/>
        <item m="1" x="7332"/>
        <item m="1" x="5380"/>
        <item m="1" x="3355"/>
        <item m="1" x="1337"/>
        <item m="1" x="3889"/>
        <item m="1" x="1883"/>
        <item m="1" x="7735"/>
        <item m="1" x="5713"/>
        <item m="1" x="3717"/>
        <item m="1" x="1710"/>
        <item m="1" x="7557"/>
        <item m="1" x="5568"/>
        <item m="1" x="3561"/>
        <item m="1" x="1521"/>
        <item m="1" x="4073"/>
        <item m="1" x="2074"/>
        <item m="1" x="7914"/>
        <item m="1" x="5865"/>
        <item m="1" x="2989"/>
        <item m="1" x="1005"/>
        <item m="1" x="6811"/>
        <item m="1" x="4831"/>
        <item m="1" x="2839"/>
        <item m="1" x="814"/>
        <item m="1" x="6617"/>
        <item m="1" x="4661"/>
        <item m="1" x="2684"/>
        <item m="1" x="632"/>
        <item m="1" x="3169"/>
        <item m="1" x="1203"/>
        <item m="1" x="6994"/>
        <item m="1" x="5032"/>
        <item m="1" x="3004"/>
        <item m="1" x="1020"/>
        <item m="1" x="6822"/>
        <item m="1" x="4846"/>
        <item m="1" x="2850"/>
        <item m="1" x="827"/>
        <item m="1" x="3380"/>
        <item m="1" x="1366"/>
        <item m="1" x="7171"/>
        <item m="1" x="5224"/>
        <item m="1" x="2335"/>
        <item m="1" x="227"/>
        <item m="1" x="6147"/>
        <item m="1" x="4158"/>
        <item m="1" x="2151"/>
        <item m="1" x="11"/>
        <item m="1" x="5974"/>
        <item m="1" x="3989"/>
        <item m="1" x="2000"/>
        <item m="1" x="7845"/>
        <item m="1" x="2545"/>
        <item m="1" x="440"/>
        <item m="1" x="6319"/>
        <item m="1" x="4324"/>
        <item m="1" x="2356"/>
        <item m="1" x="250"/>
        <item m="1" x="6165"/>
        <item m="1" x="4172"/>
        <item m="1" x="2169"/>
        <item m="1" x="23"/>
        <item m="1" x="2706"/>
        <item m="1" x="654"/>
        <item m="1" x="6477"/>
        <item m="1" x="4506"/>
        <item m="1" x="1616"/>
        <item m="1" x="7462"/>
        <item m="1" x="5492"/>
        <item m="1" x="3461"/>
        <item m="1" x="1452"/>
        <item m="1" x="7274"/>
        <item m="1" x="5309"/>
        <item m="1" x="3284"/>
        <item m="1" x="1288"/>
        <item m="1" x="7120"/>
        <item m="1" x="1815"/>
        <item m="1" x="7669"/>
        <item m="1" x="5652"/>
        <item m="1" x="3668"/>
        <item m="1" x="1641"/>
        <item m="1" x="7488"/>
        <item m="1" x="5513"/>
        <item m="1" x="3484"/>
        <item m="1" x="1464"/>
        <item m="1" x="7289"/>
        <item m="1" x="2016"/>
        <item m="1" x="7859"/>
        <item m="1" x="5813"/>
        <item m="1" x="3834"/>
        <item m="1" x="1510"/>
        <item m="1" x="7336"/>
        <item sd="0" m="1" x="1559"/>
        <item sd="0" m="1" x="0"/>
      </items>
    </pivotField>
    <pivotField showAll="0">
      <items count="11">
        <item m="1" x="0"/>
        <item m="1" x="8"/>
        <item m="1" x="6"/>
        <item m="1" x="2"/>
        <item m="1" x="5"/>
        <item m="1" x="9"/>
        <item m="1" x="1"/>
        <item m="1" x="3"/>
        <item m="1" x="4"/>
        <item m="1" x="7"/>
        <item t="default"/>
      </items>
    </pivotField>
    <pivotField showAll="0" defaultSubtotal="0">
      <items count="6">
        <item m="1" x="2"/>
        <item m="1" x="0"/>
        <item m="1" x="5"/>
        <item m="1" x="4"/>
        <item m="1" x="1"/>
        <item m="1" x="3"/>
      </items>
    </pivotField>
    <pivotField showAll="0"/>
    <pivotField showAll="0"/>
    <pivotField showAll="0"/>
    <pivotField showAll="0" defaultSubtotal="0"/>
    <pivotField showAll="0" defaultSubtotal="0"/>
    <pivotField showAll="0" defaultSubtotal="0"/>
    <pivotField dataField="1" showAll="0" defaultSubtotal="0"/>
    <pivotField dataField="1" showAll="0" defaultSubtotal="0"/>
    <pivotField dataField="1" showAll="0" defaultSubtotal="0"/>
  </pivotFields>
  <rowFields count="2">
    <field x="9"/>
    <field x="8"/>
  </rowFields>
  <colFields count="1">
    <field x="-2"/>
  </colFields>
  <dataFields count="3">
    <dataField name="Average of ACTUALBASE" fld="18" subtotal="average" baseField="8" baseItem="4000" numFmtId="164"/>
    <dataField name="Average of PREDICTEDBASE" fld="19" subtotal="average" baseField="8" baseItem="4000" numFmtId="164"/>
    <dataField name="Average of ERRORBASE" fld="20" subtotal="average" baseField="8" baseItem="4004" numFmtId="164"/>
  </dataFields>
  <chartFormats count="3">
    <chartFormat chart="6" format="21" series="1">
      <pivotArea type="data" outline="0" fieldPosition="0">
        <references count="1">
          <reference field="4294967294" count="1" selected="0">
            <x v="0"/>
          </reference>
        </references>
      </pivotArea>
    </chartFormat>
    <chartFormat chart="6" format="22" series="1">
      <pivotArea type="data" outline="0" fieldPosition="0">
        <references count="1">
          <reference field="4294967294" count="1" selected="0">
            <x v="1"/>
          </reference>
        </references>
      </pivotArea>
    </chartFormat>
    <chartFormat chart="6"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104" applyNumberFormats="0" applyBorderFormats="0" applyFontFormats="0" applyPatternFormats="0" applyAlignmentFormats="0" applyWidthHeightFormats="1" dataCaption="Values" updatedVersion="5" minRefreshableVersion="3" enableDrill="0" useAutoFormatting="1" itemPrintTitles="1" createdVersion="5" indent="0" outline="1" outlineData="1" multipleFieldFilters="0" chartFormat="6" fieldListSortAscending="1">
  <location ref="A1:D102" firstHeaderRow="0" firstDataRow="1" firstDataCol="1"/>
  <pivotFields count="20">
    <pivotField showAll="0">
      <items count="88">
        <item h="1" m="1" x="27"/>
        <item h="1" m="1" x="50"/>
        <item h="1" m="1" x="35"/>
        <item h="1" m="1" x="18"/>
        <item h="1" x="10"/>
        <item h="1" m="1" x="46"/>
        <item h="1" m="1" x="72"/>
        <item h="1" m="1" x="79"/>
        <item h="1" m="1" x="49"/>
        <item h="1" m="1" x="67"/>
        <item h="1" x="16"/>
        <item h="1" m="1" x="32"/>
        <item h="1" x="13"/>
        <item h="1" m="1" x="59"/>
        <item h="1" m="1" x="23"/>
        <item h="1" x="9"/>
        <item h="1" m="1" x="80"/>
        <item h="1" m="1" x="77"/>
        <item h="1" m="1" x="73"/>
        <item h="1" m="1" x="21"/>
        <item h="1" m="1" x="33"/>
        <item h="1" x="5"/>
        <item h="1" x="12"/>
        <item h="1" m="1" x="22"/>
        <item h="1" m="1" x="56"/>
        <item h="1" m="1" x="60"/>
        <item h="1" x="15"/>
        <item h="1" x="6"/>
        <item h="1" m="1" x="30"/>
        <item h="1" m="1" x="57"/>
        <item h="1" m="1" x="45"/>
        <item h="1" m="1" x="24"/>
        <item h="1" x="14"/>
        <item h="1" m="1" x="54"/>
        <item h="1" m="1" x="74"/>
        <item h="1" x="2"/>
        <item h="1" m="1" x="75"/>
        <item h="1" m="1" x="28"/>
        <item h="1" m="1" x="40"/>
        <item h="1" m="1" x="63"/>
        <item h="1" m="1" x="83"/>
        <item h="1" x="0"/>
        <item h="1" m="1" x="31"/>
        <item h="1" m="1" x="69"/>
        <item h="1" m="1" x="34"/>
        <item h="1" m="1" x="55"/>
        <item h="1" m="1" x="66"/>
        <item h="1" m="1" x="70"/>
        <item h="1" m="1" x="44"/>
        <item h="1" x="1"/>
        <item h="1" m="1" x="39"/>
        <item h="1" m="1" x="41"/>
        <item h="1" m="1" x="48"/>
        <item h="1" m="1" x="61"/>
        <item h="1" x="4"/>
        <item h="1" m="1" x="84"/>
        <item h="1" x="7"/>
        <item h="1" m="1" x="36"/>
        <item x="17"/>
        <item h="1" m="1" x="19"/>
        <item h="1" m="1" x="25"/>
        <item h="1" m="1" x="51"/>
        <item h="1" m="1" x="85"/>
        <item h="1" m="1" x="47"/>
        <item h="1" x="3"/>
        <item h="1" x="8"/>
        <item h="1" m="1" x="42"/>
        <item h="1" m="1" x="29"/>
        <item h="1" m="1" x="43"/>
        <item h="1" m="1" x="64"/>
        <item h="1" m="1" x="81"/>
        <item h="1" m="1" x="20"/>
        <item h="1" m="1" x="52"/>
        <item h="1" m="1" x="65"/>
        <item h="1" m="1" x="62"/>
        <item h="1" m="1" x="58"/>
        <item h="1" m="1" x="82"/>
        <item h="1" m="1" x="53"/>
        <item h="1" m="1" x="38"/>
        <item h="1" m="1" x="76"/>
        <item h="1" m="1" x="86"/>
        <item h="1" x="11"/>
        <item h="1" m="1" x="26"/>
        <item h="1" m="1" x="78"/>
        <item h="1" m="1" x="37"/>
        <item h="1" m="1" x="68"/>
        <item h="1" m="1" x="71"/>
        <item t="default"/>
      </items>
    </pivotField>
    <pivotField showAll="0"/>
    <pivotField showAll="0">
      <items count="26">
        <item x="0"/>
        <item m="1" x="15"/>
        <item m="1" x="5"/>
        <item m="1" x="17"/>
        <item m="1" x="23"/>
        <item m="1" x="2"/>
        <item m="1" x="6"/>
        <item m="1" x="11"/>
        <item m="1" x="18"/>
        <item m="1" x="20"/>
        <item m="1" x="21"/>
        <item m="1" x="22"/>
        <item m="1" x="24"/>
        <item m="1" x="1"/>
        <item m="1" x="3"/>
        <item m="1" x="4"/>
        <item m="1" x="7"/>
        <item m="1" x="8"/>
        <item m="1" x="9"/>
        <item m="1" x="10"/>
        <item m="1" x="12"/>
        <item m="1" x="13"/>
        <item m="1" x="14"/>
        <item m="1" x="16"/>
        <item m="1" x="19"/>
        <item t="default"/>
      </items>
    </pivotField>
    <pivotField showAll="0"/>
    <pivotField showAll="0"/>
    <pivotField showAll="0"/>
    <pivotField axis="axisRow" showAll="0">
      <items count="1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4561"/>
        <item x="4562"/>
        <item x="4563"/>
        <item x="4564"/>
        <item x="4565"/>
        <item x="4566"/>
        <item x="4567"/>
        <item x="4568"/>
        <item x="4569"/>
        <item x="4570"/>
        <item x="4571"/>
        <item x="4572"/>
        <item x="4573"/>
        <item x="4574"/>
        <item x="4575"/>
        <item x="4576"/>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810"/>
        <item x="811"/>
        <item x="812"/>
        <item x="813"/>
        <item x="814"/>
        <item x="815"/>
        <item x="816"/>
        <item x="817"/>
        <item x="818"/>
        <item x="819"/>
        <item x="820"/>
        <item x="821"/>
        <item x="822"/>
        <item x="823"/>
        <item x="824"/>
        <item x="825"/>
        <item x="826"/>
        <item x="827"/>
        <item x="828"/>
        <item x="829"/>
        <item x="830"/>
        <item x="831"/>
        <item x="832"/>
        <item x="833"/>
        <item x="834"/>
        <item x="835"/>
        <item x="836"/>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51"/>
        <item x="2552"/>
        <item x="2553"/>
        <item x="2554"/>
        <item x="2555"/>
        <item x="2556"/>
        <item x="2805"/>
        <item x="2806"/>
        <item x="2807"/>
        <item x="2808"/>
        <item x="2809"/>
        <item x="2810"/>
        <item x="2811"/>
        <item x="2812"/>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837"/>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66"/>
        <item x="1067"/>
        <item x="1068"/>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73"/>
        <item x="1374"/>
        <item x="1375"/>
        <item x="1376"/>
        <item x="1377"/>
        <item x="1378"/>
        <item x="1627"/>
        <item x="1628"/>
        <item x="1629"/>
        <item x="1630"/>
        <item x="1631"/>
        <item x="1632"/>
        <item x="1633"/>
        <item x="1634"/>
        <item x="1635"/>
        <item x="1636"/>
        <item x="1637"/>
        <item x="1638"/>
        <item x="1639"/>
        <item x="1640"/>
        <item x="1641"/>
        <item x="1642"/>
        <item x="1643"/>
        <item x="1644"/>
        <item x="1645"/>
        <item x="1646"/>
        <item x="1647"/>
        <item x="1648"/>
        <item x="1649"/>
        <item x="1679"/>
        <item x="1680"/>
        <item x="1681"/>
        <item x="1682"/>
        <item x="1683"/>
        <item x="1684"/>
        <item x="1685"/>
        <item x="1686"/>
        <item x="1687"/>
        <item x="1688"/>
        <item x="1937"/>
        <item x="1938"/>
        <item x="1939"/>
        <item x="1940"/>
        <item x="1941"/>
        <item x="1942"/>
        <item x="1943"/>
        <item x="1944"/>
        <item x="1945"/>
        <item x="1946"/>
        <item x="1947"/>
        <item x="1948"/>
        <item x="1949"/>
        <item x="1950"/>
        <item x="1951"/>
        <item x="1952"/>
        <item x="1953"/>
        <item x="1954"/>
        <item x="1955"/>
        <item x="1986"/>
        <item x="1987"/>
        <item x="1988"/>
        <item x="1989"/>
        <item x="1990"/>
        <item x="1991"/>
        <item x="1992"/>
        <item x="1993"/>
        <item x="1994"/>
        <item x="1995"/>
        <item x="1996"/>
        <item x="1997"/>
        <item x="1998"/>
        <item x="2247"/>
        <item x="2248"/>
        <item x="2249"/>
        <item x="2250"/>
        <item x="2251"/>
        <item x="2252"/>
        <item x="2253"/>
        <item x="2254"/>
        <item x="2255"/>
        <item x="2256"/>
        <item x="2257"/>
        <item x="2258"/>
        <item x="2259"/>
        <item x="2260"/>
        <item x="2261"/>
        <item x="2262"/>
        <item x="2293"/>
        <item x="2294"/>
        <item x="2295"/>
        <item x="2296"/>
        <item x="2297"/>
        <item x="2298"/>
        <item x="2299"/>
        <item x="2300"/>
        <item x="2301"/>
        <item x="2302"/>
        <item x="2303"/>
        <item x="2304"/>
        <item x="2305"/>
        <item x="2306"/>
        <item x="2307"/>
        <item x="2308"/>
        <item x="2557"/>
        <item x="2558"/>
        <item x="2559"/>
        <item x="2560"/>
        <item x="2561"/>
        <item x="2562"/>
        <item x="2563"/>
        <item x="2564"/>
        <item x="2565"/>
        <item x="2566"/>
        <item x="2567"/>
        <item x="2568"/>
        <item x="2569"/>
        <item x="2599"/>
        <item x="2600"/>
        <item x="2601"/>
        <item x="2602"/>
        <item x="2603"/>
        <item x="2604"/>
        <item x="2605"/>
        <item x="2606"/>
        <item x="2607"/>
        <item x="2608"/>
        <item x="2609"/>
        <item x="2610"/>
        <item x="2611"/>
        <item x="2612"/>
        <item x="2613"/>
        <item x="2614"/>
        <item x="2615"/>
        <item x="2616"/>
        <item x="2617"/>
        <item x="2618"/>
        <item x="2867"/>
        <item x="2868"/>
        <item x="2869"/>
        <item x="2870"/>
        <item x="2871"/>
        <item x="2872"/>
        <item x="2873"/>
        <item x="2874"/>
        <item x="2875"/>
        <item x="2906"/>
        <item x="2907"/>
        <item x="2908"/>
        <item x="2909"/>
        <item x="2910"/>
        <item x="2911"/>
        <item x="2912"/>
        <item x="2913"/>
        <item x="2914"/>
        <item x="2915"/>
        <item x="2916"/>
        <item x="2917"/>
        <item x="2918"/>
        <item x="2919"/>
        <item x="2920"/>
        <item x="2921"/>
        <item x="2922"/>
        <item x="2923"/>
        <item x="2924"/>
        <item x="2925"/>
        <item x="2926"/>
        <item x="2927"/>
        <item x="2928"/>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631"/>
        <item x="3632"/>
        <item x="3633"/>
        <item x="3634"/>
        <item x="3635"/>
        <item x="3636"/>
        <item x="3637"/>
        <item x="3638"/>
        <item x="3639"/>
        <item x="3640"/>
        <item x="3641"/>
        <item x="3642"/>
        <item x="3643"/>
        <item x="3644"/>
        <item x="3645"/>
        <item x="3646"/>
        <item x="3647"/>
        <item x="3648"/>
        <item x="3649"/>
        <item x="3650"/>
        <item x="3651"/>
        <item x="3652"/>
        <item x="3653"/>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4127"/>
        <item x="4128"/>
        <item x="4129"/>
        <item x="4130"/>
        <item x="4131"/>
        <item x="4132"/>
        <item x="4133"/>
        <item x="4134"/>
        <item x="4135"/>
        <item x="4136"/>
        <item x="4137"/>
        <item x="4138"/>
        <item x="4139"/>
        <item x="4140"/>
        <item x="4141"/>
        <item x="4142"/>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639"/>
        <item x="4640"/>
        <item x="4641"/>
        <item x="4642"/>
        <item x="4643"/>
        <item x="4644"/>
        <item x="4645"/>
        <item x="4646"/>
        <item x="4647"/>
        <item x="4648"/>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864"/>
        <item x="865"/>
        <item x="866"/>
        <item x="867"/>
        <item x="868"/>
        <item x="869"/>
        <item x="870"/>
        <item x="871"/>
        <item x="872"/>
        <item x="873"/>
        <item x="874"/>
        <item x="875"/>
        <item x="876"/>
        <item x="877"/>
        <item x="878"/>
        <item x="879"/>
        <item x="880"/>
        <item x="881"/>
        <item x="882"/>
        <item x="883"/>
        <item x="884"/>
        <item x="885"/>
        <item x="886"/>
        <item x="887"/>
        <item x="888"/>
        <item x="889"/>
        <item x="890"/>
        <item x="624"/>
        <item x="625"/>
        <item x="626"/>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435"/>
        <item x="1436"/>
        <item x="1437"/>
        <item x="1438"/>
        <item x="1439"/>
        <item x="1440"/>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2048"/>
        <item x="2049"/>
        <item x="2050"/>
        <item x="2051"/>
        <item x="2052"/>
        <item x="2053"/>
        <item x="2054"/>
        <item x="2055"/>
        <item x="2056"/>
        <item x="2057"/>
        <item x="2058"/>
        <item x="2059"/>
        <item x="2060"/>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661"/>
        <item x="2662"/>
        <item x="2663"/>
        <item x="2664"/>
        <item x="2665"/>
        <item x="2666"/>
        <item x="2667"/>
        <item x="2668"/>
        <item x="2669"/>
        <item x="2670"/>
        <item x="2671"/>
        <item x="2672"/>
        <item x="2673"/>
        <item x="2674"/>
        <item x="2675"/>
        <item x="2676"/>
        <item x="2677"/>
        <item x="2678"/>
        <item x="2679"/>
        <item x="2680"/>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437"/>
        <item x="4438"/>
        <item x="4439"/>
        <item x="4440"/>
        <item x="4441"/>
        <item x="4442"/>
        <item x="4443"/>
        <item x="4444"/>
        <item x="4445"/>
        <item x="4446"/>
        <item x="4447"/>
        <item x="4448"/>
        <item x="4449"/>
        <item x="4450"/>
        <item x="4451"/>
        <item x="4452"/>
        <item x="4453"/>
        <item x="4454"/>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930"/>
        <item x="4931"/>
        <item x="4932"/>
        <item x="4933"/>
        <item x="4934"/>
        <item x="4935"/>
        <item x="4936"/>
        <item x="4937"/>
        <item x="4938"/>
        <item x="4939"/>
        <item x="4940"/>
        <item x="4941"/>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1131"/>
        <item x="1132"/>
        <item x="1133"/>
        <item x="1134"/>
        <item x="1135"/>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809"/>
        <item x="1810"/>
        <item x="1811"/>
        <item x="1812"/>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422"/>
        <item x="2423"/>
        <item x="2424"/>
        <item x="2425"/>
        <item x="2426"/>
        <item x="2427"/>
        <item x="2428"/>
        <item x="2429"/>
        <item x="2430"/>
        <item x="2431"/>
        <item x="2432"/>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3036"/>
        <item x="3037"/>
        <item x="3038"/>
        <item x="3039"/>
        <item x="3040"/>
        <item x="3041"/>
        <item x="3042"/>
        <item x="3043"/>
        <item x="3044"/>
        <item x="3045"/>
        <item x="3046"/>
        <item x="3047"/>
        <item x="3048"/>
        <item x="3049"/>
        <item x="3050"/>
        <item x="3051"/>
        <item x="3052"/>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251"/>
        <item x="4252"/>
        <item x="4253"/>
        <item x="4254"/>
        <item x="4255"/>
        <item x="4256"/>
        <item x="4257"/>
        <item x="4258"/>
        <item x="4259"/>
        <item x="4260"/>
        <item x="4261"/>
        <item x="4262"/>
        <item x="4263"/>
        <item x="4264"/>
        <item x="4265"/>
        <item x="4266"/>
        <item x="4267"/>
        <item x="4268"/>
        <item x="4269"/>
        <item x="4270"/>
        <item x="4271"/>
        <item x="4272"/>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918"/>
        <item x="919"/>
        <item x="920"/>
        <item x="921"/>
        <item x="922"/>
        <item x="923"/>
        <item x="924"/>
        <item x="925"/>
        <item x="926"/>
        <item x="927"/>
        <item x="928"/>
        <item x="929"/>
        <item x="930"/>
        <item x="931"/>
        <item x="932"/>
        <item x="933"/>
        <item x="934"/>
        <item x="935"/>
        <item x="936"/>
        <item x="937"/>
        <item x="938"/>
        <item x="939"/>
        <item x="940"/>
        <item x="941"/>
        <item x="942"/>
        <item x="943"/>
        <item x="944"/>
        <item x="748"/>
        <item x="749"/>
        <item x="750"/>
        <item x="751"/>
        <item x="752"/>
        <item x="753"/>
        <item x="754"/>
        <item x="75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2485"/>
        <item x="2486"/>
        <item x="2487"/>
        <item x="2488"/>
        <item x="2489"/>
        <item x="2490"/>
        <item x="2491"/>
        <item x="2492"/>
        <item x="2493"/>
        <item x="2494"/>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3053"/>
        <item x="3054"/>
        <item x="3055"/>
        <item x="3056"/>
        <item x="3057"/>
        <item x="3058"/>
        <item x="3059"/>
        <item x="3060"/>
        <item x="3061"/>
        <item x="3062"/>
        <item x="3063"/>
        <item x="3064"/>
        <item x="3065"/>
        <item x="3066"/>
        <item x="3067"/>
        <item x="3068"/>
        <item x="3069"/>
        <item x="3070"/>
        <item x="3071"/>
        <item x="3072"/>
        <item x="9958"/>
        <item x="9959"/>
        <item x="9960"/>
        <item x="9961"/>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1226"/>
        <item x="11227"/>
        <item x="11228"/>
        <item x="11229"/>
        <item x="11230"/>
        <item x="12599"/>
        <item x="12600"/>
        <item x="12601"/>
        <item x="12602"/>
        <item x="12603"/>
        <item x="12604"/>
        <item x="12605"/>
        <item x="12606"/>
        <item x="12607"/>
        <item x="12608"/>
        <item x="1260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5042"/>
        <item x="5043"/>
        <item x="5044"/>
        <item x="5045"/>
        <item x="5046"/>
        <item x="5047"/>
        <item x="5048"/>
        <item x="5049"/>
        <item x="5050"/>
        <item x="5051"/>
        <item x="5052"/>
        <item x="5053"/>
        <item x="5054"/>
        <item x="5055"/>
        <item x="5056"/>
        <item x="5057"/>
        <item x="5058"/>
        <item x="5059"/>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7445"/>
        <item x="7446"/>
        <item x="7447"/>
        <item x="7448"/>
        <item x="7449"/>
        <item x="7450"/>
        <item x="7451"/>
        <item x="7452"/>
        <item x="7453"/>
        <item x="7454"/>
        <item x="7455"/>
        <item x="7456"/>
        <item x="7457"/>
        <item x="7458"/>
        <item x="7459"/>
        <item x="7460"/>
        <item x="7461"/>
        <item x="7462"/>
        <item x="7463"/>
        <item x="7464"/>
        <item x="7465"/>
        <item x="7466"/>
        <item x="7467"/>
        <item x="7468"/>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664"/>
        <item x="5665"/>
        <item x="5666"/>
        <item x="5667"/>
        <item x="5668"/>
        <item x="5669"/>
        <item x="5670"/>
        <item x="5671"/>
        <item x="5672"/>
        <item x="5673"/>
        <item x="5674"/>
        <item x="5675"/>
        <item x="5676"/>
        <item x="5677"/>
        <item x="5678"/>
        <item x="5679"/>
        <item x="5680"/>
        <item x="5681"/>
        <item x="5682"/>
        <item x="5683"/>
        <item x="5684"/>
        <item x="5685"/>
        <item x="5686"/>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8072"/>
        <item x="8073"/>
        <item x="8074"/>
        <item x="8075"/>
        <item x="8076"/>
        <item x="8077"/>
        <item x="8078"/>
        <item x="8079"/>
        <item x="8080"/>
        <item x="8081"/>
        <item x="8082"/>
        <item x="8083"/>
        <item x="8084"/>
        <item x="8085"/>
        <item x="8086"/>
        <item x="9420"/>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686"/>
        <item x="10687"/>
        <item x="10688"/>
        <item x="10689"/>
        <item x="10690"/>
        <item x="10691"/>
        <item x="10692"/>
        <item x="10693"/>
        <item x="12061"/>
        <item x="12062"/>
        <item x="12063"/>
        <item x="12064"/>
        <item x="12065"/>
        <item x="12066"/>
        <item x="12067"/>
        <item x="12068"/>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3311"/>
        <item x="14562"/>
        <item x="14563"/>
        <item x="14564"/>
        <item x="14565"/>
        <item x="14566"/>
        <item x="14567"/>
        <item x="14568"/>
        <item x="14569"/>
        <item x="14570"/>
        <item x="14571"/>
        <item x="14572"/>
        <item x="14573"/>
        <item x="14574"/>
        <item x="14575"/>
        <item x="14576"/>
        <item x="14577"/>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6965"/>
        <item x="6966"/>
        <item x="6967"/>
        <item x="6968"/>
        <item x="6969"/>
        <item x="6970"/>
        <item x="6971"/>
        <item x="6972"/>
        <item x="6973"/>
        <item x="6974"/>
        <item x="6975"/>
        <item x="6976"/>
        <item x="6977"/>
        <item x="6978"/>
        <item x="6979"/>
        <item x="6980"/>
        <item x="6981"/>
        <item x="6982"/>
        <item x="6983"/>
        <item x="6984"/>
        <item x="6985"/>
        <item x="6986"/>
        <item x="6987"/>
        <item x="6988"/>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11523"/>
        <item x="11524"/>
        <item x="11525"/>
        <item x="11526"/>
        <item x="11527"/>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3433"/>
        <item x="13434"/>
        <item x="13435"/>
        <item x="13436"/>
        <item x="13437"/>
        <item x="13438"/>
        <item x="13439"/>
        <item x="13440"/>
        <item x="13441"/>
        <item x="13442"/>
        <item x="13443"/>
        <item x="13444"/>
        <item x="13445"/>
        <item x="13446"/>
        <item x="13447"/>
        <item x="6492"/>
        <item x="6493"/>
        <item x="6494"/>
        <item x="6495"/>
        <item x="6496"/>
        <item x="6497"/>
        <item x="6498"/>
        <item x="6499"/>
        <item x="6500"/>
        <item x="6501"/>
        <item x="6502"/>
        <item x="6503"/>
        <item x="6504"/>
        <item x="6505"/>
        <item x="6506"/>
        <item x="6507"/>
        <item x="650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8252"/>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772"/>
        <item x="7773"/>
        <item x="7774"/>
        <item x="7775"/>
        <item x="7776"/>
        <item x="7777"/>
        <item x="7778"/>
        <item x="7779"/>
        <item x="7780"/>
        <item x="7781"/>
        <item x="7782"/>
        <item x="7783"/>
        <item x="7784"/>
        <item x="7785"/>
        <item x="7786"/>
        <item x="7787"/>
        <item x="7788"/>
        <item x="7789"/>
        <item x="7790"/>
        <item x="11035"/>
        <item x="11036"/>
        <item x="11037"/>
        <item x="11038"/>
        <item x="11039"/>
        <item x="11040"/>
        <item x="11041"/>
        <item x="11042"/>
        <item x="11043"/>
        <item x="11044"/>
        <item x="11045"/>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972"/>
        <item x="12973"/>
        <item x="12974"/>
        <item x="12975"/>
        <item x="12976"/>
        <item x="12977"/>
        <item x="12978"/>
        <item x="12979"/>
        <item x="12980"/>
        <item x="6066"/>
        <item x="6067"/>
        <item x="6068"/>
        <item x="6069"/>
        <item x="6070"/>
        <item x="6071"/>
        <item x="6072"/>
        <item x="6073"/>
        <item x="6074"/>
        <item x="6075"/>
        <item x="6076"/>
        <item x="6077"/>
        <item x="6078"/>
        <item x="6079"/>
        <item x="6080"/>
        <item x="6081"/>
        <item x="6082"/>
        <item x="6083"/>
        <item x="6084"/>
        <item x="6085"/>
        <item x="6086"/>
        <item x="6087"/>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5599"/>
        <item x="5600"/>
        <item x="5601"/>
        <item x="5602"/>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7349"/>
        <item x="7350"/>
        <item x="7351"/>
        <item x="7352"/>
        <item x="7353"/>
        <item x="7354"/>
        <item x="7355"/>
        <item x="7356"/>
        <item x="7357"/>
        <item x="7358"/>
        <item x="7359"/>
        <item x="7360"/>
        <item x="7361"/>
        <item x="7362"/>
        <item x="7363"/>
        <item x="7364"/>
        <item x="10550"/>
        <item x="10551"/>
        <item x="10552"/>
        <item x="10553"/>
        <item x="10554"/>
        <item x="10555"/>
        <item x="10556"/>
        <item x="10557"/>
        <item x="10558"/>
        <item x="10559"/>
        <item x="10560"/>
        <item x="10561"/>
        <item x="10562"/>
        <item x="10563"/>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2490"/>
        <item x="12491"/>
        <item x="12492"/>
        <item x="12493"/>
        <item x="12494"/>
        <item x="2545"/>
        <item x="2546"/>
        <item x="2547"/>
        <item x="2548"/>
        <item x="2549"/>
        <item x="2550"/>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32"/>
        <item x="3133"/>
        <item x="3134"/>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77"/>
        <item x="3378"/>
        <item x="3379"/>
        <item x="3380"/>
        <item x="3381"/>
        <item x="3382"/>
        <item x="3569"/>
        <item x="3570"/>
        <item x="3571"/>
        <item x="3572"/>
        <item x="3573"/>
        <item x="3574"/>
        <item x="3575"/>
        <item x="3576"/>
        <item x="3577"/>
        <item x="3578"/>
        <item x="3579"/>
        <item x="3580"/>
        <item x="3581"/>
        <item x="3582"/>
        <item x="3583"/>
        <item x="3584"/>
        <item x="3585"/>
        <item x="3586"/>
        <item x="3587"/>
        <item x="3588"/>
        <item x="3589"/>
        <item x="3590"/>
        <item x="3591"/>
        <item x="3621"/>
        <item x="3622"/>
        <item x="3623"/>
        <item x="3624"/>
        <item x="3625"/>
        <item x="3626"/>
        <item x="3627"/>
        <item x="3628"/>
        <item x="3629"/>
        <item x="3630"/>
        <item x="3817"/>
        <item x="3818"/>
        <item x="3819"/>
        <item x="3820"/>
        <item x="3821"/>
        <item x="3822"/>
        <item x="3823"/>
        <item x="3824"/>
        <item x="3825"/>
        <item x="3826"/>
        <item x="3827"/>
        <item x="3828"/>
        <item x="3829"/>
        <item x="3830"/>
        <item x="3831"/>
        <item x="3832"/>
        <item x="3833"/>
        <item x="3834"/>
        <item x="3835"/>
        <item x="3836"/>
        <item x="3866"/>
        <item x="3867"/>
        <item x="3868"/>
        <item x="3869"/>
        <item x="3870"/>
        <item x="3871"/>
        <item x="3872"/>
        <item x="3873"/>
        <item x="3874"/>
        <item x="3875"/>
        <item x="3876"/>
        <item x="3877"/>
        <item x="3878"/>
        <item x="4065"/>
        <item x="4066"/>
        <item x="4067"/>
        <item x="4068"/>
        <item x="4069"/>
        <item x="4070"/>
        <item x="4071"/>
        <item x="4072"/>
        <item x="4073"/>
        <item x="4074"/>
        <item x="4075"/>
        <item x="4076"/>
        <item x="4077"/>
        <item x="4078"/>
        <item x="4079"/>
        <item x="4080"/>
        <item x="4081"/>
        <item x="4111"/>
        <item x="4112"/>
        <item x="4113"/>
        <item x="4114"/>
        <item x="4115"/>
        <item x="4116"/>
        <item x="4117"/>
        <item x="4118"/>
        <item x="4119"/>
        <item x="4120"/>
        <item x="4121"/>
        <item x="4122"/>
        <item x="4123"/>
        <item x="4124"/>
        <item x="4125"/>
        <item x="4126"/>
        <item x="4313"/>
        <item x="4314"/>
        <item x="4315"/>
        <item x="4316"/>
        <item x="4317"/>
        <item x="4318"/>
        <item x="4319"/>
        <item x="4320"/>
        <item x="4321"/>
        <item x="4322"/>
        <item x="4323"/>
        <item x="4324"/>
        <item x="4325"/>
        <item x="4355"/>
        <item x="4356"/>
        <item x="4357"/>
        <item x="4358"/>
        <item x="4359"/>
        <item x="4360"/>
        <item x="4361"/>
        <item x="4362"/>
        <item x="4363"/>
        <item x="4364"/>
        <item x="4365"/>
        <item x="4366"/>
        <item x="4367"/>
        <item x="4368"/>
        <item x="4369"/>
        <item x="4370"/>
        <item x="4371"/>
        <item x="4372"/>
        <item x="4373"/>
        <item x="4374"/>
        <item x="4577"/>
        <item x="4578"/>
        <item x="4579"/>
        <item x="4580"/>
        <item x="4581"/>
        <item x="4582"/>
        <item x="4583"/>
        <item x="4584"/>
        <item x="4585"/>
        <item x="4586"/>
        <item x="4616"/>
        <item x="4617"/>
        <item x="4618"/>
        <item x="4619"/>
        <item x="4620"/>
        <item x="4621"/>
        <item x="4622"/>
        <item x="4623"/>
        <item x="4624"/>
        <item x="4625"/>
        <item x="4626"/>
        <item x="4627"/>
        <item x="4628"/>
        <item x="4629"/>
        <item x="4630"/>
        <item x="4631"/>
        <item x="4632"/>
        <item x="4633"/>
        <item x="4634"/>
        <item x="4635"/>
        <item x="4636"/>
        <item x="4637"/>
        <item x="4638"/>
        <item x="4860"/>
        <item x="4861"/>
        <item x="4862"/>
        <item x="4863"/>
        <item x="4864"/>
        <item x="4865"/>
        <item x="4866"/>
        <item x="838"/>
        <item x="839"/>
        <item x="840"/>
        <item x="841"/>
        <item x="842"/>
        <item x="843"/>
        <item x="844"/>
        <item x="845"/>
        <item x="846"/>
        <item x="847"/>
        <item x="848"/>
        <item x="849"/>
        <item x="850"/>
        <item x="851"/>
        <item x="852"/>
        <item x="853"/>
        <item x="854"/>
        <item x="855"/>
        <item x="856"/>
        <item x="857"/>
        <item x="858"/>
        <item x="859"/>
        <item x="860"/>
        <item x="861"/>
        <item x="862"/>
        <item x="863"/>
        <item x="562"/>
        <item x="563"/>
        <item x="564"/>
        <item x="565"/>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879"/>
        <item x="3880"/>
        <item x="3881"/>
        <item x="3882"/>
        <item x="3883"/>
        <item x="3884"/>
        <item x="3885"/>
        <item x="3886"/>
        <item x="3887"/>
        <item x="3888"/>
        <item x="3889"/>
        <item x="3890"/>
        <item x="3891"/>
        <item x="3892"/>
        <item x="3893"/>
        <item x="3894"/>
        <item x="3895"/>
        <item x="3896"/>
        <item x="3897"/>
        <item x="3898"/>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375"/>
        <item x="4376"/>
        <item x="4377"/>
        <item x="4378"/>
        <item x="4379"/>
        <item x="4380"/>
        <item x="4381"/>
        <item x="4382"/>
        <item x="4383"/>
        <item x="4384"/>
        <item x="4385"/>
        <item x="4386"/>
        <item x="4387"/>
        <item x="438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895"/>
        <item x="4896"/>
        <item x="4897"/>
        <item x="4898"/>
        <item x="4899"/>
        <item x="4900"/>
        <item x="4901"/>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1127"/>
        <item x="1128"/>
        <item x="1129"/>
        <item x="1130"/>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741"/>
        <item x="1742"/>
        <item x="1743"/>
        <item x="1744"/>
        <item x="1745"/>
        <item x="1746"/>
        <item x="1747"/>
        <item x="1748"/>
        <item x="1749"/>
        <item x="1750"/>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354"/>
        <item x="2355"/>
        <item x="2356"/>
        <item x="2357"/>
        <item x="2358"/>
        <item x="2359"/>
        <item x="2360"/>
        <item x="2361"/>
        <item x="2362"/>
        <item x="2363"/>
        <item x="2364"/>
        <item x="2365"/>
        <item x="2366"/>
        <item x="2367"/>
        <item x="2368"/>
        <item x="2369"/>
        <item x="2370"/>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967"/>
        <item x="2968"/>
        <item x="2969"/>
        <item x="2970"/>
        <item x="2971"/>
        <item x="2972"/>
        <item x="2973"/>
        <item x="2974"/>
        <item x="2975"/>
        <item x="2976"/>
        <item x="2977"/>
        <item x="2978"/>
        <item x="2979"/>
        <item x="2980"/>
        <item x="2981"/>
        <item x="2982"/>
        <item x="2983"/>
        <item x="2984"/>
        <item x="2985"/>
        <item x="2986"/>
        <item x="2987"/>
        <item x="2988"/>
        <item x="2989"/>
        <item x="2990"/>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189"/>
        <item x="4190"/>
        <item x="4191"/>
        <item x="4192"/>
        <item x="4193"/>
        <item x="4194"/>
        <item x="4195"/>
        <item x="4196"/>
        <item x="4197"/>
        <item x="4198"/>
        <item x="4199"/>
        <item x="4200"/>
        <item x="4201"/>
        <item x="4202"/>
        <item x="4203"/>
        <item x="4204"/>
        <item x="4205"/>
        <item x="4206"/>
        <item x="4207"/>
        <item x="4208"/>
        <item x="4209"/>
        <item x="4210"/>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701"/>
        <item x="4702"/>
        <item x="4703"/>
        <item x="4704"/>
        <item x="4705"/>
        <item x="4706"/>
        <item x="4707"/>
        <item x="4708"/>
        <item x="4709"/>
        <item x="4710"/>
        <item x="4711"/>
        <item x="4712"/>
        <item x="4713"/>
        <item x="4714"/>
        <item x="4715"/>
        <item x="4716"/>
        <item x="4942"/>
        <item x="4943"/>
        <item x="4944"/>
        <item x="4945"/>
        <item x="4946"/>
        <item x="4947"/>
        <item x="4948"/>
        <item x="4949"/>
        <item x="4950"/>
        <item x="4951"/>
        <item x="4952"/>
        <item x="4953"/>
        <item x="4954"/>
        <item x="4955"/>
        <item x="4956"/>
        <item x="4957"/>
        <item x="4958"/>
        <item x="4959"/>
        <item x="4960"/>
        <item x="4961"/>
        <item x="4962"/>
        <item x="4963"/>
        <item x="4964"/>
        <item x="891"/>
        <item x="892"/>
        <item x="893"/>
        <item x="894"/>
        <item x="895"/>
        <item x="896"/>
        <item x="897"/>
        <item x="898"/>
        <item x="899"/>
        <item x="900"/>
        <item x="901"/>
        <item x="902"/>
        <item x="903"/>
        <item x="904"/>
        <item x="905"/>
        <item x="906"/>
        <item x="907"/>
        <item x="908"/>
        <item x="909"/>
        <item x="910"/>
        <item x="911"/>
        <item x="912"/>
        <item x="913"/>
        <item x="914"/>
        <item x="915"/>
        <item x="916"/>
        <item x="917"/>
        <item x="686"/>
        <item x="687"/>
        <item x="688"/>
        <item x="689"/>
        <item x="690"/>
        <item x="691"/>
        <item x="692"/>
        <item x="693"/>
        <item x="694"/>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441"/>
        <item x="1442"/>
        <item x="1443"/>
        <item x="1502"/>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2115"/>
        <item x="2116"/>
        <item x="2117"/>
        <item x="2118"/>
        <item x="2119"/>
        <item x="2120"/>
        <item x="2121"/>
        <item x="2122"/>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728"/>
        <item x="2729"/>
        <item x="2730"/>
        <item x="2731"/>
        <item x="2732"/>
        <item x="2733"/>
        <item x="2734"/>
        <item x="2735"/>
        <item x="2736"/>
        <item x="2737"/>
        <item x="2738"/>
        <item x="2739"/>
        <item x="2740"/>
        <item x="2741"/>
        <item x="2742"/>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300"/>
        <item x="3301"/>
        <item x="3302"/>
        <item x="3303"/>
        <item x="3304"/>
        <item x="3305"/>
        <item x="3306"/>
        <item x="3307"/>
        <item x="3308"/>
        <item x="3309"/>
        <item x="3310"/>
        <item x="3311"/>
        <item x="3312"/>
        <item x="3313"/>
        <item x="3314"/>
        <item x="3315"/>
        <item x="3316"/>
        <item x="3317"/>
        <item x="3318"/>
        <item x="3319"/>
        <item x="3320"/>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763"/>
        <item x="4764"/>
        <item x="4765"/>
        <item x="4766"/>
        <item x="4767"/>
        <item x="4768"/>
        <item x="4769"/>
        <item x="4770"/>
        <item x="4771"/>
        <item x="4772"/>
        <item x="4773"/>
        <item x="4774"/>
        <item x="4775"/>
        <item x="4776"/>
        <item x="4777"/>
        <item x="4778"/>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503"/>
        <item x="1504"/>
        <item x="1505"/>
        <item x="1870"/>
        <item x="1871"/>
        <item x="1872"/>
        <item x="1873"/>
        <item x="1874"/>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60"/>
        <item x="5061"/>
        <item x="5062"/>
        <item x="5063"/>
        <item x="5064"/>
        <item x="5065"/>
        <item x="5066"/>
        <item x="5067"/>
        <item x="5068"/>
        <item x="5069"/>
        <item x="5070"/>
        <item x="5071"/>
        <item x="5072"/>
        <item x="50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655"/>
        <item x="5656"/>
        <item x="5657"/>
        <item x="5658"/>
        <item x="5659"/>
        <item x="5660"/>
        <item x="5661"/>
        <item x="5662"/>
        <item x="5663"/>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88"/>
        <item x="6089"/>
        <item x="6090"/>
        <item x="6091"/>
        <item x="6092"/>
        <item x="6093"/>
        <item x="6094"/>
        <item x="6095"/>
        <item x="6096"/>
        <item x="6097"/>
        <item x="6098"/>
        <item x="6099"/>
        <item x="6100"/>
        <item x="6101"/>
        <item x="6102"/>
        <item x="6103"/>
        <item x="6104"/>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509"/>
        <item x="6510"/>
        <item x="6511"/>
        <item x="6512"/>
        <item x="6513"/>
        <item x="6514"/>
        <item x="6515"/>
        <item x="6516"/>
        <item x="6517"/>
        <item x="6518"/>
        <item x="6519"/>
        <item x="6520"/>
        <item x="6521"/>
        <item x="6522"/>
        <item x="6523"/>
        <item x="6524"/>
        <item x="6525"/>
        <item x="6526"/>
        <item x="6527"/>
        <item x="6528"/>
        <item x="6529"/>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89"/>
        <item x="6990"/>
        <item x="6991"/>
        <item x="6992"/>
        <item x="6993"/>
        <item x="6994"/>
        <item x="6995"/>
        <item x="6996"/>
        <item x="7287"/>
        <item x="7288"/>
        <item x="7326"/>
        <item x="7327"/>
        <item x="7328"/>
        <item x="7329"/>
        <item x="7330"/>
        <item x="7331"/>
        <item x="7332"/>
        <item x="7333"/>
        <item x="7334"/>
        <item x="7335"/>
        <item x="7336"/>
        <item x="7337"/>
        <item x="7338"/>
        <item x="7339"/>
        <item x="7340"/>
        <item x="7341"/>
        <item x="7342"/>
        <item x="7343"/>
        <item x="7344"/>
        <item x="7345"/>
        <item x="7346"/>
        <item x="7347"/>
        <item x="7348"/>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69"/>
        <item x="7470"/>
        <item x="7471"/>
        <item x="7472"/>
        <item x="7473"/>
        <item x="7474"/>
        <item x="7475"/>
        <item x="7576"/>
        <item x="7577"/>
        <item x="7578"/>
        <item x="7579"/>
        <item x="7580"/>
        <item x="7581"/>
        <item x="7582"/>
        <item x="7583"/>
        <item x="7584"/>
        <item x="7585"/>
        <item x="7586"/>
        <item x="7587"/>
        <item x="7588"/>
        <item x="7589"/>
        <item x="7590"/>
        <item x="7752"/>
        <item x="7753"/>
        <item x="7754"/>
        <item x="7755"/>
        <item x="7756"/>
        <item x="7757"/>
        <item x="7758"/>
        <item x="7759"/>
        <item x="7760"/>
        <item x="7761"/>
        <item x="7762"/>
        <item x="7763"/>
        <item x="7764"/>
        <item x="7765"/>
        <item x="7766"/>
        <item x="7767"/>
        <item x="7768"/>
        <item x="7769"/>
        <item x="7770"/>
        <item x="7771"/>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57"/>
        <item x="8058"/>
        <item x="8059"/>
        <item x="8060"/>
        <item x="8061"/>
        <item x="8062"/>
        <item x="8063"/>
        <item x="8064"/>
        <item x="8065"/>
        <item x="8066"/>
        <item x="8067"/>
        <item x="8068"/>
        <item x="8069"/>
        <item x="8070"/>
        <item x="8071"/>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664"/>
        <item x="10665"/>
        <item x="10666"/>
        <item x="10667"/>
        <item x="10668"/>
        <item x="10669"/>
        <item x="10670"/>
        <item x="10671"/>
        <item x="10672"/>
        <item x="10673"/>
        <item x="10674"/>
        <item x="10675"/>
        <item x="10676"/>
        <item x="10677"/>
        <item x="10678"/>
        <item x="10679"/>
        <item x="10680"/>
        <item x="10681"/>
        <item x="10682"/>
        <item x="10683"/>
        <item x="10684"/>
        <item x="10685"/>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106"/>
        <item x="11107"/>
        <item x="11108"/>
        <item x="11109"/>
        <item x="11110"/>
        <item x="11111"/>
        <item x="11112"/>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88"/>
        <item x="11589"/>
        <item x="11590"/>
        <item x="11591"/>
        <item x="11592"/>
        <item x="11593"/>
        <item x="11594"/>
        <item x="11595"/>
        <item x="11596"/>
        <item x="1159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417"/>
        <item x="12418"/>
        <item x="12419"/>
        <item x="12420"/>
        <item x="12421"/>
        <item x="12422"/>
        <item x="12423"/>
        <item x="12424"/>
        <item x="12425"/>
        <item x="12426"/>
        <item x="12427"/>
        <item x="12428"/>
        <item x="12429"/>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610"/>
        <item x="12611"/>
        <item x="12612"/>
        <item x="12613"/>
        <item x="12614"/>
        <item x="12615"/>
        <item x="12616"/>
        <item x="12617"/>
        <item x="12618"/>
        <item x="12619"/>
        <item x="12620"/>
        <item x="12621"/>
        <item x="12622"/>
        <item x="12623"/>
        <item x="12624"/>
        <item x="12625"/>
        <item x="12626"/>
        <item x="12627"/>
        <item x="12628"/>
        <item x="12629"/>
        <item x="12630"/>
        <item x="12631"/>
        <item x="12903"/>
        <item x="12904"/>
        <item x="12905"/>
        <item x="12906"/>
        <item x="12907"/>
        <item x="12908"/>
        <item x="12909"/>
        <item x="12910"/>
        <item x="1291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249"/>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415"/>
        <item x="13416"/>
        <item x="13417"/>
        <item x="13418"/>
        <item x="13419"/>
        <item x="13420"/>
        <item x="13421"/>
        <item x="13422"/>
        <item x="13423"/>
        <item x="13424"/>
        <item x="13425"/>
        <item x="13426"/>
        <item x="13427"/>
        <item x="13428"/>
        <item x="13429"/>
        <item x="13430"/>
        <item x="13431"/>
        <item x="13432"/>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t="default"/>
      </items>
    </pivotField>
    <pivotField axis="axisRow" showAll="0" sortType="ascending">
      <items count="15535">
        <item sd="0" x="8461"/>
        <item sd="0" x="8462"/>
        <item x="8463"/>
        <item sd="0" x="8464"/>
        <item sd="0" x="8465"/>
        <item x="8466"/>
        <item x="8467"/>
        <item x="8468"/>
        <item x="8469"/>
        <item x="8470"/>
        <item x="8471"/>
        <item x="8472"/>
        <item x="8473"/>
        <item sd="0" x="8474"/>
        <item sd="0" x="8475"/>
        <item x="8476"/>
        <item sd="0" x="8477"/>
        <item x="8478"/>
        <item x="8479"/>
        <item x="8480"/>
        <item x="8481"/>
        <item x="8482"/>
        <item x="8483"/>
        <item sd="0" x="8484"/>
        <item sd="0" x="8485"/>
        <item x="8486"/>
        <item sd="0" x="8487"/>
        <item x="8488"/>
        <item x="8489"/>
        <item x="8490"/>
        <item x="8491"/>
        <item x="8492"/>
        <item x="8493"/>
        <item sd="0" x="8494"/>
        <item x="8495"/>
        <item x="8496"/>
        <item sd="0" x="8497"/>
        <item x="8498"/>
        <item x="8499"/>
        <item x="8500"/>
        <item x="8501"/>
        <item x="8502"/>
        <item x="8503"/>
        <item x="8504"/>
        <item x="8505"/>
        <item sd="0" x="8506"/>
        <item sd="0" x="8507"/>
        <item x="8508"/>
        <item x="8509"/>
        <item x="8510"/>
        <item x="8511"/>
        <item x="8512"/>
        <item x="8513"/>
        <item x="8514"/>
        <item x="8515"/>
        <item sd="0" x="8516"/>
        <item sd="0" x="8517"/>
        <item x="8518"/>
        <item x="8519"/>
        <item x="8520"/>
        <item x="8521"/>
        <item x="8522"/>
        <item x="8523"/>
        <item x="8524"/>
        <item x="8525"/>
        <item x="8526"/>
        <item x="8527"/>
        <item x="8528"/>
        <item sd="0" x="8529"/>
        <item sd="0" x="8530"/>
        <item x="8531"/>
        <item x="8532"/>
        <item x="8533"/>
        <item x="9135"/>
        <item x="9136"/>
        <item x="9137"/>
        <item x="9138"/>
        <item x="9139"/>
        <item sd="0" x="9140"/>
        <item sd="0" x="9141"/>
        <item x="9142"/>
        <item x="9143"/>
        <item x="9144"/>
        <item x="9145"/>
        <item x="9146"/>
        <item x="9147"/>
        <item x="9148"/>
        <item x="9149"/>
        <item sd="0" m="1" x="15447"/>
        <item sd="0" x="9150"/>
        <item sd="0" x="9151"/>
        <item x="9152"/>
        <item x="9153"/>
        <item x="9154"/>
        <item x="9155"/>
        <item x="9156"/>
        <item x="9157"/>
        <item sd="0" x="9158"/>
        <item sd="0" x="9159"/>
        <item sd="0" x="9160"/>
        <item sd="0" x="9161"/>
        <item x="9162"/>
        <item x="9163"/>
        <item x="9164"/>
        <item x="9165"/>
        <item x="9166"/>
        <item sd="0" x="9167"/>
        <item sd="0" x="9168"/>
        <item x="9169"/>
        <item sd="0" x="9170"/>
        <item sd="0" x="9171"/>
        <item x="9172"/>
        <item x="9173"/>
        <item sd="0" x="9174"/>
        <item x="9175"/>
        <item x="9176"/>
        <item x="9177"/>
        <item x="9178"/>
        <item x="9179"/>
        <item sd="0" x="9180"/>
        <item sd="0" x="9181"/>
        <item x="9182"/>
        <item x="9183"/>
        <item sd="0" x="9184"/>
        <item x="9185"/>
        <item x="9186"/>
        <item x="9187"/>
        <item x="9188"/>
        <item x="9189"/>
        <item sd="0" x="9190"/>
        <item sd="0" x="9191"/>
        <item x="9192"/>
        <item x="9193"/>
        <item sd="0" x="9194"/>
        <item x="9195"/>
        <item x="9800"/>
        <item x="9801"/>
        <item x="9802"/>
        <item x="9803"/>
        <item x="9804"/>
        <item x="9805"/>
        <item x="9806"/>
        <item sd="0" x="9807"/>
        <item sd="0" x="9808"/>
        <item x="9809"/>
        <item x="9810"/>
        <item x="9811"/>
        <item x="9812"/>
        <item x="9813"/>
        <item x="9814"/>
        <item x="9815"/>
        <item x="9816"/>
        <item sd="0" x="9817"/>
        <item sd="0" x="9818"/>
        <item x="9819"/>
        <item x="9820"/>
        <item x="9821"/>
        <item x="9822"/>
        <item x="9823"/>
        <item x="9824"/>
        <item x="9825"/>
        <item x="9826"/>
        <item x="9827"/>
        <item sd="0" x="9828"/>
        <item sd="0" x="9829"/>
        <item x="9830"/>
        <item x="9831"/>
        <item x="9832"/>
        <item x="9833"/>
        <item x="9834"/>
        <item x="9835"/>
        <item x="9836"/>
        <item x="9837"/>
        <item sd="0" x="9838"/>
        <item sd="0" x="9839"/>
        <item x="9840"/>
        <item x="9841"/>
        <item x="9842"/>
        <item x="9843"/>
        <item x="9844"/>
        <item x="9845"/>
        <item x="9846"/>
        <item x="9847"/>
        <item sd="0" x="9848"/>
        <item sd="0" x="9849"/>
        <item sd="0" x="9850"/>
        <item sd="0" x="9851"/>
        <item x="9852"/>
        <item x="9853"/>
        <item x="9854"/>
        <item x="9855"/>
        <item x="9856"/>
        <item x="9857"/>
        <item sd="0" x="9858"/>
        <item sd="0" x="9859"/>
        <item sd="0" x="10464"/>
        <item sd="0" x="10465"/>
        <item x="10466"/>
        <item x="10467"/>
        <item x="10468"/>
        <item x="10469"/>
        <item x="10470"/>
        <item x="10471"/>
        <item x="10472"/>
        <item x="10473"/>
        <item sd="0" x="10474"/>
        <item sd="0" x="10475"/>
        <item x="10476"/>
        <item x="10477"/>
        <item x="10478"/>
        <item x="10479"/>
        <item x="10480"/>
        <item x="10481"/>
        <item sd="0" x="5807"/>
        <item sd="0" x="5808"/>
        <item x="5809"/>
        <item x="5810"/>
        <item x="5811"/>
        <item x="5812"/>
        <item x="5813"/>
        <item x="5814"/>
        <item x="5815"/>
        <item x="5816"/>
        <item sd="0" x="5817"/>
        <item sd="0" x="5818"/>
        <item x="5819"/>
        <item x="5820"/>
        <item x="5821"/>
        <item x="5822"/>
        <item x="5823"/>
        <item x="5824"/>
        <item x="5825"/>
        <item x="5826"/>
        <item x="5827"/>
        <item x="5828"/>
        <item sd="0" x="5829"/>
        <item sd="0" x="5830"/>
        <item x="5831"/>
        <item x="5832"/>
        <item x="5833"/>
        <item x="5834"/>
        <item x="5835"/>
        <item x="5836"/>
        <item x="5837"/>
        <item x="5838"/>
        <item sd="0" x="5839"/>
        <item sd="0" x="5840"/>
        <item x="5841"/>
        <item x="5842"/>
        <item x="5843"/>
        <item x="5844"/>
        <item x="5845"/>
        <item x="5846"/>
        <item x="5847"/>
        <item x="5848"/>
        <item sd="0" x="5849"/>
        <item sd="0" x="5850"/>
        <item x="5851"/>
        <item x="5852"/>
        <item sd="0" x="5853"/>
        <item x="5854"/>
        <item x="5855"/>
        <item x="5856"/>
        <item x="5857"/>
        <item x="5858"/>
        <item sd="0" x="5859"/>
        <item sd="0" x="5860"/>
        <item x="5861"/>
        <item sd="0" x="5862"/>
        <item sd="0" x="5863"/>
        <item x="5864"/>
        <item x="5865"/>
        <item x="6474"/>
        <item x="6475"/>
        <item x="6476"/>
        <item sd="0" x="6477"/>
        <item x="6478"/>
        <item x="6479"/>
        <item sd="0" x="6480"/>
        <item sd="0" x="6481"/>
        <item x="6482"/>
        <item sd="0" x="6483"/>
        <item sd="0" x="6484"/>
        <item x="6485"/>
        <item x="6486"/>
        <item x="6487"/>
        <item x="6488"/>
        <item x="6489"/>
        <item sd="0" x="6490"/>
        <item sd="0" x="6491"/>
        <item x="6492"/>
        <item sd="0" x="6493"/>
        <item sd="0" x="6494"/>
        <item x="6495"/>
        <item x="6496"/>
        <item x="6497"/>
        <item x="6498"/>
        <item x="6499"/>
        <item sd="0" x="6500"/>
        <item sd="0" x="6501"/>
        <item x="6502"/>
        <item sd="0" x="6503"/>
        <item sd="0" x="6504"/>
        <item x="6505"/>
        <item x="6506"/>
        <item x="6507"/>
        <item x="6508"/>
        <item x="6509"/>
        <item x="6510"/>
        <item x="6511"/>
        <item x="6512"/>
        <item sd="0" x="6513"/>
        <item sd="0" x="6514"/>
        <item x="6515"/>
        <item x="6516"/>
        <item x="6517"/>
        <item x="6518"/>
        <item x="6519"/>
        <item x="6520"/>
        <item x="6521"/>
        <item x="6522"/>
        <item sd="0" x="6523"/>
        <item sd="0" x="6524"/>
        <item x="6525"/>
        <item x="6526"/>
        <item x="6527"/>
        <item x="6528"/>
        <item x="6529"/>
        <item sd="0" m="1" x="15471"/>
        <item sd="0" x="6530"/>
        <item sd="0" x="6531"/>
        <item x="6532"/>
        <item x="7137"/>
        <item x="7138"/>
        <item x="7139"/>
        <item x="7140"/>
        <item sd="0" x="7141"/>
        <item sd="0" x="7142"/>
        <item x="7143"/>
        <item sd="0" x="7144"/>
        <item sd="0" x="7145"/>
        <item x="7146"/>
        <item x="7147"/>
        <item x="7148"/>
        <item x="7149"/>
        <item x="7150"/>
        <item x="7151"/>
        <item x="7152"/>
        <item x="7153"/>
        <item sd="0" x="7154"/>
        <item sd="0" x="7155"/>
        <item x="7156"/>
        <item x="7157"/>
        <item x="7158"/>
        <item x="7159"/>
        <item x="7160"/>
        <item x="7161"/>
        <item x="7162"/>
        <item x="7163"/>
        <item sd="0" x="7164"/>
        <item sd="0" x="7165"/>
        <item x="7166"/>
        <item x="7167"/>
        <item x="7168"/>
        <item x="7169"/>
        <item x="7170"/>
        <item x="7171"/>
        <item x="7172"/>
        <item x="7173"/>
        <item sd="0" x="7174"/>
        <item x="7175"/>
        <item x="7176"/>
        <item x="7177"/>
        <item x="7178"/>
        <item x="7179"/>
        <item x="7180"/>
        <item x="7181"/>
        <item x="7182"/>
        <item x="7183"/>
        <item x="7184"/>
        <item x="7185"/>
        <item sd="0" x="7186"/>
        <item sd="0" x="7187"/>
        <item x="7188"/>
        <item x="7189"/>
        <item x="7190"/>
        <item x="7191"/>
        <item x="7192"/>
        <item x="7193"/>
        <item x="7194"/>
        <item x="7195"/>
        <item sd="0" x="7798"/>
        <item sd="0" x="7799"/>
        <item x="7800"/>
        <item x="7801"/>
        <item x="7802"/>
        <item x="7803"/>
        <item x="7804"/>
        <item x="7805"/>
        <item x="7806"/>
        <item x="7807"/>
        <item x="7808"/>
        <item x="7809"/>
        <item x="7810"/>
        <item sd="0" x="7811"/>
        <item sd="0" x="7812"/>
        <item x="7813"/>
        <item x="7814"/>
        <item x="7815"/>
        <item x="7816"/>
        <item x="7817"/>
        <item x="7818"/>
        <item x="7819"/>
        <item x="7820"/>
        <item sd="0" x="7821"/>
        <item sd="0" x="7822"/>
        <item x="7823"/>
        <item x="7824"/>
        <item x="7825"/>
        <item x="7826"/>
        <item x="7827"/>
        <item x="7828"/>
        <item x="7829"/>
        <item x="7830"/>
        <item sd="0" x="7831"/>
        <item x="7832"/>
        <item x="7833"/>
        <item sd="0" x="7834"/>
        <item sd="0" x="7835"/>
        <item x="7836"/>
        <item x="7837"/>
        <item x="7838"/>
        <item x="7839"/>
        <item x="7840"/>
        <item sd="0" x="7841"/>
        <item x="7842"/>
        <item x="7843"/>
        <item sd="0" x="7844"/>
        <item sd="0" x="7845"/>
        <item x="7846"/>
        <item x="7847"/>
        <item x="7848"/>
        <item x="7849"/>
        <item x="7850"/>
        <item x="7851"/>
        <item x="7852"/>
        <item x="7853"/>
        <item sd="0" x="7854"/>
        <item x="7855"/>
        <item x="7856"/>
        <item x="12736"/>
        <item x="12737"/>
        <item x="12738"/>
        <item sd="0" x="12739"/>
        <item sd="0" x="12740"/>
        <item x="12741"/>
        <item x="12742"/>
        <item x="12743"/>
        <item x="12744"/>
        <item x="12745"/>
        <item x="12746"/>
        <item x="12747"/>
        <item x="12748"/>
        <item sd="0" x="12749"/>
        <item sd="0" x="12750"/>
        <item x="12751"/>
        <item x="12752"/>
        <item x="12753"/>
        <item x="12754"/>
        <item x="12755"/>
        <item x="12756"/>
        <item x="12757"/>
        <item x="12758"/>
        <item x="12759"/>
        <item x="12760"/>
        <item x="12761"/>
        <item sd="0" x="12762"/>
        <item sd="0" x="12763"/>
        <item x="12764"/>
        <item x="12765"/>
        <item x="12766"/>
        <item x="12767"/>
        <item x="12768"/>
        <item x="12769"/>
        <item x="12770"/>
        <item x="12771"/>
        <item sd="0" x="12772"/>
        <item sd="0" x="12773"/>
        <item x="12774"/>
        <item x="12775"/>
        <item x="12776"/>
        <item x="12777"/>
        <item x="12778"/>
        <item x="12779"/>
        <item x="12780"/>
        <item x="12781"/>
        <item x="12782"/>
        <item sd="0" x="13326"/>
        <item sd="0" x="13327"/>
        <item x="13328"/>
        <item x="13329"/>
        <item x="13330"/>
        <item x="13331"/>
        <item x="13332"/>
        <item x="13333"/>
        <item x="13334"/>
        <item x="13335"/>
        <item sd="0" x="13336"/>
        <item sd="0" x="13337"/>
        <item x="13338"/>
        <item x="13339"/>
        <item x="13340"/>
        <item x="13341"/>
        <item x="13342"/>
        <item x="13343"/>
        <item sd="0" x="13344"/>
        <item x="13345"/>
        <item sd="0" x="13346"/>
        <item sd="0" x="13347"/>
        <item x="13348"/>
        <item sd="0" x="13349"/>
        <item x="13350"/>
        <item x="13351"/>
        <item x="13352"/>
        <item x="13353"/>
        <item x="13354"/>
        <item x="13355"/>
        <item sd="0" x="13356"/>
        <item sd="0" x="13357"/>
        <item x="13358"/>
        <item sd="0" x="13359"/>
        <item x="13360"/>
        <item x="13361"/>
        <item x="13362"/>
        <item x="13363"/>
        <item x="13364"/>
        <item x="13365"/>
        <item x="13366"/>
        <item x="13367"/>
        <item x="13368"/>
        <item sd="0" x="13369"/>
        <item x="13370"/>
        <item x="13371"/>
        <item x="13372"/>
        <item x="13373"/>
        <item sd="0" x="13374"/>
        <item sd="0" x="13375"/>
        <item x="13376"/>
        <item x="13377"/>
        <item x="13378"/>
        <item x="13379"/>
        <item x="13380"/>
        <item sd="0" x="13381"/>
        <item sd="0" x="13382"/>
        <item x="13383"/>
        <item sd="0" x="13384"/>
        <item sd="0" x="13385"/>
        <item x="13386"/>
        <item x="13930"/>
        <item x="13931"/>
        <item x="13932"/>
        <item x="13933"/>
        <item x="13934"/>
        <item x="13935"/>
        <item x="13936"/>
        <item sd="0" x="13937"/>
        <item sd="0" x="13938"/>
        <item x="13939"/>
        <item x="13940"/>
        <item x="13941"/>
        <item x="13942"/>
        <item x="13943"/>
        <item sd="0" x="13944"/>
        <item sd="0" x="13945"/>
        <item x="13946"/>
        <item x="13947"/>
        <item x="13948"/>
        <item x="13949"/>
        <item x="13950"/>
        <item x="13951"/>
        <item x="13952"/>
        <item x="13953"/>
        <item sd="0" x="13954"/>
        <item sd="0" x="13955"/>
        <item x="13956"/>
        <item x="13957"/>
        <item x="13958"/>
        <item x="13959"/>
        <item x="13960"/>
        <item x="13961"/>
        <item x="13962"/>
        <item x="13963"/>
        <item x="13964"/>
        <item x="13965"/>
        <item x="13966"/>
        <item sd="0" x="13967"/>
        <item sd="0" x="13968"/>
        <item x="13969"/>
        <item x="13970"/>
        <item x="13971"/>
        <item x="13972"/>
        <item x="13973"/>
        <item x="13974"/>
        <item x="13975"/>
        <item x="13976"/>
        <item sd="0" x="13977"/>
        <item sd="0" x="13978"/>
        <item x="13979"/>
        <item x="13980"/>
        <item x="13981"/>
        <item x="13982"/>
        <item x="13983"/>
        <item x="13984"/>
        <item x="13985"/>
        <item x="13986"/>
        <item sd="0" x="13987"/>
        <item x="13988"/>
        <item sd="0" x="13989"/>
        <item sd="0" x="14534"/>
        <item sd="0" x="14535"/>
        <item x="14536"/>
        <item x="14537"/>
        <item x="14538"/>
        <item x="14539"/>
        <item x="14540"/>
        <item sd="0" x="14541"/>
        <item x="14542"/>
        <item sd="0" x="14543"/>
        <item sd="0" x="14544"/>
        <item x="14545"/>
        <item x="14546"/>
        <item x="14547"/>
        <item x="14548"/>
        <item x="14549"/>
        <item x="14550"/>
        <item x="14551"/>
        <item x="14552"/>
        <item sd="0" x="14553"/>
        <item sd="0" x="14554"/>
        <item x="14555"/>
        <item sd="0" x="14556"/>
        <item sd="0" x="14557"/>
        <item x="14558"/>
        <item x="14559"/>
        <item x="14560"/>
        <item x="14561"/>
        <item x="14562"/>
        <item x="14563"/>
        <item sd="0" x="14564"/>
        <item sd="0" x="14565"/>
        <item sd="0" x="14566"/>
        <item sd="0" x="14567"/>
        <item x="14568"/>
        <item x="14569"/>
        <item x="14570"/>
        <item x="14571"/>
        <item x="14572"/>
        <item sd="0" x="14573"/>
        <item sd="0" x="14574"/>
        <item x="14575"/>
        <item sd="0" x="14576"/>
        <item sd="0" x="14577"/>
        <item x="14578"/>
        <item x="14579"/>
        <item sd="0" x="14580"/>
        <item x="14581"/>
        <item x="14582"/>
        <item x="14583"/>
        <item x="14584"/>
        <item x="14585"/>
        <item sd="0" x="14586"/>
        <item sd="0" x="14587"/>
        <item x="14588"/>
        <item x="14589"/>
        <item sd="0" x="14590"/>
        <item x="14591"/>
        <item x="14592"/>
        <item x="14593"/>
        <item x="15142"/>
        <item x="15143"/>
        <item sd="0" x="15144"/>
        <item sd="0" x="15145"/>
        <item x="15146"/>
        <item x="15147"/>
        <item sd="0" x="15148"/>
        <item x="15149"/>
        <item x="15150"/>
        <item x="15151"/>
        <item sd="0" x="15152"/>
        <item sd="0" x="15153"/>
        <item x="15154"/>
        <item x="15155"/>
        <item x="15156"/>
        <item x="15157"/>
        <item x="15158"/>
        <item x="15159"/>
        <item sd="0" x="15160"/>
        <item sd="0" x="15161"/>
        <item sd="0" x="15162"/>
        <item sd="0" x="15163"/>
        <item x="15164"/>
        <item x="15165"/>
        <item x="15166"/>
        <item x="15167"/>
        <item x="15168"/>
        <item x="15169"/>
        <item x="15170"/>
        <item x="15171"/>
        <item sd="0" x="15172"/>
        <item sd="0" x="15173"/>
        <item x="15174"/>
        <item x="15175"/>
        <item sd="0" x="15176"/>
        <item x="15177"/>
        <item x="15178"/>
        <item x="15179"/>
        <item x="15180"/>
        <item x="15181"/>
        <item sd="0" x="15182"/>
        <item sd="0" x="15183"/>
        <item x="15184"/>
        <item x="15185"/>
        <item sd="0" x="15186"/>
        <item x="15187"/>
        <item x="15188"/>
        <item x="15189"/>
        <item x="15190"/>
        <item x="15191"/>
        <item sd="0" x="15192"/>
        <item sd="0" x="15193"/>
        <item x="15194"/>
        <item x="15195"/>
        <item sd="0" x="15196"/>
        <item x="15197"/>
        <item x="15198"/>
        <item x="15199"/>
        <item x="15200"/>
        <item x="15201"/>
        <item x="5866"/>
        <item x="5867"/>
        <item x="5868"/>
        <item sd="0" x="5869"/>
        <item sd="0" x="5870"/>
        <item x="5871"/>
        <item x="5872"/>
        <item x="5873"/>
        <item x="5874"/>
        <item x="5875"/>
        <item x="5876"/>
        <item x="5877"/>
        <item x="5878"/>
        <item sd="0" x="5879"/>
        <item x="5880"/>
        <item x="5881"/>
        <item x="5882"/>
        <item x="5883"/>
        <item x="5884"/>
        <item x="5885"/>
        <item x="5886"/>
        <item x="5887"/>
        <item x="5888"/>
        <item x="5889"/>
        <item x="5890"/>
        <item x="5891"/>
        <item sd="0" x="5892"/>
        <item sd="0" x="5893"/>
        <item x="5894"/>
        <item x="5895"/>
        <item x="5896"/>
        <item x="5897"/>
        <item x="5898"/>
        <item x="5899"/>
        <item x="5900"/>
        <item x="5901"/>
        <item sd="0" x="5902"/>
        <item sd="0" x="5903"/>
        <item x="5904"/>
        <item x="5905"/>
        <item x="5906"/>
        <item x="5907"/>
        <item x="5908"/>
        <item x="5909"/>
        <item x="5910"/>
        <item x="5911"/>
        <item x="5912"/>
        <item x="5913"/>
        <item sd="0" x="5914"/>
        <item sd="0" x="5915"/>
        <item x="5916"/>
        <item x="5917"/>
        <item x="5918"/>
        <item x="5919"/>
        <item x="5920"/>
        <item x="5921"/>
        <item x="5922"/>
        <item x="5923"/>
        <item sd="0" x="5924"/>
        <item sd="0" x="5925"/>
        <item x="6533"/>
        <item x="6534"/>
        <item x="6535"/>
        <item x="6536"/>
        <item x="6537"/>
        <item x="6538"/>
        <item x="6539"/>
        <item x="6540"/>
        <item sd="0" x="6541"/>
        <item sd="0" x="6542"/>
        <item sd="0" m="1" x="15474"/>
        <item x="6543"/>
        <item x="6544"/>
        <item x="6545"/>
        <item x="6546"/>
        <item x="6547"/>
        <item x="6548"/>
        <item sd="0" x="6549"/>
        <item sd="0" x="6550"/>
        <item x="6551"/>
        <item x="6552"/>
        <item x="6553"/>
        <item x="6554"/>
        <item x="6555"/>
        <item x="6556"/>
        <item x="6557"/>
        <item x="6558"/>
        <item sd="0" x="6559"/>
        <item sd="0" x="6560"/>
        <item x="6561"/>
        <item x="6562"/>
        <item x="6563"/>
        <item x="6564"/>
        <item x="6565"/>
        <item x="6566"/>
        <item x="6567"/>
        <item x="6568"/>
        <item x="6569"/>
        <item x="6570"/>
        <item sd="0" x="6571"/>
        <item sd="0" x="6572"/>
        <item x="6573"/>
        <item x="6574"/>
        <item x="6575"/>
        <item x="6576"/>
        <item x="6577"/>
        <item x="6578"/>
        <item x="6579"/>
        <item x="6580"/>
        <item sd="0" x="6581"/>
        <item sd="0" x="6582"/>
        <item x="6583"/>
        <item x="6584"/>
        <item x="6585"/>
        <item x="6586"/>
        <item x="6587"/>
        <item x="6588"/>
        <item x="6589"/>
        <item x="6590"/>
        <item x="6591"/>
        <item sd="0" x="6592"/>
        <item sd="0" x="6593"/>
        <item x="7196"/>
        <item x="7197"/>
        <item x="7198"/>
        <item x="7199"/>
        <item x="7200"/>
        <item sd="0" x="7201"/>
        <item x="7202"/>
        <item x="7203"/>
        <item sd="0" x="7204"/>
        <item sd="0" x="7205"/>
        <item x="7206"/>
        <item x="7207"/>
        <item x="7208"/>
        <item x="7209"/>
        <item x="7210"/>
        <item x="7211"/>
        <item x="7212"/>
        <item x="7213"/>
        <item sd="0" x="7214"/>
        <item sd="0" x="7215"/>
        <item x="7216"/>
        <item sd="0" x="7217"/>
        <item sd="0" x="7218"/>
        <item x="7219"/>
        <item x="7220"/>
        <item x="7221"/>
        <item x="7222"/>
        <item x="7223"/>
        <item sd="0" x="7224"/>
        <item sd="0" x="7225"/>
        <item x="7226"/>
        <item sd="0" x="7227"/>
        <item sd="0" x="7228"/>
        <item x="7229"/>
        <item x="7230"/>
        <item x="7231"/>
        <item x="7232"/>
        <item x="7233"/>
        <item x="7234"/>
        <item x="7235"/>
        <item x="7236"/>
        <item sd="0" x="7237"/>
        <item sd="0" x="7238"/>
        <item x="7239"/>
        <item x="7240"/>
        <item x="7241"/>
        <item x="7242"/>
        <item x="7243"/>
        <item x="7244"/>
        <item x="7245"/>
        <item x="7246"/>
        <item sd="0" x="7247"/>
        <item sd="0" x="7248"/>
        <item x="7249"/>
        <item x="7250"/>
        <item x="7251"/>
        <item x="7252"/>
        <item x="7253"/>
        <item x="7254"/>
        <item x="7255"/>
        <item x="7857"/>
        <item sd="0" x="7858"/>
        <item x="7859"/>
        <item x="7860"/>
        <item x="7861"/>
        <item x="7862"/>
        <item x="7863"/>
        <item x="7864"/>
        <item x="7865"/>
        <item sd="0" m="1" x="15468"/>
        <item x="7866"/>
        <item x="7867"/>
        <item sd="0" x="7868"/>
        <item sd="0" x="7869"/>
        <item x="7870"/>
        <item x="7871"/>
        <item x="7872"/>
        <item x="7873"/>
        <item x="7874"/>
        <item sd="0" x="7875"/>
        <item x="7876"/>
        <item x="7877"/>
        <item sd="0" x="7878"/>
        <item sd="0" x="7879"/>
        <item x="7880"/>
        <item x="7881"/>
        <item x="7882"/>
        <item x="7883"/>
        <item x="7884"/>
        <item x="7885"/>
        <item x="7886"/>
        <item x="7887"/>
        <item sd="0" x="7888"/>
        <item sd="0" x="7889"/>
        <item sd="0" x="7890"/>
        <item sd="0" x="7891"/>
        <item sd="0" x="7892"/>
        <item x="7893"/>
        <item x="7894"/>
        <item x="7895"/>
        <item x="7896"/>
        <item x="7897"/>
        <item sd="0" x="7898"/>
        <item sd="0" x="7899"/>
        <item sd="0" x="7900"/>
        <item sd="0" x="7901"/>
        <item x="7902"/>
        <item x="7903"/>
        <item x="7904"/>
        <item x="7905"/>
        <item x="7906"/>
        <item x="7907"/>
        <item x="7908"/>
        <item x="7909"/>
        <item sd="0" x="7910"/>
        <item sd="0" x="7911"/>
        <item x="7912"/>
        <item x="7913"/>
        <item sd="0" x="7914"/>
        <item x="7915"/>
        <item x="7916"/>
        <item x="8534"/>
        <item x="8535"/>
        <item x="8536"/>
        <item x="8537"/>
        <item sd="0" x="8538"/>
        <item sd="0" x="8539"/>
        <item x="8540"/>
        <item sd="0" x="8541"/>
        <item x="8542"/>
        <item x="8543"/>
        <item x="8544"/>
        <item x="8545"/>
        <item x="8546"/>
        <item sd="0" x="8547"/>
        <item sd="0" x="8548"/>
        <item x="8549"/>
        <item x="8550"/>
        <item sd="0" x="8551"/>
        <item x="8552"/>
        <item x="8553"/>
        <item x="8554"/>
        <item x="8555"/>
        <item x="8556"/>
        <item x="8557"/>
        <item x="8558"/>
        <item x="8559"/>
        <item sd="0" x="8560"/>
        <item sd="0" x="8561"/>
        <item x="8562"/>
        <item x="8563"/>
        <item x="8564"/>
        <item x="8565"/>
        <item x="8566"/>
        <item x="8567"/>
        <item x="8568"/>
        <item x="8569"/>
        <item sd="0" x="8570"/>
        <item sd="0" x="8571"/>
        <item x="8572"/>
        <item x="8573"/>
        <item x="8574"/>
        <item x="8575"/>
        <item x="8576"/>
        <item x="8577"/>
        <item x="8578"/>
        <item x="8579"/>
        <item x="8580"/>
        <item x="8581"/>
        <item x="8582"/>
        <item sd="0" x="8583"/>
        <item sd="0" x="8584"/>
        <item x="8585"/>
        <item x="8586"/>
        <item x="8587"/>
        <item x="8588"/>
        <item x="8589"/>
        <item x="8590"/>
        <item x="8591"/>
        <item x="8592"/>
        <item sd="0" x="8593"/>
        <item sd="0" x="8594"/>
        <item x="9196"/>
        <item x="9197"/>
        <item x="9198"/>
        <item x="9199"/>
        <item x="9200"/>
        <item x="9201"/>
        <item x="9202"/>
        <item x="9203"/>
        <item sd="0" m="1" x="15499"/>
        <item sd="0" x="9204"/>
        <item x="9205"/>
        <item x="9206"/>
        <item x="9207"/>
        <item x="9208"/>
        <item x="9209"/>
        <item x="9210"/>
        <item sd="0" x="9211"/>
        <item sd="0" x="9212"/>
        <item x="9213"/>
        <item sd="0" x="9214"/>
        <item x="9215"/>
        <item x="9216"/>
        <item x="9217"/>
        <item x="9218"/>
        <item x="9219"/>
        <item x="9220"/>
        <item sd="0" x="9221"/>
        <item x="9222"/>
        <item x="9223"/>
        <item sd="0" x="9224"/>
        <item x="9225"/>
        <item x="9226"/>
        <item x="9227"/>
        <item x="9228"/>
        <item x="9229"/>
        <item x="9230"/>
        <item x="9231"/>
        <item x="9232"/>
        <item sd="0" x="9233"/>
        <item sd="0" x="9234"/>
        <item x="9235"/>
        <item x="9236"/>
        <item x="9237"/>
        <item x="9238"/>
        <item x="9239"/>
        <item x="9240"/>
        <item x="9241"/>
        <item x="9242"/>
        <item sd="0" x="9243"/>
        <item sd="0" x="9244"/>
        <item x="9245"/>
        <item x="9246"/>
        <item x="9247"/>
        <item x="9248"/>
        <item x="9249"/>
        <item x="9250"/>
        <item x="9251"/>
        <item x="9252"/>
        <item x="9253"/>
        <item x="9254"/>
        <item x="9255"/>
        <item sd="0" x="9256"/>
        <item sd="0" x="9860"/>
        <item x="9861"/>
        <item x="9862"/>
        <item x="9863"/>
        <item x="9864"/>
        <item x="9865"/>
        <item x="9866"/>
        <item x="9867"/>
        <item x="9868"/>
        <item sd="0" x="9869"/>
        <item sd="0" x="9870"/>
        <item x="9871"/>
        <item x="9872"/>
        <item x="9873"/>
        <item x="9874"/>
        <item x="9875"/>
        <item x="9876"/>
        <item x="9877"/>
        <item x="9878"/>
        <item x="9879"/>
        <item x="9880"/>
        <item x="9881"/>
        <item sd="0" x="9882"/>
        <item sd="0" x="9883"/>
        <item x="9884"/>
        <item x="9885"/>
        <item x="9886"/>
        <item x="9887"/>
        <item x="9888"/>
        <item x="9889"/>
        <item x="9890"/>
        <item x="9891"/>
        <item sd="0" x="9892"/>
        <item sd="0" x="9893"/>
        <item x="9894"/>
        <item x="9895"/>
        <item x="9896"/>
        <item x="9897"/>
        <item x="9898"/>
        <item x="9899"/>
        <item x="9900"/>
        <item x="9901"/>
        <item sd="0" x="9902"/>
        <item x="9903"/>
        <item sd="0" x="9904"/>
        <item sd="0" x="9905"/>
        <item sd="0" x="9906"/>
        <item x="9907"/>
        <item x="9908"/>
        <item x="9909"/>
        <item x="9910"/>
        <item x="9911"/>
        <item sd="0" x="9912"/>
        <item x="9913"/>
        <item sd="0" x="9914"/>
        <item sd="0" x="9915"/>
        <item x="9916"/>
        <item x="9917"/>
        <item x="9918"/>
        <item x="9919"/>
        <item x="10482"/>
        <item x="10483"/>
        <item x="10484"/>
        <item x="10485"/>
        <item sd="0" x="10486"/>
        <item sd="0" x="10487"/>
        <item x="10488"/>
        <item x="10489"/>
        <item x="10490"/>
        <item x="10491"/>
        <item x="10492"/>
        <item x="10493"/>
        <item sd="0" x="10494"/>
        <item sd="0" x="10495"/>
        <item x="10496"/>
        <item x="10497"/>
        <item x="10498"/>
        <item x="10499"/>
        <item x="10500"/>
        <item x="10501"/>
        <item x="10502"/>
        <item x="10503"/>
        <item sd="0" x="10504"/>
        <item sd="0" x="10505"/>
        <item x="10506"/>
        <item x="10507"/>
        <item x="10508"/>
        <item x="10509"/>
        <item x="10510"/>
        <item x="10511"/>
        <item x="10512"/>
        <item x="10513"/>
        <item x="10514"/>
        <item sd="0" x="10515"/>
        <item sd="0" x="10516"/>
        <item x="10517"/>
        <item x="10518"/>
        <item x="10519"/>
        <item x="10520"/>
        <item x="10521"/>
        <item x="10522"/>
        <item x="10523"/>
        <item x="10524"/>
        <item sd="0" x="10525"/>
        <item sd="0" x="10526"/>
        <item x="10527"/>
        <item x="10528"/>
        <item x="10529"/>
        <item x="10530"/>
        <item x="10531"/>
        <item x="10532"/>
        <item x="10533"/>
        <item x="10534"/>
        <item sd="0" x="10535"/>
        <item sd="0" x="10536"/>
        <item sd="0" x="10537"/>
        <item sd="0" x="10538"/>
        <item x="10539"/>
        <item x="10540"/>
        <item x="10541"/>
        <item x="11084"/>
        <item x="11085"/>
        <item x="11086"/>
        <item sd="0" x="11087"/>
        <item sd="0" x="11088"/>
        <item sd="0" x="11089"/>
        <item sd="0" x="11090"/>
        <item x="11091"/>
        <item x="11092"/>
        <item x="11093"/>
        <item x="11094"/>
        <item x="11095"/>
        <item x="11096"/>
        <item x="11097"/>
        <item x="11098"/>
        <item sd="0" x="11099"/>
        <item sd="0" x="11100"/>
        <item x="11101"/>
        <item x="11102"/>
        <item sd="0" x="11103"/>
        <item x="11104"/>
        <item x="11105"/>
        <item x="11106"/>
        <item x="11107"/>
        <item x="11108"/>
        <item sd="0" x="11109"/>
        <item sd="0" x="11110"/>
        <item x="11111"/>
        <item x="11112"/>
        <item sd="0" x="11113"/>
        <item x="11114"/>
        <item x="11115"/>
        <item x="11116"/>
        <item x="11117"/>
        <item x="11118"/>
        <item sd="0" x="11119"/>
        <item sd="0" x="11120"/>
        <item x="11121"/>
        <item x="11122"/>
        <item sd="0" x="11123"/>
        <item x="11124"/>
        <item x="11125"/>
        <item x="11126"/>
        <item x="11127"/>
        <item x="11128"/>
        <item x="11129"/>
        <item x="11130"/>
        <item x="11131"/>
        <item sd="0" x="11132"/>
        <item sd="0" x="11133"/>
        <item x="11134"/>
        <item x="11135"/>
        <item x="11136"/>
        <item x="11137"/>
        <item x="11138"/>
        <item x="11139"/>
        <item x="11140"/>
        <item x="11141"/>
        <item sd="0" x="11142"/>
        <item x="11143"/>
        <item x="11647"/>
        <item x="11648"/>
        <item x="11649"/>
        <item x="11650"/>
        <item x="11651"/>
        <item x="11652"/>
        <item x="11653"/>
        <item sd="0" m="1" x="15457"/>
        <item x="11654"/>
        <item x="11655"/>
        <item sd="0" x="11656"/>
        <item x="11657"/>
        <item x="11658"/>
        <item x="11659"/>
        <item x="11660"/>
        <item x="11661"/>
        <item sd="0" x="11662"/>
        <item sd="0" x="11663"/>
        <item x="11664"/>
        <item sd="0" x="11665"/>
        <item sd="0" x="11666"/>
        <item x="11667"/>
        <item x="11668"/>
        <item x="11669"/>
        <item x="11670"/>
        <item x="11671"/>
        <item sd="0" x="11672"/>
        <item x="11673"/>
        <item x="11674"/>
        <item sd="0" x="11675"/>
        <item sd="0" x="11676"/>
        <item x="11677"/>
        <item sd="0" x="11678"/>
        <item sd="0" x="11679"/>
        <item x="11680"/>
        <item x="11681"/>
        <item x="11682"/>
        <item x="11683"/>
        <item x="11684"/>
        <item sd="0" x="11685"/>
        <item sd="0" x="11686"/>
        <item x="11687"/>
        <item sd="0" x="11688"/>
        <item sd="0" x="11689"/>
        <item x="11690"/>
        <item x="11691"/>
        <item x="11692"/>
        <item x="11693"/>
        <item x="11694"/>
        <item sd="0" x="11695"/>
        <item sd="0" x="11696"/>
        <item x="11697"/>
        <item sd="0" x="11698"/>
        <item sd="0" x="11699"/>
        <item x="11700"/>
        <item x="11701"/>
        <item x="11702"/>
        <item x="11703"/>
        <item x="11704"/>
        <item x="11705"/>
        <item x="11706"/>
        <item x="11707"/>
        <item sd="0" x="12193"/>
        <item sd="0" x="12194"/>
        <item x="12195"/>
        <item x="12196"/>
        <item x="12197"/>
        <item x="12198"/>
        <item x="12199"/>
        <item x="12200"/>
        <item x="12201"/>
        <item x="12202"/>
        <item sd="0" x="12203"/>
        <item sd="0" x="12204"/>
        <item x="12205"/>
        <item x="12206"/>
        <item x="12207"/>
        <item x="12208"/>
        <item x="12209"/>
        <item x="12210"/>
        <item x="12211"/>
        <item x="12212"/>
        <item x="12213"/>
        <item x="12214"/>
        <item sd="0" x="12215"/>
        <item sd="0" x="12216"/>
        <item x="12217"/>
        <item x="12218"/>
        <item x="12219"/>
        <item x="12220"/>
        <item x="12221"/>
        <item x="12222"/>
        <item x="12223"/>
        <item x="12224"/>
        <item sd="0" x="12225"/>
        <item sd="0" x="12226"/>
        <item x="12227"/>
        <item x="12228"/>
        <item x="12229"/>
        <item x="12230"/>
        <item x="12231"/>
        <item x="12232"/>
        <item x="12233"/>
        <item x="12234"/>
        <item x="12235"/>
        <item sd="0" x="12236"/>
        <item sd="0" x="12237"/>
        <item x="12238"/>
        <item x="12239"/>
        <item x="12240"/>
        <item x="12241"/>
        <item x="12242"/>
        <item sd="0" x="12243"/>
        <item x="12244"/>
        <item x="12245"/>
        <item sd="0" x="12246"/>
        <item sd="0" x="12247"/>
        <item x="12248"/>
        <item x="12249"/>
        <item x="12250"/>
        <item x="12251"/>
        <item x="12252"/>
        <item x="12783"/>
        <item x="12784"/>
        <item x="12785"/>
        <item sd="0" x="12786"/>
        <item sd="0" x="12787"/>
        <item x="12788"/>
        <item x="12789"/>
        <item x="12790"/>
        <item x="12791"/>
        <item x="12792"/>
        <item sd="0" x="12793"/>
        <item sd="0" x="12794"/>
        <item x="12795"/>
        <item x="12796"/>
        <item x="12797"/>
        <item x="12798"/>
        <item x="12799"/>
        <item x="12800"/>
        <item x="12801"/>
        <item x="12802"/>
        <item sd="0" x="12803"/>
        <item sd="0" x="12804"/>
        <item x="12805"/>
        <item x="12806"/>
        <item x="12807"/>
        <item x="12808"/>
        <item x="12809"/>
        <item x="12810"/>
        <item x="12811"/>
        <item x="12812"/>
        <item x="12813"/>
        <item x="12814"/>
        <item x="12815"/>
        <item sd="0" x="12816"/>
        <item sd="0" x="12817"/>
        <item x="12818"/>
        <item x="12819"/>
        <item x="12820"/>
        <item x="12821"/>
        <item x="12822"/>
        <item x="12823"/>
        <item x="12824"/>
        <item x="12825"/>
        <item sd="0" x="12826"/>
        <item sd="0" x="12827"/>
        <item x="12828"/>
        <item x="12829"/>
        <item x="12830"/>
        <item x="12831"/>
        <item x="12832"/>
        <item x="12833"/>
        <item x="12834"/>
        <item x="12835"/>
        <item sd="0" x="12836"/>
        <item x="12837"/>
        <item x="12838"/>
        <item sd="0" x="12839"/>
        <item sd="0" x="12840"/>
        <item x="12841"/>
        <item x="12842"/>
        <item x="13387"/>
        <item x="13388"/>
        <item x="13389"/>
        <item sd="0" x="13390"/>
        <item x="13391"/>
        <item x="13392"/>
        <item sd="0" x="13393"/>
        <item sd="0" x="13394"/>
        <item x="13395"/>
        <item x="13396"/>
        <item x="13397"/>
        <item x="13398"/>
        <item x="13399"/>
        <item x="13400"/>
        <item x="13401"/>
        <item x="13402"/>
        <item sd="0" x="13403"/>
        <item sd="0" x="13404"/>
        <item sd="0" x="13405"/>
        <item sd="0" x="13406"/>
        <item sd="0" x="13407"/>
        <item x="13408"/>
        <item x="13409"/>
        <item x="13410"/>
        <item x="13411"/>
        <item x="13412"/>
        <item sd="0" x="13413"/>
        <item sd="0" x="13414"/>
        <item sd="0" x="13415"/>
        <item sd="0" x="13416"/>
        <item x="13417"/>
        <item x="13418"/>
        <item x="13419"/>
        <item x="13420"/>
        <item x="13421"/>
        <item x="13422"/>
        <item x="13423"/>
        <item x="13424"/>
        <item sd="0" x="13425"/>
        <item sd="0" x="13426"/>
        <item x="13427"/>
        <item x="13428"/>
        <item sd="0" x="13429"/>
        <item x="13430"/>
        <item x="13431"/>
        <item x="13432"/>
        <item x="13433"/>
        <item x="13434"/>
        <item x="13435"/>
        <item sd="0" x="13436"/>
        <item sd="0" x="13437"/>
        <item x="13438"/>
        <item sd="0" x="13439"/>
        <item x="13440"/>
        <item x="13441"/>
        <item x="13442"/>
        <item x="13443"/>
        <item x="13444"/>
        <item sd="0" x="13445"/>
        <item sd="0" x="13446"/>
        <item x="13990"/>
        <item x="13991"/>
        <item sd="0" x="13992"/>
        <item x="13993"/>
        <item x="13994"/>
        <item x="13995"/>
        <item x="13996"/>
        <item sd="0" x="13997"/>
        <item sd="0" x="13998"/>
        <item x="13999"/>
        <item x="14000"/>
        <item x="14001"/>
        <item x="14002"/>
        <item x="14003"/>
        <item x="14004"/>
        <item x="14005"/>
        <item x="14006"/>
        <item sd="0" x="14007"/>
        <item sd="0" x="14008"/>
        <item x="14009"/>
        <item x="14010"/>
        <item x="14011"/>
        <item x="14012"/>
        <item x="14013"/>
        <item x="14014"/>
        <item sd="0" x="14015"/>
        <item x="14016"/>
        <item sd="0" x="14017"/>
        <item sd="0" x="14018"/>
        <item x="14019"/>
        <item sd="0" x="14020"/>
        <item x="14021"/>
        <item x="14022"/>
        <item x="14023"/>
        <item x="14024"/>
        <item x="14025"/>
        <item x="14026"/>
        <item sd="0" x="14027"/>
        <item sd="0" x="14028"/>
        <item x="14029"/>
        <item sd="0" x="14030"/>
        <item x="14031"/>
        <item x="14032"/>
        <item x="14033"/>
        <item x="14034"/>
        <item x="14035"/>
        <item x="14036"/>
        <item x="14037"/>
        <item x="14038"/>
        <item x="14039"/>
        <item sd="0" x="14040"/>
        <item x="14041"/>
        <item x="14042"/>
        <item x="14043"/>
        <item x="14044"/>
        <item sd="0" x="14045"/>
        <item sd="0" x="14046"/>
        <item x="14047"/>
        <item x="14048"/>
        <item x="14049"/>
        <item x="14050"/>
        <item x="14594"/>
        <item sd="0" x="14595"/>
        <item sd="0" x="14596"/>
        <item x="14597"/>
        <item sd="0" x="14598"/>
        <item sd="0" x="14599"/>
        <item x="14600"/>
        <item x="14601"/>
        <item x="14602"/>
        <item x="14603"/>
        <item x="14604"/>
        <item x="14605"/>
        <item x="14606"/>
        <item x="14607"/>
        <item sd="0" x="14608"/>
        <item sd="0" x="14609"/>
        <item x="14610"/>
        <item sd="0" x="14611"/>
        <item x="14612"/>
        <item x="14613"/>
        <item x="14614"/>
        <item x="14615"/>
        <item x="14616"/>
        <item x="14617"/>
        <item sd="0" x="14618"/>
        <item sd="0" x="14619"/>
        <item x="14620"/>
        <item sd="0" x="14621"/>
        <item x="14622"/>
        <item x="14623"/>
        <item x="14624"/>
        <item x="14625"/>
        <item x="14626"/>
        <item x="14627"/>
        <item sd="0" x="14628"/>
        <item x="14629"/>
        <item x="14630"/>
        <item sd="0" x="14631"/>
        <item x="14632"/>
        <item x="14633"/>
        <item x="14634"/>
        <item x="14635"/>
        <item x="14636"/>
        <item x="14637"/>
        <item x="14638"/>
        <item x="14639"/>
        <item sd="0" x="14640"/>
        <item sd="0" x="14641"/>
        <item x="14642"/>
        <item x="14643"/>
        <item x="14644"/>
        <item x="14645"/>
        <item x="14646"/>
        <item x="14647"/>
        <item x="14648"/>
        <item x="14649"/>
        <item sd="0" x="14650"/>
        <item sd="0" x="14651"/>
        <item x="14652"/>
        <item x="14653"/>
        <item x="14654"/>
        <item x="15202"/>
        <item x="15203"/>
        <item x="15204"/>
        <item x="15205"/>
        <item sd="0" m="1" x="15494"/>
        <item x="15206"/>
        <item sd="0" x="15207"/>
        <item sd="0" x="15208"/>
        <item sd="0" x="15209"/>
        <item x="15210"/>
        <item x="15211"/>
        <item x="15212"/>
        <item x="15213"/>
        <item x="15214"/>
        <item sd="0" x="15215"/>
        <item x="15216"/>
        <item sd="0" x="15217"/>
        <item sd="0" x="15218"/>
        <item x="15219"/>
        <item x="15220"/>
        <item x="15221"/>
        <item x="15222"/>
        <item x="15223"/>
        <item x="15224"/>
        <item x="15225"/>
        <item x="15226"/>
        <item sd="0" x="15227"/>
        <item sd="0" x="15228"/>
        <item x="15229"/>
        <item sd="0" x="15230"/>
        <item sd="0" x="15231"/>
        <item x="15232"/>
        <item x="15233"/>
        <item x="15234"/>
        <item x="15235"/>
        <item x="15236"/>
        <item x="15237"/>
        <item sd="0" x="15238"/>
        <item sd="0" x="15239"/>
        <item sd="0" x="15240"/>
        <item sd="0" x="15241"/>
        <item x="15242"/>
        <item x="15243"/>
        <item x="15244"/>
        <item x="15245"/>
        <item x="15246"/>
        <item sd="0" x="15247"/>
        <item sd="0" x="15248"/>
        <item x="15249"/>
        <item sd="0" x="15250"/>
        <item sd="0" x="15251"/>
        <item x="15252"/>
        <item x="15253"/>
        <item sd="0" x="15254"/>
        <item x="15255"/>
        <item x="15256"/>
        <item x="15257"/>
        <item x="15258"/>
        <item x="15259"/>
        <item sd="0" x="15260"/>
        <item sd="0" x="15261"/>
        <item x="5926"/>
        <item x="5927"/>
        <item sd="0" x="5928"/>
        <item x="5929"/>
        <item x="5930"/>
        <item x="5931"/>
        <item x="5932"/>
        <item x="5933"/>
        <item sd="0" x="5934"/>
        <item sd="0" x="5935"/>
        <item x="5936"/>
        <item x="5937"/>
        <item sd="0" x="5938"/>
        <item x="5939"/>
        <item x="5940"/>
        <item x="5941"/>
        <item x="5942"/>
        <item x="5943"/>
        <item x="5944"/>
        <item x="5945"/>
        <item x="5946"/>
        <item sd="0" x="5947"/>
        <item sd="0" x="5948"/>
        <item x="5949"/>
        <item x="5950"/>
        <item x="5951"/>
        <item x="5952"/>
        <item x="5953"/>
        <item x="5954"/>
        <item x="5955"/>
        <item x="5956"/>
        <item sd="0" x="5957"/>
        <item sd="0" x="5958"/>
        <item x="5959"/>
        <item x="5960"/>
        <item x="5961"/>
        <item x="5962"/>
        <item x="5963"/>
        <item x="5964"/>
        <item x="5965"/>
        <item x="5966"/>
        <item x="5967"/>
        <item sd="0" x="5968"/>
        <item sd="0" x="5969"/>
        <item x="5970"/>
        <item x="5971"/>
        <item x="5972"/>
        <item x="5973"/>
        <item x="5974"/>
        <item x="5975"/>
        <item x="5976"/>
        <item x="5977"/>
        <item sd="0" x="5978"/>
        <item sd="0" x="5979"/>
        <item x="5980"/>
        <item x="5981"/>
        <item x="5982"/>
        <item x="5983"/>
        <item x="5984"/>
        <item x="5985"/>
        <item x="6594"/>
        <item x="6595"/>
        <item sd="0" x="6596"/>
        <item sd="0" x="6597"/>
        <item x="6598"/>
        <item x="6599"/>
        <item x="6600"/>
        <item x="6601"/>
        <item x="6602"/>
        <item sd="0" x="6603"/>
        <item sd="0" x="6604"/>
        <item x="6605"/>
        <item x="6606"/>
        <item x="6607"/>
        <item x="6608"/>
        <item x="6609"/>
        <item x="6610"/>
        <item x="6611"/>
        <item x="6612"/>
        <item sd="0" x="6613"/>
        <item x="6614"/>
        <item x="6615"/>
        <item x="6616"/>
        <item x="6617"/>
        <item x="6618"/>
        <item x="6619"/>
        <item x="6620"/>
        <item x="6621"/>
        <item x="6622"/>
        <item x="6623"/>
        <item x="6624"/>
        <item x="6625"/>
        <item sd="0" x="6626"/>
        <item sd="0" x="6627"/>
        <item x="6628"/>
        <item x="6629"/>
        <item x="6630"/>
        <item x="6631"/>
        <item x="6632"/>
        <item x="6633"/>
        <item x="6634"/>
        <item x="6635"/>
        <item sd="0" x="6636"/>
        <item sd="0" x="6637"/>
        <item x="6638"/>
        <item x="6639"/>
        <item x="6640"/>
        <item x="6641"/>
        <item x="6642"/>
        <item x="6643"/>
        <item x="6644"/>
        <item x="6645"/>
        <item x="6646"/>
        <item x="6647"/>
        <item sd="0" x="6648"/>
        <item sd="0" x="6649"/>
        <item x="6650"/>
        <item x="6651"/>
        <item x="6652"/>
        <item x="6653"/>
        <item x="6654"/>
        <item x="7256"/>
        <item x="7257"/>
        <item x="7258"/>
        <item sd="0" x="7259"/>
        <item sd="0" x="7260"/>
        <item x="7261"/>
        <item x="7262"/>
        <item x="7263"/>
        <item x="7264"/>
        <item x="7265"/>
        <item x="7266"/>
        <item x="7267"/>
        <item x="7268"/>
        <item sd="0" x="7269"/>
        <item sd="0" x="7270"/>
        <item x="7271"/>
        <item x="7272"/>
        <item sd="0" x="7273"/>
        <item x="7274"/>
        <item x="7275"/>
        <item x="7276"/>
        <item x="7277"/>
        <item x="7278"/>
        <item sd="0" x="7279"/>
        <item sd="0" x="7280"/>
        <item x="7281"/>
        <item sd="0" x="7282"/>
        <item sd="0" x="7283"/>
        <item x="7284"/>
        <item x="7285"/>
        <item x="7286"/>
        <item x="7287"/>
        <item x="7288"/>
        <item sd="0" x="7289"/>
        <item x="7290"/>
        <item x="7291"/>
        <item sd="0" x="7292"/>
        <item sd="0" x="7293"/>
        <item x="7294"/>
        <item sd="0" x="7295"/>
        <item sd="0" x="7296"/>
        <item x="7297"/>
        <item x="7298"/>
        <item x="7299"/>
        <item x="7300"/>
        <item x="7301"/>
        <item sd="0" x="7302"/>
        <item sd="0" x="7303"/>
        <item x="7304"/>
        <item sd="0" x="7305"/>
        <item sd="0" x="7306"/>
        <item x="7307"/>
        <item x="7308"/>
        <item x="7309"/>
        <item x="7310"/>
        <item x="7311"/>
        <item sd="0" x="7312"/>
        <item sd="0" x="7313"/>
        <item x="7314"/>
        <item sd="0" x="7315"/>
        <item sd="0" x="7917"/>
        <item x="7918"/>
        <item x="7919"/>
        <item x="7920"/>
        <item sd="0" x="7921"/>
        <item sd="0" x="7922"/>
        <item x="7923"/>
        <item x="7924"/>
        <item x="7925"/>
        <item x="7926"/>
        <item x="7927"/>
        <item sd="0" x="7928"/>
        <item x="7929"/>
        <item x="7930"/>
        <item sd="0" x="7931"/>
        <item sd="0" x="7932"/>
        <item x="7933"/>
        <item x="7934"/>
        <item x="7935"/>
        <item x="7936"/>
        <item x="7937"/>
        <item x="7938"/>
        <item x="7939"/>
        <item x="7940"/>
        <item sd="0" x="7941"/>
        <item sd="0" x="7942"/>
        <item x="7943"/>
        <item sd="0" x="7944"/>
        <item sd="0" x="7945"/>
        <item x="7946"/>
        <item x="7947"/>
        <item x="7948"/>
        <item x="7949"/>
        <item x="7950"/>
        <item sd="0" x="7951"/>
        <item sd="0" x="7952"/>
        <item x="7953"/>
        <item sd="0" x="7954"/>
        <item sd="0" x="7955"/>
        <item x="7956"/>
        <item x="7957"/>
        <item x="7958"/>
        <item x="7959"/>
        <item x="7960"/>
        <item x="7961"/>
        <item x="7962"/>
        <item x="7963"/>
        <item sd="0" x="7964"/>
        <item sd="0" x="7965"/>
        <item x="7966"/>
        <item x="7967"/>
        <item x="7968"/>
        <item x="7969"/>
        <item x="7970"/>
        <item x="7971"/>
        <item x="7972"/>
        <item x="7973"/>
        <item sd="0" x="7974"/>
        <item sd="0" x="7975"/>
        <item x="7976"/>
        <item x="8595"/>
        <item x="8596"/>
        <item x="8597"/>
        <item x="8598"/>
        <item x="8599"/>
        <item x="8600"/>
        <item x="8601"/>
        <item sd="0" x="8602"/>
        <item x="8603"/>
        <item x="8604"/>
        <item x="8605"/>
        <item x="8606"/>
        <item x="8607"/>
        <item x="8608"/>
        <item x="8609"/>
        <item x="8610"/>
        <item x="8611"/>
        <item x="8612"/>
        <item x="8613"/>
        <item sd="0" x="8614"/>
        <item sd="0" x="8615"/>
        <item x="8616"/>
        <item x="8617"/>
        <item x="8618"/>
        <item x="8619"/>
        <item x="8620"/>
        <item x="8621"/>
        <item x="8622"/>
        <item x="8623"/>
        <item sd="0" x="8624"/>
        <item sd="0" x="8625"/>
        <item x="8626"/>
        <item x="8627"/>
        <item x="8628"/>
        <item x="8629"/>
        <item x="8630"/>
        <item x="8631"/>
        <item x="8632"/>
        <item x="8633"/>
        <item x="8634"/>
        <item x="8635"/>
        <item x="8636"/>
        <item sd="0" x="8637"/>
        <item sd="0" x="8638"/>
        <item x="8639"/>
        <item x="8640"/>
        <item x="8641"/>
        <item x="8642"/>
        <item x="8643"/>
        <item x="8644"/>
        <item x="8645"/>
        <item x="8646"/>
        <item sd="0" x="8647"/>
        <item sd="0" x="8648"/>
        <item x="8649"/>
        <item x="8650"/>
        <item x="8651"/>
        <item x="8652"/>
        <item x="8653"/>
        <item x="8654"/>
        <item x="9257"/>
        <item x="9258"/>
        <item sd="0" x="9259"/>
        <item sd="0" m="1" x="15448"/>
        <item sd="0" x="9260"/>
        <item x="9261"/>
        <item x="9262"/>
        <item x="9263"/>
        <item x="9264"/>
        <item x="9265"/>
        <item x="9266"/>
        <item sd="0" x="9267"/>
        <item sd="0" x="9268"/>
        <item x="9269"/>
        <item sd="0" x="9270"/>
        <item x="9271"/>
        <item x="9272"/>
        <item x="9273"/>
        <item x="9274"/>
        <item x="9275"/>
        <item sd="0" x="9276"/>
        <item sd="0" x="9277"/>
        <item x="9278"/>
        <item x="9279"/>
        <item sd="0" x="9280"/>
        <item x="9281"/>
        <item x="9282"/>
        <item x="9283"/>
        <item x="9284"/>
        <item x="9285"/>
        <item x="9286"/>
        <item x="9287"/>
        <item x="9288"/>
        <item sd="0" x="9289"/>
        <item sd="0" x="9290"/>
        <item x="9291"/>
        <item x="9292"/>
        <item x="9293"/>
        <item x="9294"/>
        <item x="9295"/>
        <item x="9296"/>
        <item x="9297"/>
        <item x="9298"/>
        <item sd="0" x="9299"/>
        <item sd="0" x="9300"/>
        <item x="9301"/>
        <item x="9302"/>
        <item x="9303"/>
        <item x="9304"/>
        <item x="9305"/>
        <item x="9306"/>
        <item x="9307"/>
        <item x="9308"/>
        <item x="9309"/>
        <item x="9310"/>
        <item x="9311"/>
        <item sd="0" x="9312"/>
        <item sd="0" x="9313"/>
        <item x="9314"/>
        <item x="9315"/>
        <item x="9316"/>
        <item x="9920"/>
        <item x="9921"/>
        <item x="9922"/>
        <item x="9923"/>
        <item x="9924"/>
        <item sd="0" x="9925"/>
        <item sd="0" x="9926"/>
        <item x="9927"/>
        <item x="9928"/>
        <item x="9929"/>
        <item x="9930"/>
        <item x="9931"/>
        <item x="9932"/>
        <item x="9933"/>
        <item x="9934"/>
        <item x="9935"/>
        <item sd="0" x="9936"/>
        <item sd="0" x="9937"/>
        <item x="9938"/>
        <item x="9939"/>
        <item x="9940"/>
        <item x="9941"/>
        <item x="9942"/>
        <item x="9943"/>
        <item x="9944"/>
        <item x="9945"/>
        <item sd="0" x="9946"/>
        <item sd="0" x="9947"/>
        <item x="9948"/>
        <item x="9949"/>
        <item x="9950"/>
        <item x="9951"/>
        <item x="9952"/>
        <item x="9953"/>
        <item sd="0" x="9954"/>
        <item x="9955"/>
        <item sd="0" x="9956"/>
        <item sd="0" x="9957"/>
        <item x="9958"/>
        <item x="9959"/>
        <item sd="0" x="9960"/>
        <item sd="0" x="9961"/>
        <item x="9962"/>
        <item x="9963"/>
        <item x="9964"/>
        <item x="9965"/>
        <item x="9966"/>
        <item sd="0" x="9967"/>
        <item sd="0" x="9968"/>
        <item x="9969"/>
        <item sd="0" x="9970"/>
        <item sd="0" x="9971"/>
        <item x="9972"/>
        <item x="9973"/>
        <item x="9974"/>
        <item x="9975"/>
        <item x="9976"/>
        <item x="9977"/>
        <item x="9978"/>
        <item x="9979"/>
        <item sd="0" x="9980"/>
        <item sd="0" x="10542"/>
        <item x="10543"/>
        <item x="10544"/>
        <item x="10545"/>
        <item x="10546"/>
        <item x="10547"/>
        <item sd="0" x="10548"/>
        <item sd="0" x="10549"/>
        <item x="10550"/>
        <item x="10551"/>
        <item x="10552"/>
        <item x="10553"/>
        <item x="10554"/>
        <item x="10555"/>
        <item x="10556"/>
        <item x="10557"/>
        <item sd="0" x="10558"/>
        <item sd="0" x="10559"/>
        <item x="10560"/>
        <item x="10561"/>
        <item x="10562"/>
        <item x="10563"/>
        <item x="10564"/>
        <item x="10565"/>
        <item x="10566"/>
        <item x="10567"/>
        <item x="10568"/>
        <item x="10569"/>
        <item x="10570"/>
        <item sd="0" x="10571"/>
        <item sd="0" x="10572"/>
        <item x="10573"/>
        <item x="10574"/>
        <item x="10575"/>
        <item x="10576"/>
        <item x="10577"/>
        <item x="10578"/>
        <item x="10579"/>
        <item x="10580"/>
        <item sd="0" x="10581"/>
        <item sd="0" x="10582"/>
        <item x="10583"/>
        <item x="10584"/>
        <item x="10585"/>
        <item x="10586"/>
        <item x="10587"/>
        <item x="10588"/>
        <item x="10589"/>
        <item x="10590"/>
        <item sd="0" x="10591"/>
        <item x="10592"/>
        <item sd="0" x="10593"/>
        <item sd="0" x="10594"/>
        <item sd="0" x="10595"/>
        <item x="10596"/>
        <item x="10597"/>
        <item x="10598"/>
        <item x="10599"/>
        <item x="10600"/>
        <item sd="0" x="10601"/>
        <item x="11144"/>
        <item sd="0" x="11145"/>
        <item sd="0" x="11146"/>
        <item x="11147"/>
        <item x="11148"/>
        <item x="11149"/>
        <item x="11150"/>
        <item x="11151"/>
        <item x="11152"/>
        <item x="11153"/>
        <item x="11154"/>
        <item sd="0" x="11155"/>
        <item sd="0" x="11156"/>
        <item x="11157"/>
        <item sd="0" x="11158"/>
        <item sd="0" x="11159"/>
        <item x="11160"/>
        <item x="11161"/>
        <item x="11162"/>
        <item x="11163"/>
        <item x="11164"/>
        <item x="11165"/>
        <item sd="0" x="11166"/>
        <item sd="0" x="11167"/>
        <item sd="0" x="11168"/>
        <item sd="0" x="11169"/>
        <item x="11170"/>
        <item x="11171"/>
        <item x="11172"/>
        <item x="11173"/>
        <item x="11174"/>
        <item sd="0" x="11175"/>
        <item sd="0" x="11176"/>
        <item x="11177"/>
        <item sd="0" x="11178"/>
        <item sd="0" x="11179"/>
        <item x="11180"/>
        <item x="11181"/>
        <item sd="0" x="11182"/>
        <item x="11183"/>
        <item x="11184"/>
        <item x="11185"/>
        <item x="11186"/>
        <item x="11187"/>
        <item sd="0" x="11188"/>
        <item sd="0" x="11189"/>
        <item x="11190"/>
        <item x="11191"/>
        <item sd="0" x="11192"/>
        <item x="11193"/>
        <item x="11194"/>
        <item x="11195"/>
        <item x="11196"/>
        <item x="11197"/>
        <item sd="0" x="11198"/>
        <item sd="0" x="11199"/>
        <item x="11200"/>
        <item x="11201"/>
        <item sd="0" x="11202"/>
        <item x="11203"/>
        <item x="11204"/>
        <item x="11708"/>
        <item sd="0" x="11709"/>
        <item sd="0" x="11710"/>
        <item x="11711"/>
        <item x="11712"/>
        <item x="11713"/>
        <item x="11714"/>
        <item x="11715"/>
        <item x="11716"/>
        <item sd="0" x="11717"/>
        <item sd="0" x="11718"/>
        <item sd="0" x="11719"/>
        <item sd="0" x="11720"/>
        <item x="11721"/>
        <item x="11722"/>
        <item x="11723"/>
        <item x="11724"/>
        <item x="11725"/>
        <item x="11726"/>
        <item x="11727"/>
        <item x="11728"/>
        <item sd="0" x="11729"/>
        <item sd="0" x="11730"/>
        <item x="11731"/>
        <item x="11732"/>
        <item sd="0" x="11733"/>
        <item x="11734"/>
        <item x="11735"/>
        <item x="11736"/>
        <item x="11737"/>
        <item x="11738"/>
        <item sd="0" x="11739"/>
        <item sd="0" x="11740"/>
        <item x="11741"/>
        <item x="11742"/>
        <item sd="0" x="11743"/>
        <item x="11744"/>
        <item x="11745"/>
        <item x="11746"/>
        <item x="11747"/>
        <item x="11748"/>
        <item sd="0" x="11749"/>
        <item sd="0" x="11750"/>
        <item x="11751"/>
        <item x="11752"/>
        <item sd="0" x="11753"/>
        <item x="11754"/>
        <item x="11755"/>
        <item x="11756"/>
        <item x="11757"/>
        <item x="11758"/>
        <item x="11759"/>
        <item x="11760"/>
        <item x="11761"/>
        <item sd="0" x="11762"/>
        <item sd="0" x="11763"/>
        <item x="11764"/>
        <item x="11765"/>
        <item x="11766"/>
        <item x="11767"/>
        <item x="11768"/>
        <item x="12253"/>
        <item x="12254"/>
        <item x="12255"/>
        <item sd="0" x="12256"/>
        <item x="12257"/>
        <item x="12258"/>
        <item x="12259"/>
        <item x="12260"/>
        <item x="12261"/>
        <item x="12262"/>
        <item x="12263"/>
        <item x="12264"/>
        <item x="12265"/>
        <item x="12266"/>
        <item x="12267"/>
        <item x="12268"/>
        <item sd="0" x="12269"/>
        <item sd="0" x="12270"/>
        <item x="12271"/>
        <item x="12272"/>
        <item x="12273"/>
        <item x="12274"/>
        <item x="12275"/>
        <item x="12276"/>
        <item x="12277"/>
        <item x="12278"/>
        <item sd="0" x="12279"/>
        <item sd="0" x="12280"/>
        <item x="12281"/>
        <item x="12282"/>
        <item x="12283"/>
        <item x="12284"/>
        <item x="12285"/>
        <item x="12286"/>
        <item x="12287"/>
        <item x="12288"/>
        <item x="12289"/>
        <item x="12290"/>
        <item sd="0" x="12291"/>
        <item sd="0" x="12292"/>
        <item x="12293"/>
        <item x="12294"/>
        <item x="12295"/>
        <item x="12296"/>
        <item x="12297"/>
        <item x="12298"/>
        <item x="12299"/>
        <item x="12300"/>
        <item sd="0" x="12301"/>
        <item sd="0" x="12302"/>
        <item x="12303"/>
        <item x="12304"/>
        <item x="12305"/>
        <item x="12306"/>
        <item x="12307"/>
        <item x="12308"/>
        <item x="12309"/>
        <item x="12310"/>
        <item sd="0" x="12311"/>
        <item sd="0" x="12312"/>
        <item sd="0" m="1" x="15475"/>
        <item x="12843"/>
        <item x="12844"/>
        <item x="12845"/>
        <item x="12846"/>
        <item x="12847"/>
        <item x="12848"/>
        <item sd="0" x="12849"/>
        <item sd="0" x="12850"/>
        <item x="12851"/>
        <item x="12852"/>
        <item x="12853"/>
        <item x="12854"/>
        <item x="12855"/>
        <item x="12856"/>
        <item x="12857"/>
        <item x="12858"/>
        <item sd="0" x="12859"/>
        <item sd="0" x="12860"/>
        <item x="12861"/>
        <item x="12862"/>
        <item x="12863"/>
        <item x="12864"/>
        <item x="12865"/>
        <item x="12866"/>
        <item x="12867"/>
        <item x="12868"/>
        <item x="12869"/>
        <item x="12870"/>
        <item sd="0" x="12871"/>
        <item sd="0" x="12872"/>
        <item x="12873"/>
        <item x="12874"/>
        <item x="12875"/>
        <item x="12876"/>
        <item x="12877"/>
        <item x="12878"/>
        <item x="12879"/>
        <item x="12880"/>
        <item sd="0" x="12881"/>
        <item sd="0" x="12882"/>
        <item x="12883"/>
        <item x="12884"/>
        <item x="12885"/>
        <item x="12886"/>
        <item x="12887"/>
        <item x="12888"/>
        <item x="12889"/>
        <item x="12890"/>
        <item x="12891"/>
        <item sd="0" x="12892"/>
        <item sd="0" x="12893"/>
        <item x="12894"/>
        <item x="12895"/>
        <item x="12896"/>
        <item x="12897"/>
        <item x="12898"/>
        <item sd="0" x="12899"/>
        <item x="12900"/>
        <item x="12901"/>
        <item sd="0" x="12902"/>
        <item sd="0" x="12903"/>
        <item x="13447"/>
        <item x="13448"/>
        <item x="13449"/>
        <item x="13450"/>
        <item x="13451"/>
        <item x="13452"/>
        <item x="13453"/>
        <item x="13454"/>
        <item sd="0" x="13455"/>
        <item sd="0" x="13456"/>
        <item x="13457"/>
        <item sd="0" x="13458"/>
        <item sd="0" x="13459"/>
        <item x="13460"/>
        <item x="13461"/>
        <item x="13462"/>
        <item x="13463"/>
        <item x="13464"/>
        <item sd="0" x="13465"/>
        <item sd="0" x="13466"/>
        <item x="13467"/>
        <item sd="0" x="13468"/>
        <item sd="0" x="13469"/>
        <item x="13470"/>
        <item x="13471"/>
        <item x="13472"/>
        <item x="13473"/>
        <item x="13474"/>
        <item x="13475"/>
        <item x="13476"/>
        <item x="13477"/>
        <item sd="0" x="13478"/>
        <item sd="0" x="13479"/>
        <item x="13480"/>
        <item x="13481"/>
        <item x="13482"/>
        <item x="13483"/>
        <item x="13484"/>
        <item x="13485"/>
        <item x="13486"/>
        <item x="13487"/>
        <item sd="0" x="13488"/>
        <item sd="0" x="13489"/>
        <item x="13490"/>
        <item x="13491"/>
        <item x="13492"/>
        <item x="13493"/>
        <item x="13494"/>
        <item x="13495"/>
        <item x="13496"/>
        <item x="13497"/>
        <item sd="0" x="13498"/>
        <item x="13499"/>
        <item x="13500"/>
        <item x="13501"/>
        <item x="13502"/>
        <item x="13503"/>
        <item x="13504"/>
        <item x="13505"/>
        <item sd="0" m="1" x="15469"/>
        <item x="13506"/>
        <item x="14051"/>
        <item sd="0" x="14052"/>
        <item sd="0" x="14053"/>
        <item x="14054"/>
        <item x="14055"/>
        <item x="14056"/>
        <item x="14057"/>
        <item x="14058"/>
        <item sd="0" x="14059"/>
        <item x="14060"/>
        <item x="14061"/>
        <item sd="0" x="14062"/>
        <item sd="0" x="14063"/>
        <item x="14064"/>
        <item x="14065"/>
        <item x="14066"/>
        <item x="14067"/>
        <item x="14068"/>
        <item x="14069"/>
        <item x="14070"/>
        <item x="14071"/>
        <item sd="0" x="14072"/>
        <item sd="0" x="14073"/>
        <item sd="0" x="14074"/>
        <item sd="0" x="14075"/>
        <item sd="0" x="14076"/>
        <item x="14077"/>
        <item x="14078"/>
        <item x="14079"/>
        <item x="14080"/>
        <item x="14081"/>
        <item sd="0" x="14082"/>
        <item sd="0" x="14083"/>
        <item sd="0" x="14084"/>
        <item sd="0" x="14085"/>
        <item x="14086"/>
        <item x="14087"/>
        <item x="14088"/>
        <item x="14089"/>
        <item x="14090"/>
        <item x="14091"/>
        <item x="14092"/>
        <item x="14093"/>
        <item sd="0" x="14094"/>
        <item sd="0" x="14095"/>
        <item x="14096"/>
        <item x="14097"/>
        <item sd="0" x="14098"/>
        <item x="14099"/>
        <item x="14100"/>
        <item x="14101"/>
        <item x="14102"/>
        <item x="14103"/>
        <item x="14104"/>
        <item sd="0" x="14105"/>
        <item sd="0" x="14106"/>
        <item x="14107"/>
        <item sd="0" x="14108"/>
        <item x="14109"/>
        <item x="14110"/>
        <item x="14111"/>
        <item x="14655"/>
        <item x="14656"/>
        <item sd="0" x="14657"/>
        <item sd="0" x="14658"/>
        <item x="14659"/>
        <item x="14660"/>
        <item sd="0" x="14661"/>
        <item x="14662"/>
        <item x="14663"/>
        <item x="14664"/>
        <item x="14665"/>
        <item x="14666"/>
        <item x="14667"/>
        <item x="14668"/>
        <item x="14669"/>
        <item sd="0" x="14670"/>
        <item sd="0" x="14671"/>
        <item x="14672"/>
        <item x="14673"/>
        <item x="14674"/>
        <item x="14675"/>
        <item x="14676"/>
        <item x="14677"/>
        <item x="14678"/>
        <item x="14679"/>
        <item sd="0" x="14680"/>
        <item sd="0" x="14681"/>
        <item x="14682"/>
        <item x="14683"/>
        <item x="14684"/>
        <item x="14685"/>
        <item x="14686"/>
        <item x="14687"/>
        <item x="14688"/>
        <item x="14689"/>
        <item x="14690"/>
        <item x="14691"/>
        <item x="14692"/>
        <item sd="0" x="14693"/>
        <item sd="0" x="14694"/>
        <item x="14695"/>
        <item x="14696"/>
        <item x="14697"/>
        <item x="14698"/>
        <item x="14699"/>
        <item x="14700"/>
        <item x="14701"/>
        <item x="14702"/>
        <item sd="0" x="14703"/>
        <item sd="0" x="14704"/>
        <item x="14705"/>
        <item x="14706"/>
        <item x="14707"/>
        <item x="14708"/>
        <item x="14709"/>
        <item x="14710"/>
        <item x="14711"/>
        <item x="14712"/>
        <item x="14713"/>
        <item sd="0" x="14714"/>
        <item sd="0" x="14715"/>
        <item x="15262"/>
        <item x="15263"/>
        <item x="15264"/>
        <item x="15265"/>
        <item x="15266"/>
        <item sd="0" x="15267"/>
        <item sd="0" x="15268"/>
        <item x="15269"/>
        <item sd="0" x="15270"/>
        <item sd="0" x="15271"/>
        <item x="15272"/>
        <item x="15273"/>
        <item x="15274"/>
        <item x="15275"/>
        <item x="15276"/>
        <item x="15277"/>
        <item x="15278"/>
        <item x="15279"/>
        <item sd="0" x="15280"/>
        <item sd="0" x="15281"/>
        <item x="15282"/>
        <item sd="0" x="15283"/>
        <item x="15284"/>
        <item x="15285"/>
        <item x="15286"/>
        <item x="15287"/>
        <item x="15288"/>
        <item x="15289"/>
        <item sd="0" x="15290"/>
        <item sd="0" x="15291"/>
        <item x="15292"/>
        <item sd="0" x="15293"/>
        <item x="15294"/>
        <item x="15295"/>
        <item x="15296"/>
        <item x="15297"/>
        <item x="15298"/>
        <item x="15299"/>
        <item sd="0" x="15300"/>
        <item x="15301"/>
        <item x="15302"/>
        <item sd="0" x="15303"/>
        <item x="15304"/>
        <item x="15305"/>
        <item x="15306"/>
        <item x="15307"/>
        <item x="15308"/>
        <item x="15309"/>
        <item x="15310"/>
        <item x="15311"/>
        <item sd="0" x="15312"/>
        <item sd="0" x="15313"/>
        <item x="15314"/>
        <item x="15315"/>
        <item x="15316"/>
        <item x="15317"/>
        <item x="15318"/>
        <item x="15319"/>
        <item x="15320"/>
        <item x="15321"/>
        <item sd="0" x="15322"/>
        <item sd="0" x="5986"/>
        <item x="5987"/>
        <item x="5988"/>
        <item x="5989"/>
        <item x="5990"/>
        <item x="5991"/>
        <item x="5992"/>
        <item x="5993"/>
        <item x="5994"/>
        <item x="5995"/>
        <item x="5996"/>
        <item x="5997"/>
        <item sd="0" x="5998"/>
        <item sd="0" x="5999"/>
        <item x="6000"/>
        <item x="6001"/>
        <item x="6002"/>
        <item x="6003"/>
        <item x="6004"/>
        <item x="6005"/>
        <item x="6006"/>
        <item x="6007"/>
        <item sd="0" x="6008"/>
        <item sd="0" x="6009"/>
        <item x="6010"/>
        <item x="6011"/>
        <item x="6012"/>
        <item x="6013"/>
        <item x="6014"/>
        <item x="6015"/>
        <item x="6016"/>
        <item x="6017"/>
        <item x="6018"/>
        <item x="6019"/>
        <item x="6020"/>
        <item sd="0" x="6021"/>
        <item sd="0" x="6022"/>
        <item x="6023"/>
        <item x="6024"/>
        <item x="6025"/>
        <item x="6026"/>
        <item x="6027"/>
        <item x="6028"/>
        <item x="6029"/>
        <item x="6030"/>
        <item sd="0" x="6031"/>
        <item sd="0" x="6032"/>
        <item x="6033"/>
        <item x="6034"/>
        <item x="6035"/>
        <item x="6036"/>
        <item x="6037"/>
        <item x="6038"/>
        <item x="6039"/>
        <item x="6040"/>
        <item sd="0" x="6041"/>
        <item sd="0" m="1" x="15445"/>
        <item sd="0" m="1" x="15465"/>
        <item sd="0" x="6042"/>
        <item x="6043"/>
        <item x="6044"/>
        <item x="6045"/>
        <item x="6046"/>
        <item x="6655"/>
        <item sd="0" x="6656"/>
        <item sd="0" x="6657"/>
        <item x="6658"/>
        <item x="6659"/>
        <item sd="0" x="6660"/>
        <item x="6661"/>
        <item x="6662"/>
        <item x="6663"/>
        <item x="6664"/>
        <item x="6665"/>
        <item sd="0" x="6666"/>
        <item sd="0" x="6667"/>
        <item x="6668"/>
        <item x="6669"/>
        <item sd="0" x="6670"/>
        <item x="6671"/>
        <item x="6672"/>
        <item x="6673"/>
        <item x="6674"/>
        <item x="6675"/>
        <item x="6676"/>
        <item x="6677"/>
        <item x="6678"/>
        <item sd="0" x="6679"/>
        <item sd="0" x="6680"/>
        <item x="6681"/>
        <item x="6682"/>
        <item x="6683"/>
        <item x="6684"/>
        <item x="6685"/>
        <item x="6686"/>
        <item x="6687"/>
        <item x="6688"/>
        <item sd="0" x="6689"/>
        <item sd="0" x="6690"/>
        <item x="6691"/>
        <item x="6692"/>
        <item x="6693"/>
        <item x="6694"/>
        <item x="6695"/>
        <item x="6696"/>
        <item x="6697"/>
        <item x="6698"/>
        <item x="6699"/>
        <item sd="0" x="6700"/>
        <item sd="0" x="6701"/>
        <item x="6702"/>
        <item x="6703"/>
        <item x="6704"/>
        <item x="6705"/>
        <item x="6706"/>
        <item x="6707"/>
        <item x="6708"/>
        <item x="6709"/>
        <item sd="0" x="6710"/>
        <item sd="0" x="6711"/>
        <item x="6712"/>
        <item x="6713"/>
        <item x="6714"/>
        <item x="6715"/>
        <item x="7316"/>
        <item x="7317"/>
        <item x="7318"/>
        <item x="7319"/>
        <item sd="0" x="7320"/>
        <item sd="0" x="7321"/>
        <item sd="0" x="7322"/>
        <item sd="0" x="7323"/>
        <item x="7324"/>
        <item x="7325"/>
        <item x="7326"/>
        <item x="7327"/>
        <item x="7328"/>
        <item x="7329"/>
        <item sd="0" x="7330"/>
        <item sd="0" x="7331"/>
        <item sd="0" x="7332"/>
        <item sd="0" x="7333"/>
        <item x="7334"/>
        <item x="7335"/>
        <item x="7336"/>
        <item x="7337"/>
        <item x="7338"/>
        <item x="7339"/>
        <item x="7340"/>
        <item x="7341"/>
        <item sd="0" x="7342"/>
        <item sd="0" x="7343"/>
        <item x="7344"/>
        <item x="7345"/>
        <item sd="0" x="7346"/>
        <item x="7347"/>
        <item x="7348"/>
        <item x="7349"/>
        <item x="7350"/>
        <item x="7351"/>
        <item sd="0" x="7352"/>
        <item sd="0" x="7353"/>
        <item x="7354"/>
        <item x="7355"/>
        <item sd="0" x="7356"/>
        <item x="7357"/>
        <item x="7358"/>
        <item x="7359"/>
        <item x="7360"/>
        <item x="7361"/>
        <item sd="0" x="7362"/>
        <item sd="0" x="7363"/>
        <item x="7364"/>
        <item x="7365"/>
        <item sd="0" x="7366"/>
        <item x="7367"/>
        <item x="7368"/>
        <item x="7369"/>
        <item x="7370"/>
        <item x="7371"/>
        <item sd="0" x="7372"/>
        <item sd="0" x="7373"/>
        <item x="7374"/>
        <item x="7375"/>
        <item x="7376"/>
        <item x="7977"/>
        <item x="7978"/>
        <item x="7979"/>
        <item x="7980"/>
        <item x="7981"/>
        <item sd="0" x="7982"/>
        <item sd="0" x="7983"/>
        <item x="7984"/>
        <item x="7985"/>
        <item x="7986"/>
        <item x="7987"/>
        <item x="7988"/>
        <item x="7989"/>
        <item x="7990"/>
        <item x="7991"/>
        <item sd="0" x="7992"/>
        <item sd="0" x="7993"/>
        <item x="7994"/>
        <item x="7995"/>
        <item sd="0" x="7996"/>
        <item x="7997"/>
        <item x="7998"/>
        <item x="7999"/>
        <item x="8000"/>
        <item x="8001"/>
        <item sd="0" x="8002"/>
        <item sd="0" x="8003"/>
        <item x="8004"/>
        <item sd="0" x="8005"/>
        <item sd="0" x="8006"/>
        <item x="8007"/>
        <item x="8008"/>
        <item x="8009"/>
        <item x="8010"/>
        <item x="8011"/>
        <item sd="0" x="8012"/>
        <item x="8013"/>
        <item x="8014"/>
        <item sd="0" x="8015"/>
        <item sd="0" x="8016"/>
        <item x="8017"/>
        <item sd="0" x="8018"/>
        <item sd="0" x="8019"/>
        <item x="8020"/>
        <item x="8021"/>
        <item x="8022"/>
        <item x="8023"/>
        <item x="8024"/>
        <item sd="0" x="8025"/>
        <item sd="0" x="8026"/>
        <item x="8027"/>
        <item sd="0" x="8028"/>
        <item sd="0" x="8029"/>
        <item x="8030"/>
        <item x="8031"/>
        <item x="8032"/>
        <item x="8033"/>
        <item x="8034"/>
        <item sd="0" x="8035"/>
        <item sd="0" x="8036"/>
        <item x="8037"/>
        <item sd="0" x="8655"/>
        <item sd="0" x="8656"/>
        <item x="8657"/>
        <item x="8658"/>
        <item x="8659"/>
        <item x="8660"/>
        <item x="8661"/>
        <item x="8662"/>
        <item x="8663"/>
        <item x="8664"/>
        <item sd="0" x="8665"/>
        <item sd="0" x="8666"/>
        <item x="8667"/>
        <item x="8668"/>
        <item x="8669"/>
        <item x="8670"/>
        <item x="8671"/>
        <item x="8672"/>
        <item x="8673"/>
        <item x="8674"/>
        <item sd="0" x="8675"/>
        <item sd="0" x="8676"/>
        <item x="8677"/>
        <item x="8678"/>
        <item x="8679"/>
        <item x="8680"/>
        <item x="8681"/>
        <item x="8682"/>
        <item x="8683"/>
        <item x="8684"/>
        <item x="8685"/>
        <item x="8686"/>
        <item sd="0" x="8687"/>
        <item sd="0" x="8688"/>
        <item x="8689"/>
        <item x="8690"/>
        <item x="8691"/>
        <item x="8692"/>
        <item x="8693"/>
        <item x="8694"/>
        <item x="8695"/>
        <item x="8696"/>
        <item sd="0" x="8697"/>
        <item sd="0" x="8698"/>
        <item x="8699"/>
        <item x="8700"/>
        <item x="8701"/>
        <item x="8702"/>
        <item x="8703"/>
        <item x="8704"/>
        <item x="8705"/>
        <item x="8706"/>
        <item sd="0" m="1" x="15500"/>
        <item x="8707"/>
        <item x="8708"/>
        <item x="8709"/>
        <item x="8710"/>
        <item x="8711"/>
        <item x="8712"/>
        <item sd="0" x="8713"/>
        <item sd="0" x="8714"/>
        <item x="9317"/>
        <item x="9318"/>
        <item x="9319"/>
        <item x="9320"/>
        <item x="9321"/>
        <item x="9322"/>
        <item x="9323"/>
        <item x="9324"/>
        <item sd="0" x="9325"/>
        <item x="9326"/>
        <item x="9327"/>
        <item x="9328"/>
        <item x="9329"/>
        <item x="9330"/>
        <item x="9331"/>
        <item x="9332"/>
        <item x="9333"/>
        <item x="9334"/>
        <item x="9335"/>
        <item x="9336"/>
        <item sd="0" x="9337"/>
        <item sd="0" x="9338"/>
        <item x="9339"/>
        <item x="9340"/>
        <item x="9341"/>
        <item x="9342"/>
        <item x="9343"/>
        <item x="9344"/>
        <item x="9345"/>
        <item x="9346"/>
        <item sd="0" x="9347"/>
        <item sd="0" x="9348"/>
        <item x="9349"/>
        <item x="9350"/>
        <item x="9351"/>
        <item x="9352"/>
        <item x="9353"/>
        <item x="9354"/>
        <item x="9355"/>
        <item x="9356"/>
        <item x="9357"/>
        <item x="9358"/>
        <item x="9359"/>
        <item sd="0" x="9360"/>
        <item sd="0" x="9361"/>
        <item x="9362"/>
        <item x="9363"/>
        <item x="9364"/>
        <item x="9365"/>
        <item x="9366"/>
        <item x="9367"/>
        <item x="9368"/>
        <item x="9369"/>
        <item sd="0" x="9370"/>
        <item sd="0" x="9371"/>
        <item x="9372"/>
        <item x="9373"/>
        <item x="9374"/>
        <item x="9375"/>
        <item x="9376"/>
        <item x="9981"/>
        <item x="9982"/>
        <item x="9983"/>
        <item sd="0" x="9984"/>
        <item x="9985"/>
        <item x="9986"/>
        <item sd="0" x="9987"/>
        <item sd="0" x="9988"/>
        <item x="9989"/>
        <item x="9990"/>
        <item x="9991"/>
        <item x="9992"/>
        <item x="9993"/>
        <item sd="0" x="9994"/>
        <item x="9995"/>
        <item x="9996"/>
        <item sd="0" x="9997"/>
        <item sd="0" x="9998"/>
        <item x="9999"/>
        <item x="10000"/>
        <item x="10001"/>
        <item x="10002"/>
        <item x="10003"/>
        <item x="10004"/>
        <item x="10005"/>
        <item x="10006"/>
        <item sd="0" x="10007"/>
        <item sd="0" x="10008"/>
        <item sd="0" x="10009"/>
        <item sd="0" x="10010"/>
        <item sd="0" x="10011"/>
        <item x="10012"/>
        <item x="10013"/>
        <item x="10014"/>
        <item x="10015"/>
        <item x="10016"/>
        <item sd="0" x="10017"/>
        <item sd="0" x="10018"/>
        <item sd="0" x="10019"/>
        <item sd="0" x="10020"/>
        <item x="10021"/>
        <item x="10022"/>
        <item x="10023"/>
        <item x="10024"/>
        <item x="10025"/>
        <item x="10026"/>
        <item x="10027"/>
        <item x="10028"/>
        <item sd="0" x="10029"/>
        <item sd="0" x="10030"/>
        <item x="10031"/>
        <item x="10032"/>
        <item x="10033"/>
        <item x="10034"/>
        <item x="10035"/>
        <item x="10036"/>
        <item sd="0" x="10037"/>
        <item sd="0" x="10038"/>
        <item x="10039"/>
        <item x="10040"/>
        <item x="10041"/>
        <item x="10602"/>
        <item x="10603"/>
        <item x="10604"/>
        <item x="10605"/>
        <item x="10606"/>
        <item sd="0" x="10607"/>
        <item sd="0" x="10608"/>
        <item x="10609"/>
        <item x="10610"/>
        <item x="10611"/>
        <item x="10612"/>
        <item x="10613"/>
        <item x="10614"/>
        <item x="10615"/>
        <item x="10616"/>
        <item x="10617"/>
        <item sd="0" x="10618"/>
        <item sd="0" x="10619"/>
        <item x="10620"/>
        <item x="10621"/>
        <item x="10622"/>
        <item x="10623"/>
        <item x="10624"/>
        <item x="10625"/>
        <item x="10626"/>
        <item x="10627"/>
        <item sd="0" x="10628"/>
        <item sd="0" x="10629"/>
        <item x="10630"/>
        <item x="10631"/>
        <item x="10632"/>
        <item x="10633"/>
        <item x="10634"/>
        <item x="10635"/>
        <item sd="0" x="10636"/>
        <item x="10637"/>
        <item sd="0" x="10638"/>
        <item sd="0" x="10639"/>
        <item x="10640"/>
        <item sd="0" x="10641"/>
        <item x="10642"/>
        <item x="10643"/>
        <item x="10644"/>
        <item x="10645"/>
        <item x="10646"/>
        <item x="10647"/>
        <item sd="0" x="10648"/>
        <item sd="0" x="10649"/>
        <item x="10650"/>
        <item sd="0" x="10651"/>
        <item x="10652"/>
        <item x="10653"/>
        <item x="10654"/>
        <item x="10655"/>
        <item x="10656"/>
        <item x="10657"/>
        <item x="10658"/>
        <item x="10659"/>
        <item x="10660"/>
        <item sd="0" x="10661"/>
        <item x="11205"/>
        <item x="11206"/>
        <item x="11207"/>
        <item x="11208"/>
        <item sd="0" x="11209"/>
        <item sd="0" x="11210"/>
        <item x="11211"/>
        <item x="11212"/>
        <item x="11213"/>
        <item x="11214"/>
        <item x="11215"/>
        <item sd="0" x="11216"/>
        <item sd="0" x="11217"/>
        <item x="11218"/>
        <item sd="0" x="11219"/>
        <item sd="0" x="11220"/>
        <item x="11221"/>
        <item x="11222"/>
        <item x="11223"/>
        <item x="11224"/>
        <item x="11225"/>
        <item x="11226"/>
        <item x="11227"/>
        <item x="11228"/>
        <item sd="0" x="11229"/>
        <item sd="0" x="11230"/>
        <item x="11231"/>
        <item sd="0" x="11232"/>
        <item x="11233"/>
        <item x="11234"/>
        <item x="11235"/>
        <item x="11236"/>
        <item x="11237"/>
        <item x="11238"/>
        <item sd="0" x="11239"/>
        <item sd="0" x="11240"/>
        <item x="11241"/>
        <item sd="0" x="11242"/>
        <item x="11243"/>
        <item x="11244"/>
        <item x="11245"/>
        <item x="11246"/>
        <item x="11247"/>
        <item x="11248"/>
        <item sd="0" x="11249"/>
        <item x="11250"/>
        <item x="11251"/>
        <item sd="0" x="11252"/>
        <item x="11253"/>
        <item x="11254"/>
        <item x="11255"/>
        <item x="11256"/>
        <item x="11257"/>
        <item x="11258"/>
        <item sd="0" x="11259"/>
        <item sd="0" x="11260"/>
        <item x="11261"/>
        <item x="11262"/>
        <item x="11263"/>
        <item x="11264"/>
        <item x="11265"/>
        <item x="11769"/>
        <item x="11770"/>
        <item x="11771"/>
        <item sd="0" x="11772"/>
        <item sd="0" x="11773"/>
        <item x="11774"/>
        <item x="11775"/>
        <item x="11776"/>
        <item x="11777"/>
        <item x="11778"/>
        <item x="11779"/>
        <item x="11780"/>
        <item x="11781"/>
        <item sd="0" x="11782"/>
        <item x="11783"/>
        <item sd="0" x="11784"/>
        <item sd="0" x="11785"/>
        <item sd="0" x="11786"/>
        <item x="11787"/>
        <item x="11788"/>
        <item x="11789"/>
        <item x="11790"/>
        <item x="11791"/>
        <item sd="0" x="11792"/>
        <item x="11793"/>
        <item sd="0" x="11794"/>
        <item sd="0" x="11795"/>
        <item x="11796"/>
        <item x="11797"/>
        <item x="11798"/>
        <item x="11799"/>
        <item x="11800"/>
        <item x="11801"/>
        <item x="11802"/>
        <item x="11803"/>
        <item sd="0" x="11804"/>
        <item sd="0" x="11805"/>
        <item x="11806"/>
        <item sd="0" x="11807"/>
        <item sd="0" x="11808"/>
        <item x="11809"/>
        <item x="11810"/>
        <item x="11811"/>
        <item x="11812"/>
        <item x="11813"/>
        <item x="11814"/>
        <item sd="0" x="11815"/>
        <item sd="0" x="11816"/>
        <item sd="0" x="11817"/>
        <item sd="0" x="11818"/>
        <item x="11819"/>
        <item x="11820"/>
        <item x="11821"/>
        <item x="11822"/>
        <item x="11823"/>
        <item sd="0" x="11824"/>
        <item sd="0" x="11825"/>
        <item x="11826"/>
        <item sd="0" x="11827"/>
        <item sd="0" x="11828"/>
        <item x="11829"/>
        <item x="12313"/>
        <item sd="0" x="12314"/>
        <item x="12315"/>
        <item x="12316"/>
        <item x="12317"/>
        <item x="12318"/>
        <item x="12319"/>
        <item sd="0" x="12320"/>
        <item sd="0" x="12321"/>
        <item x="12322"/>
        <item x="12323"/>
        <item sd="0" x="12324"/>
        <item x="12325"/>
        <item x="12326"/>
        <item x="12327"/>
        <item x="12328"/>
        <item x="12329"/>
        <item sd="0" x="12330"/>
        <item sd="0" x="12331"/>
        <item x="12332"/>
        <item x="12333"/>
        <item sd="0" x="12334"/>
        <item x="12335"/>
        <item x="12336"/>
        <item x="12337"/>
        <item x="12338"/>
        <item x="12339"/>
        <item x="12340"/>
        <item x="12341"/>
        <item x="12342"/>
        <item sd="0" x="12343"/>
        <item sd="0" x="12344"/>
        <item x="12345"/>
        <item x="12346"/>
        <item x="12347"/>
        <item x="12348"/>
        <item x="12349"/>
        <item x="12350"/>
        <item x="12351"/>
        <item x="12352"/>
        <item sd="0" x="12353"/>
        <item sd="0" x="12354"/>
        <item x="12355"/>
        <item x="12356"/>
        <item x="12357"/>
        <item x="12358"/>
        <item x="12359"/>
        <item x="12360"/>
        <item x="12361"/>
        <item sd="0" m="1" x="15460"/>
        <item sd="0" x="12362"/>
        <item x="12363"/>
        <item x="12364"/>
        <item x="12365"/>
        <item x="12366"/>
        <item x="12367"/>
        <item sd="0" x="12368"/>
        <item sd="0" x="12369"/>
        <item x="12370"/>
        <item x="12371"/>
        <item sd="0" x="12372"/>
        <item x="12373"/>
        <item x="12904"/>
        <item x="12905"/>
        <item x="12906"/>
        <item x="12907"/>
        <item sd="0" x="12908"/>
        <item sd="0" x="12909"/>
        <item x="12910"/>
        <item x="12911"/>
        <item sd="0" x="12912"/>
        <item x="12913"/>
        <item x="12914"/>
        <item x="12915"/>
        <item x="12916"/>
        <item x="12917"/>
        <item x="12918"/>
        <item x="12919"/>
        <item x="12920"/>
        <item sd="0" x="12921"/>
        <item sd="0" x="12922"/>
        <item x="12923"/>
        <item x="12924"/>
        <item x="12925"/>
        <item x="12926"/>
        <item x="12927"/>
        <item x="12928"/>
        <item x="12929"/>
        <item x="12930"/>
        <item sd="0" x="12931"/>
        <item x="12932"/>
        <item x="12933"/>
        <item x="12934"/>
        <item x="12935"/>
        <item x="12936"/>
        <item x="12937"/>
        <item x="12938"/>
        <item x="12939"/>
        <item x="12940"/>
        <item x="12941"/>
        <item x="12942"/>
        <item x="12943"/>
        <item sd="0" x="12944"/>
        <item sd="0" x="12945"/>
        <item x="12946"/>
        <item x="12947"/>
        <item x="12948"/>
        <item x="12949"/>
        <item x="12950"/>
        <item x="12951"/>
        <item x="12952"/>
        <item x="12953"/>
        <item sd="0" x="12954"/>
        <item sd="0" x="12955"/>
        <item x="12956"/>
        <item x="12957"/>
        <item x="12958"/>
        <item x="12959"/>
        <item x="12960"/>
        <item x="12961"/>
        <item x="12962"/>
        <item x="12963"/>
        <item x="13507"/>
        <item x="13508"/>
        <item sd="0" x="13509"/>
        <item sd="0" x="13510"/>
        <item x="13511"/>
        <item x="13512"/>
        <item x="13513"/>
        <item x="13514"/>
        <item x="13515"/>
        <item x="13516"/>
        <item x="13517"/>
        <item x="13518"/>
        <item sd="0" x="13519"/>
        <item sd="0" x="13520"/>
        <item x="13521"/>
        <item x="13522"/>
        <item x="13523"/>
        <item x="13524"/>
        <item x="13525"/>
        <item x="13526"/>
        <item x="13527"/>
        <item x="13528"/>
        <item sd="0" x="13529"/>
        <item sd="0" x="13530"/>
        <item x="13531"/>
        <item x="13532"/>
        <item sd="0" x="13533"/>
        <item x="13534"/>
        <item x="13535"/>
        <item x="13536"/>
        <item x="13537"/>
        <item x="13538"/>
        <item sd="0" x="13539"/>
        <item sd="0" x="13540"/>
        <item x="13541"/>
        <item sd="0" x="13542"/>
        <item sd="0" x="13543"/>
        <item x="13544"/>
        <item x="13545"/>
        <item x="13546"/>
        <item x="13547"/>
        <item x="13548"/>
        <item sd="0" x="13549"/>
        <item x="13550"/>
        <item x="13551"/>
        <item sd="0" x="13552"/>
        <item sd="0" x="13553"/>
        <item x="13554"/>
        <item x="13555"/>
        <item x="13556"/>
        <item x="13557"/>
        <item x="13558"/>
        <item sd="0" x="13559"/>
        <item sd="0" x="13560"/>
        <item x="13561"/>
        <item x="13562"/>
        <item x="13563"/>
        <item x="13564"/>
        <item x="13565"/>
        <item x="13566"/>
        <item x="14112"/>
        <item x="14113"/>
        <item sd="0" x="14114"/>
        <item sd="0" x="14115"/>
        <item x="14116"/>
        <item x="14117"/>
        <item x="14118"/>
        <item x="14119"/>
        <item x="14120"/>
        <item x="14121"/>
        <item x="14122"/>
        <item x="14123"/>
        <item x="14124"/>
        <item sd="0" x="14125"/>
        <item sd="0" x="14126"/>
        <item x="14127"/>
        <item x="14128"/>
        <item x="14129"/>
        <item x="14130"/>
        <item x="14131"/>
        <item sd="0" x="14132"/>
        <item x="14133"/>
        <item x="14134"/>
        <item sd="0" x="14135"/>
        <item sd="0" x="14136"/>
        <item x="14137"/>
        <item x="14138"/>
        <item x="14139"/>
        <item x="14140"/>
        <item x="14141"/>
        <item x="14142"/>
        <item x="14143"/>
        <item x="14144"/>
        <item sd="0" x="14145"/>
        <item sd="0" x="14146"/>
        <item x="14147"/>
        <item sd="0" x="14148"/>
        <item sd="0" x="14149"/>
        <item x="14150"/>
        <item x="14151"/>
        <item x="14152"/>
        <item x="14153"/>
        <item x="14154"/>
        <item sd="0" x="14155"/>
        <item sd="0" x="14156"/>
        <item x="14157"/>
        <item sd="0" x="14158"/>
        <item sd="0" x="14159"/>
        <item x="14160"/>
        <item x="14161"/>
        <item x="14162"/>
        <item x="14163"/>
        <item x="14164"/>
        <item x="14165"/>
        <item x="14166"/>
        <item x="14167"/>
        <item sd="0" x="14168"/>
        <item sd="0" x="14169"/>
        <item x="14170"/>
        <item x="14171"/>
        <item x="14716"/>
        <item x="14717"/>
        <item x="14718"/>
        <item x="14719"/>
        <item x="14720"/>
        <item x="14721"/>
        <item sd="0" x="14722"/>
        <item sd="0" x="14723"/>
        <item x="14724"/>
        <item x="14725"/>
        <item x="14726"/>
        <item x="14727"/>
        <item x="14728"/>
        <item x="14729"/>
        <item x="14730"/>
        <item x="14731"/>
        <item sd="0" x="14732"/>
        <item x="14733"/>
        <item x="14734"/>
        <item x="14735"/>
        <item x="14736"/>
        <item x="14737"/>
        <item x="14738"/>
        <item x="14739"/>
        <item x="14740"/>
        <item x="14741"/>
        <item x="14742"/>
        <item x="14743"/>
        <item sd="0" x="14744"/>
        <item sd="0" x="14745"/>
        <item x="14746"/>
        <item x="14747"/>
        <item x="14748"/>
        <item x="14749"/>
        <item x="14750"/>
        <item x="14751"/>
        <item x="14752"/>
        <item x="14753"/>
        <item sd="0" x="14754"/>
        <item sd="0" x="14755"/>
        <item x="14756"/>
        <item x="14757"/>
        <item x="14758"/>
        <item x="14759"/>
        <item x="14760"/>
        <item x="14761"/>
        <item x="14762"/>
        <item x="14763"/>
        <item sd="0" m="1" x="15495"/>
        <item sd="0" x="14764"/>
        <item sd="0" x="14765"/>
        <item sd="0" x="14766"/>
        <item x="14767"/>
        <item x="14768"/>
        <item x="14769"/>
        <item x="14770"/>
        <item x="14771"/>
        <item sd="0" x="14772"/>
        <item sd="0" x="14773"/>
        <item sd="0" x="14774"/>
        <item sd="0" x="14775"/>
        <item x="14776"/>
        <item x="15323"/>
        <item x="15324"/>
        <item x="15325"/>
        <item x="15326"/>
        <item x="15327"/>
        <item x="15328"/>
        <item x="15329"/>
        <item sd="0" x="15330"/>
        <item sd="0" x="15331"/>
        <item x="15332"/>
        <item x="15333"/>
        <item sd="0" x="15334"/>
        <item x="15335"/>
        <item x="15336"/>
        <item x="15337"/>
        <item x="15338"/>
        <item x="15339"/>
        <item x="15340"/>
        <item sd="0" x="15341"/>
        <item sd="0" x="15342"/>
        <item x="15343"/>
        <item sd="0" x="15344"/>
        <item x="15345"/>
        <item x="15346"/>
        <item x="15347"/>
        <item x="15348"/>
        <item x="15349"/>
        <item sd="0" x="15350"/>
        <item sd="0" x="15351"/>
        <item x="15352"/>
        <item x="15353"/>
        <item sd="0" x="15354"/>
        <item x="15355"/>
        <item x="15356"/>
        <item x="15357"/>
        <item x="15358"/>
        <item x="15359"/>
        <item x="15360"/>
        <item x="15361"/>
        <item x="15362"/>
        <item sd="0" x="15363"/>
        <item sd="0" x="15364"/>
        <item x="15365"/>
        <item x="15366"/>
        <item x="15367"/>
        <item x="15368"/>
        <item x="15369"/>
        <item x="15370"/>
        <item x="15371"/>
        <item x="15372"/>
        <item sd="0" x="15373"/>
        <item sd="0" x="15374"/>
        <item x="15375"/>
        <item x="15376"/>
        <item x="15377"/>
        <item x="15378"/>
        <item x="15379"/>
        <item x="15380"/>
        <item x="15381"/>
        <item x="15382"/>
        <item x="15383"/>
        <item x="6047"/>
        <item x="6048"/>
        <item sd="0" x="6049"/>
        <item sd="0" x="6050"/>
        <item x="6051"/>
        <item x="6052"/>
        <item x="6053"/>
        <item x="6054"/>
        <item x="6055"/>
        <item x="6056"/>
        <item x="6057"/>
        <item x="6058"/>
        <item sd="0" x="6059"/>
        <item sd="0" x="6060"/>
        <item x="6061"/>
        <item x="6062"/>
        <item x="6063"/>
        <item x="6064"/>
        <item x="6065"/>
        <item x="6066"/>
        <item x="6067"/>
        <item x="6068"/>
        <item x="6069"/>
        <item sd="0" x="6070"/>
        <item sd="0" x="6071"/>
        <item x="6072"/>
        <item x="6073"/>
        <item x="6074"/>
        <item x="6075"/>
        <item x="6076"/>
        <item x="6077"/>
        <item x="6078"/>
        <item x="6079"/>
        <item sd="0" x="6080"/>
        <item sd="0" x="6081"/>
        <item x="6082"/>
        <item x="6083"/>
        <item x="6084"/>
        <item x="6085"/>
        <item x="6086"/>
        <item x="6087"/>
        <item sd="0" x="6088"/>
        <item x="6089"/>
        <item sd="0" x="6090"/>
        <item sd="0" x="6091"/>
        <item x="6092"/>
        <item x="6093"/>
        <item x="6094"/>
        <item x="6095"/>
        <item x="6096"/>
        <item x="6097"/>
        <item sd="0" x="6098"/>
        <item sd="0" x="6099"/>
        <item x="6100"/>
        <item x="6101"/>
        <item x="6102"/>
        <item x="6103"/>
        <item x="6104"/>
        <item x="6105"/>
        <item x="6106"/>
        <item x="6107"/>
        <item sd="0" x="6716"/>
        <item sd="0" x="6717"/>
        <item x="6718"/>
        <item x="6719"/>
        <item x="6720"/>
        <item x="6721"/>
        <item x="6722"/>
        <item x="6723"/>
        <item x="6724"/>
        <item x="6725"/>
        <item x="6726"/>
        <item x="6727"/>
        <item sd="0" x="6728"/>
        <item sd="0" x="6729"/>
        <item sd="0" x="6730"/>
        <item x="6731"/>
        <item x="6732"/>
        <item x="6733"/>
        <item x="6734"/>
        <item x="6735"/>
        <item x="6736"/>
        <item x="6737"/>
        <item sd="0" x="6738"/>
        <item sd="0" x="6739"/>
        <item x="6740"/>
        <item x="6741"/>
        <item x="6742"/>
        <item x="6743"/>
        <item x="6744"/>
        <item x="6745"/>
        <item x="6746"/>
        <item x="6747"/>
        <item sd="0" x="6748"/>
        <item x="6749"/>
        <item x="6750"/>
        <item sd="0" x="6751"/>
        <item sd="0" x="6752"/>
        <item x="6753"/>
        <item x="6754"/>
        <item x="6755"/>
        <item x="6756"/>
        <item x="6757"/>
        <item sd="0" x="6758"/>
        <item x="6759"/>
        <item x="6760"/>
        <item sd="0" x="6761"/>
        <item sd="0" x="6762"/>
        <item x="6763"/>
        <item x="6764"/>
        <item x="6765"/>
        <item x="6766"/>
        <item x="6767"/>
        <item x="6768"/>
        <item x="6769"/>
        <item x="6770"/>
        <item sd="0" x="6771"/>
        <item sd="0" x="6772"/>
        <item x="6773"/>
        <item sd="0" x="6774"/>
        <item sd="0" x="6775"/>
        <item x="7377"/>
        <item x="7378"/>
        <item x="7379"/>
        <item x="7380"/>
        <item x="7381"/>
        <item sd="0" x="7382"/>
        <item sd="0" x="7383"/>
        <item x="7384"/>
        <item sd="0" x="7385"/>
        <item sd="0" x="7386"/>
        <item x="7387"/>
        <item x="7388"/>
        <item x="7389"/>
        <item x="7390"/>
        <item x="7391"/>
        <item sd="0" x="7392"/>
        <item x="7393"/>
        <item x="7394"/>
        <item sd="0" x="7395"/>
        <item sd="0" x="7396"/>
        <item x="7397"/>
        <item sd="0" x="7398"/>
        <item sd="0" x="7399"/>
        <item x="7400"/>
        <item x="7401"/>
        <item x="7402"/>
        <item x="7403"/>
        <item x="7404"/>
        <item sd="0" x="7405"/>
        <item sd="0" x="7406"/>
        <item x="7407"/>
        <item sd="0" x="7408"/>
        <item x="7409"/>
        <item x="7410"/>
        <item x="7411"/>
        <item x="7412"/>
        <item x="7413"/>
        <item x="7414"/>
        <item sd="0" x="7415"/>
        <item sd="0" x="7416"/>
        <item x="7417"/>
        <item sd="0" x="7418"/>
        <item x="7419"/>
        <item x="7420"/>
        <item x="7421"/>
        <item x="7422"/>
        <item sd="0" x="7423"/>
        <item sd="0" x="7424"/>
        <item x="7425"/>
        <item x="7426"/>
        <item x="7427"/>
        <item x="7428"/>
        <item x="7429"/>
        <item sd="0" x="7430"/>
        <item x="7431"/>
        <item x="7432"/>
        <item sd="0" x="7433"/>
        <item sd="0" x="7434"/>
        <item x="7435"/>
        <item x="7436"/>
        <item x="8038"/>
        <item x="8039"/>
        <item x="8040"/>
        <item x="8041"/>
        <item x="8042"/>
        <item x="8043"/>
        <item sd="0" x="8044"/>
        <item sd="0" x="8045"/>
        <item x="8046"/>
        <item sd="0" x="8047"/>
        <item sd="0" x="8048"/>
        <item x="8049"/>
        <item x="8050"/>
        <item x="8051"/>
        <item x="8052"/>
        <item x="8053"/>
        <item sd="0" x="8054"/>
        <item sd="0" x="8055"/>
        <item x="8056"/>
        <item sd="0" x="8057"/>
        <item sd="0" x="8058"/>
        <item x="8059"/>
        <item x="8060"/>
        <item x="8061"/>
        <item x="8062"/>
        <item x="8063"/>
        <item x="8064"/>
        <item x="8065"/>
        <item x="8066"/>
        <item sd="0" x="8067"/>
        <item sd="0" x="8068"/>
        <item x="8069"/>
        <item x="8070"/>
        <item x="8071"/>
        <item x="8072"/>
        <item x="8073"/>
        <item x="8074"/>
        <item x="8075"/>
        <item x="8076"/>
        <item sd="0" x="8077"/>
        <item sd="0" x="8078"/>
        <item x="8079"/>
        <item x="8080"/>
        <item x="8081"/>
        <item x="8082"/>
        <item x="8083"/>
        <item x="8084"/>
        <item x="8085"/>
        <item x="8086"/>
        <item sd="0" x="8087"/>
        <item sd="0" x="8088"/>
        <item x="8089"/>
        <item x="8090"/>
        <item x="8091"/>
        <item x="8092"/>
        <item x="8093"/>
        <item x="8094"/>
        <item x="8095"/>
        <item x="8096"/>
        <item x="8097"/>
        <item x="8715"/>
        <item sd="0" x="8716"/>
        <item sd="0" x="8717"/>
        <item x="8718"/>
        <item x="8719"/>
        <item x="8720"/>
        <item x="8721"/>
        <item x="8722"/>
        <item x="8723"/>
        <item x="8724"/>
        <item x="8725"/>
        <item sd="0" x="8726"/>
        <item sd="0" x="8727"/>
        <item x="8728"/>
        <item x="8729"/>
        <item x="8730"/>
        <item x="8731"/>
        <item x="8732"/>
        <item x="8733"/>
        <item x="8734"/>
        <item x="8735"/>
        <item x="8736"/>
        <item x="8737"/>
        <item x="8738"/>
        <item sd="0" x="8739"/>
        <item sd="0" x="8740"/>
        <item x="8741"/>
        <item x="8742"/>
        <item x="8743"/>
        <item x="8744"/>
        <item x="8745"/>
        <item x="8746"/>
        <item x="8747"/>
        <item x="8748"/>
        <item sd="0" x="8749"/>
        <item sd="0" x="8750"/>
        <item x="8751"/>
        <item x="8752"/>
        <item x="8753"/>
        <item x="8754"/>
        <item x="8755"/>
        <item x="8756"/>
        <item x="8757"/>
        <item x="8758"/>
        <item sd="0" x="8759"/>
        <item sd="0" m="1" x="15455"/>
        <item sd="0" x="8760"/>
        <item x="8761"/>
        <item x="8762"/>
        <item x="8763"/>
        <item x="8764"/>
        <item x="8765"/>
        <item sd="0" x="8766"/>
        <item sd="0" x="8767"/>
        <item x="8768"/>
        <item x="8769"/>
        <item sd="0" x="8770"/>
        <item x="8771"/>
        <item x="8772"/>
        <item x="8773"/>
        <item x="8774"/>
        <item x="9377"/>
        <item sd="0" x="9378"/>
        <item sd="0" x="9379"/>
        <item x="9380"/>
        <item x="9381"/>
        <item sd="0" x="9382"/>
        <item x="9383"/>
        <item x="9384"/>
        <item x="9385"/>
        <item x="9386"/>
        <item x="9387"/>
        <item x="9388"/>
        <item x="9389"/>
        <item x="9390"/>
        <item sd="0" x="9391"/>
        <item sd="0" x="9392"/>
        <item x="9393"/>
        <item x="9394"/>
        <item x="9395"/>
        <item x="9396"/>
        <item x="9397"/>
        <item x="9398"/>
        <item x="9399"/>
        <item x="9400"/>
        <item sd="0" x="9401"/>
        <item sd="0" x="9402"/>
        <item x="9403"/>
        <item x="9404"/>
        <item x="9405"/>
        <item x="9406"/>
        <item x="9407"/>
        <item x="9408"/>
        <item x="9409"/>
        <item x="9410"/>
        <item x="9411"/>
        <item x="9412"/>
        <item x="9413"/>
        <item sd="0" x="9414"/>
        <item sd="0" x="9415"/>
        <item x="9416"/>
        <item x="9417"/>
        <item x="9418"/>
        <item x="9419"/>
        <item x="9420"/>
        <item x="9421"/>
        <item x="9422"/>
        <item x="9423"/>
        <item sd="0" x="9424"/>
        <item sd="0" x="9425"/>
        <item x="9426"/>
        <item x="9427"/>
        <item x="9428"/>
        <item x="9429"/>
        <item x="9430"/>
        <item x="9431"/>
        <item x="9432"/>
        <item x="9433"/>
        <item sd="0" x="9434"/>
        <item sd="0" x="9435"/>
        <item x="9436"/>
        <item x="9437"/>
        <item x="10042"/>
        <item x="10043"/>
        <item x="10044"/>
        <item x="10045"/>
        <item sd="0" x="10046"/>
        <item x="10047"/>
        <item sd="0" x="10048"/>
        <item sd="0" x="10049"/>
        <item x="10050"/>
        <item x="10051"/>
        <item x="10052"/>
        <item x="10053"/>
        <item x="10054"/>
        <item x="10055"/>
        <item x="10056"/>
        <item x="10057"/>
        <item sd="0" x="10058"/>
        <item sd="0" x="10059"/>
        <item x="10060"/>
        <item x="10061"/>
        <item sd="0" x="10062"/>
        <item x="10063"/>
        <item x="10064"/>
        <item x="10065"/>
        <item x="10066"/>
        <item x="10067"/>
        <item sd="0" x="10068"/>
        <item sd="0" x="10069"/>
        <item x="10070"/>
        <item x="10071"/>
        <item sd="0" x="10072"/>
        <item x="10073"/>
        <item x="10074"/>
        <item x="10075"/>
        <item x="10076"/>
        <item x="10077"/>
        <item sd="0" x="10078"/>
        <item x="10079"/>
        <item x="10080"/>
        <item x="10081"/>
        <item sd="0" x="10082"/>
        <item x="10083"/>
        <item x="10084"/>
        <item x="10085"/>
        <item x="10086"/>
        <item x="10087"/>
        <item sd="0" x="10088"/>
        <item sd="0" x="10089"/>
        <item sd="0" x="10090"/>
        <item x="10091"/>
        <item x="10092"/>
        <item x="10093"/>
        <item x="10094"/>
        <item x="10095"/>
        <item x="10096"/>
        <item x="10097"/>
        <item sd="0" x="10098"/>
        <item sd="0" x="10099"/>
        <item x="10100"/>
        <item x="10101"/>
        <item x="10662"/>
        <item x="10663"/>
        <item x="10664"/>
        <item x="10665"/>
        <item x="10666"/>
        <item x="10667"/>
        <item sd="0" x="10668"/>
        <item sd="0" x="10669"/>
        <item x="10670"/>
        <item sd="0" x="10671"/>
        <item sd="0" x="10672"/>
        <item x="10673"/>
        <item x="10674"/>
        <item x="10675"/>
        <item x="10676"/>
        <item x="10677"/>
        <item sd="0" x="10678"/>
        <item sd="0" x="10679"/>
        <item x="10680"/>
        <item sd="0" x="10681"/>
        <item sd="0" x="10682"/>
        <item x="10683"/>
        <item x="10684"/>
        <item x="10685"/>
        <item x="10686"/>
        <item x="10687"/>
        <item x="10688"/>
        <item x="10689"/>
        <item x="10690"/>
        <item sd="0" x="10691"/>
        <item sd="0" x="10692"/>
        <item x="10693"/>
        <item sd="0" x="10694"/>
        <item sd="0" x="10695"/>
        <item x="10696"/>
        <item x="10697"/>
        <item x="10698"/>
        <item x="10699"/>
        <item x="10700"/>
        <item sd="0" x="10701"/>
        <item sd="0" x="10702"/>
        <item x="10703"/>
        <item sd="0" x="10704"/>
        <item sd="0" x="10705"/>
        <item x="10706"/>
        <item x="10707"/>
        <item x="10708"/>
        <item x="10709"/>
        <item x="10710"/>
        <item sd="0" x="10711"/>
        <item x="10712"/>
        <item x="10713"/>
        <item sd="0" x="10714"/>
        <item sd="0" x="10715"/>
        <item x="10716"/>
        <item x="10717"/>
        <item sd="0" x="10718"/>
        <item x="10719"/>
        <item x="10720"/>
        <item x="10721"/>
        <item x="11266"/>
        <item x="11267"/>
        <item sd="0" x="11268"/>
        <item sd="0" x="11269"/>
        <item x="11270"/>
        <item x="11271"/>
        <item x="11272"/>
        <item x="11273"/>
        <item x="11274"/>
        <item x="11275"/>
        <item x="11276"/>
        <item x="11277"/>
        <item sd="0" x="11278"/>
        <item sd="0" x="11279"/>
        <item x="11280"/>
        <item x="11281"/>
        <item x="11282"/>
        <item x="11283"/>
        <item x="11284"/>
        <item x="11285"/>
        <item x="11286"/>
        <item x="11287"/>
        <item x="11288"/>
        <item x="11289"/>
        <item sd="0" x="11290"/>
        <item sd="0" x="11291"/>
        <item sd="0" x="11292"/>
        <item x="11293"/>
        <item x="11294"/>
        <item x="11295"/>
        <item x="11296"/>
        <item x="11297"/>
        <item x="11298"/>
        <item x="11299"/>
        <item sd="0" x="11300"/>
        <item sd="0" x="11301"/>
        <item x="11302"/>
        <item x="11303"/>
        <item x="11304"/>
        <item x="11305"/>
        <item x="11306"/>
        <item x="11307"/>
        <item x="11308"/>
        <item x="11309"/>
        <item sd="0" m="1" x="15483"/>
        <item sd="0" x="11310"/>
        <item x="11311"/>
        <item x="11312"/>
        <item x="11313"/>
        <item x="11314"/>
        <item x="11315"/>
        <item sd="0" x="11316"/>
        <item sd="0" x="11317"/>
        <item x="11318"/>
        <item x="11319"/>
        <item sd="0" x="11320"/>
        <item x="11321"/>
        <item x="11322"/>
        <item x="11323"/>
        <item x="11324"/>
        <item x="11325"/>
        <item x="11326"/>
        <item x="11830"/>
        <item x="11831"/>
        <item x="11832"/>
        <item sd="0" x="11833"/>
        <item x="11834"/>
        <item x="11835"/>
        <item x="11836"/>
        <item sd="0" x="11837"/>
        <item sd="0" x="11838"/>
        <item x="11839"/>
        <item x="11840"/>
        <item x="11841"/>
        <item x="11842"/>
        <item x="11843"/>
        <item sd="0" x="11844"/>
        <item sd="0" x="11845"/>
        <item x="11846"/>
        <item sd="0" x="11847"/>
        <item sd="0" x="11848"/>
        <item x="11849"/>
        <item x="11850"/>
        <item x="11851"/>
        <item x="11852"/>
        <item x="11853"/>
        <item sd="0" x="11854"/>
        <item x="11855"/>
        <item x="11856"/>
        <item sd="0" x="11857"/>
        <item sd="0" x="11858"/>
        <item x="11859"/>
        <item x="11860"/>
        <item sd="0" x="11861"/>
        <item x="11862"/>
        <item x="11863"/>
        <item x="11864"/>
        <item x="11865"/>
        <item x="11866"/>
        <item sd="0" x="11867"/>
        <item sd="0" x="11868"/>
        <item x="11869"/>
        <item x="11870"/>
        <item sd="0" x="11871"/>
        <item x="11872"/>
        <item x="11873"/>
        <item x="11874"/>
        <item x="11875"/>
        <item x="11876"/>
        <item sd="0" x="11877"/>
        <item sd="0" x="11878"/>
        <item x="11879"/>
        <item x="11880"/>
        <item sd="0" x="11881"/>
        <item x="11882"/>
        <item x="11883"/>
        <item x="11884"/>
        <item x="11885"/>
        <item x="11886"/>
        <item x="11887"/>
        <item x="11888"/>
        <item x="11889"/>
        <item sd="0" x="11890"/>
        <item sd="0" x="12374"/>
        <item x="12375"/>
        <item x="12376"/>
        <item x="12377"/>
        <item x="12378"/>
        <item x="12379"/>
        <item x="12380"/>
        <item x="12381"/>
        <item x="12382"/>
        <item sd="0" x="12383"/>
        <item sd="0" x="12384"/>
        <item x="12385"/>
        <item x="12386"/>
        <item x="12387"/>
        <item x="12388"/>
        <item x="12389"/>
        <item x="12390"/>
        <item x="12391"/>
        <item x="12392"/>
        <item x="12393"/>
        <item x="12394"/>
        <item sd="0" x="12395"/>
        <item sd="0" x="12396"/>
        <item sd="0" x="12397"/>
        <item x="12398"/>
        <item x="12399"/>
        <item x="12400"/>
        <item x="12401"/>
        <item x="12402"/>
        <item x="12403"/>
        <item x="12404"/>
        <item sd="0" x="12405"/>
        <item sd="0" x="12406"/>
        <item x="12407"/>
        <item x="12408"/>
        <item x="12409"/>
        <item x="12410"/>
        <item x="12411"/>
        <item x="12412"/>
        <item x="12413"/>
        <item x="12414"/>
        <item sd="0" m="1" x="15464"/>
        <item sd="0" m="1" x="15493"/>
        <item sd="0" x="12415"/>
        <item sd="0" x="12416"/>
        <item x="12417"/>
        <item x="12418"/>
        <item x="12419"/>
        <item x="12420"/>
        <item x="12421"/>
        <item sd="0" x="12422"/>
        <item sd="0" x="12423"/>
        <item x="12424"/>
        <item sd="0" x="12425"/>
        <item x="12426"/>
        <item x="12427"/>
        <item x="12428"/>
        <item x="12429"/>
        <item x="12430"/>
        <item x="12431"/>
        <item sd="0" x="12432"/>
        <item sd="0" x="12433"/>
        <item x="12964"/>
        <item sd="0" x="12965"/>
        <item x="12966"/>
        <item x="12967"/>
        <item x="12968"/>
        <item x="12969"/>
        <item x="12970"/>
        <item x="12971"/>
        <item x="12972"/>
        <item x="12973"/>
        <item sd="0" x="12974"/>
        <item sd="0" x="12975"/>
        <item sd="0" x="12976"/>
        <item x="12977"/>
        <item x="12978"/>
        <item x="12979"/>
        <item x="12980"/>
        <item x="12981"/>
        <item x="12982"/>
        <item x="12983"/>
        <item sd="0" x="12984"/>
        <item sd="0" x="12985"/>
        <item x="12986"/>
        <item x="12987"/>
        <item x="12988"/>
        <item x="12989"/>
        <item x="12990"/>
        <item x="12991"/>
        <item x="12992"/>
        <item x="12993"/>
        <item x="12994"/>
        <item x="12995"/>
        <item x="12996"/>
        <item sd="0" x="12997"/>
        <item sd="0" x="12998"/>
        <item x="12999"/>
        <item x="13000"/>
        <item x="13001"/>
        <item x="13002"/>
        <item x="13003"/>
        <item x="13004"/>
        <item x="13005"/>
        <item x="13006"/>
        <item sd="0" x="13007"/>
        <item sd="0" x="13008"/>
        <item x="13009"/>
        <item x="13010"/>
        <item x="13011"/>
        <item x="13012"/>
        <item x="13013"/>
        <item x="13014"/>
        <item x="13015"/>
        <item x="13016"/>
        <item x="13017"/>
        <item sd="0" x="13018"/>
        <item sd="0" x="13019"/>
        <item x="13020"/>
        <item x="13021"/>
        <item x="13022"/>
        <item x="13023"/>
        <item x="13567"/>
        <item sd="0" x="13568"/>
        <item x="13569"/>
        <item x="13570"/>
        <item sd="0" x="13571"/>
        <item sd="0" x="13572"/>
        <item x="13573"/>
        <item x="13574"/>
        <item x="13575"/>
        <item x="13576"/>
        <item x="13577"/>
        <item x="13578"/>
        <item x="13579"/>
        <item x="13580"/>
        <item sd="0" x="13581"/>
        <item sd="0" x="13582"/>
        <item x="13583"/>
        <item sd="0" x="13584"/>
        <item sd="0" x="13585"/>
        <item x="13586"/>
        <item x="13587"/>
        <item x="13588"/>
        <item x="13589"/>
        <item x="13590"/>
        <item sd="0" x="13591"/>
        <item sd="0" x="13592"/>
        <item x="13593"/>
        <item sd="0" x="13594"/>
        <item sd="0" x="13595"/>
        <item x="13596"/>
        <item x="13597"/>
        <item x="13598"/>
        <item x="13599"/>
        <item x="13600"/>
        <item x="13601"/>
        <item x="13602"/>
        <item x="13603"/>
        <item sd="0" x="13604"/>
        <item sd="0" x="13605"/>
        <item x="13606"/>
        <item x="13607"/>
        <item x="13608"/>
        <item x="13609"/>
        <item x="13610"/>
        <item sd="0" x="13611"/>
        <item sd="0" x="13612"/>
        <item x="13613"/>
        <item x="13614"/>
        <item x="13615"/>
        <item x="13616"/>
        <item x="13617"/>
        <item x="13618"/>
        <item x="13619"/>
        <item x="13620"/>
        <item sd="0" x="13621"/>
        <item sd="0" x="13622"/>
        <item x="13623"/>
        <item x="13624"/>
        <item x="13625"/>
        <item x="13626"/>
        <item x="14172"/>
        <item x="14173"/>
        <item x="14174"/>
        <item x="14175"/>
        <item sd="0" x="14176"/>
        <item x="14177"/>
        <item x="14178"/>
        <item sd="0" x="14179"/>
        <item sd="0" x="14180"/>
        <item x="14181"/>
        <item x="14182"/>
        <item x="14183"/>
        <item x="14184"/>
        <item x="14185"/>
        <item x="14186"/>
        <item x="14187"/>
        <item x="14188"/>
        <item sd="0" x="14189"/>
        <item sd="0" x="14190"/>
        <item x="14191"/>
        <item x="14192"/>
        <item x="14193"/>
        <item x="14194"/>
        <item x="14195"/>
        <item x="14196"/>
        <item x="14197"/>
        <item x="14198"/>
        <item sd="0" x="14199"/>
        <item sd="0" x="14200"/>
        <item sd="0" x="14201"/>
        <item sd="0" x="14202"/>
        <item x="14203"/>
        <item x="14204"/>
        <item x="14205"/>
        <item x="14206"/>
        <item x="14207"/>
        <item x="14208"/>
        <item sd="0" x="14209"/>
        <item sd="0" x="14210"/>
        <item sd="0" x="14211"/>
        <item sd="0" x="14212"/>
        <item x="14213"/>
        <item x="14214"/>
        <item x="14215"/>
        <item x="14216"/>
        <item x="14217"/>
        <item x="14218"/>
        <item sd="0" x="14219"/>
        <item x="14220"/>
        <item sd="0" x="14221"/>
        <item x="14222"/>
        <item x="14223"/>
        <item x="14224"/>
        <item sd="0" x="14225"/>
        <item x="14226"/>
        <item x="14227"/>
        <item x="14228"/>
        <item x="14229"/>
        <item x="14230"/>
        <item sd="0" x="14231"/>
        <item sd="0" x="14777"/>
        <item x="14778"/>
        <item x="14779"/>
        <item sd="0" x="14780"/>
        <item x="14781"/>
        <item x="14782"/>
        <item x="14783"/>
        <item x="14784"/>
        <item x="14785"/>
        <item sd="0" x="14786"/>
        <item sd="0" x="14787"/>
        <item x="14788"/>
        <item x="14789"/>
        <item sd="0" x="14790"/>
        <item x="14791"/>
        <item x="14792"/>
        <item x="14793"/>
        <item x="14794"/>
        <item x="14795"/>
        <item x="14796"/>
        <item x="14797"/>
        <item x="14798"/>
        <item sd="0" x="14799"/>
        <item sd="0" x="14800"/>
        <item x="14801"/>
        <item x="14802"/>
        <item x="14803"/>
        <item x="14804"/>
        <item x="14805"/>
        <item x="14806"/>
        <item x="14807"/>
        <item x="14808"/>
        <item sd="0" x="14809"/>
        <item sd="0" x="14810"/>
        <item x="14811"/>
        <item x="14812"/>
        <item x="14813"/>
        <item x="14814"/>
        <item x="14815"/>
        <item x="14816"/>
        <item x="14817"/>
        <item sd="0" m="1" x="15453"/>
        <item sd="0" x="14818"/>
        <item x="14819"/>
        <item x="14820"/>
        <item x="14821"/>
        <item x="14822"/>
        <item x="14823"/>
        <item sd="0" x="14824"/>
        <item sd="0" x="14825"/>
        <item x="14826"/>
        <item x="14827"/>
        <item sd="0" x="14828"/>
        <item x="14829"/>
        <item x="14830"/>
        <item x="14831"/>
        <item x="14832"/>
        <item x="14833"/>
        <item sd="0" x="14834"/>
        <item x="14835"/>
        <item x="14836"/>
        <item x="15384"/>
        <item sd="0" x="15385"/>
        <item x="15386"/>
        <item x="15387"/>
        <item x="15388"/>
        <item x="15389"/>
        <item x="15390"/>
        <item x="15391"/>
        <item x="15392"/>
        <item x="15393"/>
        <item sd="0" x="15394"/>
        <item sd="0" x="15395"/>
        <item x="15396"/>
        <item x="15397"/>
        <item x="15398"/>
        <item x="15399"/>
        <item x="15400"/>
        <item x="15401"/>
        <item x="15402"/>
        <item x="15403"/>
        <item sd="0" x="15404"/>
        <item sd="0" x="15405"/>
        <item x="15406"/>
        <item x="15407"/>
        <item x="15408"/>
        <item x="15409"/>
        <item x="15410"/>
        <item x="15411"/>
        <item x="15412"/>
        <item x="15413"/>
        <item x="15414"/>
        <item x="15415"/>
        <item x="15416"/>
        <item sd="0" x="15417"/>
        <item sd="0" x="15418"/>
        <item x="15419"/>
        <item x="15420"/>
        <item x="15421"/>
        <item x="15422"/>
        <item x="15423"/>
        <item x="15424"/>
        <item x="15425"/>
        <item x="15426"/>
        <item sd="0" x="15427"/>
        <item sd="0" x="15428"/>
        <item x="15429"/>
        <item x="15430"/>
        <item x="15431"/>
        <item x="15432"/>
        <item x="15433"/>
        <item x="15434"/>
        <item x="15435"/>
        <item x="15436"/>
        <item x="15437"/>
        <item x="15438"/>
        <item sd="0" x="15439"/>
        <item sd="0" x="15440"/>
        <item sd="0" x="15441"/>
        <item x="15442"/>
        <item x="15443"/>
        <item x="5444"/>
        <item x="5445"/>
        <item x="5446"/>
        <item x="5447"/>
        <item x="5448"/>
        <item sd="0" x="5449"/>
        <item sd="0" x="5450"/>
        <item x="5451"/>
        <item x="5452"/>
        <item x="5453"/>
        <item x="5454"/>
        <item x="5455"/>
        <item x="5456"/>
        <item x="5457"/>
        <item x="5458"/>
        <item sd="0" x="5459"/>
        <item sd="0" x="5460"/>
        <item x="5461"/>
        <item sd="0" x="5462"/>
        <item sd="0" x="5463"/>
        <item x="5464"/>
        <item x="5465"/>
        <item x="5466"/>
        <item x="5467"/>
        <item x="5468"/>
        <item sd="0" x="5469"/>
        <item sd="0" x="5470"/>
        <item x="5471"/>
        <item sd="0" x="5472"/>
        <item sd="0" x="5473"/>
        <item x="5474"/>
        <item x="5475"/>
        <item x="5476"/>
        <item x="5477"/>
        <item x="5478"/>
        <item x="5479"/>
        <item x="5480"/>
        <item x="5481"/>
        <item sd="0" x="5482"/>
        <item sd="0" x="5483"/>
        <item x="5484"/>
        <item x="5485"/>
        <item x="5486"/>
        <item x="5487"/>
        <item x="5488"/>
        <item sd="0" x="5489"/>
        <item sd="0" x="5490"/>
        <item sd="0" x="5491"/>
        <item x="5492"/>
        <item x="5493"/>
        <item x="5494"/>
        <item x="5495"/>
        <item x="5496"/>
        <item x="5497"/>
        <item x="5498"/>
        <item sd="0" x="5499"/>
        <item sd="0" x="5500"/>
        <item x="5501"/>
        <item x="5502"/>
        <item x="5503"/>
        <item x="6108"/>
        <item x="6109"/>
        <item x="6110"/>
        <item x="6111"/>
        <item x="6112"/>
        <item x="6113"/>
        <item x="6114"/>
        <item x="6115"/>
        <item sd="0" x="6116"/>
        <item sd="0" x="6117"/>
        <item x="6118"/>
        <item x="6119"/>
        <item x="6120"/>
        <item x="6121"/>
        <item x="6122"/>
        <item x="6123"/>
        <item x="6124"/>
        <item x="6125"/>
        <item sd="0" x="6126"/>
        <item sd="0" x="6127"/>
        <item x="6128"/>
        <item x="6129"/>
        <item x="6130"/>
        <item x="6131"/>
        <item x="6132"/>
        <item x="6133"/>
        <item x="6134"/>
        <item x="6135"/>
        <item sd="0" x="6136"/>
        <item sd="0" x="6137"/>
        <item sd="0" x="6138"/>
        <item x="6139"/>
        <item x="6140"/>
        <item x="6141"/>
        <item x="6142"/>
        <item x="6143"/>
        <item sd="0" x="6144"/>
        <item x="6145"/>
        <item x="6146"/>
        <item sd="0" x="6147"/>
        <item sd="0" x="6148"/>
        <item x="6149"/>
        <item x="6150"/>
        <item x="6151"/>
        <item x="6152"/>
        <item x="6153"/>
        <item x="6154"/>
        <item x="6155"/>
        <item x="6156"/>
        <item sd="0" x="6157"/>
        <item sd="0" x="6158"/>
        <item x="6159"/>
        <item x="6160"/>
        <item sd="0" x="6161"/>
        <item sd="0" x="6162"/>
        <item x="6163"/>
        <item x="6164"/>
        <item x="6165"/>
        <item x="6166"/>
        <item x="6167"/>
        <item sd="0" x="6168"/>
        <item sd="0" x="6776"/>
        <item x="6777"/>
        <item sd="0" x="6778"/>
        <item sd="0" x="6779"/>
        <item x="6780"/>
        <item x="6781"/>
        <item x="6782"/>
        <item x="6783"/>
        <item x="6784"/>
        <item sd="0" x="6785"/>
        <item x="6786"/>
        <item x="6787"/>
        <item sd="0" x="6788"/>
        <item sd="0" x="6789"/>
        <item x="6790"/>
        <item x="6791"/>
        <item sd="0" x="6792"/>
        <item x="6793"/>
        <item x="6794"/>
        <item x="6795"/>
        <item x="6796"/>
        <item x="6797"/>
        <item sd="0" x="6798"/>
        <item sd="0" x="6799"/>
        <item x="6800"/>
        <item x="6801"/>
        <item sd="0" x="6802"/>
        <item x="6803"/>
        <item x="6804"/>
        <item x="6805"/>
        <item x="6806"/>
        <item x="6807"/>
        <item sd="0" x="6808"/>
        <item sd="0" x="6809"/>
        <item x="6810"/>
        <item x="6811"/>
        <item sd="0" x="6812"/>
        <item x="6813"/>
        <item x="6814"/>
        <item x="6815"/>
        <item sd="0" m="1" x="15449"/>
        <item x="6816"/>
        <item x="6817"/>
        <item sd="0" x="6818"/>
        <item sd="0" x="6819"/>
        <item x="6820"/>
        <item x="6821"/>
        <item x="6822"/>
        <item x="6823"/>
        <item x="6824"/>
        <item sd="0" x="6825"/>
        <item x="6826"/>
        <item x="6827"/>
        <item sd="0" x="6828"/>
        <item sd="0" x="6829"/>
        <item x="6830"/>
        <item x="6831"/>
        <item x="6832"/>
        <item x="6833"/>
        <item x="6834"/>
        <item x="6835"/>
        <item x="7437"/>
        <item x="7438"/>
        <item sd="0" x="7439"/>
        <item sd="0" x="7440"/>
        <item x="7441"/>
        <item sd="0" x="7442"/>
        <item sd="0" x="7443"/>
        <item x="7444"/>
        <item x="7445"/>
        <item x="7446"/>
        <item x="7447"/>
        <item x="7448"/>
        <item sd="0" x="7449"/>
        <item sd="0" x="7450"/>
        <item x="7451"/>
        <item sd="0" x="7452"/>
        <item sd="0" x="7453"/>
        <item x="7454"/>
        <item x="7455"/>
        <item x="7456"/>
        <item x="7457"/>
        <item x="7458"/>
        <item sd="0" x="7459"/>
        <item x="7460"/>
        <item x="7461"/>
        <item sd="0" x="7462"/>
        <item sd="0" x="7463"/>
        <item x="7464"/>
        <item sd="0" x="7465"/>
        <item sd="0" x="7466"/>
        <item x="7467"/>
        <item x="7468"/>
        <item x="7469"/>
        <item x="7470"/>
        <item x="7471"/>
        <item sd="0" x="7472"/>
        <item sd="0" x="7473"/>
        <item x="7474"/>
        <item sd="0" x="7475"/>
        <item x="7476"/>
        <item x="7477"/>
        <item x="7478"/>
        <item x="7479"/>
        <item x="7480"/>
        <item x="7481"/>
        <item sd="0" x="7482"/>
        <item sd="0" x="7483"/>
        <item x="7484"/>
        <item sd="0" x="7485"/>
        <item x="7486"/>
        <item x="7487"/>
        <item x="7488"/>
        <item x="7489"/>
        <item x="7490"/>
        <item x="7491"/>
        <item x="7492"/>
        <item x="7493"/>
        <item sd="0" x="7494"/>
        <item sd="0" x="7495"/>
        <item sd="0" x="7496"/>
        <item x="7497"/>
        <item x="8098"/>
        <item x="8099"/>
        <item x="8100"/>
        <item x="8101"/>
        <item x="8102"/>
        <item x="8103"/>
        <item sd="0" x="8104"/>
        <item sd="0" x="8105"/>
        <item x="8106"/>
        <item x="8107"/>
        <item x="8108"/>
        <item x="8109"/>
        <item x="8110"/>
        <item x="8111"/>
        <item x="8112"/>
        <item x="8113"/>
        <item x="8114"/>
        <item x="8115"/>
        <item x="8116"/>
        <item sd="0" x="8117"/>
        <item sd="0" x="8118"/>
        <item x="8119"/>
        <item x="8120"/>
        <item x="8121"/>
        <item x="8122"/>
        <item x="8123"/>
        <item x="8124"/>
        <item x="8125"/>
        <item x="8126"/>
        <item sd="0" x="8127"/>
        <item sd="0" x="8128"/>
        <item x="8129"/>
        <item x="8130"/>
        <item x="8131"/>
        <item x="8132"/>
        <item x="8133"/>
        <item x="8134"/>
        <item x="8135"/>
        <item x="8136"/>
        <item x="8137"/>
        <item x="8138"/>
        <item x="8139"/>
        <item x="8140"/>
        <item x="8141"/>
        <item x="8142"/>
        <item sd="0" x="8143"/>
        <item sd="0" x="8144"/>
        <item x="8145"/>
        <item x="8146"/>
        <item x="8147"/>
        <item x="8148"/>
        <item x="8149"/>
        <item x="8150"/>
        <item x="8151"/>
        <item x="8152"/>
        <item sd="0" x="8153"/>
        <item sd="0" x="8154"/>
        <item x="8155"/>
        <item x="8156"/>
        <item x="8157"/>
        <item x="8775"/>
        <item x="8776"/>
        <item x="8777"/>
        <item x="8778"/>
        <item x="8779"/>
        <item x="8780"/>
        <item x="8781"/>
        <item sd="0" x="8782"/>
        <item sd="0" x="8783"/>
        <item x="8784"/>
        <item x="8785"/>
        <item x="8786"/>
        <item x="8787"/>
        <item x="8788"/>
        <item x="8789"/>
        <item x="8790"/>
        <item x="8791"/>
        <item sd="0" x="8792"/>
        <item sd="0" x="8793"/>
        <item x="8794"/>
        <item x="8795"/>
        <item x="8796"/>
        <item x="8797"/>
        <item x="8798"/>
        <item x="8799"/>
        <item x="8800"/>
        <item x="8801"/>
        <item x="8802"/>
        <item x="8803"/>
        <item x="8804"/>
        <item sd="0" x="8805"/>
        <item sd="0" x="8806"/>
        <item x="8807"/>
        <item x="8808"/>
        <item x="8809"/>
        <item x="8810"/>
        <item x="8811"/>
        <item x="8812"/>
        <item x="8813"/>
        <item x="8814"/>
        <item sd="0" x="8815"/>
        <item sd="0" x="8816"/>
        <item x="8817"/>
        <item x="8818"/>
        <item x="8819"/>
        <item x="8820"/>
        <item x="8821"/>
        <item x="8822"/>
        <item x="8823"/>
        <item x="8824"/>
        <item sd="0" x="8825"/>
        <item x="8826"/>
        <item x="8827"/>
        <item sd="0" x="8828"/>
        <item sd="0" x="8829"/>
        <item x="8830"/>
        <item x="8831"/>
        <item x="8832"/>
        <item x="8833"/>
        <item x="8834"/>
        <item x="9438"/>
        <item x="9439"/>
        <item x="9440"/>
        <item sd="0" x="9441"/>
        <item sd="0" x="9442"/>
        <item x="9443"/>
        <item x="9444"/>
        <item x="9445"/>
        <item x="9446"/>
        <item x="9447"/>
        <item x="9448"/>
        <item x="9449"/>
        <item x="9450"/>
        <item sd="0" x="9451"/>
        <item sd="0" x="9452"/>
        <item sd="0" x="9453"/>
        <item sd="0" x="9454"/>
        <item x="9455"/>
        <item x="9456"/>
        <item x="9457"/>
        <item x="9458"/>
        <item x="9459"/>
        <item x="9460"/>
        <item sd="0" x="9461"/>
        <item sd="0" x="9462"/>
        <item sd="0" x="9463"/>
        <item sd="0" x="9464"/>
        <item x="9465"/>
        <item x="9466"/>
        <item x="9467"/>
        <item x="9468"/>
        <item x="9469"/>
        <item x="9470"/>
        <item sd="0" x="9471"/>
        <item x="9472"/>
        <item sd="0" x="9473"/>
        <item x="9474"/>
        <item x="9475"/>
        <item x="9476"/>
        <item x="9477"/>
        <item x="9478"/>
        <item x="9479"/>
        <item x="9480"/>
        <item sd="0" x="9481"/>
        <item sd="0" x="9482"/>
        <item x="9483"/>
        <item x="9484"/>
        <item x="9485"/>
        <item x="9486"/>
        <item x="9487"/>
        <item x="9488"/>
        <item x="9489"/>
        <item x="9490"/>
        <item sd="0" x="9491"/>
        <item sd="0" x="9492"/>
        <item x="9493"/>
        <item x="9494"/>
        <item x="9495"/>
        <item x="9496"/>
        <item x="9497"/>
        <item x="10102"/>
        <item x="10103"/>
        <item x="10104"/>
        <item sd="0" x="10105"/>
        <item sd="0" x="10106"/>
        <item x="10107"/>
        <item x="10108"/>
        <item x="10109"/>
        <item x="10110"/>
        <item x="10111"/>
        <item x="10112"/>
        <item sd="0" x="10113"/>
        <item x="10114"/>
        <item sd="0" x="10115"/>
        <item sd="0" x="10116"/>
        <item x="10117"/>
        <item x="10118"/>
        <item x="10119"/>
        <item x="10120"/>
        <item x="10121"/>
        <item x="10122"/>
        <item x="10123"/>
        <item x="10124"/>
        <item sd="0" x="10125"/>
        <item sd="0" x="10126"/>
        <item x="10127"/>
        <item x="10128"/>
        <item sd="0" x="10129"/>
        <item x="10130"/>
        <item x="10131"/>
        <item x="10132"/>
        <item x="10133"/>
        <item x="10134"/>
        <item sd="0" x="10135"/>
        <item sd="0" x="10136"/>
        <item x="10137"/>
        <item x="10138"/>
        <item sd="0" x="10139"/>
        <item x="10140"/>
        <item x="10141"/>
        <item x="10142"/>
        <item x="10143"/>
        <item x="10144"/>
        <item sd="0" x="10145"/>
        <item x="10146"/>
        <item x="10147"/>
        <item x="10148"/>
        <item sd="0" x="10149"/>
        <item x="10150"/>
        <item x="10151"/>
        <item x="10152"/>
        <item x="10153"/>
        <item x="10154"/>
        <item x="10155"/>
        <item x="10156"/>
        <item x="10157"/>
        <item sd="0" x="10158"/>
        <item sd="0" x="10159"/>
        <item x="10160"/>
        <item x="10161"/>
        <item x="10722"/>
        <item x="10723"/>
        <item x="10724"/>
        <item x="10725"/>
        <item x="10726"/>
        <item x="10727"/>
        <item sd="0" x="10728"/>
        <item sd="0" x="10729"/>
        <item x="10730"/>
        <item x="10731"/>
        <item x="10732"/>
        <item x="10733"/>
        <item x="10734"/>
        <item x="10735"/>
        <item x="10736"/>
        <item x="10737"/>
        <item x="10738"/>
        <item x="10739"/>
        <item x="10740"/>
        <item sd="0" x="10741"/>
        <item sd="0" x="10742"/>
        <item x="10743"/>
        <item x="10744"/>
        <item x="10745"/>
        <item x="10746"/>
        <item x="10747"/>
        <item x="10748"/>
        <item x="10749"/>
        <item x="10750"/>
        <item sd="0" x="10751"/>
        <item sd="0" x="10752"/>
        <item x="10753"/>
        <item x="10754"/>
        <item x="10755"/>
        <item x="10756"/>
        <item x="10757"/>
        <item x="10758"/>
        <item x="10759"/>
        <item x="10760"/>
        <item sd="0" m="1" x="15466"/>
        <item sd="0" m="1" x="15489"/>
        <item x="10761"/>
        <item sd="0" x="10762"/>
        <item sd="0" x="10763"/>
        <item x="10764"/>
        <item x="10765"/>
        <item x="10766"/>
        <item x="10767"/>
        <item x="10768"/>
        <item sd="0" x="10769"/>
        <item x="10770"/>
        <item x="10771"/>
        <item sd="0" x="10772"/>
        <item sd="0" x="10773"/>
        <item x="10774"/>
        <item x="10775"/>
        <item sd="0" x="10776"/>
        <item x="10777"/>
        <item x="10778"/>
        <item x="10779"/>
        <item x="10780"/>
        <item x="10781"/>
        <item sd="0" x="11327"/>
        <item sd="0" x="11328"/>
        <item x="11329"/>
        <item x="11330"/>
        <item x="11331"/>
        <item x="11332"/>
        <item x="11333"/>
        <item x="11334"/>
        <item x="11335"/>
        <item x="11336"/>
        <item sd="0" x="11337"/>
        <item sd="0" x="11338"/>
        <item x="11339"/>
        <item x="11340"/>
        <item x="11341"/>
        <item x="11342"/>
        <item x="11343"/>
        <item x="11344"/>
        <item x="11345"/>
        <item x="11346"/>
        <item x="11347"/>
        <item x="11348"/>
        <item sd="0" x="11349"/>
        <item sd="0" x="11350"/>
        <item sd="0" x="11351"/>
        <item x="11352"/>
        <item x="11353"/>
        <item x="11354"/>
        <item x="11355"/>
        <item x="11356"/>
        <item x="11357"/>
        <item x="11358"/>
        <item sd="0" x="11359"/>
        <item sd="0" x="11360"/>
        <item x="11361"/>
        <item x="11362"/>
        <item x="11363"/>
        <item x="11364"/>
        <item x="11365"/>
        <item x="11366"/>
        <item x="11367"/>
        <item x="11368"/>
        <item x="11369"/>
        <item x="11370"/>
        <item x="11371"/>
        <item sd="0" x="11372"/>
        <item sd="0" x="11373"/>
        <item x="11374"/>
        <item x="11375"/>
        <item x="11376"/>
        <item x="11377"/>
        <item x="11378"/>
        <item x="11379"/>
        <item x="11380"/>
        <item x="11381"/>
        <item sd="0" x="11382"/>
        <item sd="0" x="11383"/>
        <item x="11384"/>
        <item x="11385"/>
        <item x="11386"/>
        <item x="11387"/>
        <item x="11891"/>
        <item x="11892"/>
        <item x="11893"/>
        <item x="11894"/>
        <item sd="0" x="11895"/>
        <item sd="0" x="11896"/>
        <item sd="0" x="11897"/>
        <item x="11898"/>
        <item x="11899"/>
        <item x="11900"/>
        <item x="11901"/>
        <item x="11902"/>
        <item sd="0" x="11903"/>
        <item x="11904"/>
        <item x="11905"/>
        <item sd="0" x="11906"/>
        <item sd="0" x="11907"/>
        <item x="11908"/>
        <item x="11909"/>
        <item x="11910"/>
        <item x="11911"/>
        <item x="11912"/>
        <item x="11913"/>
        <item x="11914"/>
        <item x="11915"/>
        <item sd="0" x="11916"/>
        <item sd="0" x="11917"/>
        <item x="11918"/>
        <item x="11919"/>
        <item sd="0" m="1" x="15490"/>
        <item x="11920"/>
        <item sd="0" x="11921"/>
        <item x="11922"/>
        <item x="11923"/>
        <item x="11924"/>
        <item x="11925"/>
        <item x="11926"/>
        <item x="11927"/>
        <item sd="0" x="11928"/>
        <item x="11929"/>
        <item x="11930"/>
        <item sd="0" x="11931"/>
        <item x="11932"/>
        <item x="11933"/>
        <item x="11934"/>
        <item x="11935"/>
        <item x="11936"/>
        <item x="11937"/>
        <item x="11938"/>
        <item x="11939"/>
        <item sd="0" x="11940"/>
        <item sd="0" x="11941"/>
        <item x="11942"/>
        <item x="11943"/>
        <item x="11944"/>
        <item x="11945"/>
        <item x="11946"/>
        <item x="11947"/>
        <item x="11948"/>
        <item x="11949"/>
        <item sd="0" x="11950"/>
        <item sd="0" x="12434"/>
        <item x="12435"/>
        <item x="12436"/>
        <item x="12437"/>
        <item x="12438"/>
        <item x="12439"/>
        <item x="12440"/>
        <item x="12441"/>
        <item x="12442"/>
        <item x="12443"/>
        <item x="12444"/>
        <item x="12445"/>
        <item sd="0" x="12446"/>
        <item sd="0" x="12447"/>
        <item x="12448"/>
        <item x="12449"/>
        <item x="12450"/>
        <item x="12451"/>
        <item x="12452"/>
        <item x="12453"/>
        <item x="12454"/>
        <item x="12455"/>
        <item sd="0" x="12456"/>
        <item sd="0" x="12457"/>
        <item x="12458"/>
        <item x="12459"/>
        <item x="12460"/>
        <item x="12461"/>
        <item x="12462"/>
        <item x="12463"/>
        <item x="12464"/>
        <item x="12465"/>
        <item x="12466"/>
        <item x="12467"/>
        <item x="12468"/>
        <item sd="0" x="12469"/>
        <item sd="0" x="12470"/>
        <item x="12471"/>
        <item x="12472"/>
        <item x="12473"/>
        <item x="12474"/>
        <item x="12475"/>
        <item x="12476"/>
        <item x="12477"/>
        <item x="12478"/>
        <item sd="0" x="12479"/>
        <item sd="0" x="12480"/>
        <item x="12481"/>
        <item x="12482"/>
        <item x="12483"/>
        <item x="12484"/>
        <item x="12485"/>
        <item x="12486"/>
        <item x="12487"/>
        <item x="12488"/>
        <item sd="0" x="12489"/>
        <item x="12490"/>
        <item sd="0" x="12491"/>
        <item sd="0" x="12492"/>
        <item sd="0" x="12493"/>
        <item x="12494"/>
        <item x="13024"/>
        <item x="13025"/>
        <item x="13026"/>
        <item x="13027"/>
        <item sd="0" x="13028"/>
        <item x="13029"/>
        <item sd="0" x="13030"/>
        <item sd="0" x="13031"/>
        <item x="13032"/>
        <item x="13033"/>
        <item x="13034"/>
        <item x="13035"/>
        <item x="13036"/>
        <item x="13037"/>
        <item x="13038"/>
        <item x="13039"/>
        <item sd="0" x="13040"/>
        <item sd="0" x="13041"/>
        <item x="13042"/>
        <item x="13043"/>
        <item x="13044"/>
        <item x="13045"/>
        <item x="13046"/>
        <item x="13047"/>
        <item sd="0" x="13048"/>
        <item sd="0" x="13049"/>
        <item x="13050"/>
        <item x="13051"/>
        <item x="13052"/>
        <item x="13053"/>
        <item x="13054"/>
        <item x="13055"/>
        <item x="13056"/>
        <item x="13057"/>
        <item sd="0" x="13058"/>
        <item sd="0" x="13059"/>
        <item x="13060"/>
        <item x="13061"/>
        <item x="13062"/>
        <item x="13063"/>
        <item x="13064"/>
        <item x="13065"/>
        <item x="13066"/>
        <item x="13067"/>
        <item x="13068"/>
        <item sd="0" x="13069"/>
        <item sd="0" x="13070"/>
        <item x="13071"/>
        <item x="13072"/>
        <item x="13073"/>
        <item x="13074"/>
        <item x="13075"/>
        <item x="13076"/>
        <item x="13077"/>
        <item x="13078"/>
        <item sd="0" x="13079"/>
        <item sd="0" x="13080"/>
        <item x="13081"/>
        <item x="13082"/>
        <item x="13083"/>
        <item x="13627"/>
        <item x="13628"/>
        <item x="13629"/>
        <item x="13630"/>
        <item x="13631"/>
        <item sd="0" x="13632"/>
        <item sd="0" x="13633"/>
        <item sd="0" x="13634"/>
        <item sd="0" x="13635"/>
        <item x="13636"/>
        <item x="13637"/>
        <item x="13638"/>
        <item x="13639"/>
        <item x="13640"/>
        <item x="13641"/>
        <item sd="0" x="13642"/>
        <item x="13643"/>
        <item sd="0" x="13644"/>
        <item sd="0" x="13645"/>
        <item x="13646"/>
        <item x="13647"/>
        <item x="13648"/>
        <item x="13649"/>
        <item x="13650"/>
        <item x="13651"/>
        <item x="13652"/>
        <item x="13653"/>
        <item sd="0" x="13654"/>
        <item sd="0" x="13655"/>
        <item x="13656"/>
        <item x="13657"/>
        <item sd="0" x="13658"/>
        <item x="13659"/>
        <item x="13660"/>
        <item x="13661"/>
        <item x="13662"/>
        <item x="13663"/>
        <item sd="0" x="13664"/>
        <item sd="0" x="13665"/>
        <item x="13666"/>
        <item x="13667"/>
        <item sd="0" x="13668"/>
        <item x="13669"/>
        <item x="13670"/>
        <item x="13671"/>
        <item x="13672"/>
        <item x="13673"/>
        <item sd="0" x="13674"/>
        <item x="13675"/>
        <item x="13676"/>
        <item x="13677"/>
        <item sd="0" x="13678"/>
        <item x="13679"/>
        <item x="13680"/>
        <item x="13681"/>
        <item x="13682"/>
        <item x="13683"/>
        <item x="13684"/>
        <item x="13685"/>
        <item x="13686"/>
        <item sd="0" x="14232"/>
        <item sd="0" x="14233"/>
        <item x="14234"/>
        <item x="14235"/>
        <item x="14236"/>
        <item x="14237"/>
        <item x="14238"/>
        <item x="14239"/>
        <item x="14240"/>
        <item x="14241"/>
        <item sd="0" x="14242"/>
        <item x="14243"/>
        <item x="14244"/>
        <item x="14245"/>
        <item x="14246"/>
        <item x="14247"/>
        <item x="14248"/>
        <item x="14249"/>
        <item x="14250"/>
        <item sd="0" m="1" x="15458"/>
        <item x="14251"/>
        <item x="14252"/>
        <item sd="0" x="14253"/>
        <item x="14254"/>
        <item x="14255"/>
        <item x="14256"/>
        <item x="14257"/>
        <item x="14258"/>
        <item sd="0" x="14259"/>
        <item sd="0" x="14260"/>
        <item x="14261"/>
        <item sd="0" x="14262"/>
        <item sd="0" x="14263"/>
        <item x="14264"/>
        <item x="14265"/>
        <item x="14266"/>
        <item x="14267"/>
        <item x="14268"/>
        <item x="14269"/>
        <item x="14270"/>
        <item x="14271"/>
        <item sd="0" x="14272"/>
        <item sd="0" x="14273"/>
        <item x="14274"/>
        <item sd="0" x="14275"/>
        <item sd="0" x="14276"/>
        <item x="14277"/>
        <item x="14278"/>
        <item x="14279"/>
        <item x="14280"/>
        <item x="14281"/>
        <item sd="0" x="14282"/>
        <item sd="0" x="14283"/>
        <item x="14284"/>
        <item sd="0" x="14285"/>
        <item sd="0" x="14286"/>
        <item x="14287"/>
        <item x="14288"/>
        <item x="14289"/>
        <item x="14290"/>
        <item x="14291"/>
        <item sd="0" x="14292"/>
        <item sd="0" x="14837"/>
        <item x="14838"/>
        <item sd="0" x="14839"/>
        <item sd="0" x="14840"/>
        <item x="14841"/>
        <item x="14842"/>
        <item x="14843"/>
        <item x="14844"/>
        <item x="14845"/>
        <item x="14846"/>
        <item x="14847"/>
        <item x="14848"/>
        <item sd="0" x="14849"/>
        <item sd="0" x="14850"/>
        <item x="14851"/>
        <item x="14852"/>
        <item x="14853"/>
        <item x="14854"/>
        <item x="14855"/>
        <item x="14856"/>
        <item x="14857"/>
        <item x="14858"/>
        <item sd="0" x="14859"/>
        <item sd="0" x="14860"/>
        <item x="14861"/>
        <item x="14862"/>
        <item x="14863"/>
        <item x="14864"/>
        <item x="14865"/>
        <item x="14866"/>
        <item x="14867"/>
        <item x="14868"/>
        <item x="14869"/>
        <item x="14870"/>
        <item sd="0" x="14871"/>
        <item sd="0" x="14872"/>
        <item x="14873"/>
        <item x="14874"/>
        <item x="14875"/>
        <item x="14876"/>
        <item x="14877"/>
        <item x="14878"/>
        <item x="14879"/>
        <item x="14880"/>
        <item x="14881"/>
        <item sd="0" x="14882"/>
        <item x="14883"/>
        <item x="14884"/>
        <item x="14885"/>
        <item x="14886"/>
        <item x="14887"/>
        <item x="14888"/>
        <item x="14889"/>
        <item x="14890"/>
        <item x="14891"/>
        <item sd="0" x="14892"/>
        <item sd="0" x="14893"/>
        <item x="14894"/>
        <item x="14895"/>
        <item x="14896"/>
        <item x="14897"/>
        <item x="5504"/>
        <item x="5505"/>
        <item x="5506"/>
        <item x="5507"/>
        <item sd="0" x="5508"/>
        <item sd="0" x="5509"/>
        <item x="5510"/>
        <item x="5511"/>
        <item x="5512"/>
        <item x="5513"/>
        <item x="5514"/>
        <item x="5515"/>
        <item sd="0" x="5516"/>
        <item x="5517"/>
        <item sd="0" x="5518"/>
        <item sd="0" x="5519"/>
        <item x="5520"/>
        <item x="5521"/>
        <item x="5522"/>
        <item x="5523"/>
        <item x="5524"/>
        <item sd="0" x="5525"/>
        <item sd="0" x="5526"/>
        <item x="5527"/>
        <item x="5528"/>
        <item x="5529"/>
        <item x="5530"/>
        <item x="5531"/>
        <item x="5532"/>
        <item x="5533"/>
        <item x="5534"/>
        <item sd="0" x="5535"/>
        <item sd="0" x="5536"/>
        <item x="5537"/>
        <item x="5538"/>
        <item x="5539"/>
        <item x="5540"/>
        <item x="5541"/>
        <item x="5542"/>
        <item x="5543"/>
        <item x="5544"/>
        <item x="5545"/>
        <item x="5546"/>
        <item x="5547"/>
        <item sd="0" x="5548"/>
        <item sd="0" x="5549"/>
        <item x="5550"/>
        <item x="5551"/>
        <item x="5552"/>
        <item x="5553"/>
        <item x="5554"/>
        <item x="5555"/>
        <item x="5556"/>
        <item x="5557"/>
        <item sd="0" x="5558"/>
        <item sd="0" x="5559"/>
        <item x="5560"/>
        <item x="5561"/>
        <item x="5562"/>
        <item x="5563"/>
        <item x="6169"/>
        <item x="6170"/>
        <item x="6171"/>
        <item x="6172"/>
        <item sd="0" x="6173"/>
        <item x="6174"/>
        <item x="6175"/>
        <item sd="0" x="6176"/>
        <item sd="0" x="6177"/>
        <item x="6178"/>
        <item x="6179"/>
        <item x="6180"/>
        <item x="6181"/>
        <item x="6182"/>
        <item sd="0" x="6183"/>
        <item x="6184"/>
        <item x="6185"/>
        <item sd="0" x="6186"/>
        <item sd="0" x="6187"/>
        <item x="6188"/>
        <item x="6189"/>
        <item x="6190"/>
        <item x="6191"/>
        <item x="6192"/>
        <item x="6193"/>
        <item x="6194"/>
        <item x="6195"/>
        <item sd="0" x="6196"/>
        <item x="6197"/>
        <item sd="0" x="6198"/>
        <item sd="0" x="6199"/>
        <item sd="0" x="6200"/>
        <item x="6201"/>
        <item x="6202"/>
        <item x="6203"/>
        <item x="6204"/>
        <item x="6205"/>
        <item sd="0" x="6206"/>
        <item sd="0" x="6207"/>
        <item sd="0" x="6208"/>
        <item sd="0" x="6209"/>
        <item x="6210"/>
        <item x="6211"/>
        <item x="6212"/>
        <item x="6213"/>
        <item x="6214"/>
        <item x="6215"/>
        <item x="6216"/>
        <item x="6217"/>
        <item sd="0" x="6218"/>
        <item sd="0" x="6219"/>
        <item x="6220"/>
        <item x="6221"/>
        <item sd="0" x="6222"/>
        <item x="6223"/>
        <item x="6224"/>
        <item x="6225"/>
        <item x="6226"/>
        <item x="6227"/>
        <item x="6228"/>
        <item sd="0" x="6229"/>
        <item sd="0" x="6836"/>
        <item x="6837"/>
        <item sd="0" x="6838"/>
        <item x="6839"/>
        <item x="6840"/>
        <item x="6841"/>
        <item x="6842"/>
        <item x="6843"/>
        <item sd="0" x="6844"/>
        <item sd="0" x="6845"/>
        <item x="6846"/>
        <item x="6847"/>
        <item sd="0" x="6848"/>
        <item x="6849"/>
        <item x="6850"/>
        <item x="6851"/>
        <item x="6852"/>
        <item sd="0" x="6853"/>
        <item sd="0" x="6854"/>
        <item x="6855"/>
        <item x="6856"/>
        <item x="6857"/>
        <item x="6858"/>
        <item x="6859"/>
        <item x="6860"/>
        <item x="6861"/>
        <item x="6862"/>
        <item sd="0" x="6863"/>
        <item sd="0" x="6864"/>
        <item x="6865"/>
        <item x="6866"/>
        <item x="6867"/>
        <item x="6868"/>
        <item x="6869"/>
        <item x="6870"/>
        <item sd="0" x="6871"/>
        <item x="6872"/>
        <item sd="0" x="6873"/>
        <item sd="0" x="6874"/>
        <item x="6875"/>
        <item sd="0" x="6876"/>
        <item x="6877"/>
        <item x="6878"/>
        <item x="6879"/>
        <item x="6880"/>
        <item x="6881"/>
        <item x="6882"/>
        <item sd="0" x="6883"/>
        <item x="6884"/>
        <item x="6885"/>
        <item sd="0" x="6886"/>
        <item x="6887"/>
        <item x="6888"/>
        <item x="6889"/>
        <item x="6890"/>
        <item x="6891"/>
        <item x="6892"/>
        <item x="6893"/>
        <item x="6894"/>
        <item x="6895"/>
        <item sd="0" x="7498"/>
        <item x="7499"/>
        <item x="7500"/>
        <item x="7501"/>
        <item x="7502"/>
        <item sd="0" x="7503"/>
        <item sd="0" x="7504"/>
        <item x="7505"/>
        <item x="7506"/>
        <item x="7507"/>
        <item x="7508"/>
        <item x="7509"/>
        <item sd="0" x="7510"/>
        <item sd="0" x="7511"/>
        <item x="7512"/>
        <item sd="0" x="7513"/>
        <item sd="0" x="7514"/>
        <item x="7515"/>
        <item x="7516"/>
        <item x="7517"/>
        <item x="7518"/>
        <item x="7519"/>
        <item x="7520"/>
        <item x="7521"/>
        <item x="7522"/>
        <item sd="0" x="7523"/>
        <item sd="0" x="7524"/>
        <item x="7525"/>
        <item sd="0" x="7526"/>
        <item x="7527"/>
        <item x="7528"/>
        <item x="7529"/>
        <item x="7530"/>
        <item x="7531"/>
        <item x="7532"/>
        <item sd="0" x="7533"/>
        <item sd="0" x="7534"/>
        <item x="7535"/>
        <item sd="0" x="7536"/>
        <item x="7537"/>
        <item x="7538"/>
        <item x="7539"/>
        <item x="7540"/>
        <item x="7541"/>
        <item x="7542"/>
        <item sd="0" x="7543"/>
        <item x="7544"/>
        <item x="7545"/>
        <item sd="0" x="7546"/>
        <item x="7547"/>
        <item x="7548"/>
        <item x="7549"/>
        <item x="7550"/>
        <item x="7551"/>
        <item x="7552"/>
        <item x="7553"/>
        <item x="7554"/>
        <item sd="0" x="7555"/>
        <item sd="0" x="7556"/>
        <item x="7557"/>
        <item x="8158"/>
        <item x="8159"/>
        <item x="8160"/>
        <item x="8161"/>
        <item x="8162"/>
        <item x="8163"/>
        <item x="8164"/>
        <item sd="0" x="8165"/>
        <item sd="0" x="8166"/>
        <item x="8167"/>
        <item x="8168"/>
        <item x="8169"/>
        <item x="8170"/>
        <item x="8171"/>
        <item x="8172"/>
        <item x="8173"/>
        <item sd="0" m="1" x="15496"/>
        <item x="8174"/>
        <item sd="0" x="8175"/>
        <item sd="0" x="8176"/>
        <item sd="0" x="8177"/>
        <item x="8178"/>
        <item x="8179"/>
        <item x="8180"/>
        <item x="8181"/>
        <item x="8182"/>
        <item sd="0" x="8183"/>
        <item x="8184"/>
        <item sd="0" x="8185"/>
        <item sd="0" x="8186"/>
        <item x="8187"/>
        <item x="8188"/>
        <item x="8189"/>
        <item x="8190"/>
        <item x="8191"/>
        <item x="8192"/>
        <item x="8193"/>
        <item x="8194"/>
        <item sd="0" x="8195"/>
        <item sd="0" x="8196"/>
        <item x="8197"/>
        <item sd="0" x="8198"/>
        <item sd="0" x="8199"/>
        <item x="8200"/>
        <item x="8201"/>
        <item x="8202"/>
        <item x="8203"/>
        <item x="8204"/>
        <item x="8205"/>
        <item sd="0" x="8206"/>
        <item sd="0" x="8207"/>
        <item sd="0" x="8208"/>
        <item sd="0" x="8209"/>
        <item x="8210"/>
        <item x="8211"/>
        <item x="8212"/>
        <item x="8213"/>
        <item x="8214"/>
        <item sd="0" x="8215"/>
        <item sd="0" x="8216"/>
        <item x="8217"/>
        <item sd="0" x="8835"/>
        <item sd="0" x="8836"/>
        <item x="8837"/>
        <item x="8838"/>
        <item sd="0" x="8839"/>
        <item x="8840"/>
        <item x="8841"/>
        <item x="8842"/>
        <item x="8843"/>
        <item x="8844"/>
        <item sd="0" x="8845"/>
        <item sd="0" x="8846"/>
        <item x="8847"/>
        <item x="8848"/>
        <item sd="0" x="8849"/>
        <item x="8850"/>
        <item x="8851"/>
        <item x="8852"/>
        <item x="8853"/>
        <item x="8854"/>
        <item sd="0" x="8855"/>
        <item sd="0" x="8856"/>
        <item x="8857"/>
        <item x="8858"/>
        <item sd="0" x="8859"/>
        <item x="8860"/>
        <item x="8861"/>
        <item x="8862"/>
        <item x="8863"/>
        <item x="8864"/>
        <item x="8865"/>
        <item x="8866"/>
        <item x="8867"/>
        <item sd="0" x="8868"/>
        <item sd="0" x="8869"/>
        <item x="8870"/>
        <item x="8871"/>
        <item x="8872"/>
        <item x="8873"/>
        <item x="8874"/>
        <item x="8875"/>
        <item x="8876"/>
        <item x="8877"/>
        <item sd="0" x="8878"/>
        <item sd="0" x="8879"/>
        <item x="8880"/>
        <item x="8881"/>
        <item x="8882"/>
        <item x="8883"/>
        <item x="8884"/>
        <item x="8885"/>
        <item x="8886"/>
        <item x="8887"/>
        <item x="8888"/>
        <item sd="0" x="8889"/>
        <item sd="0" x="8890"/>
        <item x="8891"/>
        <item x="8892"/>
        <item x="8893"/>
        <item x="8894"/>
        <item x="9498"/>
        <item x="9499"/>
        <item x="9500"/>
        <item x="9501"/>
        <item sd="0" x="9502"/>
        <item sd="0" x="9503"/>
        <item x="9504"/>
        <item x="9505"/>
        <item x="9506"/>
        <item x="9507"/>
        <item x="9508"/>
        <item x="9509"/>
        <item x="9510"/>
        <item x="9511"/>
        <item sd="0" x="9512"/>
        <item sd="0" x="9513"/>
        <item x="9514"/>
        <item x="9515"/>
        <item x="9516"/>
        <item x="9517"/>
        <item x="9518"/>
        <item sd="0" x="9519"/>
        <item sd="0" x="9520"/>
        <item x="9521"/>
        <item x="9522"/>
        <item x="9523"/>
        <item x="9524"/>
        <item x="9525"/>
        <item x="9526"/>
        <item x="9527"/>
        <item x="9528"/>
        <item sd="0" x="9529"/>
        <item x="9530"/>
        <item x="9531"/>
        <item x="9532"/>
        <item x="9533"/>
        <item x="9534"/>
        <item x="9535"/>
        <item x="9536"/>
        <item x="9537"/>
        <item x="9538"/>
        <item x="9539"/>
        <item x="9540"/>
        <item x="9541"/>
        <item sd="0" x="9542"/>
        <item sd="0" x="9543"/>
        <item x="9544"/>
        <item x="9545"/>
        <item x="9546"/>
        <item x="9547"/>
        <item x="9548"/>
        <item x="9549"/>
        <item x="9550"/>
        <item x="9551"/>
        <item sd="0" x="9552"/>
        <item sd="0" x="9553"/>
        <item x="9554"/>
        <item x="9555"/>
        <item x="9556"/>
        <item x="9557"/>
        <item x="10162"/>
        <item x="10163"/>
        <item x="10164"/>
        <item x="10165"/>
        <item x="10166"/>
        <item x="10167"/>
        <item sd="0" x="10168"/>
        <item sd="0" x="10169"/>
        <item x="10170"/>
        <item x="10171"/>
        <item x="10172"/>
        <item x="10173"/>
        <item x="10174"/>
        <item x="10175"/>
        <item x="10176"/>
        <item x="10177"/>
        <item sd="0" x="10178"/>
        <item sd="0" x="10179"/>
        <item x="10180"/>
        <item x="10181"/>
        <item x="10182"/>
        <item x="10183"/>
        <item x="10184"/>
        <item x="10185"/>
        <item x="10186"/>
        <item x="10187"/>
        <item sd="0" x="10188"/>
        <item sd="0" x="10189"/>
        <item x="10190"/>
        <item x="10191"/>
        <item sd="0" x="10192"/>
        <item x="10193"/>
        <item x="10194"/>
        <item x="10195"/>
        <item x="10196"/>
        <item x="10197"/>
        <item sd="0" x="10198"/>
        <item sd="0" x="10199"/>
        <item x="10200"/>
        <item sd="0" x="10201"/>
        <item sd="0" x="10202"/>
        <item x="10203"/>
        <item x="10204"/>
        <item x="10205"/>
        <item x="10206"/>
        <item x="10207"/>
        <item x="10208"/>
        <item x="10209"/>
        <item x="10210"/>
        <item sd="0" x="10211"/>
        <item sd="0" x="10212"/>
        <item x="10213"/>
        <item sd="0" x="10214"/>
        <item sd="0" x="10215"/>
        <item x="10216"/>
        <item x="10217"/>
        <item x="10218"/>
        <item x="10219"/>
        <item x="10220"/>
        <item sd="0" x="10221"/>
        <item sd="0" x="10222"/>
        <item x="10782"/>
        <item sd="0" x="10783"/>
        <item sd="0" x="10784"/>
        <item x="10785"/>
        <item x="10786"/>
        <item x="10787"/>
        <item x="10788"/>
        <item x="10789"/>
        <item sd="0" x="10790"/>
        <item sd="0" x="10791"/>
        <item x="10792"/>
        <item sd="0" x="10793"/>
        <item sd="0" x="10794"/>
        <item x="10795"/>
        <item x="10796"/>
        <item x="10797"/>
        <item sd="0" x="10798"/>
        <item sd="0" x="10799"/>
        <item x="10800"/>
        <item x="10801"/>
        <item x="10802"/>
        <item x="10803"/>
        <item x="10804"/>
        <item x="10805"/>
        <item x="10806"/>
        <item x="10807"/>
        <item sd="0" x="10808"/>
        <item sd="0" x="10809"/>
        <item x="10810"/>
        <item x="10811"/>
        <item x="10812"/>
        <item x="10813"/>
        <item x="10814"/>
        <item x="10815"/>
        <item sd="0" x="10816"/>
        <item x="10817"/>
        <item sd="0" x="10818"/>
        <item sd="0" x="10819"/>
        <item x="10820"/>
        <item sd="0" x="10821"/>
        <item sd="0" x="10822"/>
        <item x="10823"/>
        <item x="10824"/>
        <item x="10825"/>
        <item x="10826"/>
        <item x="10827"/>
        <item sd="0" x="10828"/>
        <item sd="0" x="10829"/>
        <item x="10830"/>
        <item sd="0" x="10831"/>
        <item sd="0" x="10832"/>
        <item x="10833"/>
        <item x="10834"/>
        <item x="10835"/>
        <item x="10836"/>
        <item x="10837"/>
        <item x="10838"/>
        <item x="10839"/>
        <item x="10840"/>
        <item sd="0" x="10841"/>
        <item sd="0" x="11388"/>
        <item x="11389"/>
        <item x="11390"/>
        <item x="11391"/>
        <item x="11392"/>
        <item x="11393"/>
        <item x="11394"/>
        <item x="11395"/>
        <item x="11396"/>
        <item sd="0" x="11397"/>
        <item sd="0" x="11398"/>
        <item x="11399"/>
        <item x="11400"/>
        <item x="11401"/>
        <item x="11402"/>
        <item x="11403"/>
        <item x="11404"/>
        <item x="11405"/>
        <item x="11406"/>
        <item sd="0" x="11407"/>
        <item x="11408"/>
        <item x="11409"/>
        <item x="11410"/>
        <item x="11411"/>
        <item x="11412"/>
        <item x="11413"/>
        <item x="11414"/>
        <item x="11415"/>
        <item x="11416"/>
        <item x="11417"/>
        <item x="11418"/>
        <item sd="0" x="11419"/>
        <item sd="0" x="11420"/>
        <item x="11421"/>
        <item x="11422"/>
        <item x="11423"/>
        <item x="11424"/>
        <item x="11425"/>
        <item x="11426"/>
        <item x="11427"/>
        <item x="11428"/>
        <item sd="0" x="11429"/>
        <item sd="0" x="11430"/>
        <item x="11431"/>
        <item x="11432"/>
        <item x="11433"/>
        <item x="11434"/>
        <item x="11435"/>
        <item x="11436"/>
        <item x="11437"/>
        <item x="11438"/>
        <item x="11439"/>
        <item x="11440"/>
        <item x="11441"/>
        <item sd="0" x="11442"/>
        <item sd="0" x="11443"/>
        <item x="11444"/>
        <item x="11445"/>
        <item x="11446"/>
        <item x="11447"/>
        <item x="11448"/>
        <item x="11951"/>
        <item x="11952"/>
        <item x="11953"/>
        <item sd="0" x="11954"/>
        <item sd="0" x="11955"/>
        <item x="11956"/>
        <item x="11957"/>
        <item x="11958"/>
        <item x="11959"/>
        <item x="11960"/>
        <item x="11961"/>
        <item x="11962"/>
        <item x="11963"/>
        <item sd="0" x="11964"/>
        <item sd="0" m="1" x="15450"/>
        <item sd="0" x="11965"/>
        <item x="11966"/>
        <item x="11967"/>
        <item x="11968"/>
        <item x="11969"/>
        <item x="11970"/>
        <item x="11971"/>
        <item sd="0" x="11972"/>
        <item sd="0" x="11973"/>
        <item x="11974"/>
        <item sd="0" x="11975"/>
        <item x="11976"/>
        <item x="11977"/>
        <item x="11978"/>
        <item x="11979"/>
        <item x="11980"/>
        <item sd="0" x="11981"/>
        <item sd="0" x="11982"/>
        <item x="11983"/>
        <item x="11984"/>
        <item sd="0" x="11985"/>
        <item x="11986"/>
        <item x="11987"/>
        <item x="11988"/>
        <item x="11989"/>
        <item x="11990"/>
        <item x="11991"/>
        <item x="11992"/>
        <item x="11993"/>
        <item sd="0" x="11994"/>
        <item sd="0" x="11995"/>
        <item x="11996"/>
        <item x="11997"/>
        <item x="11998"/>
        <item x="11999"/>
        <item x="12000"/>
        <item x="12001"/>
        <item x="12002"/>
        <item x="12003"/>
        <item sd="0" x="12004"/>
        <item sd="0" x="12005"/>
        <item x="12006"/>
        <item x="12007"/>
        <item x="12008"/>
        <item x="12009"/>
        <item x="12010"/>
        <item x="12011"/>
        <item x="12495"/>
        <item x="12496"/>
        <item sd="0" x="12497"/>
        <item sd="0" x="12498"/>
        <item x="12499"/>
        <item x="12500"/>
        <item x="12501"/>
        <item x="12502"/>
        <item x="12503"/>
        <item sd="0" x="12504"/>
        <item sd="0" x="12505"/>
        <item x="12506"/>
        <item sd="0" x="12507"/>
        <item sd="0" x="12508"/>
        <item x="12509"/>
        <item x="12510"/>
        <item x="12511"/>
        <item x="12512"/>
        <item x="12513"/>
        <item x="12514"/>
        <item x="12515"/>
        <item x="12516"/>
        <item sd="0" x="12517"/>
        <item sd="0" x="12518"/>
        <item x="12519"/>
        <item sd="0" x="12520"/>
        <item x="12521"/>
        <item x="12522"/>
        <item x="12523"/>
        <item x="12524"/>
        <item x="12525"/>
        <item x="12526"/>
        <item sd="0" x="12527"/>
        <item sd="0" x="12528"/>
        <item x="12529"/>
        <item sd="0" x="12530"/>
        <item x="12531"/>
        <item x="12532"/>
        <item x="12533"/>
        <item x="12534"/>
        <item x="12535"/>
        <item x="12536"/>
        <item sd="0" x="12537"/>
        <item x="12538"/>
        <item x="12539"/>
        <item sd="0" x="12540"/>
        <item x="12541"/>
        <item x="12542"/>
        <item x="12543"/>
        <item x="12544"/>
        <item x="12545"/>
        <item x="12546"/>
        <item x="12547"/>
        <item x="12548"/>
        <item sd="0" x="12549"/>
        <item sd="0" x="12550"/>
        <item x="12551"/>
        <item x="12552"/>
        <item x="12553"/>
        <item x="12554"/>
        <item x="13084"/>
        <item x="13085"/>
        <item x="13086"/>
        <item x="13087"/>
        <item sd="0" x="13088"/>
        <item sd="0" x="13089"/>
        <item x="13090"/>
        <item x="13091"/>
        <item x="13092"/>
        <item x="13093"/>
        <item x="13094"/>
        <item x="13095"/>
        <item x="13096"/>
        <item sd="0" m="1" x="15497"/>
        <item x="13097"/>
        <item sd="0" x="13098"/>
        <item sd="0" x="13099"/>
        <item sd="0" x="13100"/>
        <item x="13101"/>
        <item x="13102"/>
        <item x="13103"/>
        <item x="13104"/>
        <item x="13105"/>
        <item sd="0" x="13106"/>
        <item x="13107"/>
        <item sd="0" x="13108"/>
        <item sd="0" x="13109"/>
        <item x="13110"/>
        <item x="13111"/>
        <item x="13112"/>
        <item x="13113"/>
        <item x="13114"/>
        <item x="13115"/>
        <item x="13116"/>
        <item x="13117"/>
        <item sd="0" x="13118"/>
        <item sd="0" x="13119"/>
        <item x="13120"/>
        <item sd="0" x="13121"/>
        <item sd="0" x="13122"/>
        <item x="13123"/>
        <item x="13124"/>
        <item x="13125"/>
        <item x="13126"/>
        <item x="13127"/>
        <item x="13128"/>
        <item sd="0" x="13129"/>
        <item sd="0" x="13130"/>
        <item sd="0" x="13131"/>
        <item sd="0" x="13132"/>
        <item x="13133"/>
        <item x="13134"/>
        <item x="13135"/>
        <item x="13136"/>
        <item x="13137"/>
        <item sd="0" x="13138"/>
        <item sd="0" x="13139"/>
        <item x="13140"/>
        <item sd="0" x="13141"/>
        <item sd="0" x="13142"/>
        <item x="13143"/>
        <item x="13687"/>
        <item sd="0" x="13688"/>
        <item x="13689"/>
        <item x="13690"/>
        <item x="13691"/>
        <item x="13692"/>
        <item x="13693"/>
        <item sd="0" x="13694"/>
        <item sd="0" x="13695"/>
        <item x="13696"/>
        <item x="13697"/>
        <item sd="0" x="13698"/>
        <item x="13699"/>
        <item x="13700"/>
        <item x="13701"/>
        <item x="13702"/>
        <item x="13703"/>
        <item sd="0" x="13704"/>
        <item sd="0" x="13705"/>
        <item x="13706"/>
        <item x="13707"/>
        <item sd="0" x="13708"/>
        <item x="13709"/>
        <item x="13710"/>
        <item x="13711"/>
        <item x="13712"/>
        <item x="13713"/>
        <item x="13714"/>
        <item x="13715"/>
        <item x="13716"/>
        <item sd="0" x="13717"/>
        <item sd="0" x="13718"/>
        <item x="13719"/>
        <item x="13720"/>
        <item x="13721"/>
        <item x="13722"/>
        <item x="13723"/>
        <item x="13724"/>
        <item x="13725"/>
        <item x="13726"/>
        <item sd="0" x="13727"/>
        <item sd="0" x="13728"/>
        <item x="13729"/>
        <item x="13730"/>
        <item x="13731"/>
        <item x="13732"/>
        <item x="13733"/>
        <item x="13734"/>
        <item x="13735"/>
        <item x="13736"/>
        <item x="13737"/>
        <item sd="0" x="13738"/>
        <item sd="0" x="13739"/>
        <item x="13740"/>
        <item x="13741"/>
        <item x="13742"/>
        <item x="13743"/>
        <item x="13744"/>
        <item x="13745"/>
        <item x="13746"/>
        <item x="13747"/>
        <item sd="0" x="14293"/>
        <item sd="0" x="14294"/>
        <item x="14295"/>
        <item x="14296"/>
        <item x="14297"/>
        <item x="14298"/>
        <item x="14299"/>
        <item x="14300"/>
        <item x="14301"/>
        <item x="14302"/>
        <item sd="0" x="14303"/>
        <item sd="0" x="14304"/>
        <item x="14305"/>
        <item x="14306"/>
        <item x="14307"/>
        <item x="14308"/>
        <item x="14309"/>
        <item sd="0" x="14310"/>
        <item sd="0" x="14311"/>
        <item x="14312"/>
        <item x="14313"/>
        <item x="14314"/>
        <item x="14315"/>
        <item x="14316"/>
        <item x="14317"/>
        <item x="14318"/>
        <item x="14319"/>
        <item sd="0" x="14320"/>
        <item sd="0" x="14321"/>
        <item x="14322"/>
        <item x="14323"/>
        <item x="14324"/>
        <item x="14325"/>
        <item x="14326"/>
        <item x="14327"/>
        <item x="14328"/>
        <item x="14329"/>
        <item x="14330"/>
        <item x="14331"/>
        <item x="14332"/>
        <item sd="0" x="14333"/>
        <item sd="0" x="14334"/>
        <item x="14335"/>
        <item x="14336"/>
        <item x="14337"/>
        <item x="14338"/>
        <item x="14339"/>
        <item x="14340"/>
        <item x="14341"/>
        <item x="14342"/>
        <item sd="0" x="14343"/>
        <item sd="0" x="14344"/>
        <item x="14345"/>
        <item x="14346"/>
        <item x="14347"/>
        <item x="14348"/>
        <item x="14349"/>
        <item x="14350"/>
        <item x="14351"/>
        <item x="14352"/>
        <item x="14353"/>
        <item x="14898"/>
        <item sd="0" x="14899"/>
        <item sd="0" x="14900"/>
        <item x="14901"/>
        <item x="14902"/>
        <item x="14903"/>
        <item x="14904"/>
        <item x="14905"/>
        <item x="14906"/>
        <item x="14907"/>
        <item x="14908"/>
        <item sd="0" x="14909"/>
        <item sd="0" x="14910"/>
        <item x="14911"/>
        <item x="14912"/>
        <item x="14913"/>
        <item x="14914"/>
        <item x="14915"/>
        <item x="14916"/>
        <item x="14917"/>
        <item x="14918"/>
        <item sd="0" x="14919"/>
        <item sd="0" x="14920"/>
        <item x="14921"/>
        <item x="14922"/>
        <item sd="0" x="14923"/>
        <item x="14924"/>
        <item x="14925"/>
        <item x="14926"/>
        <item x="14927"/>
        <item x="14928"/>
        <item sd="0" x="14929"/>
        <item sd="0" x="14930"/>
        <item x="14931"/>
        <item sd="0" x="14932"/>
        <item sd="0" x="14933"/>
        <item x="14934"/>
        <item x="14935"/>
        <item x="14936"/>
        <item x="14937"/>
        <item x="14938"/>
        <item x="14939"/>
        <item x="14940"/>
        <item x="14941"/>
        <item sd="0" x="14942"/>
        <item sd="0" x="14943"/>
        <item x="14944"/>
        <item sd="0" x="14945"/>
        <item sd="0" x="14946"/>
        <item x="14947"/>
        <item x="14948"/>
        <item x="14949"/>
        <item x="14950"/>
        <item x="14951"/>
        <item sd="0" x="14952"/>
        <item sd="0" x="14953"/>
        <item x="14954"/>
        <item sd="0" x="14955"/>
        <item sd="0" x="14956"/>
        <item x="14957"/>
        <item x="14958"/>
        <item x="5564"/>
        <item x="5565"/>
        <item x="5566"/>
        <item sd="0" x="5567"/>
        <item sd="0" x="5568"/>
        <item x="5569"/>
        <item sd="0" x="5570"/>
        <item sd="0" x="5571"/>
        <item x="5572"/>
        <item x="5573"/>
        <item sd="0" x="5574"/>
        <item sd="0" x="5575"/>
        <item x="5576"/>
        <item x="5577"/>
        <item x="5578"/>
        <item x="5579"/>
        <item x="5580"/>
        <item x="5581"/>
        <item x="5582"/>
        <item x="5583"/>
        <item sd="0" x="5584"/>
        <item sd="0" x="5585"/>
        <item x="5586"/>
        <item x="5587"/>
        <item x="5588"/>
        <item x="5589"/>
        <item x="5590"/>
        <item x="5591"/>
        <item sd="0" x="5592"/>
        <item x="5593"/>
        <item sd="0" x="5594"/>
        <item sd="0" x="5595"/>
        <item x="5596"/>
        <item sd="0" x="5597"/>
        <item sd="0" x="5598"/>
        <item x="5599"/>
        <item x="5600"/>
        <item x="5601"/>
        <item x="5602"/>
        <item x="5603"/>
        <item sd="0" x="5604"/>
        <item sd="0" x="5605"/>
        <item x="5606"/>
        <item sd="0" x="5607"/>
        <item sd="0" x="5608"/>
        <item x="5609"/>
        <item x="5610"/>
        <item x="5611"/>
        <item x="5612"/>
        <item x="5613"/>
        <item x="5614"/>
        <item x="5615"/>
        <item x="5616"/>
        <item sd="0" x="5617"/>
        <item sd="0" x="5618"/>
        <item x="5619"/>
        <item x="5620"/>
        <item x="5621"/>
        <item x="5622"/>
        <item x="5623"/>
        <item x="5624"/>
        <item x="6230"/>
        <item x="6231"/>
        <item sd="0" x="6232"/>
        <item sd="0" x="6233"/>
        <item x="6234"/>
        <item x="6235"/>
        <item x="6236"/>
        <item x="6237"/>
        <item x="6238"/>
        <item x="6239"/>
        <item x="6240"/>
        <item x="6241"/>
        <item sd="0" x="6242"/>
        <item x="6243"/>
        <item x="6244"/>
        <item x="6245"/>
        <item x="6246"/>
        <item x="6247"/>
        <item x="6248"/>
        <item x="6249"/>
        <item x="6250"/>
        <item x="6251"/>
        <item x="6252"/>
        <item x="6253"/>
        <item sd="0" x="6254"/>
        <item sd="0" x="6255"/>
        <item x="6256"/>
        <item x="6257"/>
        <item x="6258"/>
        <item x="6259"/>
        <item x="6260"/>
        <item x="6261"/>
        <item x="6262"/>
        <item x="6263"/>
        <item sd="0" x="6264"/>
        <item sd="0" x="6265"/>
        <item x="6266"/>
        <item x="6267"/>
        <item x="6268"/>
        <item x="6269"/>
        <item x="6270"/>
        <item x="6271"/>
        <item x="6272"/>
        <item x="6273"/>
        <item x="6274"/>
        <item x="6275"/>
        <item x="6276"/>
        <item sd="0" x="6277"/>
        <item sd="0" x="6278"/>
        <item x="6279"/>
        <item x="6280"/>
        <item x="6281"/>
        <item x="6282"/>
        <item x="6283"/>
        <item x="6284"/>
        <item x="6285"/>
        <item x="6286"/>
        <item sd="0" x="6287"/>
        <item sd="0" x="6288"/>
        <item x="6289"/>
        <item x="6290"/>
        <item x="6896"/>
        <item x="6897"/>
        <item x="6898"/>
        <item x="6899"/>
        <item x="6900"/>
        <item x="6901"/>
        <item sd="0" m="1" x="15451"/>
        <item sd="0" x="6902"/>
        <item x="6903"/>
        <item x="6904"/>
        <item x="6905"/>
        <item x="6906"/>
        <item x="6907"/>
        <item x="6908"/>
        <item sd="0" x="6909"/>
        <item sd="0" x="6910"/>
        <item x="6911"/>
        <item sd="0" x="6912"/>
        <item x="6913"/>
        <item x="6914"/>
        <item x="6915"/>
        <item x="6916"/>
        <item x="6917"/>
        <item sd="0" x="6918"/>
        <item sd="0" x="6919"/>
        <item x="6920"/>
        <item x="6921"/>
        <item sd="0" x="6922"/>
        <item x="6923"/>
        <item x="6924"/>
        <item x="6925"/>
        <item x="6926"/>
        <item x="6927"/>
        <item x="6928"/>
        <item x="6929"/>
        <item x="6930"/>
        <item sd="0" x="6931"/>
        <item sd="0" x="6932"/>
        <item x="6933"/>
        <item x="6934"/>
        <item x="6935"/>
        <item x="6936"/>
        <item x="6937"/>
        <item x="6938"/>
        <item x="6939"/>
        <item x="6940"/>
        <item sd="0" x="6941"/>
        <item sd="0" x="6942"/>
        <item x="6943"/>
        <item x="6944"/>
        <item x="6945"/>
        <item x="6946"/>
        <item x="6947"/>
        <item x="6948"/>
        <item x="6949"/>
        <item x="6950"/>
        <item x="6951"/>
        <item x="6952"/>
        <item x="6953"/>
        <item sd="0" x="6954"/>
        <item sd="0" x="6955"/>
        <item x="7558"/>
        <item x="7559"/>
        <item x="7560"/>
        <item x="7561"/>
        <item x="7562"/>
        <item x="7563"/>
        <item x="7564"/>
        <item x="7565"/>
        <item sd="0" x="7566"/>
        <item sd="0" x="7567"/>
        <item x="7568"/>
        <item x="7569"/>
        <item x="7570"/>
        <item x="7571"/>
        <item x="7572"/>
        <item x="7573"/>
        <item x="7574"/>
        <item x="7575"/>
        <item x="7576"/>
        <item sd="0" x="7577"/>
        <item sd="0" x="7578"/>
        <item x="7579"/>
        <item x="7580"/>
        <item x="7581"/>
        <item x="7582"/>
        <item x="7583"/>
        <item x="7584"/>
        <item x="7585"/>
        <item x="7586"/>
        <item sd="0" x="7587"/>
        <item sd="0" x="7588"/>
        <item x="7589"/>
        <item x="7590"/>
        <item x="7591"/>
        <item x="7592"/>
        <item x="7593"/>
        <item x="7594"/>
        <item sd="0" x="7595"/>
        <item x="7596"/>
        <item sd="0" x="7597"/>
        <item sd="0" x="7598"/>
        <item x="7599"/>
        <item sd="0" x="7600"/>
        <item x="7601"/>
        <item x="7602"/>
        <item x="7603"/>
        <item x="7604"/>
        <item x="7605"/>
        <item x="7606"/>
        <item sd="0" x="7607"/>
        <item x="7608"/>
        <item x="7609"/>
        <item sd="0" x="7610"/>
        <item x="7611"/>
        <item x="7612"/>
        <item x="7613"/>
        <item x="7614"/>
        <item x="7615"/>
        <item x="7616"/>
        <item x="7617"/>
        <item x="8218"/>
        <item x="8219"/>
        <item sd="0" x="8220"/>
        <item x="8221"/>
        <item x="8222"/>
        <item x="8223"/>
        <item sd="0" m="1" x="15491"/>
        <item x="8224"/>
        <item x="8225"/>
        <item x="8226"/>
        <item x="8227"/>
        <item x="8228"/>
        <item sd="0" x="8229"/>
        <item sd="0" x="8230"/>
        <item x="8231"/>
        <item x="8232"/>
        <item x="8233"/>
        <item x="8234"/>
        <item x="8235"/>
        <item x="8236"/>
        <item x="8237"/>
        <item x="8238"/>
        <item sd="0" x="8239"/>
        <item sd="0" x="8240"/>
        <item x="8241"/>
        <item x="8242"/>
        <item x="8243"/>
        <item x="8244"/>
        <item x="8245"/>
        <item x="8246"/>
        <item x="8247"/>
        <item x="8248"/>
        <item x="8249"/>
        <item x="8250"/>
        <item x="8251"/>
        <item sd="0" x="8252"/>
        <item sd="0" x="8253"/>
        <item x="8254"/>
        <item x="8255"/>
        <item x="8256"/>
        <item x="8257"/>
        <item x="8258"/>
        <item x="8259"/>
        <item x="8260"/>
        <item x="8261"/>
        <item sd="0" x="8262"/>
        <item sd="0" x="8263"/>
        <item x="8264"/>
        <item x="8265"/>
        <item x="8266"/>
        <item x="8267"/>
        <item x="8268"/>
        <item x="8269"/>
        <item x="8270"/>
        <item x="8271"/>
        <item x="8272"/>
        <item x="8273"/>
        <item x="8274"/>
        <item sd="0" x="8275"/>
        <item sd="0" x="8276"/>
        <item x="8277"/>
        <item x="8278"/>
        <item x="8895"/>
        <item x="8896"/>
        <item x="8897"/>
        <item x="8898"/>
        <item x="8899"/>
        <item x="8900"/>
        <item sd="0" x="8901"/>
        <item sd="0" x="8902"/>
        <item x="8903"/>
        <item x="8904"/>
        <item x="8905"/>
        <item x="8906"/>
        <item x="8907"/>
        <item x="8908"/>
        <item x="8909"/>
        <item x="8910"/>
        <item sd="0" x="8911"/>
        <item x="8912"/>
        <item sd="0" x="8913"/>
        <item sd="0" x="8914"/>
        <item sd="0" x="8915"/>
        <item x="8916"/>
        <item x="8917"/>
        <item x="8918"/>
        <item x="8919"/>
        <item x="8920"/>
        <item sd="0" x="8921"/>
        <item x="8922"/>
        <item sd="0" x="8923"/>
        <item sd="0" x="8924"/>
        <item x="8925"/>
        <item x="8926"/>
        <item x="8927"/>
        <item x="8928"/>
        <item x="8929"/>
        <item x="8930"/>
        <item x="8931"/>
        <item x="8932"/>
        <item sd="0" x="8933"/>
        <item sd="0" x="8934"/>
        <item x="8935"/>
        <item sd="0" x="8936"/>
        <item sd="0" x="8937"/>
        <item x="8938"/>
        <item x="8939"/>
        <item x="8940"/>
        <item x="8941"/>
        <item x="8942"/>
        <item x="8943"/>
        <item sd="0" x="8944"/>
        <item sd="0" x="8945"/>
        <item sd="0" x="8946"/>
        <item sd="0" x="8947"/>
        <item x="8948"/>
        <item x="8949"/>
        <item x="8950"/>
        <item x="8951"/>
        <item x="8952"/>
        <item sd="0" x="8953"/>
        <item sd="0" x="8954"/>
        <item x="9558"/>
        <item sd="0" x="9559"/>
        <item sd="0" x="9560"/>
        <item x="9561"/>
        <item x="9562"/>
        <item x="9563"/>
        <item x="9564"/>
        <item sd="0" x="9565"/>
        <item sd="0" x="9566"/>
        <item x="9567"/>
        <item x="9568"/>
        <item x="9569"/>
        <item x="9570"/>
        <item x="9571"/>
        <item x="9572"/>
        <item x="9573"/>
        <item x="9574"/>
        <item sd="0" x="9575"/>
        <item sd="0" x="9576"/>
        <item x="9577"/>
        <item x="9578"/>
        <item x="9579"/>
        <item x="9580"/>
        <item x="9581"/>
        <item x="9582"/>
        <item x="9583"/>
        <item x="9584"/>
        <item sd="0" x="9585"/>
        <item sd="0" x="9586"/>
        <item sd="0" x="9587"/>
        <item sd="0" x="9588"/>
        <item x="9589"/>
        <item x="9590"/>
        <item x="9591"/>
        <item x="9592"/>
        <item x="9593"/>
        <item x="9594"/>
        <item sd="0" x="9595"/>
        <item x="9596"/>
        <item sd="0" x="9597"/>
        <item sd="0" x="9598"/>
        <item x="9599"/>
        <item x="9600"/>
        <item x="9601"/>
        <item x="9602"/>
        <item x="9603"/>
        <item x="9604"/>
        <item x="9605"/>
        <item x="9606"/>
        <item sd="0" x="9607"/>
        <item sd="0" x="9608"/>
        <item x="9609"/>
        <item x="9610"/>
        <item sd="0" x="9611"/>
        <item x="9612"/>
        <item x="9613"/>
        <item x="9614"/>
        <item x="9615"/>
        <item x="9616"/>
        <item sd="0" x="9617"/>
        <item sd="0" x="9618"/>
        <item x="10223"/>
        <item x="10224"/>
        <item sd="0" x="10225"/>
        <item x="10226"/>
        <item x="10227"/>
        <item x="10228"/>
        <item x="10229"/>
        <item x="10230"/>
        <item sd="0" x="10231"/>
        <item x="10232"/>
        <item x="10233"/>
        <item x="10234"/>
        <item sd="0" x="10235"/>
        <item x="10236"/>
        <item x="10237"/>
        <item x="10238"/>
        <item x="10239"/>
        <item x="10240"/>
        <item x="10241"/>
        <item x="10242"/>
        <item x="10243"/>
        <item sd="0" x="10244"/>
        <item sd="0" x="10245"/>
        <item x="10246"/>
        <item x="10247"/>
        <item x="10248"/>
        <item x="10249"/>
        <item x="10250"/>
        <item x="10251"/>
        <item x="10252"/>
        <item x="10253"/>
        <item sd="0" x="10254"/>
        <item sd="0" x="10255"/>
        <item x="10256"/>
        <item x="10257"/>
        <item x="10258"/>
        <item x="10259"/>
        <item x="10260"/>
        <item x="10261"/>
        <item x="10262"/>
        <item x="10263"/>
        <item x="10264"/>
        <item x="10265"/>
        <item x="10266"/>
        <item sd="0" x="10267"/>
        <item sd="0" x="10268"/>
        <item x="10269"/>
        <item x="10270"/>
        <item x="10271"/>
        <item x="10272"/>
        <item x="10273"/>
        <item x="10274"/>
        <item x="10275"/>
        <item x="10276"/>
        <item sd="0" x="10277"/>
        <item sd="0" x="10278"/>
        <item x="10279"/>
        <item x="10280"/>
        <item x="10281"/>
        <item x="10282"/>
        <item x="10842"/>
        <item x="10843"/>
        <item x="10844"/>
        <item x="10845"/>
        <item sd="0" m="1" x="15479"/>
        <item sd="0" x="10846"/>
        <item sd="0" x="10847"/>
        <item x="10848"/>
        <item x="10849"/>
        <item x="10850"/>
        <item x="10851"/>
        <item x="10852"/>
        <item sd="0" x="10853"/>
        <item sd="0" x="10854"/>
        <item x="10855"/>
        <item sd="0" x="10856"/>
        <item sd="0" x="10857"/>
        <item x="10858"/>
        <item x="10859"/>
        <item x="10860"/>
        <item x="10861"/>
        <item x="10862"/>
        <item sd="0" x="10863"/>
        <item sd="0" x="10864"/>
        <item x="10865"/>
        <item sd="0" x="10866"/>
        <item sd="0" x="10867"/>
        <item x="10868"/>
        <item x="10869"/>
        <item x="10870"/>
        <item x="10871"/>
        <item x="10872"/>
        <item x="10873"/>
        <item x="10874"/>
        <item x="10875"/>
        <item sd="0" x="10876"/>
        <item sd="0" x="10877"/>
        <item x="10878"/>
        <item x="10879"/>
        <item x="10880"/>
        <item x="10881"/>
        <item x="10882"/>
        <item x="10883"/>
        <item x="10884"/>
        <item x="10885"/>
        <item sd="0" x="10886"/>
        <item sd="0" x="10887"/>
        <item x="10888"/>
        <item x="10889"/>
        <item x="10890"/>
        <item x="10891"/>
        <item x="10892"/>
        <item x="10893"/>
        <item x="10894"/>
        <item x="10895"/>
        <item x="10896"/>
        <item x="10897"/>
        <item sd="0" x="10898"/>
        <item sd="0" x="10899"/>
        <item x="10900"/>
        <item x="10901"/>
        <item x="10902"/>
        <item x="11449"/>
        <item x="11450"/>
        <item x="11451"/>
        <item x="11452"/>
        <item x="11453"/>
        <item x="11454"/>
        <item sd="0" x="11455"/>
        <item x="11456"/>
        <item x="11457"/>
        <item x="11458"/>
        <item x="11459"/>
        <item x="11460"/>
        <item x="11461"/>
        <item x="11462"/>
        <item x="11463"/>
        <item x="11464"/>
        <item sd="0" x="11465"/>
        <item sd="0" x="11466"/>
        <item x="11467"/>
        <item x="11468"/>
        <item x="11469"/>
        <item x="11470"/>
        <item x="11471"/>
        <item x="11472"/>
        <item x="11473"/>
        <item x="11474"/>
        <item sd="0" x="11475"/>
        <item sd="0" x="11476"/>
        <item x="11477"/>
        <item x="11478"/>
        <item x="11479"/>
        <item x="11480"/>
        <item x="11481"/>
        <item x="11482"/>
        <item sd="0" x="11483"/>
        <item x="11484"/>
        <item sd="0" x="11485"/>
        <item sd="0" x="11486"/>
        <item x="11487"/>
        <item sd="0" x="11488"/>
        <item sd="0" x="11489"/>
        <item x="11490"/>
        <item x="11491"/>
        <item x="11492"/>
        <item x="11493"/>
        <item x="11494"/>
        <item sd="0" x="11495"/>
        <item sd="0" x="11496"/>
        <item x="11497"/>
        <item sd="0" x="11498"/>
        <item sd="0" x="11499"/>
        <item x="11500"/>
        <item x="11501"/>
        <item x="11502"/>
        <item x="11503"/>
        <item x="11504"/>
        <item x="11505"/>
        <item x="11506"/>
        <item x="11507"/>
        <item sd="0" x="11508"/>
        <item sd="0" x="12012"/>
        <item x="12013"/>
        <item x="12014"/>
        <item x="12015"/>
        <item x="12016"/>
        <item x="12017"/>
        <item sd="0" x="12018"/>
        <item sd="0" x="12019"/>
        <item x="12020"/>
        <item x="12021"/>
        <item x="12022"/>
        <item x="12023"/>
        <item x="12024"/>
        <item x="12025"/>
        <item x="12026"/>
        <item x="12027"/>
        <item sd="0" x="12028"/>
        <item sd="0" x="12029"/>
        <item x="12030"/>
        <item x="12031"/>
        <item x="12032"/>
        <item x="12033"/>
        <item x="12034"/>
        <item x="12035"/>
        <item x="12036"/>
        <item x="12037"/>
        <item sd="0" x="12038"/>
        <item x="12039"/>
        <item x="12040"/>
        <item sd="0" x="12041"/>
        <item sd="0" x="12042"/>
        <item x="12043"/>
        <item x="12044"/>
        <item x="12045"/>
        <item x="12046"/>
        <item x="12047"/>
        <item sd="0" x="12048"/>
        <item x="12049"/>
        <item x="12050"/>
        <item sd="0" x="12051"/>
        <item sd="0" x="12052"/>
        <item x="12053"/>
        <item x="12054"/>
        <item x="12055"/>
        <item x="12056"/>
        <item x="12057"/>
        <item x="12058"/>
        <item x="12059"/>
        <item x="12060"/>
        <item sd="0" x="12061"/>
        <item x="12062"/>
        <item sd="0" x="12063"/>
        <item sd="0" x="12064"/>
        <item x="12065"/>
        <item x="12066"/>
        <item x="12067"/>
        <item x="12068"/>
        <item x="12069"/>
        <item x="12070"/>
        <item sd="0" x="12071"/>
        <item sd="0" x="12072"/>
        <item sd="0" x="12555"/>
        <item sd="0" x="12556"/>
        <item x="12557"/>
        <item x="12558"/>
        <item x="12559"/>
        <item x="12560"/>
        <item x="12561"/>
        <item x="12562"/>
        <item x="12563"/>
        <item x="12564"/>
        <item sd="0" x="12565"/>
        <item sd="0" x="12566"/>
        <item x="12567"/>
        <item x="12568"/>
        <item sd="0" x="12569"/>
        <item x="12570"/>
        <item x="12571"/>
        <item x="12572"/>
        <item x="12573"/>
        <item x="12574"/>
        <item x="12575"/>
        <item sd="0" x="12576"/>
        <item sd="0" x="12577"/>
        <item x="12578"/>
        <item sd="0" x="12579"/>
        <item x="12580"/>
        <item x="12581"/>
        <item x="12582"/>
        <item x="12583"/>
        <item x="12584"/>
        <item sd="0" x="12585"/>
        <item sd="0" x="12586"/>
        <item x="12587"/>
        <item x="12588"/>
        <item sd="0" x="12589"/>
        <item x="12590"/>
        <item x="12591"/>
        <item x="12592"/>
        <item x="12593"/>
        <item x="12594"/>
        <item x="12595"/>
        <item x="12596"/>
        <item x="12597"/>
        <item sd="0" x="12598"/>
        <item sd="0" x="12599"/>
        <item x="12600"/>
        <item x="12601"/>
        <item x="12602"/>
        <item x="12603"/>
        <item x="12604"/>
        <item x="12605"/>
        <item x="12606"/>
        <item x="12607"/>
        <item sd="0" x="12608"/>
        <item sd="0" x="12609"/>
        <item x="12610"/>
        <item x="12611"/>
        <item x="12612"/>
        <item x="12613"/>
        <item x="12614"/>
        <item x="13144"/>
        <item x="13145"/>
        <item x="13146"/>
        <item sd="0" x="13147"/>
        <item sd="0" x="13148"/>
        <item x="13149"/>
        <item x="13150"/>
        <item x="13151"/>
        <item x="13152"/>
        <item x="13153"/>
        <item sd="0" x="13154"/>
        <item sd="0" x="13155"/>
        <item x="13156"/>
        <item sd="0" x="13157"/>
        <item sd="0" x="13158"/>
        <item x="13159"/>
        <item x="13160"/>
        <item x="13161"/>
        <item x="13162"/>
        <item x="13163"/>
        <item x="13164"/>
        <item x="13165"/>
        <item x="13166"/>
        <item sd="0" x="13167"/>
        <item sd="0" x="13168"/>
        <item x="13169"/>
        <item sd="0" x="13170"/>
        <item x="13171"/>
        <item x="13172"/>
        <item x="13173"/>
        <item x="13174"/>
        <item x="13175"/>
        <item x="13176"/>
        <item sd="0" x="13177"/>
        <item sd="0" x="13178"/>
        <item x="13179"/>
        <item sd="0" x="13180"/>
        <item x="13181"/>
        <item x="13182"/>
        <item x="13183"/>
        <item x="13184"/>
        <item x="13185"/>
        <item x="13186"/>
        <item sd="0" x="13187"/>
        <item x="13188"/>
        <item x="13189"/>
        <item sd="0" x="13190"/>
        <item x="13191"/>
        <item x="13192"/>
        <item x="13193"/>
        <item x="13194"/>
        <item x="13195"/>
        <item x="13196"/>
        <item x="13197"/>
        <item x="13198"/>
        <item sd="0" x="13199"/>
        <item sd="0" x="13200"/>
        <item x="13201"/>
        <item x="13202"/>
        <item x="13203"/>
        <item x="13204"/>
        <item x="13748"/>
        <item x="13749"/>
        <item x="13750"/>
        <item x="13751"/>
        <item sd="0" x="13752"/>
        <item sd="0" x="13753"/>
        <item x="13754"/>
        <item x="13755"/>
        <item x="13756"/>
        <item x="13757"/>
        <item x="13758"/>
        <item x="13759"/>
        <item x="13760"/>
        <item x="13761"/>
        <item x="13762"/>
        <item x="13763"/>
        <item x="13764"/>
        <item sd="0" x="13765"/>
        <item sd="0" x="13766"/>
        <item x="13767"/>
        <item x="13768"/>
        <item x="13769"/>
        <item x="13770"/>
        <item x="13771"/>
        <item x="13772"/>
        <item x="13773"/>
        <item x="13774"/>
        <item sd="0" x="13775"/>
        <item sd="0" x="13776"/>
        <item x="13777"/>
        <item x="13778"/>
        <item x="13779"/>
        <item x="13780"/>
        <item x="13781"/>
        <item x="13782"/>
        <item x="13783"/>
        <item x="13784"/>
        <item x="13785"/>
        <item x="13786"/>
        <item x="13787"/>
        <item sd="0" x="13788"/>
        <item sd="0" x="13789"/>
        <item x="13790"/>
        <item x="13791"/>
        <item x="13792"/>
        <item x="13793"/>
        <item x="13794"/>
        <item x="13795"/>
        <item x="13796"/>
        <item x="13797"/>
        <item sd="0" x="13798"/>
        <item sd="0" x="13799"/>
        <item x="13800"/>
        <item x="13801"/>
        <item x="13802"/>
        <item x="13803"/>
        <item x="13804"/>
        <item x="13805"/>
        <item x="13806"/>
        <item x="13807"/>
        <item sd="0" x="13808"/>
        <item sd="0" m="1" x="15446"/>
        <item sd="0" m="1" x="15467"/>
        <item sd="0" x="14354"/>
        <item x="14355"/>
        <item x="14356"/>
        <item x="14357"/>
        <item x="14358"/>
        <item x="14359"/>
        <item sd="0" x="14360"/>
        <item sd="0" x="14361"/>
        <item x="14362"/>
        <item x="14363"/>
        <item sd="0" x="14364"/>
        <item x="14365"/>
        <item x="14366"/>
        <item x="14367"/>
        <item x="14368"/>
        <item x="14369"/>
        <item sd="0" x="14370"/>
        <item sd="0" x="14371"/>
        <item x="14372"/>
        <item x="14373"/>
        <item sd="0" x="14374"/>
        <item x="14375"/>
        <item x="14376"/>
        <item x="14377"/>
        <item x="14378"/>
        <item x="14379"/>
        <item x="14380"/>
        <item x="14381"/>
        <item x="14382"/>
        <item sd="0" x="14383"/>
        <item sd="0" x="14384"/>
        <item x="14385"/>
        <item x="14386"/>
        <item x="14387"/>
        <item x="14388"/>
        <item x="14389"/>
        <item x="14390"/>
        <item x="14391"/>
        <item x="14392"/>
        <item sd="0" x="14393"/>
        <item sd="0" x="14394"/>
        <item x="14395"/>
        <item x="14396"/>
        <item x="14397"/>
        <item x="14398"/>
        <item x="14399"/>
        <item x="14400"/>
        <item x="14401"/>
        <item x="14402"/>
        <item x="14403"/>
        <item sd="0" x="14404"/>
        <item sd="0" x="14405"/>
        <item x="14406"/>
        <item x="14407"/>
        <item x="14408"/>
        <item x="14409"/>
        <item x="14410"/>
        <item x="14411"/>
        <item x="14412"/>
        <item x="14413"/>
        <item sd="0" x="14959"/>
        <item sd="0" x="14960"/>
        <item x="14961"/>
        <item x="14962"/>
        <item x="14963"/>
        <item x="14964"/>
        <item x="14965"/>
        <item x="14966"/>
        <item x="14967"/>
        <item x="14968"/>
        <item sd="0" x="14969"/>
        <item sd="0" x="14970"/>
        <item sd="0" x="14971"/>
        <item sd="0" x="14972"/>
        <item x="14973"/>
        <item x="14974"/>
        <item x="14975"/>
        <item x="14976"/>
        <item x="14977"/>
        <item x="14978"/>
        <item sd="0" x="14979"/>
        <item x="14980"/>
        <item sd="0" x="14981"/>
        <item sd="0" x="14982"/>
        <item x="14983"/>
        <item x="14984"/>
        <item x="14985"/>
        <item x="14986"/>
        <item x="14987"/>
        <item x="14988"/>
        <item x="14989"/>
        <item x="14990"/>
        <item sd="0" x="14991"/>
        <item sd="0" x="14992"/>
        <item x="14993"/>
        <item x="14994"/>
        <item sd="0" x="14995"/>
        <item x="14996"/>
        <item x="14997"/>
        <item x="14998"/>
        <item x="14999"/>
        <item x="15000"/>
        <item sd="0" x="15001"/>
        <item sd="0" x="15002"/>
        <item x="15003"/>
        <item x="15004"/>
        <item sd="0" x="15005"/>
        <item x="15006"/>
        <item x="15007"/>
        <item x="15008"/>
        <item x="15009"/>
        <item x="15010"/>
        <item sd="0" x="15011"/>
        <item x="15012"/>
        <item x="15013"/>
        <item x="15014"/>
        <item sd="0" x="15015"/>
        <item x="15016"/>
        <item x="15017"/>
        <item x="15018"/>
        <item x="15019"/>
        <item x="5625"/>
        <item sd="0" x="5626"/>
        <item sd="0" x="5627"/>
        <item x="5628"/>
        <item x="5629"/>
        <item x="5630"/>
        <item x="5631"/>
        <item x="5632"/>
        <item x="5633"/>
        <item x="5634"/>
        <item x="5635"/>
        <item sd="0" x="5636"/>
        <item sd="0" x="5637"/>
        <item x="5638"/>
        <item x="5639"/>
        <item x="5640"/>
        <item x="5641"/>
        <item x="5642"/>
        <item x="5643"/>
        <item x="5644"/>
        <item x="5645"/>
        <item sd="0" x="5646"/>
        <item sd="0" x="5647"/>
        <item x="5648"/>
        <item x="5649"/>
        <item sd="0" x="5650"/>
        <item x="5651"/>
        <item x="5652"/>
        <item x="5653"/>
        <item x="5654"/>
        <item x="5655"/>
        <item sd="0" x="5656"/>
        <item sd="0" x="5657"/>
        <item x="5658"/>
        <item sd="0" x="5659"/>
        <item sd="0" x="5660"/>
        <item x="5661"/>
        <item x="5662"/>
        <item x="5663"/>
        <item x="5664"/>
        <item x="5665"/>
        <item x="5666"/>
        <item x="5667"/>
        <item x="5668"/>
        <item sd="0" x="5669"/>
        <item sd="0" x="5670"/>
        <item x="5671"/>
        <item sd="0" x="5672"/>
        <item sd="0" x="5673"/>
        <item x="5674"/>
        <item x="5675"/>
        <item x="5676"/>
        <item x="5677"/>
        <item x="5678"/>
        <item sd="0" x="5679"/>
        <item sd="0" x="5680"/>
        <item x="5681"/>
        <item sd="0" x="5682"/>
        <item sd="0" x="5683"/>
        <item x="5684"/>
        <item x="5685"/>
        <item x="6291"/>
        <item x="6292"/>
        <item x="6293"/>
        <item sd="0" x="6294"/>
        <item sd="0" x="6295"/>
        <item x="6296"/>
        <item sd="0" x="6297"/>
        <item sd="0" x="6298"/>
        <item x="6299"/>
        <item x="6300"/>
        <item x="6301"/>
        <item x="6302"/>
        <item x="6303"/>
        <item x="6304"/>
        <item x="6305"/>
        <item x="6306"/>
        <item sd="0" x="6307"/>
        <item sd="0" x="6308"/>
        <item x="6309"/>
        <item x="6310"/>
        <item x="6311"/>
        <item x="6312"/>
        <item x="6313"/>
        <item x="6314"/>
        <item x="6315"/>
        <item x="6316"/>
        <item sd="0" x="6317"/>
        <item sd="0" x="6318"/>
        <item x="6319"/>
        <item x="6320"/>
        <item x="6321"/>
        <item x="6322"/>
        <item x="6323"/>
        <item x="6324"/>
        <item x="6325"/>
        <item x="6326"/>
        <item x="6327"/>
        <item x="6328"/>
        <item sd="0" x="6329"/>
        <item sd="0" x="6330"/>
        <item x="6331"/>
        <item x="6332"/>
        <item x="6333"/>
        <item x="6334"/>
        <item x="6335"/>
        <item x="6336"/>
        <item x="6337"/>
        <item x="6338"/>
        <item x="6339"/>
        <item sd="0" x="6340"/>
        <item x="6341"/>
        <item x="6342"/>
        <item x="6343"/>
        <item x="6344"/>
        <item x="6345"/>
        <item x="6346"/>
        <item x="6347"/>
        <item x="6348"/>
        <item sd="0" m="1" x="15501"/>
        <item x="6349"/>
        <item x="6350"/>
        <item x="6351"/>
        <item x="6956"/>
        <item x="6957"/>
        <item x="6958"/>
        <item sd="0" x="6959"/>
        <item sd="0" x="6960"/>
        <item x="6961"/>
        <item x="6962"/>
        <item x="6963"/>
        <item x="6964"/>
        <item x="6965"/>
        <item x="6966"/>
        <item x="6967"/>
        <item x="6968"/>
        <item sd="0" x="6969"/>
        <item x="6970"/>
        <item x="6971"/>
        <item x="6972"/>
        <item x="6973"/>
        <item x="6974"/>
        <item x="6975"/>
        <item x="6976"/>
        <item x="6977"/>
        <item x="6978"/>
        <item x="6979"/>
        <item x="6980"/>
        <item sd="0" x="6981"/>
        <item sd="0" x="6982"/>
        <item x="6983"/>
        <item x="6984"/>
        <item x="6985"/>
        <item x="6986"/>
        <item x="6987"/>
        <item x="6988"/>
        <item x="6989"/>
        <item x="6990"/>
        <item sd="0" x="6991"/>
        <item sd="0" x="6992"/>
        <item x="6993"/>
        <item x="6994"/>
        <item x="6995"/>
        <item x="6996"/>
        <item x="6997"/>
        <item x="6998"/>
        <item x="6999"/>
        <item x="7000"/>
        <item x="7001"/>
        <item x="7002"/>
        <item x="7003"/>
        <item sd="0" x="7004"/>
        <item sd="0" x="7005"/>
        <item x="7006"/>
        <item x="7007"/>
        <item x="7008"/>
        <item x="7009"/>
        <item x="7010"/>
        <item x="7011"/>
        <item x="7012"/>
        <item x="7013"/>
        <item sd="0" x="7014"/>
        <item sd="0" x="7015"/>
        <item x="7618"/>
        <item x="7619"/>
        <item x="7620"/>
        <item x="7621"/>
        <item x="7622"/>
        <item x="7623"/>
        <item x="7624"/>
        <item x="7625"/>
        <item sd="0" x="7626"/>
        <item x="7627"/>
        <item x="7628"/>
        <item sd="0" x="7629"/>
        <item sd="0" x="7630"/>
        <item x="7631"/>
        <item x="7632"/>
        <item x="7633"/>
        <item x="7634"/>
        <item x="7635"/>
        <item sd="0" x="7636"/>
        <item x="7637"/>
        <item x="7638"/>
        <item sd="0" x="7639"/>
        <item sd="0" x="7640"/>
        <item x="7641"/>
        <item x="7642"/>
        <item x="7643"/>
        <item x="7644"/>
        <item x="7645"/>
        <item x="7646"/>
        <item x="7647"/>
        <item x="7648"/>
        <item sd="0" x="7649"/>
        <item x="7650"/>
        <item sd="0" x="7651"/>
        <item sd="0" x="7652"/>
        <item x="7653"/>
        <item x="7654"/>
        <item x="7655"/>
        <item x="7656"/>
        <item x="7657"/>
        <item x="7658"/>
        <item sd="0" x="7659"/>
        <item sd="0" x="7660"/>
        <item sd="0" x="7661"/>
        <item sd="0" x="7662"/>
        <item x="7663"/>
        <item x="7664"/>
        <item x="7665"/>
        <item x="7666"/>
        <item x="7667"/>
        <item x="7668"/>
        <item x="7669"/>
        <item x="7670"/>
        <item sd="0" x="7671"/>
        <item sd="0" x="7672"/>
        <item x="7673"/>
        <item x="7674"/>
        <item x="7675"/>
        <item x="7676"/>
        <item x="7677"/>
        <item x="8279"/>
        <item sd="0" x="8280"/>
        <item sd="0" x="8281"/>
        <item x="8282"/>
        <item x="8283"/>
        <item x="8284"/>
        <item x="8285"/>
        <item x="8286"/>
        <item x="8287"/>
        <item x="8288"/>
        <item x="8289"/>
        <item sd="0" x="8290"/>
        <item sd="0" x="8291"/>
        <item x="8292"/>
        <item x="8293"/>
        <item x="8294"/>
        <item x="8295"/>
        <item x="8296"/>
        <item x="8297"/>
        <item x="8298"/>
        <item x="8299"/>
        <item x="8300"/>
        <item sd="0" x="8301"/>
        <item sd="0" x="8302"/>
        <item x="8303"/>
        <item x="8304"/>
        <item x="8305"/>
        <item x="8306"/>
        <item x="8307"/>
        <item x="8308"/>
        <item x="8309"/>
        <item x="8310"/>
        <item sd="0" x="8311"/>
        <item sd="0" x="8312"/>
        <item x="8313"/>
        <item x="8314"/>
        <item x="8315"/>
        <item x="8316"/>
        <item x="8317"/>
        <item x="8318"/>
        <item sd="0" x="8319"/>
        <item x="8320"/>
        <item sd="0" x="8321"/>
        <item sd="0" x="8322"/>
        <item x="8323"/>
        <item sd="0" x="8324"/>
        <item x="8325"/>
        <item x="8326"/>
        <item x="8327"/>
        <item x="8328"/>
        <item x="8329"/>
        <item x="8330"/>
        <item sd="0" x="8331"/>
        <item x="8332"/>
        <item x="8333"/>
        <item sd="0" x="8334"/>
        <item x="8335"/>
        <item x="8336"/>
        <item x="8337"/>
        <item x="8338"/>
        <item x="8339"/>
        <item x="8955"/>
        <item x="8956"/>
        <item x="8957"/>
        <item x="8958"/>
        <item sd="0" x="8959"/>
        <item x="8960"/>
        <item x="8961"/>
        <item x="8962"/>
        <item x="8963"/>
        <item sd="0" x="8964"/>
        <item sd="0" x="8965"/>
        <item x="8966"/>
        <item x="8967"/>
        <item x="8968"/>
        <item x="8969"/>
        <item x="8970"/>
        <item sd="0" x="8971"/>
        <item sd="0" x="8972"/>
        <item x="8973"/>
        <item sd="0" x="8974"/>
        <item sd="0" x="8975"/>
        <item x="8976"/>
        <item x="8977"/>
        <item x="8978"/>
        <item x="8979"/>
        <item x="8980"/>
        <item x="8981"/>
        <item x="8982"/>
        <item x="8983"/>
        <item sd="0" x="8984"/>
        <item sd="0" x="8985"/>
        <item x="8986"/>
        <item sd="0" x="8987"/>
        <item x="8988"/>
        <item x="8989"/>
        <item x="8990"/>
        <item x="8991"/>
        <item x="8992"/>
        <item x="8993"/>
        <item sd="0" x="8994"/>
        <item sd="0" x="8995"/>
        <item x="8996"/>
        <item sd="0" x="8997"/>
        <item x="8998"/>
        <item x="8999"/>
        <item x="9000"/>
        <item x="9001"/>
        <item x="9002"/>
        <item x="9003"/>
        <item sd="0" x="9004"/>
        <item x="9005"/>
        <item x="9006"/>
        <item sd="0" x="9007"/>
        <item x="9008"/>
        <item x="9009"/>
        <item x="9010"/>
        <item x="9011"/>
        <item x="9012"/>
        <item x="9013"/>
        <item sd="0" x="9014"/>
        <item sd="0" x="9619"/>
        <item x="9620"/>
        <item x="9621"/>
        <item x="9622"/>
        <item x="9623"/>
        <item x="9624"/>
        <item x="9625"/>
        <item x="9626"/>
        <item x="9627"/>
        <item sd="0" x="9628"/>
        <item sd="0" x="9629"/>
        <item x="9630"/>
        <item x="9631"/>
        <item x="9632"/>
        <item x="9633"/>
        <item x="9634"/>
        <item x="9635"/>
        <item x="9636"/>
        <item x="9637"/>
        <item sd="0" x="9638"/>
        <item x="9639"/>
        <item sd="0" x="9640"/>
        <item sd="0" x="9641"/>
        <item x="9642"/>
        <item x="9643"/>
        <item x="9644"/>
        <item x="9645"/>
        <item x="9646"/>
        <item x="9647"/>
        <item sd="0" x="9648"/>
        <item x="9649"/>
        <item sd="0" x="9650"/>
        <item sd="0" x="9651"/>
        <item x="9652"/>
        <item x="9653"/>
        <item x="9654"/>
        <item x="9655"/>
        <item x="9656"/>
        <item x="9657"/>
        <item x="9658"/>
        <item x="9659"/>
        <item sd="0" x="9660"/>
        <item sd="0" x="9661"/>
        <item x="9662"/>
        <item sd="0" x="9663"/>
        <item sd="0" x="9664"/>
        <item x="9665"/>
        <item x="9666"/>
        <item x="9667"/>
        <item x="9668"/>
        <item x="9669"/>
        <item x="9670"/>
        <item sd="0" x="9671"/>
        <item sd="0" x="9672"/>
        <item sd="0" x="9673"/>
        <item sd="0" x="9674"/>
        <item x="9675"/>
        <item x="9676"/>
        <item x="9677"/>
        <item x="9678"/>
        <item x="9679"/>
        <item sd="0" x="10283"/>
        <item sd="0" x="10284"/>
        <item x="10285"/>
        <item sd="0" x="10286"/>
        <item sd="0" x="10287"/>
        <item x="10288"/>
        <item x="10289"/>
        <item sd="0" x="10290"/>
        <item x="10291"/>
        <item x="10292"/>
        <item x="10293"/>
        <item x="10294"/>
        <item x="10295"/>
        <item sd="0" x="10296"/>
        <item sd="0" x="10297"/>
        <item x="10298"/>
        <item x="10299"/>
        <item sd="0" x="10300"/>
        <item x="10301"/>
        <item x="10302"/>
        <item x="10303"/>
        <item x="10304"/>
        <item x="10305"/>
        <item sd="0" x="10306"/>
        <item sd="0" x="10307"/>
        <item x="10308"/>
        <item x="10309"/>
        <item sd="0" x="10310"/>
        <item x="10311"/>
        <item x="10312"/>
        <item x="10313"/>
        <item x="10314"/>
        <item x="10315"/>
        <item x="10316"/>
        <item x="10317"/>
        <item x="10318"/>
        <item sd="0" x="10319"/>
        <item sd="0" x="10320"/>
        <item x="10321"/>
        <item x="10322"/>
        <item x="10323"/>
        <item x="10324"/>
        <item x="10325"/>
        <item x="10326"/>
        <item x="10327"/>
        <item x="10328"/>
        <item sd="0" x="10329"/>
        <item sd="0" x="10330"/>
        <item x="10331"/>
        <item x="10332"/>
        <item x="10333"/>
        <item x="10334"/>
        <item x="10335"/>
        <item x="10336"/>
        <item x="10337"/>
        <item sd="0" m="1" x="15462"/>
        <item sd="0" x="10338"/>
        <item x="10339"/>
        <item x="10340"/>
        <item x="10341"/>
        <item x="10342"/>
        <item x="10903"/>
        <item sd="0" x="10904"/>
        <item sd="0" x="10905"/>
        <item x="10906"/>
        <item x="10907"/>
        <item sd="0" x="10908"/>
        <item x="10909"/>
        <item x="10910"/>
        <item x="10911"/>
        <item x="10912"/>
        <item x="10913"/>
        <item sd="0" x="10914"/>
        <item x="10915"/>
        <item x="10916"/>
        <item x="10917"/>
        <item sd="0" x="10918"/>
        <item x="10919"/>
        <item x="10920"/>
        <item x="10921"/>
        <item x="10922"/>
        <item x="10923"/>
        <item x="10924"/>
        <item x="10925"/>
        <item x="10926"/>
        <item sd="0" x="10927"/>
        <item sd="0" x="10928"/>
        <item x="10929"/>
        <item x="10930"/>
        <item x="10931"/>
        <item x="10932"/>
        <item x="10933"/>
        <item x="10934"/>
        <item x="10935"/>
        <item x="10936"/>
        <item sd="0" x="10937"/>
        <item sd="0" x="10938"/>
        <item x="10939"/>
        <item x="10940"/>
        <item x="10941"/>
        <item x="10942"/>
        <item x="10943"/>
        <item x="10944"/>
        <item x="10945"/>
        <item x="10946"/>
        <item x="10947"/>
        <item x="10948"/>
        <item x="10949"/>
        <item sd="0" x="10950"/>
        <item sd="0" x="10951"/>
        <item x="10952"/>
        <item x="10953"/>
        <item x="10954"/>
        <item x="10955"/>
        <item x="10956"/>
        <item x="10957"/>
        <item x="10958"/>
        <item x="10959"/>
        <item sd="0" x="10960"/>
        <item sd="0" x="10961"/>
        <item x="10962"/>
        <item x="11509"/>
        <item x="11510"/>
        <item x="11511"/>
        <item x="11512"/>
        <item x="11513"/>
        <item x="11514"/>
        <item x="11515"/>
        <item x="11516"/>
        <item x="11517"/>
        <item sd="0" x="11518"/>
        <item sd="0" x="11519"/>
        <item x="11520"/>
        <item x="11521"/>
        <item x="11522"/>
        <item x="11523"/>
        <item x="11524"/>
        <item x="11525"/>
        <item x="11526"/>
        <item x="11527"/>
        <item sd="0" x="11528"/>
        <item sd="0" x="11529"/>
        <item x="11530"/>
        <item x="11531"/>
        <item x="11532"/>
        <item x="11533"/>
        <item x="11534"/>
        <item x="11535"/>
        <item x="11536"/>
        <item x="11537"/>
        <item sd="0" x="11538"/>
        <item sd="0" x="11539"/>
        <item x="11540"/>
        <item x="11541"/>
        <item sd="0" x="11542"/>
        <item x="11543"/>
        <item x="11544"/>
        <item x="11545"/>
        <item x="11546"/>
        <item x="11547"/>
        <item sd="0" x="11548"/>
        <item sd="0" x="11549"/>
        <item x="11550"/>
        <item sd="0" x="11551"/>
        <item sd="0" x="11552"/>
        <item x="11553"/>
        <item x="11554"/>
        <item x="11555"/>
        <item x="11556"/>
        <item x="11557"/>
        <item x="11558"/>
        <item x="11559"/>
        <item x="11560"/>
        <item sd="0" x="11561"/>
        <item sd="0" x="11562"/>
        <item x="11563"/>
        <item x="11564"/>
        <item x="11565"/>
        <item x="11566"/>
        <item x="11567"/>
        <item sd="0" x="11568"/>
        <item sd="0" x="12073"/>
        <item x="12074"/>
        <item x="12075"/>
        <item x="12076"/>
        <item x="12077"/>
        <item x="12078"/>
        <item x="12079"/>
        <item x="12080"/>
        <item x="12081"/>
        <item x="12082"/>
        <item sd="0" x="12083"/>
        <item x="12084"/>
        <item x="12085"/>
        <item x="12086"/>
        <item x="12087"/>
        <item x="12088"/>
        <item x="12089"/>
        <item x="12090"/>
        <item x="12091"/>
        <item x="12092"/>
        <item sd="0" x="12093"/>
        <item sd="0" x="12094"/>
        <item x="12095"/>
        <item x="12096"/>
        <item x="12097"/>
        <item x="12098"/>
        <item x="12099"/>
        <item x="12100"/>
        <item x="12101"/>
        <item x="12102"/>
        <item sd="0" x="12103"/>
        <item sd="0" x="12104"/>
        <item x="12105"/>
        <item x="12106"/>
        <item x="12107"/>
        <item x="12108"/>
        <item x="12109"/>
        <item x="12110"/>
        <item sd="0" x="12111"/>
        <item x="12112"/>
        <item sd="0" x="12113"/>
        <item sd="0" x="12114"/>
        <item x="12115"/>
        <item sd="0" x="12116"/>
        <item sd="0" x="12117"/>
        <item x="12118"/>
        <item x="12119"/>
        <item x="12120"/>
        <item x="12121"/>
        <item x="12122"/>
        <item sd="0" x="12123"/>
        <item sd="0" x="12124"/>
        <item x="12125"/>
        <item sd="0" x="12126"/>
        <item sd="0" x="12127"/>
        <item x="12128"/>
        <item x="12129"/>
        <item x="12130"/>
        <item x="12131"/>
        <item x="12132"/>
        <item x="12615"/>
        <item x="12616"/>
        <item x="12617"/>
        <item sd="0" x="12618"/>
        <item sd="0" x="12619"/>
        <item x="12620"/>
        <item x="12621"/>
        <item x="12622"/>
        <item x="12623"/>
        <item x="12624"/>
        <item x="12625"/>
        <item x="12626"/>
        <item x="12627"/>
        <item sd="0" x="12628"/>
        <item sd="0" x="12629"/>
        <item x="12630"/>
        <item x="12631"/>
        <item x="12632"/>
        <item x="12633"/>
        <item x="12634"/>
        <item x="12635"/>
        <item x="12636"/>
        <item x="12637"/>
        <item sd="0" x="12638"/>
        <item x="12639"/>
        <item x="12640"/>
        <item x="12641"/>
        <item x="12642"/>
        <item x="12643"/>
        <item x="12644"/>
        <item x="12645"/>
        <item x="12646"/>
        <item x="12647"/>
        <item x="12648"/>
        <item x="12649"/>
        <item sd="0" x="12650"/>
        <item sd="0" x="12651"/>
        <item x="12652"/>
        <item x="12653"/>
        <item x="12654"/>
        <item x="12655"/>
        <item x="12656"/>
        <item x="12657"/>
        <item x="12658"/>
        <item x="12659"/>
        <item sd="0" x="12660"/>
        <item sd="0" x="12661"/>
        <item x="12662"/>
        <item x="12663"/>
        <item x="12664"/>
        <item x="12665"/>
        <item x="12666"/>
        <item x="12667"/>
        <item x="12668"/>
        <item x="12669"/>
        <item sd="0" m="1" x="15498"/>
        <item sd="0" x="12670"/>
        <item sd="0" x="12671"/>
        <item x="12672"/>
        <item x="12673"/>
        <item x="12674"/>
        <item x="12675"/>
        <item x="13205"/>
        <item x="13206"/>
        <item sd="0" x="13207"/>
        <item sd="0" x="13208"/>
        <item sd="0" x="13209"/>
        <item sd="0" x="13210"/>
        <item x="13211"/>
        <item x="13212"/>
        <item x="13213"/>
        <item x="13214"/>
        <item x="13215"/>
        <item x="13216"/>
        <item x="13217"/>
        <item x="13218"/>
        <item sd="0" x="13219"/>
        <item sd="0" x="13220"/>
        <item x="13221"/>
        <item x="13222"/>
        <item sd="0" x="13223"/>
        <item x="13224"/>
        <item x="13225"/>
        <item x="13226"/>
        <item x="13227"/>
        <item x="13228"/>
        <item x="13229"/>
        <item sd="0" x="13230"/>
        <item sd="0" x="13231"/>
        <item x="13232"/>
        <item sd="0" x="13233"/>
        <item x="13234"/>
        <item x="13235"/>
        <item x="13236"/>
        <item x="13237"/>
        <item x="13238"/>
        <item sd="0" x="13239"/>
        <item sd="0" x="13240"/>
        <item x="13241"/>
        <item x="13242"/>
        <item sd="0" x="13243"/>
        <item x="13244"/>
        <item x="13245"/>
        <item x="13246"/>
        <item x="13247"/>
        <item x="13248"/>
        <item x="13249"/>
        <item x="13250"/>
        <item x="13251"/>
        <item sd="0" x="13252"/>
        <item sd="0" x="13253"/>
        <item x="13254"/>
        <item x="13255"/>
        <item x="13256"/>
        <item x="13257"/>
        <item x="13258"/>
        <item x="13259"/>
        <item x="13260"/>
        <item x="13261"/>
        <item sd="0" x="13262"/>
        <item sd="0" x="13263"/>
        <item x="13264"/>
        <item x="13265"/>
        <item x="13809"/>
        <item x="13810"/>
        <item x="13811"/>
        <item x="13812"/>
        <item x="13813"/>
        <item x="13814"/>
        <item x="13815"/>
        <item x="13816"/>
        <item x="13817"/>
        <item sd="0" x="13818"/>
        <item sd="0" x="13819"/>
        <item x="13820"/>
        <item x="13821"/>
        <item x="13822"/>
        <item x="13823"/>
        <item x="13824"/>
        <item x="13825"/>
        <item x="13826"/>
        <item x="13827"/>
        <item sd="0" x="13828"/>
        <item sd="0" x="13829"/>
        <item x="13830"/>
        <item x="13831"/>
        <item x="13832"/>
        <item x="13833"/>
        <item x="13834"/>
        <item x="13835"/>
        <item x="13836"/>
        <item x="13837"/>
        <item x="13838"/>
        <item sd="0" x="13839"/>
        <item sd="0" x="13840"/>
        <item x="13841"/>
        <item x="13842"/>
        <item x="13843"/>
        <item x="13844"/>
        <item x="13845"/>
        <item x="13846"/>
        <item x="13847"/>
        <item x="13848"/>
        <item sd="0" x="13849"/>
        <item sd="0" x="13850"/>
        <item x="13851"/>
        <item x="13852"/>
        <item x="13853"/>
        <item x="13854"/>
        <item x="13855"/>
        <item x="13856"/>
        <item sd="0" x="13857"/>
        <item x="13858"/>
        <item sd="0" x="13859"/>
        <item sd="0" x="13860"/>
        <item x="13861"/>
        <item sd="0" m="1" x="15492"/>
        <item x="13862"/>
        <item x="13863"/>
        <item x="13864"/>
        <item x="13865"/>
        <item x="13866"/>
        <item sd="0" x="13867"/>
        <item sd="0" x="13868"/>
        <item x="13869"/>
        <item x="14414"/>
        <item x="14415"/>
        <item x="14416"/>
        <item x="14417"/>
        <item x="14418"/>
        <item x="14419"/>
        <item x="14420"/>
        <item sd="0" x="14421"/>
        <item sd="0" x="14422"/>
        <item x="14423"/>
        <item x="14424"/>
        <item x="14425"/>
        <item x="14426"/>
        <item x="14427"/>
        <item x="14428"/>
        <item x="14429"/>
        <item x="14430"/>
        <item x="14431"/>
        <item x="14432"/>
        <item x="14433"/>
        <item sd="0" x="14434"/>
        <item sd="0" x="14435"/>
        <item x="14436"/>
        <item x="14437"/>
        <item x="14438"/>
        <item x="14439"/>
        <item x="14440"/>
        <item x="14441"/>
        <item x="14442"/>
        <item x="14443"/>
        <item sd="0" x="14444"/>
        <item sd="0" x="14445"/>
        <item x="14446"/>
        <item x="14447"/>
        <item x="14448"/>
        <item x="14449"/>
        <item x="14450"/>
        <item x="14451"/>
        <item x="14452"/>
        <item x="14453"/>
        <item x="14454"/>
        <item x="14455"/>
        <item x="14456"/>
        <item sd="0" x="14457"/>
        <item sd="0" x="14458"/>
        <item x="14459"/>
        <item x="14460"/>
        <item x="14461"/>
        <item x="14462"/>
        <item x="14463"/>
        <item x="14464"/>
        <item x="14465"/>
        <item x="14466"/>
        <item sd="0" x="14467"/>
        <item sd="0" x="14468"/>
        <item x="14469"/>
        <item x="14470"/>
        <item x="14471"/>
        <item x="14472"/>
        <item x="14473"/>
        <item x="15020"/>
        <item x="15021"/>
        <item x="15022"/>
        <item sd="0" x="15023"/>
        <item x="15024"/>
        <item sd="0" x="15025"/>
        <item sd="0" x="15026"/>
        <item x="15027"/>
        <item x="15028"/>
        <item x="15029"/>
        <item x="15030"/>
        <item x="15031"/>
        <item x="15032"/>
        <item sd="0" x="15033"/>
        <item x="15034"/>
        <item sd="0" x="15035"/>
        <item sd="0" x="15036"/>
        <item x="15037"/>
        <item x="15038"/>
        <item x="15039"/>
        <item x="15040"/>
        <item x="15041"/>
        <item x="15042"/>
        <item x="15043"/>
        <item x="15044"/>
        <item sd="0" x="15045"/>
        <item sd="0" x="15046"/>
        <item x="15047"/>
        <item sd="0" x="15048"/>
        <item sd="0" x="15049"/>
        <item x="15050"/>
        <item x="15051"/>
        <item x="15052"/>
        <item x="15053"/>
        <item x="15054"/>
        <item sd="0" x="15055"/>
        <item sd="0" x="15056"/>
        <item sd="0" x="15057"/>
        <item sd="0" x="15058"/>
        <item sd="0" x="15059"/>
        <item x="15060"/>
        <item x="15061"/>
        <item x="15062"/>
        <item x="15063"/>
        <item x="15064"/>
        <item sd="0" x="15065"/>
        <item sd="0" x="15066"/>
        <item x="15067"/>
        <item sd="0" x="15068"/>
        <item sd="0" x="15069"/>
        <item x="15070"/>
        <item x="15071"/>
        <item x="15072"/>
        <item x="15073"/>
        <item sd="0" x="15074"/>
        <item sd="0" x="15075"/>
        <item x="15076"/>
        <item x="15077"/>
        <item x="15078"/>
        <item x="15079"/>
        <item x="15080"/>
        <item x="5686"/>
        <item x="5687"/>
        <item x="5688"/>
        <item sd="0" x="5689"/>
        <item sd="0" x="5690"/>
        <item x="5691"/>
        <item x="5692"/>
        <item x="5693"/>
        <item x="5694"/>
        <item x="5695"/>
        <item x="5696"/>
        <item x="5697"/>
        <item x="5698"/>
        <item sd="0" x="5699"/>
        <item sd="0" x="5700"/>
        <item sd="0" x="5701"/>
        <item sd="0" x="5702"/>
        <item x="5703"/>
        <item x="5704"/>
        <item x="5705"/>
        <item x="5706"/>
        <item x="5707"/>
        <item x="5708"/>
        <item sd="0" x="5709"/>
        <item x="5710"/>
        <item sd="0" x="5711"/>
        <item sd="0" x="5712"/>
        <item x="5713"/>
        <item x="5714"/>
        <item x="5715"/>
        <item x="5716"/>
        <item x="5717"/>
        <item x="5718"/>
        <item x="5719"/>
        <item x="5720"/>
        <item sd="0" x="5721"/>
        <item sd="0" x="5722"/>
        <item x="5723"/>
        <item x="5724"/>
        <item sd="0" x="5725"/>
        <item x="5726"/>
        <item x="5727"/>
        <item x="5728"/>
        <item x="5729"/>
        <item x="5730"/>
        <item sd="0" x="5731"/>
        <item sd="0" x="5732"/>
        <item x="5733"/>
        <item x="5734"/>
        <item sd="0" x="5735"/>
        <item x="5736"/>
        <item x="5737"/>
        <item x="5738"/>
        <item x="5739"/>
        <item x="5740"/>
        <item sd="0" x="5741"/>
        <item x="5742"/>
        <item x="5743"/>
        <item x="5744"/>
        <item sd="0" x="5745"/>
        <item x="5746"/>
        <item x="6352"/>
        <item x="6353"/>
        <item x="6354"/>
        <item x="6355"/>
        <item x="6356"/>
        <item x="6357"/>
        <item x="6358"/>
        <item sd="0" x="6359"/>
        <item sd="0" x="6360"/>
        <item x="6361"/>
        <item x="6362"/>
        <item x="6363"/>
        <item x="6364"/>
        <item x="6365"/>
        <item x="6366"/>
        <item x="6367"/>
        <item x="6368"/>
        <item sd="0" x="6369"/>
        <item sd="0" x="6370"/>
        <item x="6371"/>
        <item x="6372"/>
        <item x="6373"/>
        <item x="6374"/>
        <item x="6375"/>
        <item x="6376"/>
        <item x="6377"/>
        <item x="6378"/>
        <item x="6379"/>
        <item x="6380"/>
        <item x="6381"/>
        <item sd="0" x="6382"/>
        <item sd="0" x="6383"/>
        <item x="6384"/>
        <item x="6385"/>
        <item x="6386"/>
        <item x="6387"/>
        <item x="6388"/>
        <item x="6389"/>
        <item x="6390"/>
        <item x="6391"/>
        <item sd="0" x="6392"/>
        <item sd="0" x="6393"/>
        <item x="6394"/>
        <item x="6395"/>
        <item x="6396"/>
        <item x="6397"/>
        <item x="6398"/>
        <item x="6399"/>
        <item x="6400"/>
        <item x="6401"/>
        <item sd="0" m="1" x="15480"/>
        <item sd="0" x="6402"/>
        <item sd="0" x="6403"/>
        <item x="6404"/>
        <item x="6405"/>
        <item x="6406"/>
        <item x="6407"/>
        <item x="6408"/>
        <item sd="0" x="6409"/>
        <item sd="0" x="6410"/>
        <item x="6411"/>
        <item sd="0" x="6412"/>
        <item sd="0" x="7016"/>
        <item x="7017"/>
        <item x="7018"/>
        <item x="7019"/>
        <item x="7020"/>
        <item x="7021"/>
        <item sd="0" x="7022"/>
        <item sd="0" x="7023"/>
        <item x="7024"/>
        <item sd="0" x="7025"/>
        <item sd="0" x="7026"/>
        <item x="7027"/>
        <item x="7028"/>
        <item x="7029"/>
        <item x="7030"/>
        <item x="7031"/>
        <item x="7032"/>
        <item x="7033"/>
        <item x="7034"/>
        <item sd="0" x="7035"/>
        <item sd="0" x="7036"/>
        <item x="7037"/>
        <item x="7038"/>
        <item x="7039"/>
        <item x="7040"/>
        <item x="7041"/>
        <item x="7042"/>
        <item x="7043"/>
        <item x="7044"/>
        <item sd="0" x="7045"/>
        <item sd="0" x="7046"/>
        <item x="7047"/>
        <item x="7048"/>
        <item x="7049"/>
        <item x="7050"/>
        <item x="7051"/>
        <item x="7052"/>
        <item x="7053"/>
        <item x="7054"/>
        <item x="7055"/>
        <item x="7056"/>
        <item sd="0" x="7057"/>
        <item sd="0" x="7058"/>
        <item x="7059"/>
        <item x="7060"/>
        <item x="7061"/>
        <item x="7062"/>
        <item x="7063"/>
        <item x="7064"/>
        <item x="7065"/>
        <item x="7066"/>
        <item x="7067"/>
        <item sd="0" x="7068"/>
        <item x="7069"/>
        <item x="7070"/>
        <item x="7071"/>
        <item x="7072"/>
        <item x="7073"/>
        <item x="7074"/>
        <item x="7075"/>
        <item x="7076"/>
        <item x="7678"/>
        <item sd="0" x="7679"/>
        <item sd="0" x="7680"/>
        <item x="7681"/>
        <item x="7682"/>
        <item x="7683"/>
        <item x="7684"/>
        <item x="7685"/>
        <item x="7686"/>
        <item x="7687"/>
        <item x="7688"/>
        <item sd="0" x="7689"/>
        <item sd="0" x="7690"/>
        <item x="7691"/>
        <item x="7692"/>
        <item x="7693"/>
        <item x="7694"/>
        <item x="7695"/>
        <item x="7696"/>
        <item sd="0" x="7697"/>
        <item x="7698"/>
        <item sd="0" x="7699"/>
        <item sd="0" x="7700"/>
        <item x="7701"/>
        <item sd="0" x="7702"/>
        <item sd="0" x="7703"/>
        <item x="7704"/>
        <item x="7705"/>
        <item x="7706"/>
        <item x="7707"/>
        <item x="7708"/>
        <item sd="0" x="7709"/>
        <item x="7710"/>
        <item x="7711"/>
        <item sd="0" x="7712"/>
        <item sd="0" x="7713"/>
        <item x="7714"/>
        <item x="7715"/>
        <item x="7716"/>
        <item x="7717"/>
        <item x="7718"/>
        <item x="7719"/>
        <item x="7720"/>
        <item x="7721"/>
        <item sd="0" x="7722"/>
        <item sd="0" x="7723"/>
        <item x="7724"/>
        <item x="7725"/>
        <item x="7726"/>
        <item x="7727"/>
        <item x="7728"/>
        <item sd="0" x="7729"/>
        <item sd="0" x="7730"/>
        <item x="7731"/>
        <item x="7732"/>
        <item x="7733"/>
        <item x="7734"/>
        <item x="7735"/>
        <item x="7736"/>
        <item x="7737"/>
        <item x="8340"/>
        <item sd="0" x="8341"/>
        <item sd="0" x="8342"/>
        <item x="8343"/>
        <item x="8344"/>
        <item x="8345"/>
        <item x="8346"/>
        <item x="8347"/>
        <item x="8348"/>
        <item x="8349"/>
        <item x="8350"/>
        <item sd="0" x="8351"/>
        <item x="8352"/>
        <item x="8353"/>
        <item sd="0" x="8354"/>
        <item sd="0" x="8355"/>
        <item x="8356"/>
        <item x="8357"/>
        <item x="8358"/>
        <item x="8359"/>
        <item x="8360"/>
        <item sd="0" x="8361"/>
        <item x="8362"/>
        <item x="8363"/>
        <item sd="0" x="8364"/>
        <item sd="0" x="8365"/>
        <item x="8366"/>
        <item x="8367"/>
        <item x="8368"/>
        <item x="8369"/>
        <item x="8370"/>
        <item x="8371"/>
        <item x="8372"/>
        <item x="8373"/>
        <item sd="0" x="8374"/>
        <item x="8375"/>
        <item sd="0" x="8376"/>
        <item sd="0" x="8377"/>
        <item x="8378"/>
        <item x="8379"/>
        <item x="8380"/>
        <item x="8381"/>
        <item x="8382"/>
        <item x="8383"/>
        <item sd="0" x="8384"/>
        <item sd="0" x="8385"/>
        <item sd="0" x="8386"/>
        <item sd="0" x="8387"/>
        <item x="8388"/>
        <item x="8389"/>
        <item x="8390"/>
        <item x="8391"/>
        <item x="8392"/>
        <item x="8393"/>
        <item x="8394"/>
        <item x="8395"/>
        <item sd="0" x="8396"/>
        <item sd="0" x="8397"/>
        <item x="8398"/>
        <item x="8399"/>
        <item sd="0" x="9015"/>
        <item x="9016"/>
        <item x="9017"/>
        <item x="9018"/>
        <item x="9019"/>
        <item x="9020"/>
        <item sd="0" x="9021"/>
        <item sd="0" x="9022"/>
        <item sd="0" x="9023"/>
        <item x="9024"/>
        <item sd="0" x="9025"/>
        <item x="9026"/>
        <item x="9027"/>
        <item x="9028"/>
        <item x="9029"/>
        <item x="9030"/>
        <item sd="0" x="9031"/>
        <item sd="0" x="9032"/>
        <item x="9033"/>
        <item x="9034"/>
        <item sd="0" x="9035"/>
        <item x="9036"/>
        <item x="9037"/>
        <item x="9038"/>
        <item x="9039"/>
        <item x="9040"/>
        <item x="9041"/>
        <item x="9042"/>
        <item x="9043"/>
        <item sd="0" x="9044"/>
        <item sd="0" x="9045"/>
        <item x="9046"/>
        <item x="9047"/>
        <item x="9048"/>
        <item x="9049"/>
        <item x="9050"/>
        <item x="9051"/>
        <item x="9052"/>
        <item x="9053"/>
        <item sd="0" x="9054"/>
        <item sd="0" x="9055"/>
        <item x="9056"/>
        <item x="9057"/>
        <item x="9058"/>
        <item x="9059"/>
        <item x="9060"/>
        <item x="9061"/>
        <item x="9062"/>
        <item sd="0" x="9063"/>
        <item x="9064"/>
        <item x="9065"/>
        <item x="9066"/>
        <item x="9067"/>
        <item x="9068"/>
        <item x="9069"/>
        <item sd="0" x="9070"/>
        <item x="9071"/>
        <item x="9072"/>
        <item sd="0" x="9073"/>
        <item x="9074"/>
        <item x="9680"/>
        <item x="9681"/>
        <item x="9682"/>
        <item x="9683"/>
        <item x="9684"/>
        <item x="9685"/>
        <item x="9686"/>
        <item x="9687"/>
        <item sd="0" x="9688"/>
        <item x="9689"/>
        <item x="9690"/>
        <item x="9691"/>
        <item x="9692"/>
        <item sd="0" x="9693"/>
        <item sd="0" x="9694"/>
        <item x="9695"/>
        <item x="9696"/>
        <item x="9697"/>
        <item x="9698"/>
        <item x="9699"/>
        <item sd="0" x="9700"/>
        <item x="9701"/>
        <item x="9702"/>
        <item sd="0" x="9703"/>
        <item sd="0" x="9704"/>
        <item x="9705"/>
        <item x="9706"/>
        <item x="9707"/>
        <item x="9708"/>
        <item x="9709"/>
        <item x="9710"/>
        <item x="9711"/>
        <item x="9712"/>
        <item sd="0" x="9713"/>
        <item sd="0" x="9714"/>
        <item x="9715"/>
        <item sd="0" x="9716"/>
        <item x="9717"/>
        <item x="9718"/>
        <item x="9719"/>
        <item x="9720"/>
        <item x="9721"/>
        <item x="9722"/>
        <item sd="0" x="9723"/>
        <item sd="0" x="9724"/>
        <item x="9725"/>
        <item sd="0" x="9726"/>
        <item x="9727"/>
        <item x="9728"/>
        <item x="9729"/>
        <item x="9730"/>
        <item x="9731"/>
        <item x="9732"/>
        <item sd="0" x="9733"/>
        <item x="9734"/>
        <item x="9735"/>
        <item sd="0" x="9736"/>
        <item x="9737"/>
        <item x="9738"/>
        <item x="9739"/>
        <item x="10343"/>
        <item x="10344"/>
        <item x="10345"/>
        <item x="10346"/>
        <item x="10347"/>
        <item sd="0" x="10348"/>
        <item sd="0" x="10349"/>
        <item x="10350"/>
        <item x="10351"/>
        <item x="10352"/>
        <item x="10353"/>
        <item x="10354"/>
        <item x="10355"/>
        <item x="10356"/>
        <item x="10357"/>
        <item sd="0" x="10358"/>
        <item sd="0" x="10359"/>
        <item x="10360"/>
        <item x="10361"/>
        <item x="10362"/>
        <item x="10363"/>
        <item x="10364"/>
        <item x="10365"/>
        <item x="10366"/>
        <item x="10367"/>
        <item x="10368"/>
        <item x="10369"/>
        <item x="10370"/>
        <item sd="0" x="10371"/>
        <item sd="0" x="10372"/>
        <item x="10373"/>
        <item x="10374"/>
        <item x="10375"/>
        <item x="10376"/>
        <item x="10377"/>
        <item x="10378"/>
        <item x="10379"/>
        <item x="10380"/>
        <item sd="0" x="10381"/>
        <item sd="0" x="10382"/>
        <item x="10383"/>
        <item x="10384"/>
        <item x="10385"/>
        <item x="10386"/>
        <item x="10387"/>
        <item x="10388"/>
        <item x="10389"/>
        <item x="10390"/>
        <item sd="0" m="1" x="15452"/>
        <item sd="0" x="10391"/>
        <item sd="0" x="10392"/>
        <item x="10393"/>
        <item x="10394"/>
        <item x="10395"/>
        <item x="10396"/>
        <item x="10397"/>
        <item sd="0" x="10398"/>
        <item sd="0" x="10399"/>
        <item sd="0" x="10400"/>
        <item sd="0" x="10401"/>
        <item sd="0" x="10402"/>
        <item x="10403"/>
        <item x="10963"/>
        <item x="10964"/>
        <item x="10965"/>
        <item x="10966"/>
        <item sd="0" x="10967"/>
        <item sd="0" x="10968"/>
        <item x="10969"/>
        <item sd="0" x="10970"/>
        <item sd="0" x="10971"/>
        <item x="10972"/>
        <item x="10973"/>
        <item sd="0" x="10974"/>
        <item x="10975"/>
        <item x="10976"/>
        <item x="10977"/>
        <item x="10978"/>
        <item x="10979"/>
        <item sd="0" x="10980"/>
        <item sd="0" x="10981"/>
        <item x="10982"/>
        <item x="10983"/>
        <item sd="0" x="10984"/>
        <item x="10985"/>
        <item x="10986"/>
        <item x="10987"/>
        <item x="10988"/>
        <item x="10989"/>
        <item sd="0" x="10990"/>
        <item sd="0" x="10991"/>
        <item x="10992"/>
        <item x="10993"/>
        <item sd="0" x="10994"/>
        <item x="10995"/>
        <item x="10996"/>
        <item x="10997"/>
        <item x="10998"/>
        <item x="10999"/>
        <item x="11000"/>
        <item x="11001"/>
        <item x="11002"/>
        <item sd="0" x="11003"/>
        <item sd="0" x="11004"/>
        <item x="11005"/>
        <item x="11006"/>
        <item x="11007"/>
        <item x="11008"/>
        <item x="11009"/>
        <item x="11010"/>
        <item x="11011"/>
        <item x="11012"/>
        <item sd="0" x="11013"/>
        <item sd="0" x="11014"/>
        <item x="11015"/>
        <item x="11016"/>
        <item x="11017"/>
        <item x="11018"/>
        <item x="11019"/>
        <item x="11020"/>
        <item x="11021"/>
        <item x="11022"/>
        <item x="11023"/>
        <item sd="0" x="11569"/>
        <item sd="0" x="11570"/>
        <item x="11571"/>
        <item x="11572"/>
        <item x="11573"/>
        <item x="11574"/>
        <item x="11575"/>
        <item x="11576"/>
        <item x="11577"/>
        <item x="11578"/>
        <item sd="0" x="11579"/>
        <item sd="0" x="11580"/>
        <item x="11581"/>
        <item x="11582"/>
        <item x="11583"/>
        <item x="11584"/>
        <item x="11585"/>
        <item x="11586"/>
        <item x="11587"/>
        <item x="11588"/>
        <item sd="0" x="11589"/>
        <item sd="0" x="11590"/>
        <item sd="0" x="11591"/>
        <item sd="0" x="11592"/>
        <item x="11593"/>
        <item x="11594"/>
        <item x="11595"/>
        <item x="11596"/>
        <item x="11597"/>
        <item x="11598"/>
        <item sd="0" x="11599"/>
        <item x="11600"/>
        <item sd="0" x="11601"/>
        <item sd="0" x="11602"/>
        <item x="11603"/>
        <item x="11604"/>
        <item x="11605"/>
        <item x="11606"/>
        <item x="11607"/>
        <item x="11608"/>
        <item x="11609"/>
        <item x="11610"/>
        <item sd="0" x="11611"/>
        <item sd="0" x="11612"/>
        <item x="11613"/>
        <item x="11614"/>
        <item x="11615"/>
        <item x="11616"/>
        <item x="11617"/>
        <item x="11618"/>
        <item sd="0" x="11619"/>
        <item sd="0" x="11620"/>
        <item x="11621"/>
        <item x="11622"/>
        <item x="11623"/>
        <item x="11624"/>
        <item x="11625"/>
        <item x="11626"/>
        <item x="11627"/>
        <item x="11628"/>
        <item sd="0" x="12133"/>
        <item sd="0" x="12134"/>
        <item x="12135"/>
        <item x="12136"/>
        <item x="12137"/>
        <item x="12138"/>
        <item x="12139"/>
        <item x="12140"/>
        <item x="12141"/>
        <item x="12142"/>
        <item x="12143"/>
        <item x="12144"/>
        <item sd="0" x="12145"/>
        <item sd="0" x="12146"/>
        <item x="12147"/>
        <item x="12148"/>
        <item x="12149"/>
        <item x="12150"/>
        <item x="12151"/>
        <item x="12152"/>
        <item x="12153"/>
        <item x="12154"/>
        <item sd="0" x="12155"/>
        <item sd="0" x="12156"/>
        <item x="12157"/>
        <item x="12158"/>
        <item x="12159"/>
        <item x="12160"/>
        <item x="12161"/>
        <item x="12162"/>
        <item x="12163"/>
        <item x="12164"/>
        <item sd="0" x="12165"/>
        <item sd="0" x="12166"/>
        <item x="12167"/>
        <item x="12168"/>
        <item sd="0" x="12169"/>
        <item x="12170"/>
        <item x="12171"/>
        <item x="12172"/>
        <item x="12173"/>
        <item x="12174"/>
        <item sd="0" x="12175"/>
        <item sd="0" x="12176"/>
        <item x="12177"/>
        <item sd="0" x="12178"/>
        <item sd="0" x="12179"/>
        <item x="12180"/>
        <item x="12181"/>
        <item x="12182"/>
        <item x="12183"/>
        <item x="12184"/>
        <item x="12185"/>
        <item x="12186"/>
        <item x="12187"/>
        <item sd="0" x="12188"/>
        <item sd="0" x="12189"/>
        <item x="12190"/>
        <item sd="0" x="12191"/>
        <item sd="0" x="12192"/>
        <item x="12676"/>
        <item x="12677"/>
        <item x="12678"/>
        <item x="12679"/>
        <item x="12680"/>
        <item sd="0" x="12681"/>
        <item sd="0" x="12682"/>
        <item x="12683"/>
        <item sd="0" x="12684"/>
        <item sd="0" x="12685"/>
        <item x="12686"/>
        <item x="12687"/>
        <item x="12688"/>
        <item x="12689"/>
        <item x="12690"/>
        <item sd="0" x="12691"/>
        <item sd="0" x="12692"/>
        <item x="12693"/>
        <item sd="0" x="12694"/>
        <item sd="0" x="12695"/>
        <item x="12696"/>
        <item x="12697"/>
        <item x="12698"/>
        <item x="12699"/>
        <item x="12700"/>
        <item x="12701"/>
        <item x="12702"/>
        <item x="12703"/>
        <item sd="0" x="12704"/>
        <item sd="0" x="12705"/>
        <item x="12706"/>
        <item x="12707"/>
        <item x="12708"/>
        <item x="12709"/>
        <item x="12710"/>
        <item x="12711"/>
        <item x="12712"/>
        <item x="12713"/>
        <item sd="0" x="12714"/>
        <item sd="0" x="12715"/>
        <item x="12716"/>
        <item x="12717"/>
        <item x="12718"/>
        <item x="12719"/>
        <item x="12720"/>
        <item x="12721"/>
        <item sd="0" m="1" x="15473"/>
        <item sd="0" x="12722"/>
        <item sd="0" x="12723"/>
        <item x="12724"/>
        <item x="12725"/>
        <item x="12726"/>
        <item x="12727"/>
        <item x="12728"/>
        <item sd="0" x="12729"/>
        <item x="12730"/>
        <item x="12731"/>
        <item sd="0" x="12732"/>
        <item sd="0" x="12733"/>
        <item x="12734"/>
        <item x="12735"/>
        <item x="13266"/>
        <item x="13267"/>
        <item x="13268"/>
        <item x="13269"/>
        <item x="13270"/>
        <item x="13271"/>
        <item sd="0" x="13272"/>
        <item sd="0" x="13273"/>
        <item x="13274"/>
        <item x="13275"/>
        <item x="13276"/>
        <item x="13277"/>
        <item x="13278"/>
        <item x="13279"/>
        <item x="13280"/>
        <item x="13281"/>
        <item sd="0" x="13282"/>
        <item sd="0" x="13283"/>
        <item x="13284"/>
        <item x="13285"/>
        <item x="13286"/>
        <item x="13287"/>
        <item x="13288"/>
        <item x="13289"/>
        <item x="13290"/>
        <item x="13291"/>
        <item sd="0" x="13292"/>
        <item x="13293"/>
        <item x="13294"/>
        <item x="13295"/>
        <item x="13296"/>
        <item x="13297"/>
        <item x="13298"/>
        <item x="13299"/>
        <item x="13300"/>
        <item x="13301"/>
        <item x="13302"/>
        <item x="13303"/>
        <item sd="0" x="13304"/>
        <item sd="0" x="13305"/>
        <item x="13306"/>
        <item x="13307"/>
        <item x="13308"/>
        <item x="13309"/>
        <item x="13310"/>
        <item x="13311"/>
        <item x="13312"/>
        <item x="13313"/>
        <item sd="0" x="13314"/>
        <item sd="0" x="13315"/>
        <item x="13316"/>
        <item x="13317"/>
        <item x="13318"/>
        <item x="13319"/>
        <item x="13320"/>
        <item x="13321"/>
        <item x="13322"/>
        <item x="13323"/>
        <item x="13324"/>
        <item x="13325"/>
        <item x="13870"/>
        <item sd="0" x="13871"/>
        <item sd="0" x="13872"/>
        <item x="13873"/>
        <item x="13874"/>
        <item x="13875"/>
        <item x="13876"/>
        <item x="13877"/>
        <item x="13878"/>
        <item x="13879"/>
        <item x="13880"/>
        <item sd="0" x="13881"/>
        <item sd="0" x="13882"/>
        <item x="13883"/>
        <item x="13884"/>
        <item x="13885"/>
        <item x="13886"/>
        <item x="13887"/>
        <item x="13888"/>
        <item x="13889"/>
        <item x="13890"/>
        <item sd="0" x="13891"/>
        <item x="13892"/>
        <item x="13893"/>
        <item sd="0" x="13894"/>
        <item sd="0" x="13895"/>
        <item x="13896"/>
        <item x="13897"/>
        <item x="13898"/>
        <item x="13899"/>
        <item x="13900"/>
        <item sd="0" x="13901"/>
        <item x="13902"/>
        <item x="13903"/>
        <item sd="0" x="13904"/>
        <item sd="0" x="13905"/>
        <item x="13906"/>
        <item x="13907"/>
        <item x="13908"/>
        <item x="13909"/>
        <item x="13910"/>
        <item x="13911"/>
        <item x="13912"/>
        <item x="13913"/>
        <item sd="0" x="13914"/>
        <item x="13915"/>
        <item x="13916"/>
        <item x="13917"/>
        <item x="13918"/>
        <item x="13919"/>
        <item x="13920"/>
        <item sd="0" x="13921"/>
        <item sd="0" x="13922"/>
        <item x="13923"/>
        <item x="13924"/>
        <item x="13925"/>
        <item x="13926"/>
        <item x="13927"/>
        <item x="13928"/>
        <item x="13929"/>
        <item x="14474"/>
        <item sd="0" x="14475"/>
        <item sd="0" x="14476"/>
        <item x="14477"/>
        <item x="14478"/>
        <item x="14479"/>
        <item x="14480"/>
        <item x="14481"/>
        <item x="14482"/>
        <item x="14483"/>
        <item x="14484"/>
        <item x="14485"/>
        <item x="14486"/>
        <item x="14487"/>
        <item sd="0" x="14488"/>
        <item sd="0" x="14489"/>
        <item x="14490"/>
        <item x="14491"/>
        <item x="14492"/>
        <item x="14493"/>
        <item x="14494"/>
        <item x="14495"/>
        <item x="14496"/>
        <item x="14497"/>
        <item sd="0" x="14498"/>
        <item sd="0" x="14499"/>
        <item x="14500"/>
        <item x="14501"/>
        <item x="14502"/>
        <item x="14503"/>
        <item x="14504"/>
        <item x="14505"/>
        <item x="14506"/>
        <item x="14507"/>
        <item x="14508"/>
        <item sd="0" x="14509"/>
        <item sd="0" x="14510"/>
        <item x="14511"/>
        <item x="14512"/>
        <item x="14513"/>
        <item x="14514"/>
        <item x="14515"/>
        <item x="14516"/>
        <item x="14517"/>
        <item x="14518"/>
        <item sd="0" x="14519"/>
        <item sd="0" x="14520"/>
        <item x="14521"/>
        <item x="14522"/>
        <item x="14523"/>
        <item x="14524"/>
        <item x="14525"/>
        <item x="14526"/>
        <item sd="0" x="14527"/>
        <item x="14528"/>
        <item sd="0" x="14529"/>
        <item sd="0" x="14530"/>
        <item x="14531"/>
        <item sd="0" x="14532"/>
        <item x="14533"/>
        <item x="15081"/>
        <item x="15082"/>
        <item x="15083"/>
        <item x="15084"/>
        <item x="15085"/>
        <item sd="0" x="15086"/>
        <item x="15087"/>
        <item x="15088"/>
        <item sd="0" x="15089"/>
        <item x="15090"/>
        <item x="15091"/>
        <item x="15092"/>
        <item x="15093"/>
        <item x="15094"/>
        <item x="15095"/>
        <item x="15096"/>
        <item x="15097"/>
        <item x="15098"/>
        <item sd="0" x="15099"/>
        <item x="15100"/>
        <item x="15101"/>
        <item x="15102"/>
        <item x="15103"/>
        <item sd="0" x="15104"/>
        <item sd="0" x="15105"/>
        <item x="15106"/>
        <item x="15107"/>
        <item x="15108"/>
        <item x="15109"/>
        <item x="15110"/>
        <item sd="0" x="15111"/>
        <item x="15112"/>
        <item x="15113"/>
        <item sd="0" x="15114"/>
        <item sd="0" x="15115"/>
        <item x="15116"/>
        <item x="15117"/>
        <item x="15118"/>
        <item x="15119"/>
        <item x="15120"/>
        <item x="15121"/>
        <item x="15122"/>
        <item x="15123"/>
        <item sd="0" x="15124"/>
        <item sd="0" x="15125"/>
        <item x="15126"/>
        <item x="15127"/>
        <item x="15128"/>
        <item x="15129"/>
        <item x="15130"/>
        <item sd="0" x="15131"/>
        <item sd="0" x="15132"/>
        <item x="15133"/>
        <item x="15134"/>
        <item x="15135"/>
        <item x="15136"/>
        <item x="15137"/>
        <item x="15138"/>
        <item x="15139"/>
        <item x="15140"/>
        <item sd="0" x="15141"/>
        <item sd="0" x="5747"/>
        <item x="5748"/>
        <item x="5749"/>
        <item x="5750"/>
        <item x="5751"/>
        <item x="5752"/>
        <item x="5753"/>
        <item x="5754"/>
        <item x="5755"/>
        <item x="5756"/>
        <item x="5757"/>
        <item x="5758"/>
        <item sd="0" x="5759"/>
        <item sd="0" x="5760"/>
        <item x="5761"/>
        <item x="5762"/>
        <item x="5763"/>
        <item x="5764"/>
        <item x="5765"/>
        <item x="5766"/>
        <item x="5767"/>
        <item x="5768"/>
        <item sd="0" x="5769"/>
        <item sd="0" x="5770"/>
        <item x="5771"/>
        <item x="5772"/>
        <item x="5773"/>
        <item x="5774"/>
        <item x="5775"/>
        <item x="5776"/>
        <item x="5777"/>
        <item x="5778"/>
        <item sd="0" x="5779"/>
        <item x="5780"/>
        <item sd="0" x="5781"/>
        <item sd="0" x="5782"/>
        <item x="5783"/>
        <item x="5784"/>
        <item x="5785"/>
        <item x="5786"/>
        <item x="5787"/>
        <item x="5788"/>
        <item sd="0" x="5789"/>
        <item x="5790"/>
        <item sd="0" x="5791"/>
        <item sd="0" x="5792"/>
        <item x="5793"/>
        <item x="5794"/>
        <item x="5795"/>
        <item x="5796"/>
        <item x="5797"/>
        <item x="5798"/>
        <item x="5799"/>
        <item x="5800"/>
        <item sd="0" x="5801"/>
        <item sd="0" x="5802"/>
        <item x="5803"/>
        <item sd="0" x="5804"/>
        <item sd="0" x="5805"/>
        <item x="5806"/>
        <item x="6413"/>
        <item x="6414"/>
        <item x="6415"/>
        <item x="6416"/>
        <item sd="0" x="6417"/>
        <item sd="0" x="6418"/>
        <item sd="0" x="6419"/>
        <item sd="0" x="6420"/>
        <item sd="0" x="6421"/>
        <item x="6422"/>
        <item x="6423"/>
        <item x="6424"/>
        <item x="6425"/>
        <item x="6426"/>
        <item sd="0" x="6427"/>
        <item sd="0" x="6428"/>
        <item x="6429"/>
        <item sd="0" x="6430"/>
        <item sd="0" x="6431"/>
        <item x="6432"/>
        <item x="6433"/>
        <item sd="0" x="6434"/>
        <item x="6435"/>
        <item x="6436"/>
        <item x="6437"/>
        <item x="6438"/>
        <item x="6439"/>
        <item sd="0" x="6440"/>
        <item sd="0" x="6441"/>
        <item x="6442"/>
        <item x="6443"/>
        <item sd="0" x="6444"/>
        <item x="6445"/>
        <item x="6446"/>
        <item x="6447"/>
        <item x="6448"/>
        <item x="6449"/>
        <item sd="0" x="6450"/>
        <item sd="0" x="6451"/>
        <item x="6452"/>
        <item x="6453"/>
        <item sd="0" x="6454"/>
        <item x="6455"/>
        <item x="6456"/>
        <item x="6457"/>
        <item sd="0" x="6458"/>
        <item sd="0" x="6459"/>
        <item x="6460"/>
        <item x="6461"/>
        <item x="6462"/>
        <item x="6463"/>
        <item x="6464"/>
        <item x="6465"/>
        <item sd="0" x="6466"/>
        <item x="6467"/>
        <item sd="0" x="6468"/>
        <item sd="0" x="6469"/>
        <item x="6470"/>
        <item x="6471"/>
        <item x="6472"/>
        <item x="6473"/>
        <item x="7077"/>
        <item x="7078"/>
        <item x="7079"/>
        <item x="7080"/>
        <item sd="0" x="7081"/>
        <item sd="0" x="7082"/>
        <item x="7083"/>
        <item x="7084"/>
        <item sd="0" x="7085"/>
        <item x="7086"/>
        <item x="7087"/>
        <item x="7088"/>
        <item x="7089"/>
        <item x="7090"/>
        <item sd="0" x="7091"/>
        <item sd="0" x="7092"/>
        <item x="7093"/>
        <item x="7094"/>
        <item sd="0" x="7095"/>
        <item x="7096"/>
        <item x="7097"/>
        <item x="7098"/>
        <item x="7099"/>
        <item x="7100"/>
        <item sd="0" x="7101"/>
        <item x="7102"/>
        <item x="7103"/>
        <item x="7104"/>
        <item sd="0" x="7105"/>
        <item x="7106"/>
        <item x="7107"/>
        <item x="7108"/>
        <item x="7109"/>
        <item x="7110"/>
        <item x="7111"/>
        <item x="7112"/>
        <item x="7113"/>
        <item sd="0" x="7114"/>
        <item sd="0" x="7115"/>
        <item x="7116"/>
        <item x="7117"/>
        <item x="7118"/>
        <item x="7119"/>
        <item x="7120"/>
        <item x="7121"/>
        <item x="7122"/>
        <item x="7123"/>
        <item sd="0" x="7124"/>
        <item sd="0" x="7125"/>
        <item x="7126"/>
        <item x="7127"/>
        <item x="7128"/>
        <item x="7129"/>
        <item x="7130"/>
        <item x="7131"/>
        <item x="7132"/>
        <item x="7133"/>
        <item x="7134"/>
        <item x="7135"/>
        <item x="7136"/>
        <item sd="0" x="7738"/>
        <item sd="0" x="7739"/>
        <item x="7740"/>
        <item x="7741"/>
        <item x="7742"/>
        <item x="7743"/>
        <item x="7744"/>
        <item x="7745"/>
        <item x="7746"/>
        <item x="7747"/>
        <item sd="0" x="7748"/>
        <item sd="0" x="7749"/>
        <item x="7750"/>
        <item x="7751"/>
        <item x="7752"/>
        <item x="7753"/>
        <item x="7754"/>
        <item x="7755"/>
        <item x="7756"/>
        <item x="7757"/>
        <item x="7758"/>
        <item x="7759"/>
        <item sd="0" x="7760"/>
        <item sd="0" x="7761"/>
        <item x="7762"/>
        <item x="7763"/>
        <item x="7764"/>
        <item x="7765"/>
        <item x="7766"/>
        <item x="7767"/>
        <item x="7768"/>
        <item x="7769"/>
        <item sd="0" x="7770"/>
        <item sd="0" x="7771"/>
        <item x="7772"/>
        <item x="7773"/>
        <item x="7774"/>
        <item x="7775"/>
        <item x="7776"/>
        <item x="7777"/>
        <item x="7778"/>
        <item x="7779"/>
        <item sd="0" x="7780"/>
        <item sd="0" x="7781"/>
        <item sd="0" m="1" x="15476"/>
        <item x="7782"/>
        <item x="7783"/>
        <item x="7784"/>
        <item x="7785"/>
        <item x="7786"/>
        <item x="7787"/>
        <item sd="0" x="7788"/>
        <item sd="0" x="7789"/>
        <item x="7790"/>
        <item x="7791"/>
        <item x="7792"/>
        <item x="7793"/>
        <item x="7794"/>
        <item x="7795"/>
        <item x="7796"/>
        <item x="7797"/>
        <item sd="0" x="8400"/>
        <item sd="0" x="8401"/>
        <item x="8402"/>
        <item x="8403"/>
        <item x="8404"/>
        <item x="8405"/>
        <item x="8406"/>
        <item x="8407"/>
        <item x="8408"/>
        <item x="8409"/>
        <item x="8410"/>
        <item x="8411"/>
        <item sd="0" x="8412"/>
        <item sd="0" x="8413"/>
        <item x="8414"/>
        <item x="8415"/>
        <item x="8416"/>
        <item x="8417"/>
        <item x="8418"/>
        <item x="8419"/>
        <item x="8420"/>
        <item x="8421"/>
        <item x="8422"/>
        <item sd="0" x="8423"/>
        <item x="8424"/>
        <item x="8425"/>
        <item x="8426"/>
        <item x="8427"/>
        <item x="8428"/>
        <item x="8429"/>
        <item x="8430"/>
        <item x="8431"/>
        <item x="8432"/>
        <item sd="0" x="8433"/>
        <item sd="0" x="8434"/>
        <item x="8435"/>
        <item x="8436"/>
        <item x="8437"/>
        <item x="8438"/>
        <item x="8439"/>
        <item x="8440"/>
        <item x="8441"/>
        <item x="8442"/>
        <item sd="0" x="8443"/>
        <item sd="0" x="8444"/>
        <item x="8445"/>
        <item x="8446"/>
        <item x="8447"/>
        <item x="8448"/>
        <item x="8449"/>
        <item x="8450"/>
        <item sd="0" x="8451"/>
        <item x="8452"/>
        <item sd="0" x="8453"/>
        <item sd="0" x="8454"/>
        <item x="8455"/>
        <item sd="0" x="8456"/>
        <item sd="0" x="8457"/>
        <item x="8458"/>
        <item x="8459"/>
        <item x="8460"/>
        <item x="9075"/>
        <item x="9076"/>
        <item sd="0" x="9077"/>
        <item x="9078"/>
        <item x="9079"/>
        <item sd="0" x="9080"/>
        <item sd="0" x="9081"/>
        <item x="9082"/>
        <item x="9083"/>
        <item x="9084"/>
        <item x="9085"/>
        <item x="9086"/>
        <item x="9087"/>
        <item x="9088"/>
        <item x="9089"/>
        <item sd="0" x="9090"/>
        <item sd="0" x="9091"/>
        <item x="9092"/>
        <item x="9093"/>
        <item x="9094"/>
        <item x="9095"/>
        <item x="9096"/>
        <item x="9097"/>
        <item x="9098"/>
        <item x="9099"/>
        <item sd="0" x="9100"/>
        <item sd="0" x="9101"/>
        <item x="9102"/>
        <item x="9103"/>
        <item x="9104"/>
        <item x="9105"/>
        <item x="9106"/>
        <item x="9107"/>
        <item x="9108"/>
        <item x="9109"/>
        <item sd="0" x="9110"/>
        <item x="9111"/>
        <item x="9112"/>
        <item x="9113"/>
        <item x="9114"/>
        <item x="9115"/>
        <item x="9116"/>
        <item x="9117"/>
        <item sd="0" m="1" x="15470"/>
        <item x="9118"/>
        <item x="9119"/>
        <item sd="0" x="9120"/>
        <item sd="0" x="9121"/>
        <item x="9122"/>
        <item x="9123"/>
        <item x="9124"/>
        <item x="9125"/>
        <item x="9126"/>
        <item sd="0" x="9127"/>
        <item x="9128"/>
        <item x="9129"/>
        <item sd="0" x="9130"/>
        <item sd="0" x="9131"/>
        <item x="9132"/>
        <item x="9133"/>
        <item x="9134"/>
        <item x="9740"/>
        <item x="9741"/>
        <item x="9742"/>
        <item x="9743"/>
        <item x="9744"/>
        <item sd="0" x="9745"/>
        <item x="9746"/>
        <item sd="0" x="9747"/>
        <item sd="0" x="9748"/>
        <item x="9749"/>
        <item x="9750"/>
        <item x="9751"/>
        <item x="9752"/>
        <item x="9753"/>
        <item x="9754"/>
        <item sd="0" x="9755"/>
        <item sd="0" x="9756"/>
        <item sd="0" x="9757"/>
        <item sd="0" x="9758"/>
        <item x="9759"/>
        <item x="9760"/>
        <item x="9761"/>
        <item x="9762"/>
        <item x="9763"/>
        <item x="9764"/>
        <item x="9765"/>
        <item x="9766"/>
        <item sd="0" x="9767"/>
        <item sd="0" x="9768"/>
        <item x="9769"/>
        <item x="9770"/>
        <item sd="0" x="9771"/>
        <item x="9772"/>
        <item x="9773"/>
        <item x="9774"/>
        <item x="9775"/>
        <item x="9776"/>
        <item sd="0" x="9777"/>
        <item sd="0" x="9778"/>
        <item sd="0" x="9779"/>
        <item x="9780"/>
        <item sd="0" x="9781"/>
        <item x="9782"/>
        <item x="9783"/>
        <item x="9784"/>
        <item x="9785"/>
        <item x="9786"/>
        <item sd="0" x="9787"/>
        <item sd="0" x="9788"/>
        <item x="9789"/>
        <item x="9790"/>
        <item sd="0" x="9791"/>
        <item x="9792"/>
        <item x="9793"/>
        <item x="9794"/>
        <item x="9795"/>
        <item x="9796"/>
        <item x="9797"/>
        <item x="9798"/>
        <item x="9799"/>
        <item sd="0" x="10404"/>
        <item sd="0" x="10405"/>
        <item x="10406"/>
        <item x="10407"/>
        <item x="10408"/>
        <item x="10409"/>
        <item x="10410"/>
        <item x="10411"/>
        <item x="10412"/>
        <item x="10413"/>
        <item sd="0" x="10414"/>
        <item sd="0" x="10415"/>
        <item x="10416"/>
        <item x="10417"/>
        <item x="10418"/>
        <item x="10419"/>
        <item x="10420"/>
        <item x="10421"/>
        <item x="10422"/>
        <item x="10423"/>
        <item x="10424"/>
        <item x="10425"/>
        <item x="10426"/>
        <item sd="0" x="10427"/>
        <item sd="0" x="10428"/>
        <item x="10429"/>
        <item x="10430"/>
        <item x="10431"/>
        <item x="10432"/>
        <item x="10433"/>
        <item x="10434"/>
        <item x="10435"/>
        <item x="10436"/>
        <item sd="0" x="10437"/>
        <item sd="0" x="10438"/>
        <item x="10439"/>
        <item x="10440"/>
        <item x="10441"/>
        <item x="10442"/>
        <item x="10443"/>
        <item x="10444"/>
        <item x="10445"/>
        <item x="10446"/>
        <item sd="0" m="1" x="15472"/>
        <item sd="0" x="10447"/>
        <item x="10448"/>
        <item x="10449"/>
        <item x="10450"/>
        <item x="10451"/>
        <item x="10452"/>
        <item sd="0" x="10453"/>
        <item sd="0" x="10454"/>
        <item x="10455"/>
        <item x="10456"/>
        <item sd="0" x="10457"/>
        <item x="10458"/>
        <item x="10459"/>
        <item x="10460"/>
        <item x="10461"/>
        <item x="10462"/>
        <item sd="0" x="10463"/>
        <item sd="0" x="11024"/>
        <item x="11025"/>
        <item x="11026"/>
        <item sd="0" x="11027"/>
        <item x="11028"/>
        <item x="11029"/>
        <item x="11030"/>
        <item x="11031"/>
        <item x="11032"/>
        <item x="11033"/>
        <item x="11034"/>
        <item x="11035"/>
        <item sd="0" x="11036"/>
        <item sd="0" x="11037"/>
        <item x="11038"/>
        <item x="11039"/>
        <item x="11040"/>
        <item x="11041"/>
        <item x="11042"/>
        <item x="11043"/>
        <item x="11044"/>
        <item x="11045"/>
        <item sd="0" x="11046"/>
        <item sd="0" x="11047"/>
        <item x="11048"/>
        <item x="11049"/>
        <item x="11050"/>
        <item x="11051"/>
        <item x="11052"/>
        <item x="11053"/>
        <item x="11054"/>
        <item x="11055"/>
        <item x="11056"/>
        <item x="11057"/>
        <item sd="0" x="11058"/>
        <item sd="0" x="11059"/>
        <item x="11060"/>
        <item x="11061"/>
        <item x="11062"/>
        <item x="11063"/>
        <item x="11064"/>
        <item x="11065"/>
        <item x="11066"/>
        <item x="11067"/>
        <item sd="0" x="11068"/>
        <item sd="0" x="11069"/>
        <item x="11070"/>
        <item x="11071"/>
        <item x="11072"/>
        <item x="11073"/>
        <item x="11074"/>
        <item x="11075"/>
        <item x="11076"/>
        <item x="11077"/>
        <item sd="0" x="11078"/>
        <item x="11079"/>
        <item x="11080"/>
        <item sd="0" x="11081"/>
        <item sd="0" x="11082"/>
        <item x="11083"/>
        <item x="11629"/>
        <item x="11630"/>
        <item x="11631"/>
        <item x="11632"/>
        <item sd="0" x="11633"/>
        <item x="11634"/>
        <item x="11635"/>
        <item sd="0" x="11636"/>
        <item sd="0" x="11637"/>
        <item x="11638"/>
        <item x="11639"/>
        <item x="11640"/>
        <item x="11641"/>
        <item x="11642"/>
        <item x="11643"/>
        <item x="11644"/>
        <item x="11645"/>
        <item sd="0" x="11646"/>
        <item sd="0" x="5299"/>
        <item sd="0" x="5300"/>
        <item sd="0" x="5301"/>
        <item sd="0" x="5302"/>
        <item sd="0" x="5303"/>
        <item sd="0" x="5304"/>
        <item sd="0" x="5305"/>
        <item sd="0" x="5306"/>
        <item sd="0" x="5307"/>
        <item sd="0" x="5308"/>
        <item sd="0" x="5309"/>
        <item sd="0" x="5310"/>
        <item sd="0" x="5311"/>
        <item sd="0" x="5312"/>
        <item sd="0" x="5313"/>
        <item sd="0" x="5314"/>
        <item sd="0" x="5315"/>
        <item sd="0" x="5316"/>
        <item sd="0" x="5317"/>
        <item sd="0" x="5318"/>
        <item sd="0" x="5319"/>
        <item sd="0" x="5320"/>
        <item sd="0" x="5321"/>
        <item sd="0" x="5322"/>
        <item sd="0" x="5323"/>
        <item sd="0" x="2196"/>
        <item sd="0" x="2197"/>
        <item sd="0" x="2198"/>
        <item sd="0" x="2199"/>
        <item sd="0" x="2200"/>
        <item sd="0" x="2201"/>
        <item sd="0" x="2202"/>
        <item sd="0" x="2203"/>
        <item sd="0" x="2204"/>
        <item sd="0" x="2453"/>
        <item sd="0" x="2454"/>
        <item sd="0" x="2455"/>
        <item sd="0" x="2456"/>
        <item sd="0" x="2457"/>
        <item sd="0" x="2458"/>
        <item sd="0" x="2459"/>
        <item sd="0" x="2460"/>
        <item sd="0" x="2461"/>
        <item sd="0" x="2462"/>
        <item sd="0" x="2463"/>
        <item sd="0" x="2464"/>
        <item sd="0" x="2465"/>
        <item sd="0" x="2466"/>
        <item sd="0" x="2467"/>
        <item sd="0" x="2468"/>
        <item sd="0" x="2469"/>
        <item sd="0" x="2470"/>
        <item sd="0" x="2471"/>
        <item sd="0" x="2472"/>
        <item sd="0" x="2473"/>
        <item sd="0" x="2474"/>
        <item sd="0" x="2475"/>
        <item sd="0" x="2476"/>
        <item sd="0" x="2477"/>
        <item sd="0" x="2478"/>
        <item sd="0" x="2479"/>
        <item sd="0" x="2480"/>
        <item sd="0" x="2481"/>
        <item sd="0" x="2482"/>
        <item sd="0" x="2483"/>
        <item sd="0" x="2484"/>
        <item sd="0" x="2485"/>
        <item sd="0" x="2486"/>
        <item sd="0" x="2487"/>
        <item sd="0" x="2488"/>
        <item sd="0" x="2489"/>
        <item sd="0" x="2490"/>
        <item sd="0" x="2491"/>
        <item sd="0" x="2492"/>
        <item sd="0" x="2493"/>
        <item sd="0" x="2494"/>
        <item sd="0" x="2495"/>
        <item sd="0" x="2496"/>
        <item sd="0" x="2497"/>
        <item sd="0" x="2498"/>
        <item sd="0" x="2499"/>
        <item sd="0" x="2500"/>
        <item sd="0" x="2501"/>
        <item sd="0" x="2502"/>
        <item sd="0" x="2503"/>
        <item sd="0" x="2504"/>
        <item sd="0" x="2505"/>
        <item sd="0" x="2506"/>
        <item sd="0" x="2507"/>
        <item sd="0" x="2508"/>
        <item sd="0" x="2509"/>
        <item sd="0" x="2510"/>
        <item sd="0" x="2511"/>
        <item sd="0" x="2512"/>
        <item sd="0" x="2513"/>
        <item sd="0" x="2514"/>
        <item sd="0" x="2515"/>
        <item sd="0" x="2516"/>
        <item sd="0" x="2517"/>
        <item sd="0" x="2518"/>
        <item sd="0" x="2519"/>
        <item sd="0" x="2520"/>
        <item sd="0" x="2521"/>
        <item sd="0" x="2522"/>
        <item sd="0" x="2523"/>
        <item sd="0" x="2524"/>
        <item sd="0" x="2525"/>
        <item sd="0" x="2774"/>
        <item sd="0" x="2775"/>
        <item sd="0" x="2776"/>
        <item sd="0" x="2777"/>
        <item sd="0" x="2778"/>
        <item sd="0" x="2779"/>
        <item sd="0" x="2780"/>
        <item sd="0" x="2781"/>
        <item sd="0" x="2782"/>
        <item sd="0" x="2783"/>
        <item sd="0" x="2784"/>
        <item sd="0" x="2785"/>
        <item sd="0" x="2786"/>
        <item sd="0" x="2787"/>
        <item sd="0" x="2788"/>
        <item sd="0" x="2789"/>
        <item sd="0" x="2790"/>
        <item sd="0" x="2791"/>
        <item sd="0" x="2792"/>
        <item sd="0" x="2793"/>
        <item sd="0" x="2794"/>
        <item sd="0" x="2795"/>
        <item sd="0" x="2796"/>
        <item sd="0" x="2797"/>
        <item sd="0" x="2798"/>
        <item sd="0" x="2799"/>
        <item sd="0" x="2800"/>
        <item sd="0" x="2801"/>
        <item sd="0" x="2802"/>
        <item sd="0" x="2803"/>
        <item sd="0" x="2804"/>
        <item sd="0" x="2805"/>
        <item sd="0" x="2806"/>
        <item sd="0" x="2807"/>
        <item sd="0" x="2808"/>
        <item sd="0" x="2809"/>
        <item sd="0" x="2810"/>
        <item sd="0" x="2811"/>
        <item sd="0" x="5359"/>
        <item sd="0" x="5360"/>
        <item sd="0" x="5361"/>
        <item sd="0" x="5362"/>
        <item sd="0" x="5363"/>
        <item sd="0" x="5364"/>
        <item sd="0" x="5365"/>
        <item sd="0" x="2812"/>
        <item sd="0" x="2813"/>
        <item sd="0" x="2814"/>
        <item sd="0" x="2815"/>
        <item sd="0" x="2816"/>
        <item sd="0" x="2817"/>
        <item sd="0" x="2818"/>
        <item sd="0" x="2819"/>
        <item sd="0" x="2820"/>
        <item sd="0" x="2821"/>
        <item sd="0" x="2822"/>
        <item sd="0" x="2823"/>
        <item sd="0" x="2824"/>
        <item sd="0" x="2825"/>
        <item sd="0" x="2826"/>
        <item sd="0" x="2827"/>
        <item sd="0" x="2828"/>
        <item sd="0" x="2829"/>
        <item sd="0" x="2830"/>
        <item sd="0" x="2831"/>
        <item sd="0" x="2832"/>
        <item sd="0" x="2833"/>
        <item sd="0" x="2834"/>
        <item sd="0" x="2835"/>
        <item sd="0" x="3084"/>
        <item sd="0" x="3085"/>
        <item sd="0" x="3086"/>
        <item sd="0" x="3087"/>
        <item sd="0" x="3088"/>
        <item sd="0" x="3089"/>
        <item sd="0" x="3090"/>
        <item sd="0" x="3091"/>
        <item sd="0" x="3092"/>
        <item sd="0" x="3093"/>
        <item sd="0" x="3094"/>
        <item sd="0" x="3095"/>
        <item sd="0" x="3096"/>
        <item sd="0" x="3097"/>
        <item sd="0" x="3098"/>
        <item sd="0" x="3099"/>
        <item sd="0" x="3100"/>
        <item sd="0" x="3101"/>
        <item sd="0" x="3102"/>
        <item sd="0" x="3103"/>
        <item sd="0" x="3104"/>
        <item sd="0" x="3105"/>
        <item sd="0" x="3106"/>
        <item sd="0" x="3107"/>
        <item sd="0" x="3108"/>
        <item sd="0" x="3109"/>
        <item sd="0" x="3110"/>
        <item sd="0" x="3111"/>
        <item sd="0" x="3112"/>
        <item sd="0" x="3113"/>
        <item sd="0" x="3114"/>
        <item sd="0" x="3115"/>
        <item sd="0" x="3116"/>
        <item sd="0" x="3117"/>
        <item sd="0" x="3118"/>
        <item sd="0" x="3119"/>
        <item sd="0" x="3120"/>
        <item sd="0" x="3121"/>
        <item sd="0" x="3122"/>
        <item sd="0" x="3123"/>
        <item sd="0" x="3124"/>
        <item sd="0" x="3125"/>
        <item sd="0" x="3126"/>
        <item sd="0" x="3127"/>
        <item sd="0" x="3128"/>
        <item sd="0" x="3129"/>
        <item sd="0" x="3130"/>
        <item sd="0" x="3131"/>
        <item sd="0" x="3132"/>
        <item sd="0" x="3133"/>
        <item sd="0" x="3134"/>
        <item sd="0" x="3135"/>
        <item sd="0" x="3136"/>
        <item sd="0" x="3137"/>
        <item sd="0" x="3138"/>
        <item sd="0" x="3139"/>
        <item sd="0" x="3140"/>
        <item sd="0" x="3141"/>
        <item sd="0" x="3142"/>
        <item sd="0" x="3143"/>
        <item sd="0" x="3144"/>
        <item sd="0" x="3145"/>
        <item sd="0" x="3394"/>
        <item sd="0" x="3395"/>
        <item sd="0" x="3396"/>
        <item sd="0" x="3397"/>
        <item sd="0" x="3398"/>
        <item sd="0" x="3399"/>
        <item sd="0" x="3400"/>
        <item sd="0" x="3401"/>
        <item sd="0" x="3402"/>
        <item sd="0" x="3403"/>
        <item sd="0" x="3404"/>
        <item sd="0" x="3405"/>
        <item sd="0" x="3406"/>
        <item sd="0" x="3407"/>
        <item sd="0" x="3408"/>
        <item sd="0" x="3409"/>
        <item sd="0" x="3410"/>
        <item sd="0" x="3411"/>
        <item sd="0" x="3412"/>
        <item sd="0" x="3413"/>
        <item sd="0" x="3414"/>
        <item sd="0" x="3415"/>
        <item sd="0" x="3416"/>
        <item sd="0" x="3417"/>
        <item sd="0" x="3418"/>
        <item sd="0" x="3419"/>
        <item sd="0" x="3420"/>
        <item sd="0" x="3421"/>
        <item sd="0" x="3422"/>
        <item sd="0" x="3423"/>
        <item sd="0" x="3424"/>
        <item sd="0" x="3425"/>
        <item sd="0" x="3426"/>
        <item sd="0" x="3427"/>
        <item sd="0" x="5395"/>
        <item sd="0" x="5396"/>
        <item sd="0" x="5397"/>
        <item sd="0" x="5398"/>
        <item sd="0" x="5399"/>
        <item sd="0" x="5400"/>
        <item sd="0" x="5401"/>
        <item sd="0" x="3428"/>
        <item sd="0" x="3429"/>
        <item sd="0" x="3430"/>
        <item sd="0" x="3431"/>
        <item sd="0" x="3432"/>
        <item sd="0" x="3433"/>
        <item sd="0" x="3434"/>
        <item sd="0" x="3435"/>
        <item sd="0" x="3436"/>
        <item sd="0" x="3437"/>
        <item sd="0" x="3438"/>
        <item sd="0" x="3439"/>
        <item sd="0" x="3440"/>
        <item sd="0" x="3441"/>
        <item sd="0" x="3442"/>
        <item sd="0" x="3443"/>
        <item sd="0" x="3444"/>
        <item sd="0" x="3445"/>
        <item sd="0" x="3446"/>
        <item sd="0" x="3447"/>
        <item sd="0" x="3448"/>
        <item sd="0" x="3449"/>
        <item sd="0" x="3450"/>
        <item sd="0" x="3451"/>
        <item sd="0" x="3452"/>
        <item sd="0" x="3453"/>
        <item sd="0" x="3454"/>
        <item sd="0" x="3455"/>
        <item sd="0" x="3704"/>
        <item sd="0" x="3705"/>
        <item sd="0" x="3706"/>
        <item sd="0" x="3707"/>
        <item sd="0" x="3708"/>
        <item sd="0" x="3709"/>
        <item sd="0" x="3710"/>
        <item sd="0" x="3711"/>
        <item sd="0" x="3712"/>
        <item sd="0" x="3713"/>
        <item sd="0" x="3714"/>
        <item sd="0" x="3715"/>
        <item sd="0" x="3716"/>
        <item sd="0" x="3717"/>
        <item sd="0" x="3718"/>
        <item sd="0" x="3719"/>
        <item sd="0" x="3720"/>
        <item sd="0" x="3721"/>
        <item sd="0" x="3722"/>
        <item sd="0" x="3723"/>
        <item sd="0" x="3724"/>
        <item sd="0" x="3725"/>
        <item sd="0" x="3726"/>
        <item sd="0" x="3727"/>
        <item sd="0" x="3728"/>
        <item sd="0" x="3729"/>
        <item sd="0" x="3730"/>
        <item sd="0" x="3731"/>
        <item sd="0" x="3732"/>
        <item sd="0" x="3733"/>
        <item sd="0" x="3734"/>
        <item sd="0" x="3735"/>
        <item sd="0" x="3736"/>
        <item sd="0" x="3737"/>
        <item sd="0" x="3738"/>
        <item sd="0" x="3739"/>
        <item sd="0" x="3740"/>
        <item sd="0" x="3741"/>
        <item sd="0" x="3742"/>
        <item sd="0" x="3743"/>
        <item sd="0" x="3744"/>
        <item sd="0" x="3745"/>
        <item sd="0" x="3746"/>
        <item sd="0" x="3747"/>
        <item sd="0" x="3748"/>
        <item sd="0" x="3749"/>
        <item sd="0" x="3750"/>
        <item sd="0" x="3751"/>
        <item sd="0" x="3752"/>
        <item sd="0" x="3753"/>
        <item sd="0" x="3754"/>
        <item sd="0" x="3755"/>
        <item sd="0" x="3756"/>
        <item sd="0" x="3757"/>
        <item sd="0" x="3758"/>
        <item sd="0" x="3759"/>
        <item sd="0" x="3760"/>
        <item sd="0" x="3761"/>
        <item sd="0" x="3762"/>
        <item sd="0" x="3763"/>
        <item sd="0" x="3764"/>
        <item sd="0" x="3765"/>
        <item sd="0" x="4014"/>
        <item sd="0" x="4015"/>
        <item sd="0" x="4016"/>
        <item sd="0" x="4017"/>
        <item sd="0" x="4018"/>
        <item sd="0" x="4019"/>
        <item sd="0" x="4020"/>
        <item sd="0" x="4021"/>
        <item sd="0" x="4022"/>
        <item sd="0" x="4023"/>
        <item sd="0" x="4024"/>
        <item sd="0" x="4025"/>
        <item sd="0" x="4026"/>
        <item sd="0" x="4027"/>
        <item sd="0" x="4028"/>
        <item sd="0" x="4029"/>
        <item sd="0" x="4030"/>
        <item sd="0" x="4031"/>
        <item sd="0" x="4032"/>
        <item sd="0" x="4033"/>
        <item sd="0" x="4034"/>
        <item sd="0" x="4035"/>
        <item sd="0" x="4036"/>
        <item sd="0" x="4037"/>
        <item sd="0" x="4038"/>
        <item sd="0" x="4039"/>
        <item sd="0" x="4040"/>
        <item sd="0" x="4041"/>
        <item sd="0" x="4042"/>
        <item sd="0" x="4043"/>
        <item sd="0" x="5432"/>
        <item sd="0" x="5172"/>
        <item sd="0" x="5173"/>
        <item sd="0" x="5174"/>
        <item sd="0" x="5175"/>
        <item sd="0" x="5176"/>
        <item sd="0" x="5177"/>
        <item sd="0" x="4044"/>
        <item sd="0" x="4045"/>
        <item sd="0" x="4046"/>
        <item sd="0" x="4047"/>
        <item sd="0" x="4048"/>
        <item sd="0" x="4049"/>
        <item sd="0" x="4050"/>
        <item sd="0" x="4051"/>
        <item sd="0" x="4052"/>
        <item sd="0" x="4053"/>
        <item sd="0" x="4054"/>
        <item sd="0" x="4055"/>
        <item sd="0" x="4056"/>
        <item sd="0" x="4057"/>
        <item sd="0" x="4058"/>
        <item sd="0" x="4059"/>
        <item sd="0" x="4060"/>
        <item sd="0" x="4061"/>
        <item sd="0" x="4062"/>
        <item sd="0" x="4063"/>
        <item sd="0" x="4064"/>
        <item sd="0" x="4065"/>
        <item sd="0" x="4066"/>
        <item sd="0" x="4067"/>
        <item sd="0" x="4068"/>
        <item sd="0" x="4069"/>
        <item sd="0" x="4070"/>
        <item sd="0" x="4071"/>
        <item sd="0" x="4072"/>
        <item sd="0" x="4073"/>
        <item sd="0" x="4074"/>
        <item sd="0" x="4075"/>
        <item sd="0" x="4324"/>
        <item sd="0" x="4325"/>
        <item sd="0" x="4326"/>
        <item sd="0" x="4327"/>
        <item sd="0" x="4328"/>
        <item sd="0" x="4329"/>
        <item sd="0" x="4330"/>
        <item sd="0" x="4331"/>
        <item sd="0" x="4332"/>
        <item sd="0" x="4333"/>
        <item sd="0" x="4334"/>
        <item sd="0" x="4335"/>
        <item sd="0" x="4336"/>
        <item sd="0" x="4337"/>
        <item sd="0" x="4338"/>
        <item sd="0" x="4339"/>
        <item sd="0" x="4340"/>
        <item sd="0" x="4341"/>
        <item sd="0" x="4342"/>
        <item sd="0" x="4343"/>
        <item sd="0" x="4344"/>
        <item sd="0" x="4345"/>
        <item sd="0" x="4346"/>
        <item sd="0" x="4347"/>
        <item sd="0" x="4348"/>
        <item sd="0" x="4349"/>
        <item sd="0" x="4350"/>
        <item sd="0" x="4351"/>
        <item sd="0" x="4352"/>
        <item sd="0" x="4353"/>
        <item sd="0" x="4354"/>
        <item sd="0" x="4355"/>
        <item sd="0" x="4356"/>
        <item sd="0" x="4357"/>
        <item sd="0" x="4358"/>
        <item sd="0" x="4359"/>
        <item sd="0" x="4360"/>
        <item sd="0" x="4361"/>
        <item sd="0" x="4362"/>
        <item sd="0" x="4363"/>
        <item sd="0" x="4364"/>
        <item sd="0" x="4365"/>
        <item sd="0" x="4366"/>
        <item sd="0" x="4367"/>
        <item sd="0" x="4368"/>
        <item sd="0" x="4369"/>
        <item sd="0" x="4370"/>
        <item sd="0" x="4371"/>
        <item sd="0" x="4372"/>
        <item sd="0" x="4373"/>
        <item sd="0" x="4374"/>
        <item sd="0" x="4375"/>
        <item sd="0" x="4376"/>
        <item sd="0" x="4377"/>
        <item sd="0" x="4378"/>
        <item sd="0" x="4379"/>
        <item sd="0" x="4380"/>
        <item sd="0" x="4381"/>
        <item sd="0" x="4382"/>
        <item sd="0" x="4383"/>
        <item sd="0" x="4384"/>
        <item sd="0" x="4385"/>
        <item sd="0" x="4634"/>
        <item sd="0" x="4635"/>
        <item sd="0" x="4636"/>
        <item sd="0" x="4637"/>
        <item sd="0" x="4638"/>
        <item sd="0" x="4639"/>
        <item sd="0" x="4640"/>
        <item sd="0" x="4641"/>
        <item sd="0" x="4642"/>
        <item sd="0" x="4643"/>
        <item sd="0" x="4644"/>
        <item sd="0" x="4645"/>
        <item sd="0" x="4646"/>
        <item sd="0" x="4647"/>
        <item sd="0" x="4648"/>
        <item sd="0" x="4649"/>
        <item sd="0" x="4650"/>
        <item sd="0" x="4651"/>
        <item sd="0" x="4652"/>
        <item sd="0" x="4653"/>
        <item sd="0" x="4654"/>
        <item sd="0" x="4655"/>
        <item sd="0" x="4656"/>
        <item sd="0" x="4657"/>
        <item sd="0" x="4658"/>
        <item sd="0" x="4659"/>
        <item sd="0" x="5138"/>
        <item sd="0" x="5139"/>
        <item sd="0" x="5140"/>
        <item sd="0" x="5141"/>
        <item sd="0" x="5142"/>
        <item sd="0" x="5143"/>
        <item sd="0" x="4660"/>
        <item sd="0" x="4661"/>
        <item sd="0" x="4662"/>
        <item sd="0" x="4663"/>
        <item sd="0" x="4664"/>
        <item sd="0" x="4665"/>
        <item sd="0" x="4666"/>
        <item sd="0" x="4667"/>
        <item sd="0" x="4668"/>
        <item sd="0" x="4669"/>
        <item sd="0" x="4670"/>
        <item sd="0" x="4671"/>
        <item sd="0" x="4672"/>
        <item sd="0" x="4673"/>
        <item sd="0" x="4674"/>
        <item sd="0" x="4675"/>
        <item sd="0" x="4676"/>
        <item sd="0" x="4677"/>
        <item sd="0" x="4678"/>
        <item sd="0" x="4679"/>
        <item sd="0" x="4680"/>
        <item sd="0" x="4681"/>
        <item sd="0" x="4682"/>
        <item sd="0" x="4683"/>
        <item sd="0" x="4684"/>
        <item sd="0" x="4685"/>
        <item sd="0" x="4686"/>
        <item sd="0" x="4687"/>
        <item sd="0" x="4688"/>
        <item sd="0" x="4689"/>
        <item sd="0" x="4690"/>
        <item sd="0" x="4691"/>
        <item sd="0" x="4692"/>
        <item sd="0" x="4693"/>
        <item sd="0" x="4694"/>
        <item sd="0" x="4695"/>
        <item sd="0" x="4944"/>
        <item sd="0" x="4945"/>
        <item sd="0" x="4946"/>
        <item sd="0" x="4947"/>
        <item sd="0" x="4948"/>
        <item sd="0" x="4949"/>
        <item sd="0" x="4950"/>
        <item sd="0" x="4951"/>
        <item sd="0" x="4952"/>
        <item sd="0" x="4953"/>
        <item sd="0" x="4954"/>
        <item sd="0" x="4955"/>
        <item sd="0" x="4956"/>
        <item sd="0" x="4957"/>
        <item sd="0" x="4958"/>
        <item sd="0" x="4959"/>
        <item sd="0" x="4960"/>
        <item sd="0" x="4961"/>
        <item sd="0" x="4962"/>
        <item sd="0" x="4963"/>
        <item sd="0" x="4964"/>
        <item sd="0" x="4965"/>
        <item sd="0" x="4966"/>
        <item sd="0" x="4967"/>
        <item sd="0" x="4968"/>
        <item sd="0" x="4969"/>
        <item sd="0" x="4970"/>
        <item sd="0" x="4971"/>
        <item sd="0" x="4972"/>
        <item sd="0" x="4973"/>
        <item sd="0" x="4974"/>
        <item sd="0" x="4975"/>
        <item sd="0" x="4976"/>
        <item sd="0" x="4977"/>
        <item sd="0" x="4978"/>
        <item sd="0" x="848"/>
        <item sd="0" x="849"/>
        <item sd="0" x="850"/>
        <item sd="0" x="851"/>
        <item sd="0" x="852"/>
        <item sd="0" x="853"/>
        <item sd="0" x="854"/>
        <item sd="0" x="855"/>
        <item sd="0" x="856"/>
        <item sd="0" x="857"/>
        <item sd="0" x="858"/>
        <item sd="0" x="859"/>
        <item sd="0" x="860"/>
        <item sd="0" x="861"/>
        <item sd="0" x="862"/>
        <item sd="0" x="863"/>
        <item sd="0" x="864"/>
        <item sd="0" x="865"/>
        <item sd="0" x="866"/>
        <item sd="0" x="867"/>
        <item sd="0" x="868"/>
        <item sd="0" x="869"/>
        <item sd="0" x="870"/>
        <item sd="0" x="871"/>
        <item sd="0" x="872"/>
        <item sd="0" x="873"/>
        <item sd="0" x="874"/>
        <item sd="0" x="600"/>
        <item sd="0" x="601"/>
        <item sd="0" x="602"/>
        <item sd="0" x="603"/>
        <item sd="0" x="604"/>
        <item sd="0" x="605"/>
        <item sd="0" x="606"/>
        <item sd="0" x="607"/>
        <item sd="0" x="608"/>
        <item sd="0" x="609"/>
        <item sd="0" x="610"/>
        <item sd="0" x="611"/>
        <item sd="0" x="612"/>
        <item sd="0" x="613"/>
        <item sd="0" x="614"/>
        <item sd="0" x="615"/>
        <item sd="0" x="616"/>
        <item sd="0" x="617"/>
        <item sd="0" x="618"/>
        <item sd="0" x="619"/>
        <item sd="0" x="620"/>
        <item sd="0" x="621"/>
        <item sd="0" x="5187"/>
        <item sd="0" x="5188"/>
        <item sd="0" x="5189"/>
        <item sd="0" x="5190"/>
        <item sd="0" x="5191"/>
        <item sd="0" x="5192"/>
        <item sd="0" x="5193"/>
        <item sd="0" x="622"/>
        <item sd="0" x="623"/>
        <item sd="0" x="624"/>
        <item sd="0" x="625"/>
        <item sd="0" x="626"/>
        <item sd="0" x="627"/>
        <item sd="0" x="628"/>
        <item sd="0" x="629"/>
        <item sd="0" x="630"/>
        <item sd="0" x="631"/>
        <item sd="0" x="632"/>
        <item sd="0" x="633"/>
        <item sd="0" x="634"/>
        <item sd="0" x="635"/>
        <item sd="0" x="636"/>
        <item sd="0" x="637"/>
        <item sd="0" x="638"/>
        <item sd="0" x="639"/>
        <item sd="0" x="640"/>
        <item sd="0" x="641"/>
        <item sd="0" x="642"/>
        <item sd="0" x="643"/>
        <item sd="0" x="644"/>
        <item sd="0" x="645"/>
        <item sd="0" x="646"/>
        <item sd="0" x="647"/>
        <item sd="0" x="648"/>
        <item sd="0" x="649"/>
        <item sd="0" x="650"/>
        <item sd="0" x="651"/>
        <item sd="0" x="652"/>
        <item sd="0" x="653"/>
        <item sd="0" x="654"/>
        <item sd="0" x="655"/>
        <item sd="0" x="656"/>
        <item sd="0" x="657"/>
        <item sd="0" x="658"/>
        <item sd="0" x="659"/>
        <item sd="0" x="660"/>
        <item sd="0" x="661"/>
        <item sd="0" x="956"/>
        <item sd="0" x="957"/>
        <item sd="0" x="958"/>
        <item sd="0" x="959"/>
        <item sd="0" x="960"/>
        <item sd="0" x="961"/>
        <item sd="0" x="962"/>
        <item sd="0" x="963"/>
        <item sd="0" x="964"/>
        <item sd="0" x="965"/>
        <item sd="0" x="966"/>
        <item sd="0" x="967"/>
        <item sd="0" x="968"/>
        <item sd="0" x="969"/>
        <item sd="0" x="970"/>
        <item sd="0" x="971"/>
        <item sd="0" x="972"/>
        <item sd="0" x="973"/>
        <item sd="0" x="974"/>
        <item sd="0" x="975"/>
        <item sd="0" x="976"/>
        <item sd="0" x="977"/>
        <item sd="0" x="978"/>
        <item sd="0" x="979"/>
        <item sd="0" x="980"/>
        <item sd="0" x="981"/>
        <item sd="0" x="982"/>
        <item sd="0" x="983"/>
        <item sd="0" x="984"/>
        <item sd="0" x="985"/>
        <item sd="0" x="986"/>
        <item sd="0" x="987"/>
        <item sd="0" x="988"/>
        <item sd="0" x="989"/>
        <item sd="0" x="990"/>
        <item sd="0" x="991"/>
        <item sd="0" x="992"/>
        <item sd="0" x="993"/>
        <item sd="0" x="994"/>
        <item sd="0" x="995"/>
        <item sd="0" x="996"/>
        <item sd="0" x="997"/>
        <item sd="0" x="998"/>
        <item sd="0" x="999"/>
        <item sd="0" x="1000"/>
        <item sd="0" x="1001"/>
        <item sd="0" x="1002"/>
        <item sd="0" x="1003"/>
        <item sd="0" x="1004"/>
        <item sd="0" x="1005"/>
        <item sd="0" x="1006"/>
        <item sd="0" x="1007"/>
        <item sd="0" x="1008"/>
        <item sd="0" x="1009"/>
        <item sd="0" x="1010"/>
        <item sd="0" x="1011"/>
        <item sd="0" x="1012"/>
        <item sd="0" x="1013"/>
        <item sd="0" x="1014"/>
        <item sd="0" x="1015"/>
        <item sd="0" x="1016"/>
        <item sd="0" x="1017"/>
        <item sd="0" x="1204"/>
        <item sd="0" x="1205"/>
        <item sd="0" x="1206"/>
        <item sd="0" x="1207"/>
        <item sd="0" x="1208"/>
        <item sd="0" x="1209"/>
        <item sd="0" x="1210"/>
        <item sd="0" x="1211"/>
        <item sd="0" x="1212"/>
        <item sd="0" x="1213"/>
        <item sd="0" x="1214"/>
        <item sd="0" x="1215"/>
        <item sd="0" x="1216"/>
        <item sd="0" x="1217"/>
        <item sd="0" x="1218"/>
        <item sd="0" x="1219"/>
        <item sd="0" x="1220"/>
        <item sd="0" x="1221"/>
        <item sd="0" x="5227"/>
        <item sd="0" x="5228"/>
        <item sd="0" x="5229"/>
        <item sd="0" x="5230"/>
        <item sd="0" x="5231"/>
        <item sd="0" x="5232"/>
        <item sd="0" x="5233"/>
        <item sd="0" x="1222"/>
        <item sd="0" x="1223"/>
        <item sd="0" x="1224"/>
        <item sd="0" x="1225"/>
        <item sd="0" x="1226"/>
        <item sd="0" x="1227"/>
        <item sd="0" x="1228"/>
        <item sd="0" x="1229"/>
        <item sd="0" x="1230"/>
        <item sd="0" x="1231"/>
        <item sd="0" x="1232"/>
        <item sd="0" x="1233"/>
        <item sd="0" x="1234"/>
        <item sd="0" x="1235"/>
        <item sd="0" x="1236"/>
        <item sd="0" x="1237"/>
        <item sd="0" x="1238"/>
        <item sd="0" x="1239"/>
        <item sd="0" x="1240"/>
        <item sd="0" x="1241"/>
        <item sd="0" x="1242"/>
        <item sd="0" x="1243"/>
        <item sd="0" x="1244"/>
        <item sd="0" x="1245"/>
        <item sd="0" x="1246"/>
        <item sd="0" x="1247"/>
        <item sd="0" x="1248"/>
        <item sd="0" x="1249"/>
        <item sd="0" x="1250"/>
        <item sd="0" x="1251"/>
        <item sd="0" x="1252"/>
        <item sd="0" x="1253"/>
        <item sd="0" x="1254"/>
        <item sd="0" x="1255"/>
        <item sd="0" x="1256"/>
        <item sd="0" x="1257"/>
        <item sd="0" x="1258"/>
        <item sd="0" x="1259"/>
        <item sd="0" x="1260"/>
        <item sd="0" x="1261"/>
        <item sd="0" x="1262"/>
        <item sd="0" x="1263"/>
        <item sd="0" x="1264"/>
        <item sd="0" x="1265"/>
        <item sd="0" x="1452"/>
        <item sd="0" x="1453"/>
        <item sd="0" x="1454"/>
        <item sd="0" x="1455"/>
        <item sd="0" x="1456"/>
        <item sd="0" x="1457"/>
        <item sd="0" x="1458"/>
        <item sd="0" x="1459"/>
        <item sd="0" x="1460"/>
        <item sd="0" x="1461"/>
        <item sd="0" x="1462"/>
        <item sd="0" x="1463"/>
        <item sd="0" x="1464"/>
        <item sd="0" x="1465"/>
        <item sd="0" x="1466"/>
        <item sd="0" x="1467"/>
        <item sd="0" x="1468"/>
        <item sd="0" x="1469"/>
        <item sd="0" x="1470"/>
        <item sd="0" x="1471"/>
        <item sd="0" x="1472"/>
        <item sd="0" x="1473"/>
        <item sd="0" x="1474"/>
        <item sd="0" x="1475"/>
        <item sd="0" x="1476"/>
        <item sd="0" x="1477"/>
        <item sd="0" x="1478"/>
        <item sd="0" x="1479"/>
        <item sd="0" x="1480"/>
        <item sd="0" x="1481"/>
        <item sd="0" x="1482"/>
        <item sd="0" x="1483"/>
        <item sd="0" x="1484"/>
        <item sd="0" x="1485"/>
        <item sd="0" x="1486"/>
        <item sd="0" x="1487"/>
        <item sd="0" x="1488"/>
        <item sd="0" x="1489"/>
        <item sd="0" x="1490"/>
        <item sd="0" x="1491"/>
        <item sd="0" x="1492"/>
        <item sd="0" x="1493"/>
        <item sd="0" x="1494"/>
        <item sd="0" x="1495"/>
        <item sd="0" x="1496"/>
        <item sd="0" x="1497"/>
        <item sd="0" x="1498"/>
        <item sd="0" x="1499"/>
        <item sd="0" x="1500"/>
        <item sd="0" x="1501"/>
        <item sd="0" x="1502"/>
        <item sd="0" x="1503"/>
        <item sd="0" x="1504"/>
        <item sd="0" x="1505"/>
        <item sd="0" x="1506"/>
        <item sd="0" x="1507"/>
        <item sd="0" x="1508"/>
        <item sd="0" x="1509"/>
        <item sd="0" x="1510"/>
        <item sd="0" x="1511"/>
        <item sd="0" x="1512"/>
        <item sd="0" x="1513"/>
        <item sd="0" x="1700"/>
        <item sd="0" x="1701"/>
        <item sd="0" x="1702"/>
        <item sd="0" x="1703"/>
        <item sd="0" x="1704"/>
        <item sd="0" x="1705"/>
        <item sd="0" x="1706"/>
        <item sd="0" x="1707"/>
        <item sd="0" x="1708"/>
        <item sd="0" x="1709"/>
        <item sd="0" x="1710"/>
        <item sd="0" x="1711"/>
        <item sd="0" x="1712"/>
        <item sd="0" x="1713"/>
        <item sd="0" x="5263"/>
        <item sd="0" x="5264"/>
        <item sd="0" x="5265"/>
        <item sd="0" x="5266"/>
        <item sd="0" x="5267"/>
        <item sd="0" x="5268"/>
        <item sd="0" x="5269"/>
        <item sd="0" x="1714"/>
        <item sd="0" x="1715"/>
        <item sd="0" x="1716"/>
        <item sd="0" x="1717"/>
        <item sd="0" x="1718"/>
        <item sd="0" x="1719"/>
        <item sd="0" x="1720"/>
        <item sd="0" x="1721"/>
        <item sd="0" x="1722"/>
        <item sd="0" x="1723"/>
        <item sd="0" x="1724"/>
        <item sd="0" x="1725"/>
        <item sd="0" x="1726"/>
        <item sd="0" x="1727"/>
        <item sd="0" x="1728"/>
        <item sd="0" x="1729"/>
        <item sd="0" x="1730"/>
        <item sd="0" x="1731"/>
        <item sd="0" x="1732"/>
        <item sd="0" x="1733"/>
        <item sd="0" x="1734"/>
        <item sd="0" x="1735"/>
        <item sd="0" x="1736"/>
        <item sd="0" x="1737"/>
        <item sd="0" x="1738"/>
        <item sd="0" x="1739"/>
        <item sd="0" x="1740"/>
        <item sd="0" x="1741"/>
        <item sd="0" x="1742"/>
        <item sd="0" x="1743"/>
        <item sd="0" x="1744"/>
        <item sd="0" x="1745"/>
        <item sd="0" x="1746"/>
        <item sd="0" x="1747"/>
        <item sd="0" x="1748"/>
        <item sd="0" x="1749"/>
        <item sd="0" x="1750"/>
        <item sd="0" x="1751"/>
        <item sd="0" x="1752"/>
        <item sd="0" x="1753"/>
        <item sd="0" x="1754"/>
        <item sd="0" x="1755"/>
        <item sd="0" x="1756"/>
        <item sd="0" x="1757"/>
        <item sd="0" x="1758"/>
        <item sd="0" x="1759"/>
        <item sd="0" x="1760"/>
        <item sd="0" x="1761"/>
        <item sd="0" x="1948"/>
        <item sd="0" x="1949"/>
        <item sd="0" x="1950"/>
        <item sd="0" x="1951"/>
        <item sd="0" x="1952"/>
        <item sd="0" x="1953"/>
        <item sd="0" x="1954"/>
        <item sd="0" x="1955"/>
        <item sd="0" x="1956"/>
        <item sd="0" x="1957"/>
        <item sd="0" x="1958"/>
        <item sd="0" x="1959"/>
        <item sd="0" x="1960"/>
        <item sd="0" x="1961"/>
        <item sd="0" x="1962"/>
        <item sd="0" x="1963"/>
        <item sd="0" x="1964"/>
        <item sd="0" x="1965"/>
        <item sd="0" x="1966"/>
        <item sd="0" x="1967"/>
        <item sd="0" x="1968"/>
        <item sd="0" x="1969"/>
        <item sd="0" x="1970"/>
        <item sd="0" x="1971"/>
        <item sd="0" x="1972"/>
        <item sd="0" x="1973"/>
        <item sd="0" x="1974"/>
        <item sd="0" x="1975"/>
        <item sd="0" x="1976"/>
        <item sd="0" x="1977"/>
        <item sd="0" x="1978"/>
        <item sd="0" x="1979"/>
        <item sd="0" x="1980"/>
        <item sd="0" x="1981"/>
        <item sd="0" x="1982"/>
        <item sd="0" x="1983"/>
        <item sd="0" x="1984"/>
        <item sd="0" x="1985"/>
        <item sd="0" x="1986"/>
        <item sd="0" x="1987"/>
        <item sd="0" x="1988"/>
        <item sd="0" x="1989"/>
        <item sd="0" x="1990"/>
        <item sd="0" x="1991"/>
        <item sd="0" x="1992"/>
        <item sd="0" x="1993"/>
        <item sd="0" x="1994"/>
        <item sd="0" x="1995"/>
        <item sd="0" x="1996"/>
        <item sd="0" x="1997"/>
        <item sd="0" x="1998"/>
        <item sd="0" x="1999"/>
        <item sd="0" x="2000"/>
        <item sd="0" x="2001"/>
        <item sd="0" x="2002"/>
        <item sd="0" x="2003"/>
        <item sd="0" x="2004"/>
        <item sd="0" x="2005"/>
        <item sd="0" x="2006"/>
        <item sd="0" x="2007"/>
        <item sd="0" x="2008"/>
        <item sd="0" x="2009"/>
        <item sd="0" x="2205"/>
        <item sd="0" x="2206"/>
        <item sd="0" x="2207"/>
        <item sd="0" x="2208"/>
        <item sd="0" x="2209"/>
        <item sd="0" x="2210"/>
        <item sd="0" x="2211"/>
        <item sd="0" x="2212"/>
        <item sd="0" x="2213"/>
        <item sd="0" x="2214"/>
        <item sd="0" x="5324"/>
        <item sd="0" x="5325"/>
        <item sd="0" x="5326"/>
        <item sd="0" x="5327"/>
        <item sd="0" x="5328"/>
        <item sd="0" x="5329"/>
        <item sd="0" x="5330"/>
        <item sd="0" x="2215"/>
        <item sd="0" x="2216"/>
        <item sd="0" x="2217"/>
        <item sd="0" x="2218"/>
        <item sd="0" x="2219"/>
        <item sd="0" x="2220"/>
        <item sd="0" x="2221"/>
        <item sd="0" x="2222"/>
        <item sd="0" x="2223"/>
        <item sd="0" x="2224"/>
        <item sd="0" x="2225"/>
        <item sd="0" x="2226"/>
        <item sd="0" x="2227"/>
        <item sd="0" x="2228"/>
        <item sd="0" x="2229"/>
        <item sd="0" x="2230"/>
        <item sd="0" x="2231"/>
        <item sd="0" x="2232"/>
        <item sd="0" x="2233"/>
        <item sd="0" x="2234"/>
        <item sd="0" x="2235"/>
        <item sd="0" x="2236"/>
        <item sd="0" x="2237"/>
        <item sd="0" x="2238"/>
        <item sd="0" x="2239"/>
        <item sd="0" x="2240"/>
        <item sd="0" x="2241"/>
        <item sd="0" x="2242"/>
        <item sd="0" x="2243"/>
        <item sd="0" x="2244"/>
        <item sd="0" x="2245"/>
        <item sd="0" x="2246"/>
        <item sd="0" x="2247"/>
        <item sd="0" x="2248"/>
        <item sd="0" x="2249"/>
        <item sd="0" x="2250"/>
        <item sd="0" x="2251"/>
        <item sd="0" x="2252"/>
        <item sd="0" x="2253"/>
        <item sd="0" x="2254"/>
        <item sd="0" x="2255"/>
        <item sd="0" x="2256"/>
        <item sd="0" x="2257"/>
        <item sd="0" x="2258"/>
        <item sd="0" x="2259"/>
        <item sd="0" x="2260"/>
        <item sd="0" x="2261"/>
        <item sd="0" x="2262"/>
        <item sd="0" x="2263"/>
        <item sd="0" x="2264"/>
        <item sd="0" x="2265"/>
        <item sd="0" x="2266"/>
        <item sd="0" x="2526"/>
        <item sd="0" x="2527"/>
        <item sd="0" x="2528"/>
        <item sd="0" x="2529"/>
        <item sd="0" x="2530"/>
        <item sd="0" x="2531"/>
        <item sd="0" x="2532"/>
        <item sd="0" x="2533"/>
        <item sd="0" x="2534"/>
        <item sd="0" x="2535"/>
        <item sd="0" x="2536"/>
        <item sd="0" x="2537"/>
        <item sd="0" x="2538"/>
        <item sd="0" x="2539"/>
        <item sd="0" x="2540"/>
        <item sd="0" x="2541"/>
        <item sd="0" x="2542"/>
        <item sd="0" x="2543"/>
        <item sd="0" x="2544"/>
        <item sd="0" x="2545"/>
        <item sd="0" x="2546"/>
        <item sd="0" x="2547"/>
        <item sd="0" x="2548"/>
        <item sd="0" x="2549"/>
        <item sd="0" x="2550"/>
        <item sd="0" x="2551"/>
        <item sd="0" x="2552"/>
        <item sd="0" x="2553"/>
        <item sd="0" x="2554"/>
        <item sd="0" x="2555"/>
        <item sd="0" x="2556"/>
        <item sd="0" x="2557"/>
        <item sd="0" x="2558"/>
        <item sd="0" x="2559"/>
        <item sd="0" x="2560"/>
        <item sd="0" x="2561"/>
        <item sd="0" x="2562"/>
        <item sd="0" x="2563"/>
        <item sd="0" x="2564"/>
        <item sd="0" x="2565"/>
        <item sd="0" x="2566"/>
        <item sd="0" x="2567"/>
        <item sd="0" x="2568"/>
        <item sd="0" x="2569"/>
        <item sd="0" x="2570"/>
        <item sd="0" x="2571"/>
        <item sd="0" x="2572"/>
        <item sd="0" x="2573"/>
        <item sd="0" x="2574"/>
        <item sd="0" x="2575"/>
        <item sd="0" x="2576"/>
        <item sd="0" x="2577"/>
        <item sd="0" x="2578"/>
        <item sd="0" x="2579"/>
        <item sd="0" x="2580"/>
        <item sd="0" x="2581"/>
        <item sd="0" x="2582"/>
        <item sd="0" x="2583"/>
        <item sd="0" x="2584"/>
        <item sd="0" x="2585"/>
        <item sd="0" x="2586"/>
        <item sd="0" x="2587"/>
        <item sd="0" x="2836"/>
        <item sd="0" x="2837"/>
        <item sd="0" x="2838"/>
        <item sd="0" x="2839"/>
        <item sd="0" x="2840"/>
        <item sd="0" x="2841"/>
        <item sd="0" x="5366"/>
        <item sd="0" x="5367"/>
        <item sd="0" x="5368"/>
        <item sd="0" x="5369"/>
        <item sd="0" x="5370"/>
        <item sd="0" x="5371"/>
        <item sd="0" x="5372"/>
        <item sd="0" x="2842"/>
        <item sd="0" x="2843"/>
        <item sd="0" x="2844"/>
        <item sd="0" x="2845"/>
        <item sd="0" x="2846"/>
        <item sd="0" x="2847"/>
        <item sd="0" x="2848"/>
        <item sd="0" x="2849"/>
        <item sd="0" x="2850"/>
        <item sd="0" x="2851"/>
        <item sd="0" x="2852"/>
        <item sd="0" x="2853"/>
        <item sd="0" x="2854"/>
        <item sd="0" x="2855"/>
        <item sd="0" x="2856"/>
        <item sd="0" x="2857"/>
        <item sd="0" x="2858"/>
        <item sd="0" x="2859"/>
        <item sd="0" x="2860"/>
        <item sd="0" x="2861"/>
        <item sd="0" x="2862"/>
        <item sd="0" x="2863"/>
        <item sd="0" x="2864"/>
        <item sd="0" x="2865"/>
        <item sd="0" x="2866"/>
        <item sd="0" x="2867"/>
        <item sd="0" x="2868"/>
        <item sd="0" x="2869"/>
        <item sd="0" x="2870"/>
        <item sd="0" x="2871"/>
        <item sd="0" x="2872"/>
        <item sd="0" x="2873"/>
        <item sd="0" x="2874"/>
        <item sd="0" x="2875"/>
        <item sd="0" x="2876"/>
        <item sd="0" x="2877"/>
        <item sd="0" x="2878"/>
        <item sd="0" x="2879"/>
        <item sd="0" x="2880"/>
        <item sd="0" x="2881"/>
        <item sd="0" x="2882"/>
        <item sd="0" x="2883"/>
        <item sd="0" x="2884"/>
        <item sd="0" x="2885"/>
        <item sd="0" x="2886"/>
        <item sd="0" x="2887"/>
        <item sd="0" x="2888"/>
        <item sd="0" x="2889"/>
        <item sd="0" x="2890"/>
        <item sd="0" x="2891"/>
        <item sd="0" x="2892"/>
        <item sd="0" x="2893"/>
        <item sd="0" x="2894"/>
        <item sd="0" x="2895"/>
        <item sd="0" x="2896"/>
        <item sd="0" x="2897"/>
        <item sd="0" x="3146"/>
        <item sd="0" x="3147"/>
        <item sd="0" x="3148"/>
        <item sd="0" x="3149"/>
        <item sd="0" x="3150"/>
        <item sd="0" x="3151"/>
        <item sd="0" x="3152"/>
        <item sd="0" x="3153"/>
        <item sd="0" x="3154"/>
        <item sd="0" x="3155"/>
        <item sd="0" x="3156"/>
        <item sd="0" x="3157"/>
        <item sd="0" x="3158"/>
        <item sd="0" x="3159"/>
        <item sd="0" x="3160"/>
        <item sd="0" x="3161"/>
        <item sd="0" x="3162"/>
        <item sd="0" x="3163"/>
        <item sd="0" x="3164"/>
        <item sd="0" x="3165"/>
        <item sd="0" x="3166"/>
        <item sd="0" x="3167"/>
        <item sd="0" x="3168"/>
        <item sd="0" x="3169"/>
        <item sd="0" x="3170"/>
        <item sd="0" x="3171"/>
        <item sd="0" x="3172"/>
        <item sd="0" x="3173"/>
        <item sd="0" x="3174"/>
        <item sd="0" x="3175"/>
        <item sd="0" x="3176"/>
        <item sd="0" x="3177"/>
        <item sd="0" x="3178"/>
        <item sd="0" x="3179"/>
        <item sd="0" x="3180"/>
        <item sd="0" x="3181"/>
        <item sd="0" x="3182"/>
        <item sd="0" x="3183"/>
        <item sd="0" x="3184"/>
        <item sd="0" x="3185"/>
        <item sd="0" x="3186"/>
        <item sd="0" x="3187"/>
        <item sd="0" x="3188"/>
        <item sd="0" x="3189"/>
        <item sd="0" x="3190"/>
        <item sd="0" x="3191"/>
        <item sd="0" x="3192"/>
        <item sd="0" x="3193"/>
        <item sd="0" x="3194"/>
        <item sd="0" x="3195"/>
        <item sd="0" x="3196"/>
        <item sd="0" x="3197"/>
        <item sd="0" x="3198"/>
        <item sd="0" x="3199"/>
        <item sd="0" x="3200"/>
        <item sd="0" x="3201"/>
        <item sd="0" x="3202"/>
        <item sd="0" x="3203"/>
        <item sd="0" x="3204"/>
        <item sd="0" x="3205"/>
        <item sd="0" x="3206"/>
        <item sd="0" x="3207"/>
        <item sd="0" x="3456"/>
        <item sd="0" x="3457"/>
        <item sd="0" x="5394"/>
        <item sd="0" x="5402"/>
        <item sd="0" x="5403"/>
        <item sd="0" x="5404"/>
        <item sd="0" x="5405"/>
        <item sd="0" x="5406"/>
        <item sd="0" x="5407"/>
        <item sd="0" x="3458"/>
        <item sd="0" x="3459"/>
        <item sd="0" x="3460"/>
        <item sd="0" x="3461"/>
        <item sd="0" x="3462"/>
        <item sd="0" x="3463"/>
        <item sd="0" x="3464"/>
        <item sd="0" x="3465"/>
        <item sd="0" x="3466"/>
        <item sd="0" x="3467"/>
        <item sd="0" x="3468"/>
        <item sd="0" x="3469"/>
        <item sd="0" x="3470"/>
        <item sd="0" x="3471"/>
        <item sd="0" x="3472"/>
        <item sd="0" x="3473"/>
        <item sd="0" x="3474"/>
        <item sd="0" x="3475"/>
        <item sd="0" x="3476"/>
        <item sd="0" x="3477"/>
        <item sd="0" x="3478"/>
        <item sd="0" x="3479"/>
        <item sd="0" x="3480"/>
        <item sd="0" x="3481"/>
        <item sd="0" x="3482"/>
        <item sd="0" x="3483"/>
        <item sd="0" x="3484"/>
        <item sd="0" x="3485"/>
        <item sd="0" x="3486"/>
        <item sd="0" x="3487"/>
        <item sd="0" x="3488"/>
        <item sd="0" x="3489"/>
        <item sd="0" x="3490"/>
        <item sd="0" x="3491"/>
        <item sd="0" x="3492"/>
        <item sd="0" x="3493"/>
        <item sd="0" x="3494"/>
        <item sd="0" x="3495"/>
        <item sd="0" x="3496"/>
        <item sd="0" x="3497"/>
        <item sd="0" x="3498"/>
        <item sd="0" x="3499"/>
        <item sd="0" x="3500"/>
        <item sd="0" x="3501"/>
        <item sd="0" x="3502"/>
        <item sd="0" x="3503"/>
        <item sd="0" x="3504"/>
        <item sd="0" x="3505"/>
        <item sd="0" x="3506"/>
        <item sd="0" x="3507"/>
        <item sd="0" x="3508"/>
        <item sd="0" x="3509"/>
        <item sd="0" x="3510"/>
        <item sd="0" x="3511"/>
        <item sd="0" x="3512"/>
        <item sd="0" x="3513"/>
        <item sd="0" x="3514"/>
        <item sd="0" x="3515"/>
        <item sd="0" x="3516"/>
        <item sd="0" x="3517"/>
        <item sd="0" x="3766"/>
        <item sd="0" x="3767"/>
        <item sd="0" x="3768"/>
        <item sd="0" x="3769"/>
        <item sd="0" x="3770"/>
        <item sd="0" x="3771"/>
        <item sd="0" x="3772"/>
        <item sd="0" x="3773"/>
        <item sd="0" x="3774"/>
        <item sd="0" x="3775"/>
        <item sd="0" x="3776"/>
        <item sd="0" x="3777"/>
        <item sd="0" x="3778"/>
        <item sd="0" x="3779"/>
        <item sd="0" x="3780"/>
        <item sd="0" x="3781"/>
        <item sd="0" x="3782"/>
        <item sd="0" x="3783"/>
        <item sd="0" x="3784"/>
        <item sd="0" x="3785"/>
        <item sd="0" x="3786"/>
        <item sd="0" x="3787"/>
        <item sd="0" x="3788"/>
        <item sd="0" x="3789"/>
        <item sd="0" x="3790"/>
        <item sd="0" x="3791"/>
        <item sd="0" x="3792"/>
        <item sd="0" x="3793"/>
        <item sd="0" x="3794"/>
        <item sd="0" x="3795"/>
        <item sd="0" x="3796"/>
        <item sd="0" x="3797"/>
        <item sd="0" x="3798"/>
        <item sd="0" x="3799"/>
        <item sd="0" x="3800"/>
        <item sd="0" x="3801"/>
        <item sd="0" x="3802"/>
        <item sd="0" x="3803"/>
        <item sd="0" x="3804"/>
        <item sd="0" x="3805"/>
        <item sd="0" x="3806"/>
        <item sd="0" x="3807"/>
        <item sd="0" x="3808"/>
        <item sd="0" x="3809"/>
        <item sd="0" x="3810"/>
        <item sd="0" x="3811"/>
        <item sd="0" x="3812"/>
        <item sd="0" x="3813"/>
        <item sd="0" x="3814"/>
        <item sd="0" x="3815"/>
        <item sd="0" x="3816"/>
        <item sd="0" x="3817"/>
        <item sd="0" x="3818"/>
        <item sd="0" x="3819"/>
        <item sd="0" x="3820"/>
        <item sd="0" x="3821"/>
        <item sd="0" x="3822"/>
        <item sd="0" x="3823"/>
        <item sd="0" x="3824"/>
        <item sd="0" x="3825"/>
        <item sd="0" x="5429"/>
        <item sd="0" x="5430"/>
        <item sd="0" x="5431"/>
        <item sd="0" x="5433"/>
        <item sd="0" x="5434"/>
        <item sd="0" x="5435"/>
        <item sd="0" x="5436"/>
        <item sd="0" x="3826"/>
        <item sd="0" x="3827"/>
        <item sd="0" x="4076"/>
        <item sd="0" x="4077"/>
        <item sd="0" x="4078"/>
        <item sd="0" x="4079"/>
        <item sd="0" x="4080"/>
        <item sd="0" x="4081"/>
        <item sd="0" x="4082"/>
        <item sd="0" x="4083"/>
        <item sd="0" x="4084"/>
        <item sd="0" x="4085"/>
        <item sd="0" x="4086"/>
        <item sd="0" x="4087"/>
        <item sd="0" x="4088"/>
        <item sd="0" x="4089"/>
        <item sd="0" x="4090"/>
        <item sd="0" x="4091"/>
        <item sd="0" x="4092"/>
        <item sd="0" x="4093"/>
        <item sd="0" x="4094"/>
        <item sd="0" x="4095"/>
        <item sd="0" x="4096"/>
        <item sd="0" x="4097"/>
        <item sd="0" x="4098"/>
        <item sd="0" x="4099"/>
        <item sd="0" x="4100"/>
        <item sd="0" x="4101"/>
        <item sd="0" x="4102"/>
        <item sd="0" x="4103"/>
        <item sd="0" x="4104"/>
        <item sd="0" x="4105"/>
        <item sd="0" x="4106"/>
        <item sd="0" x="4107"/>
        <item sd="0" x="4108"/>
        <item sd="0" x="4109"/>
        <item sd="0" x="4110"/>
        <item sd="0" x="4111"/>
        <item sd="0" x="4112"/>
        <item sd="0" x="4113"/>
        <item sd="0" x="4114"/>
        <item sd="0" x="4115"/>
        <item sd="0" x="4116"/>
        <item sd="0" x="4117"/>
        <item sd="0" x="4118"/>
        <item sd="0" x="4119"/>
        <item sd="0" x="4120"/>
        <item sd="0" x="4121"/>
        <item sd="0" x="4122"/>
        <item sd="0" x="4123"/>
        <item sd="0" x="4124"/>
        <item sd="0" x="4125"/>
        <item sd="0" x="4126"/>
        <item sd="0" x="4127"/>
        <item sd="0" x="4128"/>
        <item sd="0" x="4129"/>
        <item sd="0" x="4130"/>
        <item sd="0" x="4131"/>
        <item sd="0" x="4132"/>
        <item sd="0" x="4133"/>
        <item sd="0" x="4134"/>
        <item sd="0" x="4135"/>
        <item sd="0" x="4136"/>
        <item sd="0" x="4137"/>
        <item sd="0" x="4386"/>
        <item sd="0" x="4387"/>
        <item sd="0" x="4388"/>
        <item sd="0" x="4389"/>
        <item sd="0" x="4390"/>
        <item sd="0" x="4391"/>
        <item sd="0" x="4392"/>
        <item sd="0" x="4393"/>
        <item sd="0" x="4394"/>
        <item sd="0" x="4395"/>
        <item sd="0" x="4396"/>
        <item sd="0" x="4397"/>
        <item sd="0" x="4398"/>
        <item sd="0" x="4399"/>
        <item sd="0" x="4400"/>
        <item sd="0" x="4401"/>
        <item sd="0" x="4402"/>
        <item sd="0" x="4403"/>
        <item sd="0" x="4404"/>
        <item sd="0" x="4405"/>
        <item sd="0" x="4406"/>
        <item sd="0" x="4407"/>
        <item sd="0" x="4408"/>
        <item sd="0" x="4409"/>
        <item sd="0" x="4410"/>
        <item sd="0" x="4411"/>
        <item sd="0" x="4412"/>
        <item sd="0" x="4413"/>
        <item sd="0" x="4414"/>
        <item sd="0" x="4415"/>
        <item sd="0" x="4416"/>
        <item sd="0" x="4417"/>
        <item sd="0" x="5180"/>
        <item sd="0" x="5181"/>
        <item sd="0" x="5182"/>
        <item sd="0" x="5183"/>
        <item sd="0" x="5184"/>
        <item sd="0" x="5185"/>
        <item sd="0" x="5186"/>
        <item sd="0" x="4418"/>
        <item sd="0" x="4419"/>
        <item sd="0" x="4420"/>
        <item sd="0" x="4421"/>
        <item sd="0" x="4422"/>
        <item sd="0" x="4423"/>
        <item sd="0" x="4424"/>
        <item sd="0" x="4425"/>
        <item sd="0" x="4426"/>
        <item sd="0" x="4427"/>
        <item sd="0" x="4428"/>
        <item sd="0" x="4429"/>
        <item sd="0" x="4430"/>
        <item sd="0" x="4431"/>
        <item sd="0" x="4432"/>
        <item sd="0" x="4433"/>
        <item sd="0" x="4434"/>
        <item sd="0" x="4435"/>
        <item sd="0" x="4436"/>
        <item sd="0" x="4437"/>
        <item sd="0" x="4438"/>
        <item sd="0" x="4439"/>
        <item sd="0" x="4440"/>
        <item sd="0" x="4441"/>
        <item sd="0" x="4442"/>
        <item sd="0" x="4443"/>
        <item sd="0" x="4444"/>
        <item sd="0" x="4445"/>
        <item sd="0" x="4446"/>
        <item sd="0" x="4447"/>
        <item sd="0" x="4696"/>
        <item sd="0" x="4697"/>
        <item sd="0" x="4698"/>
        <item sd="0" x="4699"/>
        <item sd="0" x="4700"/>
        <item sd="0" x="4701"/>
        <item sd="0" x="4702"/>
        <item sd="0" x="4703"/>
        <item sd="0" x="4704"/>
        <item sd="0" x="4705"/>
        <item sd="0" x="4706"/>
        <item sd="0" x="4707"/>
        <item sd="0" x="4708"/>
        <item sd="0" x="4709"/>
        <item sd="0" x="4710"/>
        <item sd="0" x="4711"/>
        <item sd="0" x="4712"/>
        <item sd="0" x="4713"/>
        <item sd="0" x="4714"/>
        <item sd="0" x="4715"/>
        <item sd="0" x="4716"/>
        <item sd="0" x="4717"/>
        <item sd="0" x="4718"/>
        <item sd="0" x="4719"/>
        <item sd="0" x="4720"/>
        <item sd="0" x="4721"/>
        <item sd="0" x="4722"/>
        <item sd="0" x="4723"/>
        <item sd="0" x="4724"/>
        <item sd="0" x="4725"/>
        <item sd="0" x="4726"/>
        <item sd="0" x="4727"/>
        <item sd="0" x="4728"/>
        <item sd="0" x="4729"/>
        <item sd="0" x="4730"/>
        <item sd="0" x="4731"/>
        <item sd="0" x="4732"/>
        <item sd="0" x="4733"/>
        <item sd="0" x="4734"/>
        <item sd="0" x="4735"/>
        <item sd="0" x="4736"/>
        <item sd="0" x="4737"/>
        <item sd="0" x="4738"/>
        <item sd="0" x="4739"/>
        <item sd="0" x="4740"/>
        <item sd="0" x="4741"/>
        <item sd="0" x="4742"/>
        <item sd="0" x="4743"/>
        <item sd="0" x="4744"/>
        <item sd="0" x="4745"/>
        <item sd="0" x="4746"/>
        <item sd="0" x="4747"/>
        <item sd="0" x="4748"/>
        <item sd="0" x="4749"/>
        <item sd="0" x="4750"/>
        <item sd="0" x="4751"/>
        <item sd="0" x="4752"/>
        <item sd="0" x="4753"/>
        <item sd="0" x="4754"/>
        <item sd="0" x="4755"/>
        <item sd="0" x="4756"/>
        <item sd="0" x="4757"/>
        <item sd="0" x="4979"/>
        <item sd="0" x="4980"/>
        <item sd="0" x="4981"/>
        <item sd="0" x="4982"/>
        <item sd="0" x="5144"/>
        <item sd="0" x="5145"/>
        <item sd="0" x="5146"/>
        <item sd="0" x="5147"/>
        <item sd="0" x="5148"/>
        <item sd="0" x="5149"/>
        <item sd="0" x="5150"/>
        <item sd="0" x="4983"/>
        <item sd="0" x="4984"/>
        <item sd="0" x="4985"/>
        <item sd="0" x="4986"/>
        <item sd="0" x="4987"/>
        <item sd="0" x="4988"/>
        <item sd="0" x="4989"/>
        <item sd="0" x="4990"/>
        <item sd="0" x="4991"/>
        <item sd="0" x="4992"/>
        <item sd="0" x="4993"/>
        <item sd="0" x="4994"/>
        <item sd="0" x="4995"/>
        <item sd="0" x="4996"/>
        <item sd="0" x="4997"/>
        <item sd="0" x="4998"/>
        <item sd="0" x="4999"/>
        <item sd="0" x="5000"/>
        <item sd="0" x="5001"/>
        <item sd="0" x="5002"/>
        <item sd="0" x="5003"/>
        <item sd="0" x="5004"/>
        <item sd="0" x="5005"/>
        <item sd="0" x="5006"/>
        <item sd="0" x="5007"/>
        <item sd="0" x="5008"/>
        <item sd="0" x="5009"/>
        <item sd="0" x="5010"/>
        <item sd="0" x="5011"/>
        <item sd="0" x="5012"/>
        <item sd="0" x="5013"/>
        <item sd="0" x="875"/>
        <item sd="0" x="876"/>
        <item sd="0" x="877"/>
        <item sd="0" x="878"/>
        <item sd="0" x="879"/>
        <item sd="0" x="880"/>
        <item sd="0" x="881"/>
        <item sd="0" x="882"/>
        <item sd="0" x="883"/>
        <item sd="0" x="884"/>
        <item sd="0" x="885"/>
        <item sd="0" x="886"/>
        <item sd="0" x="887"/>
        <item sd="0" x="888"/>
        <item sd="0" x="889"/>
        <item sd="0" x="890"/>
        <item sd="0" x="891"/>
        <item sd="0" x="892"/>
        <item sd="0" x="893"/>
        <item sd="0" x="894"/>
        <item sd="0" x="895"/>
        <item sd="0" x="896"/>
        <item sd="0" x="897"/>
        <item sd="0" x="898"/>
        <item sd="0" x="899"/>
        <item sd="0" x="900"/>
        <item sd="0" x="901"/>
        <item sd="0" x="662"/>
        <item sd="0" x="663"/>
        <item sd="0" x="664"/>
        <item sd="0" x="665"/>
        <item sd="0" x="666"/>
        <item sd="0" x="667"/>
        <item sd="0" x="668"/>
        <item sd="0" x="669"/>
        <item sd="0" x="670"/>
        <item sd="0" x="671"/>
        <item sd="0" x="672"/>
        <item sd="0" x="673"/>
        <item sd="0" x="674"/>
        <item sd="0" x="675"/>
        <item sd="0" x="676"/>
        <item sd="0" x="677"/>
        <item sd="0" x="678"/>
        <item sd="0" x="679"/>
        <item sd="0" x="680"/>
        <item sd="0" x="681"/>
        <item sd="0" x="682"/>
        <item sd="0" x="683"/>
        <item sd="0" x="684"/>
        <item sd="0" x="685"/>
        <item sd="0" x="686"/>
        <item sd="0" x="687"/>
        <item sd="0" x="688"/>
        <item sd="0" x="689"/>
        <item sd="0" x="690"/>
        <item sd="0" x="691"/>
        <item sd="0" x="692"/>
        <item sd="0" x="693"/>
        <item sd="0" x="694"/>
        <item sd="0" x="695"/>
        <item sd="0" x="696"/>
        <item sd="0" x="697"/>
        <item sd="0" x="698"/>
        <item sd="0" x="699"/>
        <item sd="0" x="700"/>
        <item sd="0" x="701"/>
        <item sd="0" x="702"/>
        <item sd="0" x="703"/>
        <item sd="0" x="704"/>
        <item sd="0" x="705"/>
        <item sd="0" x="706"/>
        <item sd="0" x="707"/>
        <item sd="0" x="708"/>
        <item sd="0" x="709"/>
        <item sd="0" x="710"/>
        <item sd="0" x="711"/>
        <item sd="0" x="712"/>
        <item sd="0" x="713"/>
        <item sd="0" x="714"/>
        <item sd="0" x="715"/>
        <item sd="0" x="716"/>
        <item sd="0" x="717"/>
        <item sd="0" x="718"/>
        <item sd="0" x="719"/>
        <item sd="0" x="720"/>
        <item sd="0" x="721"/>
        <item sd="0" x="722"/>
        <item sd="0" x="723"/>
        <item sd="0" x="5194"/>
        <item sd="0" x="5195"/>
        <item sd="0" x="5196"/>
        <item sd="0" x="5197"/>
        <item sd="0" x="5198"/>
        <item sd="0" x="5199"/>
        <item sd="0" x="5200"/>
        <item sd="0" x="1018"/>
        <item sd="0" x="1019"/>
        <item sd="0" x="1020"/>
        <item sd="0" x="1021"/>
        <item sd="0" x="1022"/>
        <item sd="0" x="1023"/>
        <item sd="0" x="1024"/>
        <item sd="0" x="1025"/>
        <item sd="0" x="1026"/>
        <item sd="0" x="1027"/>
        <item sd="0" x="1028"/>
        <item sd="0" x="1029"/>
        <item sd="0" x="1030"/>
        <item sd="0" x="1031"/>
        <item sd="0" x="1032"/>
        <item sd="0" x="1033"/>
        <item sd="0" x="1034"/>
        <item sd="0" x="1035"/>
        <item sd="0" x="1036"/>
        <item sd="0" x="1037"/>
        <item sd="0" x="1038"/>
        <item sd="0" x="1039"/>
        <item sd="0" x="1040"/>
        <item sd="0" x="1041"/>
        <item sd="0" x="1042"/>
        <item sd="0" x="1043"/>
        <item sd="0" x="1044"/>
        <item sd="0" x="1045"/>
        <item sd="0" x="1046"/>
        <item sd="0" x="1047"/>
        <item sd="0" x="1048"/>
        <item sd="0" x="1049"/>
        <item sd="0" x="1050"/>
        <item sd="0" x="1051"/>
        <item sd="0" x="1052"/>
        <item sd="0" x="1053"/>
        <item sd="0" x="1054"/>
        <item sd="0" x="1055"/>
        <item sd="0" x="1056"/>
        <item sd="0" x="1057"/>
        <item sd="0" x="1058"/>
        <item sd="0" x="1059"/>
        <item sd="0" x="1060"/>
        <item sd="0" x="1061"/>
        <item sd="0" x="1062"/>
        <item sd="0" x="1063"/>
        <item sd="0" x="1064"/>
        <item sd="0" x="1065"/>
        <item sd="0" x="1066"/>
        <item sd="0" x="1067"/>
        <item sd="0" x="1068"/>
        <item sd="0" x="1069"/>
        <item sd="0" x="1070"/>
        <item sd="0" x="1071"/>
        <item sd="0" x="1072"/>
        <item sd="0" x="1073"/>
        <item sd="0" x="1074"/>
        <item sd="0" x="1075"/>
        <item sd="0" x="1076"/>
        <item sd="0" x="1077"/>
        <item sd="0" x="1078"/>
        <item sd="0" x="1079"/>
        <item sd="0" x="1266"/>
        <item sd="0" x="1267"/>
        <item sd="0" x="1268"/>
        <item sd="0" x="1269"/>
        <item sd="0" x="1270"/>
        <item sd="0" x="1271"/>
        <item sd="0" x="1272"/>
        <item sd="0" x="1273"/>
        <item sd="0" x="1274"/>
        <item sd="0" x="1275"/>
        <item sd="0" x="1276"/>
        <item sd="0" x="1277"/>
        <item sd="0" x="1278"/>
        <item sd="0" x="1279"/>
        <item sd="0" x="1280"/>
        <item sd="0" x="1281"/>
        <item sd="0" x="1282"/>
        <item sd="0" x="1283"/>
        <item sd="0" x="1284"/>
        <item sd="0" x="1285"/>
        <item sd="0" x="1286"/>
        <item sd="0" x="1287"/>
        <item sd="0" x="1288"/>
        <item sd="0" x="1289"/>
        <item sd="0" x="1290"/>
        <item sd="0" x="1291"/>
        <item sd="0" x="1292"/>
        <item sd="0" x="1293"/>
        <item sd="0" x="1294"/>
        <item sd="0" x="1295"/>
        <item sd="0" x="1296"/>
        <item sd="0" x="1297"/>
        <item sd="0" x="1298"/>
        <item sd="0" x="1299"/>
        <item sd="0" x="1300"/>
        <item sd="0" x="1301"/>
        <item sd="0" x="1302"/>
        <item sd="0" x="1303"/>
        <item sd="0" x="1304"/>
        <item sd="0" x="1305"/>
        <item sd="0" x="1306"/>
        <item sd="0" x="1307"/>
        <item sd="0" x="1308"/>
        <item sd="0" x="1309"/>
        <item sd="0" x="1310"/>
        <item sd="0" x="1311"/>
        <item sd="0" x="1312"/>
        <item sd="0" x="1313"/>
        <item sd="0" x="1314"/>
        <item sd="0" x="1315"/>
        <item sd="0" x="1316"/>
        <item sd="0" x="1317"/>
        <item sd="0" x="1318"/>
        <item sd="0" x="1319"/>
        <item sd="0" x="1320"/>
        <item sd="0" x="1321"/>
        <item sd="0" x="1322"/>
        <item sd="0" x="1323"/>
        <item sd="0" x="5234"/>
        <item sd="0" x="5235"/>
        <item sd="0" x="5236"/>
        <item sd="0" x="5237"/>
        <item sd="0" x="5238"/>
        <item sd="0" x="5239"/>
        <item sd="0" x="5240"/>
        <item sd="0" x="1324"/>
        <item sd="0" x="1325"/>
        <item sd="0" x="1326"/>
        <item sd="0" x="1327"/>
        <item sd="0" x="1514"/>
        <item sd="0" x="1515"/>
        <item sd="0" x="1516"/>
        <item sd="0" x="1517"/>
        <item sd="0" x="1518"/>
        <item sd="0" x="1519"/>
        <item sd="0" x="1520"/>
        <item sd="0" x="1521"/>
        <item sd="0" x="1522"/>
        <item sd="0" x="1523"/>
        <item sd="0" x="1524"/>
        <item sd="0" x="1525"/>
        <item sd="0" x="1526"/>
        <item sd="0" x="1527"/>
        <item sd="0" x="1528"/>
        <item sd="0" x="1529"/>
        <item sd="0" x="1530"/>
        <item sd="0" x="1531"/>
        <item sd="0" x="1532"/>
        <item sd="0" x="1533"/>
        <item sd="0" x="1534"/>
        <item sd="0" x="1535"/>
        <item sd="0" x="1536"/>
        <item sd="0" x="1537"/>
        <item sd="0" x="1538"/>
        <item sd="0" x="1539"/>
        <item sd="0" x="1540"/>
        <item sd="0" x="1541"/>
        <item sd="0" x="1542"/>
        <item sd="0" x="1543"/>
        <item sd="0" x="1544"/>
        <item sd="0" x="1545"/>
        <item sd="0" x="1546"/>
        <item sd="0" x="1547"/>
        <item sd="0" x="1548"/>
        <item sd="0" x="1549"/>
        <item sd="0" x="1550"/>
        <item sd="0" x="1551"/>
        <item sd="0" x="1552"/>
        <item sd="0" x="1553"/>
        <item sd="0" x="1554"/>
        <item sd="0" x="1555"/>
        <item sd="0" x="1556"/>
        <item sd="0" x="1557"/>
        <item sd="0" x="1558"/>
        <item sd="0" x="1559"/>
        <item sd="0" x="1560"/>
        <item sd="0" x="1561"/>
        <item sd="0" x="1562"/>
        <item sd="0" x="1563"/>
        <item sd="0" x="1564"/>
        <item sd="0" x="1565"/>
        <item sd="0" x="1566"/>
        <item sd="0" x="1567"/>
        <item sd="0" x="1568"/>
        <item sd="0" x="1569"/>
        <item sd="0" x="1570"/>
        <item sd="0" x="1571"/>
        <item sd="0" x="1572"/>
        <item sd="0" x="1573"/>
        <item sd="0" x="1574"/>
        <item sd="0" x="1575"/>
        <item sd="0" x="1762"/>
        <item sd="0" x="1763"/>
        <item sd="0" x="1764"/>
        <item sd="0" x="1765"/>
        <item sd="0" x="1766"/>
        <item sd="0" x="1767"/>
        <item sd="0" x="1768"/>
        <item sd="0" x="1769"/>
        <item sd="0" x="1770"/>
        <item sd="0" x="1771"/>
        <item sd="0" x="1772"/>
        <item sd="0" x="1773"/>
        <item sd="0" x="1774"/>
        <item sd="0" x="1775"/>
        <item sd="0" x="1776"/>
        <item sd="0" x="1777"/>
        <item sd="0" x="1778"/>
        <item sd="0" x="1779"/>
        <item sd="0" x="1780"/>
        <item sd="0" x="1781"/>
        <item sd="0" x="1782"/>
        <item sd="0" x="1783"/>
        <item sd="0" x="1784"/>
        <item sd="0" x="1785"/>
        <item sd="0" x="1786"/>
        <item sd="0" x="1787"/>
        <item sd="0" x="1788"/>
        <item sd="0" x="1789"/>
        <item sd="0" x="1790"/>
        <item sd="0" x="1791"/>
        <item sd="0" x="1792"/>
        <item sd="0" x="1793"/>
        <item sd="0" x="1794"/>
        <item sd="0" x="1795"/>
        <item sd="0" x="1796"/>
        <item sd="0" x="1797"/>
        <item sd="0" x="1798"/>
        <item sd="0" x="1799"/>
        <item sd="0" x="1800"/>
        <item sd="0" x="1801"/>
        <item sd="0" x="1802"/>
        <item sd="0" x="1803"/>
        <item sd="0" x="1804"/>
        <item sd="0" x="1805"/>
        <item sd="0" x="1806"/>
        <item sd="0" x="1807"/>
        <item sd="0" x="1808"/>
        <item sd="0" x="1809"/>
        <item sd="0" x="1810"/>
        <item sd="0" x="1811"/>
        <item sd="0" x="1812"/>
        <item sd="0" x="1813"/>
        <item sd="0" x="1814"/>
        <item sd="0" x="1815"/>
        <item sd="0" x="5270"/>
        <item sd="0" x="5271"/>
        <item sd="0" x="5272"/>
        <item sd="0" x="5273"/>
        <item sd="0" x="5274"/>
        <item sd="0" x="5275"/>
        <item sd="0" x="5276"/>
        <item sd="0" x="1816"/>
        <item sd="0" x="1817"/>
        <item sd="0" x="1818"/>
        <item sd="0" x="1819"/>
        <item sd="0" x="1820"/>
        <item sd="0" x="1821"/>
        <item sd="0" x="1822"/>
        <item sd="0" x="1823"/>
        <item sd="0" x="2010"/>
        <item sd="0" x="2011"/>
        <item sd="0" x="2012"/>
        <item sd="0" x="2013"/>
        <item sd="0" x="2014"/>
        <item sd="0" x="2015"/>
        <item sd="0" x="2016"/>
        <item sd="0" x="2017"/>
        <item sd="0" x="2018"/>
        <item sd="0" x="2019"/>
        <item sd="0" x="2020"/>
        <item sd="0" x="2021"/>
        <item sd="0" x="2022"/>
        <item sd="0" x="2023"/>
        <item sd="0" x="2024"/>
        <item sd="0" x="2025"/>
        <item sd="0" x="2026"/>
        <item sd="0" x="2027"/>
        <item sd="0" x="2028"/>
        <item sd="0" x="2029"/>
        <item sd="0" x="2030"/>
        <item sd="0" x="2031"/>
        <item sd="0" x="2032"/>
        <item sd="0" x="2033"/>
        <item sd="0" x="2034"/>
        <item sd="0" x="2035"/>
        <item sd="0" x="2036"/>
        <item sd="0" x="2037"/>
        <item sd="0" x="2038"/>
        <item sd="0" x="2039"/>
        <item sd="0" x="2040"/>
        <item sd="0" x="2041"/>
        <item sd="0" x="2042"/>
        <item sd="0" x="2043"/>
        <item sd="0" x="2044"/>
        <item sd="0" x="2045"/>
        <item sd="0" x="2046"/>
        <item sd="0" x="2047"/>
        <item sd="0" x="2048"/>
        <item sd="0" x="2049"/>
        <item sd="0" x="2050"/>
        <item sd="0" x="2051"/>
        <item sd="0" x="2052"/>
        <item sd="0" x="2053"/>
        <item sd="0" x="2054"/>
        <item sd="0" x="2055"/>
        <item sd="0" x="2056"/>
        <item sd="0" x="2057"/>
        <item sd="0" x="2058"/>
        <item sd="0" x="2059"/>
        <item sd="0" x="2060"/>
        <item sd="0" x="2061"/>
        <item sd="0" x="2062"/>
        <item sd="0" x="2063"/>
        <item sd="0" x="2064"/>
        <item sd="0" x="2065"/>
        <item sd="0" x="2066"/>
        <item sd="0" x="2067"/>
        <item sd="0" x="2068"/>
        <item sd="0" x="2069"/>
        <item sd="0" x="2070"/>
        <item sd="0" x="2071"/>
        <item sd="0" x="2267"/>
        <item sd="0" x="2268"/>
        <item sd="0" x="2269"/>
        <item sd="0" x="2270"/>
        <item sd="0" x="2271"/>
        <item sd="0" x="2272"/>
        <item sd="0" x="2273"/>
        <item sd="0" x="2274"/>
        <item sd="0" x="2275"/>
        <item sd="0" x="2276"/>
        <item sd="0" x="2277"/>
        <item sd="0" x="2278"/>
        <item sd="0" x="2279"/>
        <item sd="0" x="2280"/>
        <item sd="0" x="2281"/>
        <item sd="0" x="2282"/>
        <item sd="0" x="2283"/>
        <item sd="0" x="2284"/>
        <item sd="0" x="2285"/>
        <item sd="0" x="2286"/>
        <item sd="0" x="2287"/>
        <item sd="0" x="2288"/>
        <item sd="0" x="2289"/>
        <item sd="0" x="2290"/>
        <item sd="0" x="2291"/>
        <item sd="0" x="2292"/>
        <item sd="0" x="2293"/>
        <item sd="0" x="2294"/>
        <item sd="0" x="2295"/>
        <item sd="0" x="2296"/>
        <item sd="0" x="2297"/>
        <item sd="0" x="2298"/>
        <item sd="0" x="2299"/>
        <item sd="0" x="2300"/>
        <item sd="0" x="2301"/>
        <item sd="0" x="2302"/>
        <item sd="0" x="2303"/>
        <item sd="0" x="2304"/>
        <item sd="0" x="2305"/>
        <item sd="0" x="2306"/>
        <item sd="0" x="2307"/>
        <item sd="0" x="2308"/>
        <item sd="0" x="2309"/>
        <item sd="0" x="2310"/>
        <item sd="0" x="2311"/>
        <item sd="0" x="2312"/>
        <item sd="0" x="2313"/>
        <item sd="0" x="2314"/>
        <item sd="0" x="2315"/>
        <item sd="0" x="2316"/>
        <item sd="0" x="5331"/>
        <item sd="0" x="5332"/>
        <item sd="0" x="5333"/>
        <item sd="0" x="5334"/>
        <item sd="0" x="5335"/>
        <item sd="0" x="5336"/>
        <item sd="0" x="5337"/>
        <item sd="0" x="2317"/>
        <item sd="0" x="2318"/>
        <item sd="0" x="2319"/>
        <item sd="0" x="2320"/>
        <item sd="0" x="2321"/>
        <item sd="0" x="2322"/>
        <item sd="0" x="2323"/>
        <item sd="0" x="2324"/>
        <item sd="0" x="2325"/>
        <item sd="0" x="2326"/>
        <item sd="0" x="2327"/>
        <item sd="0" x="2328"/>
        <item sd="0" x="2588"/>
        <item sd="0" x="2589"/>
        <item sd="0" x="2590"/>
        <item sd="0" x="2591"/>
        <item sd="0" x="2592"/>
        <item sd="0" x="2593"/>
        <item sd="0" x="2594"/>
        <item sd="0" x="2595"/>
        <item sd="0" x="2596"/>
        <item sd="0" x="2597"/>
        <item sd="0" x="2598"/>
        <item sd="0" x="2599"/>
        <item sd="0" x="2600"/>
        <item sd="0" x="2601"/>
        <item sd="0" x="2602"/>
        <item sd="0" x="2603"/>
        <item sd="0" x="2604"/>
        <item sd="0" x="2605"/>
        <item sd="0" x="2606"/>
        <item sd="0" x="2607"/>
        <item sd="0" x="2608"/>
        <item sd="0" x="2609"/>
        <item sd="0" x="2610"/>
        <item sd="0" x="2611"/>
        <item sd="0" x="2612"/>
        <item sd="0" x="2613"/>
        <item sd="0" x="2614"/>
        <item sd="0" x="2615"/>
        <item sd="0" x="2616"/>
        <item sd="0" x="2617"/>
        <item sd="0" x="2618"/>
        <item sd="0" x="2619"/>
        <item sd="0" x="2620"/>
        <item sd="0" x="2621"/>
        <item sd="0" x="2622"/>
        <item sd="0" x="2623"/>
        <item sd="0" x="2624"/>
        <item sd="0" x="2625"/>
        <item sd="0" x="2626"/>
        <item sd="0" x="2627"/>
        <item sd="0" x="2628"/>
        <item sd="0" x="2629"/>
        <item sd="0" x="2630"/>
        <item sd="0" x="2631"/>
        <item sd="0" x="2632"/>
        <item sd="0" x="2633"/>
        <item sd="0" x="2634"/>
        <item sd="0" x="2635"/>
        <item sd="0" x="2636"/>
        <item sd="0" x="2637"/>
        <item sd="0" x="2638"/>
        <item sd="0" x="2639"/>
        <item sd="0" x="2640"/>
        <item sd="0" x="2641"/>
        <item sd="0" x="2642"/>
        <item sd="0" x="2643"/>
        <item sd="0" x="2644"/>
        <item sd="0" x="2645"/>
        <item sd="0" x="2646"/>
        <item sd="0" x="2647"/>
        <item sd="0" x="2648"/>
        <item sd="0" x="2649"/>
        <item sd="0" x="2898"/>
        <item sd="0" x="2899"/>
        <item sd="0" x="2900"/>
        <item sd="0" x="2901"/>
        <item sd="0" x="2902"/>
        <item sd="0" x="2903"/>
        <item sd="0" x="2904"/>
        <item sd="0" x="2905"/>
        <item sd="0" x="2906"/>
        <item sd="0" x="2907"/>
        <item sd="0" x="2908"/>
        <item sd="0" x="2909"/>
        <item sd="0" x="2910"/>
        <item sd="0" x="2911"/>
        <item sd="0" x="2912"/>
        <item sd="0" x="2913"/>
        <item sd="0" x="2914"/>
        <item sd="0" x="2915"/>
        <item sd="0" x="2916"/>
        <item sd="0" x="2917"/>
        <item sd="0" x="2918"/>
        <item sd="0" x="2919"/>
        <item sd="0" x="2920"/>
        <item sd="0" x="2921"/>
        <item sd="0" x="2922"/>
        <item sd="0" x="2923"/>
        <item sd="0" x="2924"/>
        <item sd="0" x="2925"/>
        <item sd="0" x="2926"/>
        <item sd="0" x="2927"/>
        <item sd="0" x="2928"/>
        <item sd="0" x="2929"/>
        <item sd="0" x="2930"/>
        <item sd="0" x="2931"/>
        <item sd="0" x="2932"/>
        <item sd="0" x="2933"/>
        <item sd="0" x="2934"/>
        <item sd="0" x="2935"/>
        <item sd="0" x="2936"/>
        <item sd="0" x="2937"/>
        <item sd="0" x="2938"/>
        <item sd="0" x="2939"/>
        <item sd="0" x="2940"/>
        <item sd="0" x="2941"/>
        <item sd="0" x="2942"/>
        <item sd="0" x="2943"/>
        <item sd="0" x="5373"/>
        <item sd="0" x="5374"/>
        <item sd="0" x="5375"/>
        <item sd="0" x="5376"/>
        <item sd="0" x="5377"/>
        <item sd="0" x="5378"/>
        <item sd="0" x="5379"/>
        <item sd="0" x="2944"/>
        <item sd="0" x="2945"/>
        <item sd="0" x="2946"/>
        <item sd="0" x="2947"/>
        <item sd="0" x="2948"/>
        <item sd="0" x="2949"/>
        <item sd="0" x="2950"/>
        <item sd="0" x="2951"/>
        <item sd="0" x="2952"/>
        <item sd="0" x="2953"/>
        <item sd="0" x="2954"/>
        <item sd="0" x="2955"/>
        <item sd="0" x="2956"/>
        <item sd="0" x="2957"/>
        <item sd="0" x="2958"/>
        <item sd="0" x="2959"/>
        <item sd="0" x="3208"/>
        <item sd="0" x="3209"/>
        <item sd="0" x="3210"/>
        <item sd="0" x="3211"/>
        <item sd="0" x="3212"/>
        <item sd="0" x="3213"/>
        <item sd="0" x="3214"/>
        <item sd="0" x="3215"/>
        <item sd="0" x="3216"/>
        <item sd="0" x="3217"/>
        <item sd="0" x="3218"/>
        <item sd="0" x="3219"/>
        <item sd="0" x="3220"/>
        <item sd="0" x="3221"/>
        <item sd="0" x="3222"/>
        <item sd="0" x="3223"/>
        <item sd="0" x="3224"/>
        <item sd="0" x="3225"/>
        <item sd="0" x="3226"/>
        <item sd="0" x="3227"/>
        <item sd="0" x="3228"/>
        <item sd="0" x="3229"/>
        <item sd="0" x="3230"/>
        <item sd="0" x="3231"/>
        <item sd="0" x="3232"/>
        <item sd="0" x="3233"/>
        <item sd="0" x="3234"/>
        <item sd="0" x="3235"/>
        <item sd="0" x="3236"/>
        <item sd="0" x="3237"/>
        <item sd="0" x="3238"/>
        <item sd="0" x="3239"/>
        <item sd="0" x="3240"/>
        <item sd="0" x="3241"/>
        <item sd="0" x="3242"/>
        <item sd="0" x="3243"/>
        <item sd="0" x="3244"/>
        <item sd="0" x="3245"/>
        <item sd="0" x="3246"/>
        <item sd="0" x="3247"/>
        <item sd="0" x="3248"/>
        <item sd="0" x="3249"/>
        <item sd="0" x="3250"/>
        <item sd="0" x="3251"/>
        <item sd="0" x="3252"/>
        <item sd="0" x="3253"/>
        <item sd="0" x="3254"/>
        <item sd="0" x="3255"/>
        <item sd="0" x="3256"/>
        <item sd="0" x="3257"/>
        <item sd="0" x="3258"/>
        <item sd="0" x="3259"/>
        <item sd="0" x="3260"/>
        <item sd="0" x="3261"/>
        <item sd="0" x="3262"/>
        <item sd="0" x="3263"/>
        <item sd="0" x="3264"/>
        <item sd="0" x="3265"/>
        <item sd="0" x="3266"/>
        <item sd="0" x="3267"/>
        <item sd="0" x="3268"/>
        <item sd="0" x="3269"/>
        <item sd="0" x="3518"/>
        <item sd="0" x="3519"/>
        <item sd="0" x="3520"/>
        <item sd="0" x="3521"/>
        <item sd="0" x="3522"/>
        <item sd="0" x="3523"/>
        <item sd="0" x="3524"/>
        <item sd="0" x="3525"/>
        <item sd="0" x="3526"/>
        <item sd="0" x="3527"/>
        <item sd="0" x="3528"/>
        <item sd="0" x="3529"/>
        <item sd="0" x="3530"/>
        <item sd="0" x="3531"/>
        <item sd="0" x="3532"/>
        <item sd="0" x="3533"/>
        <item sd="0" x="3534"/>
        <item sd="0" x="3535"/>
        <item sd="0" x="3536"/>
        <item sd="0" x="3537"/>
        <item sd="0" x="3538"/>
        <item sd="0" x="3539"/>
        <item sd="0" x="3540"/>
        <item sd="0" x="3541"/>
        <item sd="0" x="3542"/>
        <item sd="0" x="3543"/>
        <item sd="0" x="3544"/>
        <item sd="0" x="3545"/>
        <item sd="0" x="3546"/>
        <item sd="0" x="3547"/>
        <item sd="0" x="3548"/>
        <item sd="0" x="3549"/>
        <item sd="0" x="3550"/>
        <item sd="0" x="3551"/>
        <item sd="0" x="3552"/>
        <item sd="0" x="3553"/>
        <item sd="0" x="3554"/>
        <item sd="0" x="3555"/>
        <item sd="0" x="3556"/>
        <item sd="0" x="3557"/>
        <item sd="0" x="3558"/>
        <item sd="0" x="3559"/>
        <item sd="0" x="5408"/>
        <item sd="0" x="5409"/>
        <item sd="0" x="5410"/>
        <item sd="0" x="5411"/>
        <item sd="0" x="5412"/>
        <item sd="0" x="5413"/>
        <item sd="0" x="5414"/>
        <item sd="0" x="3560"/>
        <item sd="0" x="3561"/>
        <item sd="0" x="3562"/>
        <item sd="0" x="3563"/>
        <item sd="0" x="3564"/>
        <item sd="0" x="3565"/>
        <item sd="0" x="3566"/>
        <item sd="0" x="3567"/>
        <item sd="0" x="3568"/>
        <item sd="0" x="3569"/>
        <item sd="0" x="3570"/>
        <item sd="0" x="3571"/>
        <item sd="0" x="3572"/>
        <item sd="0" x="3573"/>
        <item sd="0" x="3574"/>
        <item sd="0" x="3575"/>
        <item sd="0" x="3576"/>
        <item sd="0" x="3577"/>
        <item sd="0" x="3578"/>
        <item sd="0" x="3579"/>
        <item sd="0" x="3828"/>
        <item sd="0" x="3829"/>
        <item sd="0" x="3830"/>
        <item sd="0" x="3831"/>
        <item sd="0" x="3832"/>
        <item sd="0" x="3833"/>
        <item sd="0" x="3834"/>
        <item sd="0" x="3835"/>
        <item sd="0" x="3836"/>
        <item sd="0" x="3837"/>
        <item sd="0" x="3838"/>
        <item sd="0" x="3839"/>
        <item sd="0" x="3840"/>
        <item sd="0" x="3841"/>
        <item sd="0" x="3842"/>
        <item sd="0" x="3843"/>
        <item sd="0" x="3844"/>
        <item sd="0" x="3845"/>
        <item sd="0" x="3846"/>
        <item sd="0" x="3847"/>
        <item sd="0" x="3848"/>
        <item sd="0" x="3849"/>
        <item sd="0" x="3850"/>
        <item sd="0" x="3851"/>
        <item sd="0" x="3852"/>
        <item sd="0" x="3853"/>
        <item sd="0" x="3854"/>
        <item sd="0" x="3855"/>
        <item sd="0" x="3856"/>
        <item sd="0" x="3857"/>
        <item sd="0" x="3858"/>
        <item sd="0" x="3859"/>
        <item sd="0" x="3860"/>
        <item sd="0" x="3861"/>
        <item sd="0" x="3862"/>
        <item sd="0" x="3863"/>
        <item sd="0" x="3864"/>
        <item sd="0" x="3865"/>
        <item sd="0" x="3866"/>
        <item sd="0" x="3867"/>
        <item sd="0" x="3868"/>
        <item sd="0" x="3869"/>
        <item sd="0" x="3870"/>
        <item sd="0" x="3871"/>
        <item sd="0" x="3872"/>
        <item sd="0" x="3873"/>
        <item sd="0" x="3874"/>
        <item sd="0" x="3875"/>
        <item sd="0" x="3876"/>
        <item sd="0" x="3877"/>
        <item sd="0" x="3878"/>
        <item sd="0" x="3879"/>
        <item sd="0" x="3880"/>
        <item sd="0" x="3881"/>
        <item sd="0" x="3882"/>
        <item sd="0" x="3883"/>
        <item sd="0" x="3884"/>
        <item sd="0" x="3885"/>
        <item sd="0" x="3886"/>
        <item sd="0" x="3887"/>
        <item sd="0" x="3888"/>
        <item sd="0" x="3889"/>
        <item sd="0" x="4138"/>
        <item sd="0" x="4139"/>
        <item sd="0" x="4140"/>
        <item sd="0" x="4141"/>
        <item sd="0" x="4142"/>
        <item sd="0" x="4143"/>
        <item sd="0" x="4144"/>
        <item sd="0" x="4145"/>
        <item sd="0" x="4146"/>
        <item sd="0" x="4147"/>
        <item sd="0" x="4148"/>
        <item sd="0" x="4149"/>
        <item sd="0" x="4150"/>
        <item sd="0" x="4151"/>
        <item sd="0" x="4152"/>
        <item sd="0" x="4153"/>
        <item sd="0" x="4154"/>
        <item sd="0" x="4155"/>
        <item sd="0" x="4156"/>
        <item sd="0" x="4157"/>
        <item sd="0" x="4158"/>
        <item sd="0" x="4159"/>
        <item sd="0" x="4160"/>
        <item sd="0" x="4161"/>
        <item sd="0" x="4162"/>
        <item sd="0" x="4163"/>
        <item sd="0" x="4164"/>
        <item sd="0" x="4165"/>
        <item sd="0" x="4166"/>
        <item sd="0" x="4167"/>
        <item sd="0" x="4168"/>
        <item sd="0" x="4169"/>
        <item sd="0" x="4170"/>
        <item sd="0" x="4171"/>
        <item sd="0" x="4172"/>
        <item sd="0" x="4173"/>
        <item sd="0" x="4174"/>
        <item sd="0" x="4175"/>
        <item sd="0" x="5100"/>
        <item sd="0" x="5101"/>
        <item sd="0" x="5102"/>
        <item sd="0" x="5103"/>
        <item sd="0" x="5104"/>
        <item sd="0" x="5105"/>
        <item sd="0" x="5106"/>
        <item sd="0" x="4176"/>
        <item sd="0" x="4177"/>
        <item sd="0" x="4178"/>
        <item sd="0" x="4179"/>
        <item sd="0" x="4180"/>
        <item sd="0" x="4181"/>
        <item sd="0" x="4182"/>
        <item sd="0" x="4183"/>
        <item sd="0" x="4184"/>
        <item sd="0" x="4185"/>
        <item sd="0" x="4186"/>
        <item sd="0" x="4187"/>
        <item sd="0" x="4188"/>
        <item sd="0" x="4189"/>
        <item sd="0" x="4190"/>
        <item sd="0" x="4191"/>
        <item sd="0" x="4192"/>
        <item sd="0" x="4193"/>
        <item sd="0" x="4194"/>
        <item sd="0" x="4195"/>
        <item sd="0" x="4196"/>
        <item sd="0" x="4197"/>
        <item sd="0" x="4198"/>
        <item sd="0" x="4199"/>
        <item sd="0" x="4448"/>
        <item sd="0" x="4449"/>
        <item sd="0" x="4450"/>
        <item sd="0" x="4451"/>
        <item sd="0" x="4452"/>
        <item sd="0" x="4453"/>
        <item sd="0" x="4454"/>
        <item sd="0" x="4455"/>
        <item sd="0" x="4456"/>
        <item sd="0" x="4457"/>
        <item sd="0" x="4458"/>
        <item sd="0" x="4459"/>
        <item sd="0" x="4460"/>
        <item sd="0" x="4461"/>
        <item sd="0" x="4462"/>
        <item sd="0" x="4463"/>
        <item sd="0" x="4464"/>
        <item sd="0" x="4465"/>
        <item sd="0" x="4466"/>
        <item sd="0" x="4467"/>
        <item sd="0" x="4468"/>
        <item sd="0" x="4469"/>
        <item sd="0" x="4470"/>
        <item sd="0" x="4471"/>
        <item sd="0" x="4472"/>
        <item sd="0" x="4473"/>
        <item sd="0" x="4474"/>
        <item sd="0" x="4475"/>
        <item sd="0" x="4476"/>
        <item sd="0" x="4477"/>
        <item sd="0" x="4478"/>
        <item sd="0" x="4479"/>
        <item sd="0" x="4480"/>
        <item sd="0" x="4481"/>
        <item sd="0" x="4482"/>
        <item sd="0" x="4483"/>
        <item sd="0" x="4484"/>
        <item sd="0" x="4485"/>
        <item sd="0" x="4486"/>
        <item sd="0" x="4487"/>
        <item sd="0" x="4488"/>
        <item sd="0" x="4489"/>
        <item sd="0" x="4490"/>
        <item sd="0" x="4491"/>
        <item sd="0" x="4492"/>
        <item sd="0" x="4493"/>
        <item sd="0" x="4494"/>
        <item sd="0" x="4495"/>
        <item sd="0" x="4496"/>
        <item sd="0" x="4497"/>
        <item sd="0" x="4498"/>
        <item sd="0" x="4499"/>
        <item sd="0" x="4500"/>
        <item sd="0" x="4501"/>
        <item sd="0" x="4502"/>
        <item sd="0" x="4503"/>
        <item sd="0" x="4504"/>
        <item sd="0" x="4505"/>
        <item sd="0" x="4506"/>
        <item sd="0" x="4507"/>
        <item sd="0" x="4508"/>
        <item sd="0" x="4509"/>
        <item sd="0" x="4758"/>
        <item sd="0" x="4759"/>
        <item sd="0" x="4760"/>
        <item sd="0" x="4761"/>
        <item sd="0" x="4762"/>
        <item sd="0" x="4763"/>
        <item sd="0" x="4764"/>
        <item sd="0" x="4765"/>
        <item sd="0" x="4766"/>
        <item sd="0" x="4767"/>
        <item sd="0" x="4768"/>
        <item sd="0" x="4769"/>
        <item sd="0" x="4770"/>
        <item sd="0" x="4771"/>
        <item sd="0" x="4772"/>
        <item sd="0" x="4773"/>
        <item sd="0" x="4774"/>
        <item sd="0" x="4775"/>
        <item sd="0" x="4776"/>
        <item sd="0" x="4777"/>
        <item sd="0" x="4778"/>
        <item sd="0" x="4779"/>
        <item sd="0" x="4780"/>
        <item sd="0" x="4781"/>
        <item sd="0" x="4782"/>
        <item sd="0" x="4783"/>
        <item sd="0" x="4784"/>
        <item sd="0" x="4785"/>
        <item sd="0" x="4786"/>
        <item sd="0" x="4787"/>
        <item sd="0" x="4788"/>
        <item sd="0" x="4789"/>
        <item sd="0" x="4790"/>
        <item sd="0" x="4791"/>
        <item sd="0" x="5151"/>
        <item sd="0" x="5152"/>
        <item sd="0" x="5153"/>
        <item sd="0" x="5154"/>
        <item sd="0" x="5155"/>
        <item sd="0" x="5156"/>
        <item sd="0" x="5157"/>
        <item sd="0" x="4792"/>
        <item sd="0" x="4793"/>
        <item sd="0" x="4794"/>
        <item sd="0" x="4795"/>
        <item sd="0" x="4796"/>
        <item sd="0" x="4797"/>
        <item sd="0" x="4798"/>
        <item sd="0" x="4799"/>
        <item sd="0" x="4800"/>
        <item sd="0" x="4801"/>
        <item sd="0" x="4802"/>
        <item sd="0" x="4803"/>
        <item sd="0" x="4804"/>
        <item sd="0" x="4805"/>
        <item sd="0" x="4806"/>
        <item sd="0" x="4807"/>
        <item sd="0" x="4808"/>
        <item sd="0" x="4809"/>
        <item sd="0" x="4810"/>
        <item sd="0" x="4811"/>
        <item sd="0" x="4812"/>
        <item sd="0" x="4813"/>
        <item sd="0" x="4814"/>
        <item sd="0" x="4815"/>
        <item sd="0" x="4816"/>
        <item sd="0" x="4817"/>
        <item sd="0" x="4818"/>
        <item sd="0" x="4819"/>
        <item sd="0" x="5014"/>
        <item sd="0" x="5015"/>
        <item sd="0" x="5016"/>
        <item sd="0" x="5017"/>
        <item sd="0" x="5018"/>
        <item sd="0" x="5019"/>
        <item sd="0" x="5020"/>
        <item sd="0" x="5021"/>
        <item sd="0" x="5022"/>
        <item sd="0" x="5023"/>
        <item sd="0" x="5024"/>
        <item sd="0" x="5025"/>
        <item sd="0" x="5026"/>
        <item sd="0" x="5027"/>
        <item sd="0" x="5028"/>
        <item sd="0" x="5029"/>
        <item sd="0" x="5030"/>
        <item sd="0" x="5031"/>
        <item sd="0" x="5032"/>
        <item sd="0" x="5033"/>
        <item sd="0" x="5034"/>
        <item sd="0" x="5035"/>
        <item sd="0" x="5036"/>
        <item sd="0" x="5037"/>
        <item sd="0" x="5038"/>
        <item sd="0" x="5039"/>
        <item sd="0" x="5040"/>
        <item sd="0" x="5041"/>
        <item sd="0" x="5042"/>
        <item sd="0" x="5043"/>
        <item sd="0" x="5044"/>
        <item sd="0" x="5045"/>
        <item sd="0" x="5046"/>
        <item sd="0" x="5047"/>
        <item sd="0" x="5048"/>
        <item sd="0" x="902"/>
        <item sd="0" x="903"/>
        <item sd="0" x="904"/>
        <item sd="0" x="905"/>
        <item sd="0" x="906"/>
        <item sd="0" x="907"/>
        <item sd="0" x="908"/>
        <item sd="0" x="909"/>
        <item sd="0" x="910"/>
        <item sd="0" x="911"/>
        <item sd="0" x="912"/>
        <item sd="0" x="913"/>
        <item sd="0" x="914"/>
        <item sd="0" x="915"/>
        <item sd="0" x="916"/>
        <item sd="0" x="917"/>
        <item sd="0" x="918"/>
        <item sd="0" x="919"/>
        <item sd="0" x="920"/>
        <item sd="0" x="921"/>
        <item sd="0" x="922"/>
        <item sd="0" x="923"/>
        <item sd="0" x="924"/>
        <item sd="0" x="925"/>
        <item sd="0" x="926"/>
        <item sd="0" x="927"/>
        <item sd="0" x="928"/>
        <item sd="0" x="724"/>
        <item sd="0" x="725"/>
        <item sd="0" x="726"/>
        <item sd="0" x="727"/>
        <item sd="0" x="728"/>
        <item sd="0" x="729"/>
        <item sd="0" x="730"/>
        <item sd="0" x="731"/>
        <item sd="0" x="732"/>
        <item sd="0" x="733"/>
        <item sd="0" x="734"/>
        <item sd="0" x="735"/>
        <item sd="0" x="736"/>
        <item sd="0" x="737"/>
        <item sd="0" x="738"/>
        <item sd="0" x="739"/>
        <item sd="0" x="740"/>
        <item sd="0" x="741"/>
        <item sd="0" x="742"/>
        <item sd="0" x="743"/>
        <item sd="0" x="744"/>
        <item sd="0" x="745"/>
        <item sd="0" x="746"/>
        <item sd="0" x="747"/>
        <item sd="0" x="748"/>
        <item sd="0" x="749"/>
        <item sd="0" x="750"/>
        <item sd="0" x="751"/>
        <item sd="0" x="752"/>
        <item sd="0" x="753"/>
        <item sd="0" x="5201"/>
        <item sd="0" x="5202"/>
        <item sd="0" x="5203"/>
        <item sd="0" x="5204"/>
        <item sd="0" x="5205"/>
        <item sd="0" x="5206"/>
        <item sd="0" x="5207"/>
        <item sd="0" x="754"/>
        <item sd="0" x="755"/>
        <item sd="0" x="756"/>
        <item sd="0" x="757"/>
        <item sd="0" x="758"/>
        <item sd="0" x="759"/>
        <item sd="0" x="760"/>
        <item sd="0" x="761"/>
        <item sd="0" x="762"/>
        <item sd="0" x="763"/>
        <item sd="0" x="764"/>
        <item sd="0" x="765"/>
        <item sd="0" x="766"/>
        <item sd="0" x="767"/>
        <item sd="0" x="768"/>
        <item sd="0" x="769"/>
        <item sd="0" x="770"/>
        <item sd="0" x="771"/>
        <item sd="0" x="772"/>
        <item sd="0" x="773"/>
        <item sd="0" x="774"/>
        <item sd="0" x="775"/>
        <item sd="0" x="776"/>
        <item sd="0" x="777"/>
        <item sd="0" x="778"/>
        <item sd="0" x="779"/>
        <item sd="0" x="780"/>
        <item sd="0" x="781"/>
        <item sd="0" x="782"/>
        <item sd="0" x="783"/>
        <item sd="0" x="784"/>
        <item sd="0" x="785"/>
        <item sd="0" x="1080"/>
        <item sd="0" x="1081"/>
        <item sd="0" x="1082"/>
        <item sd="0" x="1083"/>
        <item sd="0" x="1084"/>
        <item sd="0" x="1085"/>
        <item sd="0" x="1086"/>
        <item sd="0" x="1087"/>
        <item sd="0" x="1088"/>
        <item sd="0" x="1089"/>
        <item sd="0" x="1090"/>
        <item sd="0" x="1091"/>
        <item sd="0" x="1092"/>
        <item sd="0" x="1093"/>
        <item sd="0" x="1094"/>
        <item sd="0" x="1095"/>
        <item sd="0" x="1096"/>
        <item sd="0" x="1097"/>
        <item sd="0" x="1098"/>
        <item sd="0" x="1099"/>
        <item sd="0" x="1100"/>
        <item sd="0" x="1101"/>
        <item sd="0" x="1102"/>
        <item sd="0" x="1103"/>
        <item sd="0" x="1104"/>
        <item sd="0" x="1105"/>
        <item sd="0" x="1106"/>
        <item sd="0" x="1107"/>
        <item sd="0" x="1108"/>
        <item sd="0" x="1109"/>
        <item sd="0" x="1110"/>
        <item sd="0" x="1111"/>
        <item sd="0" x="1112"/>
        <item sd="0" x="1113"/>
        <item sd="0" x="1114"/>
        <item sd="0" x="1115"/>
        <item sd="0" x="1116"/>
        <item sd="0" x="1117"/>
        <item sd="0" x="1118"/>
        <item sd="0" x="1119"/>
        <item sd="0" x="1120"/>
        <item sd="0" x="1121"/>
        <item sd="0" x="1122"/>
        <item sd="0" x="1123"/>
        <item sd="0" x="1124"/>
        <item sd="0" x="1125"/>
        <item sd="0" x="1126"/>
        <item sd="0" x="1127"/>
        <item sd="0" x="1128"/>
        <item sd="0" x="1129"/>
        <item sd="0" x="1130"/>
        <item sd="0" x="1131"/>
        <item sd="0" x="1132"/>
        <item sd="0" x="1133"/>
        <item sd="0" x="1134"/>
        <item sd="0" x="1135"/>
        <item sd="0" x="1136"/>
        <item sd="0" x="1137"/>
        <item sd="0" x="1138"/>
        <item sd="0" x="1139"/>
        <item sd="0" x="1140"/>
        <item sd="0" x="1141"/>
        <item sd="0" x="1328"/>
        <item sd="0" x="1329"/>
        <item sd="0" x="1330"/>
        <item sd="0" x="1331"/>
        <item sd="0" x="1332"/>
        <item sd="0" x="1333"/>
        <item sd="0" x="1334"/>
        <item sd="0" x="1335"/>
        <item sd="0" x="1336"/>
        <item sd="0" x="1337"/>
        <item sd="0" x="1338"/>
        <item sd="0" x="1339"/>
        <item sd="0" x="1340"/>
        <item sd="0" x="1341"/>
        <item sd="0" x="1342"/>
        <item sd="0" x="1343"/>
        <item sd="0" x="1344"/>
        <item sd="0" x="1345"/>
        <item sd="0" x="1346"/>
        <item sd="0" x="1347"/>
        <item sd="0" x="1348"/>
        <item sd="0" x="1349"/>
        <item sd="0" x="1350"/>
        <item sd="0" x="1351"/>
        <item sd="0" x="1352"/>
        <item sd="0" x="1353"/>
        <item sd="0" x="5241"/>
        <item sd="0" x="5242"/>
        <item sd="0" x="5243"/>
        <item sd="0" x="5244"/>
        <item sd="0" x="5245"/>
        <item sd="0" x="5246"/>
        <item sd="0" x="1354"/>
        <item sd="0" x="1355"/>
        <item sd="0" x="1356"/>
        <item sd="0" x="1357"/>
        <item sd="0" x="1358"/>
        <item sd="0" x="1359"/>
        <item sd="0" x="1360"/>
        <item sd="0" x="1361"/>
        <item sd="0" x="1362"/>
        <item sd="0" x="1363"/>
        <item sd="0" x="1364"/>
        <item sd="0" x="1365"/>
        <item sd="0" x="1366"/>
        <item sd="0" x="1367"/>
        <item sd="0" x="1368"/>
        <item sd="0" x="1369"/>
        <item sd="0" x="1370"/>
        <item sd="0" x="1371"/>
        <item sd="0" x="1372"/>
        <item sd="0" x="1373"/>
        <item sd="0" x="1374"/>
        <item sd="0" x="1375"/>
        <item sd="0" x="1376"/>
        <item sd="0" x="1377"/>
        <item sd="0" x="1378"/>
        <item sd="0" x="1379"/>
        <item sd="0" x="1380"/>
        <item sd="0" x="1381"/>
        <item sd="0" x="1382"/>
        <item sd="0" x="1383"/>
        <item sd="0" x="1384"/>
        <item sd="0" x="1385"/>
        <item sd="0" x="1386"/>
        <item sd="0" x="1387"/>
        <item sd="0" x="1388"/>
        <item sd="0" x="1389"/>
        <item sd="0" x="1576"/>
        <item sd="0" x="1577"/>
        <item sd="0" x="1578"/>
        <item sd="0" x="1579"/>
        <item sd="0" x="1580"/>
        <item sd="0" x="1581"/>
        <item sd="0" x="1582"/>
        <item sd="0" x="1583"/>
        <item sd="0" x="1584"/>
        <item sd="0" x="1585"/>
        <item sd="0" x="1586"/>
        <item sd="0" x="1587"/>
        <item sd="0" x="1588"/>
        <item sd="0" x="1589"/>
        <item sd="0" x="1590"/>
        <item sd="0" x="1591"/>
        <item sd="0" x="1592"/>
        <item sd="0" x="1593"/>
        <item sd="0" x="1594"/>
        <item sd="0" x="1595"/>
        <item sd="0" x="1596"/>
        <item sd="0" x="1597"/>
        <item sd="0" x="1598"/>
        <item sd="0" x="1599"/>
        <item sd="0" x="1600"/>
        <item sd="0" x="1601"/>
        <item sd="0" x="1602"/>
        <item sd="0" x="1603"/>
        <item sd="0" x="1604"/>
        <item sd="0" x="1605"/>
        <item sd="0" x="1606"/>
        <item sd="0" x="1607"/>
        <item sd="0" x="1608"/>
        <item sd="0" x="1609"/>
        <item sd="0" x="1610"/>
        <item sd="0" x="1611"/>
        <item sd="0" x="1612"/>
        <item sd="0" x="1613"/>
        <item sd="0" x="1614"/>
        <item sd="0" x="1615"/>
        <item sd="0" x="1616"/>
        <item sd="0" x="1617"/>
        <item sd="0" x="1618"/>
        <item sd="0" x="1619"/>
        <item sd="0" x="1620"/>
        <item sd="0" x="1621"/>
        <item sd="0" x="1622"/>
        <item sd="0" x="1623"/>
        <item sd="0" x="1624"/>
        <item sd="0" x="1625"/>
        <item sd="0" x="1626"/>
        <item sd="0" x="1627"/>
        <item sd="0" x="1628"/>
        <item sd="0" x="1629"/>
        <item sd="0" x="1630"/>
        <item sd="0" x="1631"/>
        <item sd="0" x="1632"/>
        <item sd="0" x="1633"/>
        <item sd="0" x="1634"/>
        <item sd="0" x="1635"/>
        <item sd="0" x="1636"/>
        <item sd="0" x="1637"/>
        <item sd="0" x="1824"/>
        <item sd="0" x="1825"/>
        <item sd="0" x="1826"/>
        <item sd="0" x="1827"/>
        <item sd="0" x="1828"/>
        <item sd="0" x="1829"/>
        <item sd="0" x="1830"/>
        <item sd="0" x="1831"/>
        <item sd="0" x="1832"/>
        <item sd="0" x="1833"/>
        <item sd="0" x="1834"/>
        <item sd="0" x="1835"/>
        <item sd="0" x="1836"/>
        <item sd="0" x="1837"/>
        <item sd="0" x="1838"/>
        <item sd="0" x="1839"/>
        <item sd="0" x="1840"/>
        <item sd="0" x="1841"/>
        <item sd="0" x="1842"/>
        <item sd="0" x="1843"/>
        <item sd="0" x="1844"/>
        <item sd="0" x="1845"/>
        <item sd="0" x="5277"/>
        <item sd="0" x="5278"/>
        <item sd="0" x="5279"/>
        <item sd="0" x="5280"/>
        <item sd="0" x="5281"/>
        <item sd="0" x="5282"/>
        <item sd="0" x="1846"/>
        <item sd="0" x="1847"/>
        <item sd="0" x="1848"/>
        <item sd="0" x="1849"/>
        <item sd="0" x="1850"/>
        <item sd="0" x="1851"/>
        <item sd="0" x="1852"/>
        <item sd="0" x="1853"/>
        <item sd="0" x="1854"/>
        <item sd="0" x="1855"/>
        <item sd="0" x="1856"/>
        <item sd="0" x="1857"/>
        <item sd="0" x="1858"/>
        <item sd="0" x="1859"/>
        <item sd="0" x="1860"/>
        <item sd="0" x="1861"/>
        <item sd="0" x="1862"/>
        <item sd="0" x="1863"/>
        <item sd="0" x="1864"/>
        <item sd="0" x="1865"/>
        <item sd="0" x="1866"/>
        <item sd="0" x="1867"/>
        <item sd="0" x="1868"/>
        <item sd="0" x="1869"/>
        <item sd="0" x="1870"/>
        <item sd="0" x="1871"/>
        <item sd="0" x="1872"/>
        <item sd="0" x="1873"/>
        <item sd="0" x="1874"/>
        <item sd="0" x="1875"/>
        <item sd="0" x="1876"/>
        <item sd="0" x="1877"/>
        <item sd="0" x="1878"/>
        <item sd="0" x="1879"/>
        <item sd="0" x="1880"/>
        <item sd="0" x="1881"/>
        <item sd="0" x="1882"/>
        <item sd="0" x="1883"/>
        <item sd="0" x="1884"/>
        <item sd="0" x="1885"/>
        <item sd="0" x="2072"/>
        <item sd="0" x="2073"/>
        <item sd="0" x="2074"/>
        <item sd="0" x="2075"/>
        <item sd="0" x="2076"/>
        <item sd="0" x="2077"/>
        <item sd="0" x="2078"/>
        <item sd="0" x="2079"/>
        <item sd="0" x="2080"/>
        <item sd="0" x="2081"/>
        <item sd="0" x="2082"/>
        <item sd="0" x="2083"/>
        <item sd="0" x="2084"/>
        <item sd="0" x="2085"/>
        <item sd="0" x="2086"/>
        <item sd="0" x="2087"/>
        <item sd="0" x="2088"/>
        <item sd="0" x="2089"/>
        <item sd="0" x="2090"/>
        <item sd="0" x="2091"/>
        <item sd="0" x="2092"/>
        <item sd="0" x="2093"/>
        <item sd="0" x="2094"/>
        <item sd="0" x="2095"/>
        <item sd="0" x="2096"/>
        <item sd="0" x="2097"/>
        <item sd="0" x="2098"/>
        <item sd="0" x="2099"/>
        <item sd="0" x="2100"/>
        <item sd="0" x="2101"/>
        <item sd="0" x="2102"/>
        <item sd="0" x="2103"/>
        <item sd="0" x="2104"/>
        <item sd="0" x="2105"/>
        <item sd="0" x="2106"/>
        <item sd="0" x="2107"/>
        <item sd="0" x="2108"/>
        <item sd="0" x="2109"/>
        <item sd="0" x="2110"/>
        <item sd="0" x="2111"/>
        <item sd="0" x="2112"/>
        <item sd="0" x="2113"/>
        <item sd="0" x="2114"/>
        <item sd="0" x="2115"/>
        <item sd="0" x="2116"/>
        <item sd="0" x="2117"/>
        <item sd="0" x="2118"/>
        <item sd="0" x="2119"/>
        <item sd="0" x="2120"/>
        <item sd="0" x="2121"/>
        <item sd="0" x="2122"/>
        <item sd="0" x="2123"/>
        <item sd="0" x="2124"/>
        <item sd="0" x="2125"/>
        <item sd="0" x="2126"/>
        <item sd="0" x="2127"/>
        <item sd="0" x="2128"/>
        <item sd="0" x="2129"/>
        <item sd="0" x="2130"/>
        <item sd="0" x="2131"/>
        <item sd="0" x="2132"/>
        <item sd="0" x="2133"/>
        <item sd="0" x="2329"/>
        <item sd="0" x="2330"/>
        <item sd="0" x="2331"/>
        <item sd="0" x="2332"/>
        <item sd="0" x="2333"/>
        <item sd="0" x="2334"/>
        <item sd="0" x="2335"/>
        <item sd="0" x="2336"/>
        <item sd="0" x="2337"/>
        <item sd="0" x="2338"/>
        <item sd="0" x="2339"/>
        <item sd="0" x="2340"/>
        <item sd="0" x="2341"/>
        <item sd="0" x="2342"/>
        <item sd="0" x="2343"/>
        <item sd="0" x="2344"/>
        <item sd="0" x="2345"/>
        <item sd="0" x="2346"/>
        <item sd="0" x="5338"/>
        <item sd="0" x="5339"/>
        <item sd="0" x="5340"/>
        <item sd="0" x="5341"/>
        <item sd="0" x="5342"/>
        <item sd="0" x="5343"/>
        <item sd="0" x="5344"/>
        <item sd="0" x="2347"/>
        <item sd="0" x="2348"/>
        <item sd="0" x="2349"/>
        <item sd="0" x="2350"/>
        <item sd="0" x="2351"/>
        <item sd="0" x="2352"/>
        <item sd="0" x="2353"/>
        <item sd="0" x="2354"/>
        <item sd="0" x="2355"/>
        <item sd="0" x="2356"/>
        <item sd="0" x="2357"/>
        <item sd="0" x="2358"/>
        <item sd="0" x="2359"/>
        <item sd="0" x="2360"/>
        <item sd="0" x="2361"/>
        <item sd="0" x="2362"/>
        <item sd="0" x="2363"/>
        <item sd="0" x="2364"/>
        <item sd="0" x="2365"/>
        <item sd="0" x="2366"/>
        <item sd="0" x="2367"/>
        <item sd="0" x="2368"/>
        <item sd="0" x="2369"/>
        <item sd="0" x="2370"/>
        <item sd="0" x="2371"/>
        <item sd="0" x="2372"/>
        <item sd="0" x="2373"/>
        <item sd="0" x="2374"/>
        <item sd="0" x="2375"/>
        <item sd="0" x="2376"/>
        <item sd="0" x="2377"/>
        <item sd="0" x="2378"/>
        <item sd="0" x="2379"/>
        <item sd="0" x="2380"/>
        <item sd="0" x="2381"/>
        <item sd="0" x="2382"/>
        <item sd="0" x="2383"/>
        <item sd="0" x="2384"/>
        <item sd="0" x="2385"/>
        <item sd="0" x="2386"/>
        <item sd="0" x="2387"/>
        <item sd="0" x="2388"/>
        <item sd="0" x="2389"/>
        <item sd="0" x="2390"/>
        <item sd="0" x="2650"/>
        <item sd="0" x="2651"/>
        <item sd="0" x="2652"/>
        <item sd="0" x="2653"/>
        <item sd="0" x="2654"/>
        <item sd="0" x="2655"/>
        <item sd="0" x="2656"/>
        <item sd="0" x="2657"/>
        <item sd="0" x="2658"/>
        <item sd="0" x="2659"/>
        <item sd="0" x="2660"/>
        <item sd="0" x="2661"/>
        <item sd="0" x="2662"/>
        <item sd="0" x="2663"/>
        <item sd="0" x="2664"/>
        <item sd="0" x="2665"/>
        <item sd="0" x="2666"/>
        <item sd="0" x="2667"/>
        <item sd="0" x="2668"/>
        <item sd="0" x="2669"/>
        <item sd="0" x="2670"/>
        <item sd="0" x="2671"/>
        <item sd="0" x="2672"/>
        <item sd="0" x="2673"/>
        <item sd="0" x="2674"/>
        <item sd="0" x="2675"/>
        <item sd="0" x="2676"/>
        <item sd="0" x="2677"/>
        <item sd="0" x="2678"/>
        <item sd="0" x="2679"/>
        <item sd="0" x="2680"/>
        <item sd="0" x="2681"/>
        <item sd="0" x="2682"/>
        <item sd="0" x="2683"/>
        <item sd="0" x="2684"/>
        <item sd="0" x="2685"/>
        <item sd="0" x="2686"/>
        <item sd="0" x="2687"/>
        <item sd="0" x="2688"/>
        <item sd="0" x="2689"/>
        <item sd="0" x="2690"/>
        <item sd="0" x="2691"/>
        <item sd="0" x="2692"/>
        <item sd="0" x="2693"/>
        <item sd="0" x="2694"/>
        <item sd="0" x="2695"/>
        <item sd="0" x="2696"/>
        <item sd="0" x="2697"/>
        <item sd="0" x="2698"/>
        <item sd="0" x="2699"/>
        <item sd="0" x="2700"/>
        <item sd="0" x="2701"/>
        <item sd="0" x="2702"/>
        <item sd="0" x="2703"/>
        <item sd="0" x="2704"/>
        <item sd="0" x="2705"/>
        <item sd="0" x="2706"/>
        <item sd="0" x="2707"/>
        <item sd="0" x="2708"/>
        <item sd="0" x="2709"/>
        <item sd="0" x="2710"/>
        <item sd="0" x="2711"/>
        <item sd="0" x="2960"/>
        <item sd="0" x="2961"/>
        <item sd="0" x="2962"/>
        <item sd="0" x="2963"/>
        <item sd="0" x="2964"/>
        <item sd="0" x="2965"/>
        <item sd="0" x="2966"/>
        <item sd="0" x="2967"/>
        <item sd="0" x="2968"/>
        <item sd="0" x="2969"/>
        <item sd="0" x="2970"/>
        <item sd="0" x="2971"/>
        <item sd="0" x="2972"/>
        <item sd="0" x="2973"/>
        <item sd="0" x="5380"/>
        <item sd="0" x="5381"/>
        <item sd="0" x="5382"/>
        <item sd="0" x="5383"/>
        <item sd="0" x="5384"/>
        <item sd="0" x="5385"/>
        <item sd="0" x="5386"/>
        <item sd="0" x="2974"/>
        <item sd="0" x="2975"/>
        <item sd="0" x="2976"/>
        <item sd="0" x="2977"/>
        <item sd="0" x="2978"/>
        <item sd="0" x="2979"/>
        <item sd="0" x="2980"/>
        <item sd="0" x="2981"/>
        <item sd="0" x="2982"/>
        <item sd="0" x="2983"/>
        <item sd="0" x="2984"/>
        <item sd="0" x="2985"/>
        <item sd="0" x="2986"/>
        <item sd="0" x="2987"/>
        <item sd="0" x="2988"/>
        <item sd="0" x="2989"/>
        <item sd="0" x="2990"/>
        <item sd="0" x="2991"/>
        <item sd="0" x="2992"/>
        <item sd="0" x="2993"/>
        <item sd="0" x="2994"/>
        <item sd="0" x="2995"/>
        <item sd="0" x="2996"/>
        <item sd="0" x="2997"/>
        <item sd="0" x="2998"/>
        <item sd="0" x="2999"/>
        <item sd="0" x="3000"/>
        <item sd="0" x="3001"/>
        <item sd="0" x="3002"/>
        <item sd="0" x="3003"/>
        <item sd="0" x="3004"/>
        <item sd="0" x="3005"/>
        <item sd="0" x="3006"/>
        <item sd="0" x="3007"/>
        <item sd="0" x="3008"/>
        <item sd="0" x="3009"/>
        <item sd="0" x="3010"/>
        <item sd="0" x="3011"/>
        <item sd="0" x="3012"/>
        <item sd="0" x="3013"/>
        <item sd="0" x="3014"/>
        <item sd="0" x="3015"/>
        <item sd="0" x="3016"/>
        <item sd="0" x="3017"/>
        <item sd="0" x="3018"/>
        <item sd="0" x="3019"/>
        <item sd="0" x="3020"/>
        <item sd="0" x="3021"/>
        <item sd="0" x="3270"/>
        <item sd="0" x="3271"/>
        <item sd="0" x="3272"/>
        <item sd="0" x="3273"/>
        <item sd="0" x="3274"/>
        <item sd="0" x="3275"/>
        <item sd="0" x="3276"/>
        <item sd="0" x="3277"/>
        <item sd="0" x="3278"/>
        <item sd="0" x="3279"/>
        <item sd="0" x="3280"/>
        <item sd="0" x="3281"/>
        <item sd="0" x="3282"/>
        <item sd="0" x="3283"/>
        <item sd="0" x="3284"/>
        <item sd="0" x="3285"/>
        <item sd="0" x="3286"/>
        <item sd="0" x="3287"/>
        <item sd="0" x="3288"/>
        <item sd="0" x="3289"/>
        <item sd="0" x="3290"/>
        <item sd="0" x="3291"/>
        <item sd="0" x="3292"/>
        <item sd="0" x="3293"/>
        <item sd="0" x="3294"/>
        <item sd="0" x="3295"/>
        <item sd="0" x="3296"/>
        <item sd="0" x="3297"/>
        <item sd="0" x="3298"/>
        <item sd="0" x="3299"/>
        <item sd="0" x="3300"/>
        <item sd="0" x="3301"/>
        <item sd="0" x="3302"/>
        <item sd="0" x="3303"/>
        <item sd="0" x="3304"/>
        <item sd="0" x="3305"/>
        <item sd="0" x="3306"/>
        <item sd="0" x="3307"/>
        <item sd="0" x="3308"/>
        <item sd="0" x="3309"/>
        <item sd="0" x="3310"/>
        <item sd="0" x="3311"/>
        <item sd="0" x="3312"/>
        <item sd="0" x="3313"/>
        <item sd="0" x="3314"/>
        <item sd="0" x="3315"/>
        <item sd="0" x="3316"/>
        <item sd="0" x="3317"/>
        <item sd="0" x="3318"/>
        <item sd="0" x="3319"/>
        <item sd="0" x="3320"/>
        <item sd="0" x="3321"/>
        <item sd="0" x="3322"/>
        <item sd="0" x="3323"/>
        <item sd="0" x="3324"/>
        <item sd="0" x="3325"/>
        <item sd="0" x="3326"/>
        <item sd="0" x="3327"/>
        <item sd="0" x="3328"/>
        <item sd="0" x="3329"/>
        <item sd="0" x="3330"/>
        <item sd="0" x="3331"/>
        <item sd="0" x="3580"/>
        <item sd="0" x="3581"/>
        <item sd="0" x="3582"/>
        <item sd="0" x="3583"/>
        <item sd="0" x="3584"/>
        <item sd="0" x="3585"/>
        <item sd="0" x="3586"/>
        <item sd="0" x="3587"/>
        <item sd="0" x="3588"/>
        <item sd="0" x="3589"/>
        <item sd="0" x="5415"/>
        <item sd="0" x="5416"/>
        <item sd="0" x="5417"/>
        <item sd="0" x="5418"/>
        <item sd="0" x="5419"/>
        <item sd="0" x="5420"/>
        <item sd="0" x="5421"/>
        <item sd="0" x="3590"/>
        <item sd="0" x="3591"/>
        <item sd="0" x="3592"/>
        <item sd="0" x="3593"/>
        <item sd="0" x="3594"/>
        <item sd="0" x="3595"/>
        <item sd="0" x="3596"/>
        <item sd="0" x="3597"/>
        <item sd="0" x="3598"/>
        <item sd="0" x="3599"/>
        <item sd="0" x="3600"/>
        <item sd="0" x="3601"/>
        <item sd="0" x="3602"/>
        <item sd="0" x="3603"/>
        <item sd="0" x="3604"/>
        <item sd="0" x="3605"/>
        <item sd="0" x="3606"/>
        <item sd="0" x="3607"/>
        <item sd="0" x="3608"/>
        <item sd="0" x="3609"/>
        <item sd="0" x="3610"/>
        <item sd="0" x="3611"/>
        <item sd="0" x="3612"/>
        <item sd="0" x="3613"/>
        <item sd="0" x="3614"/>
        <item sd="0" x="3615"/>
        <item sd="0" x="3616"/>
        <item sd="0" x="3617"/>
        <item sd="0" x="3618"/>
        <item sd="0" x="3619"/>
        <item sd="0" x="3620"/>
        <item sd="0" x="3621"/>
        <item sd="0" x="3622"/>
        <item sd="0" x="3623"/>
        <item sd="0" x="3624"/>
        <item sd="0" x="3625"/>
        <item sd="0" x="3626"/>
        <item sd="0" x="3627"/>
        <item sd="0" x="3628"/>
        <item sd="0" x="3629"/>
        <item sd="0" x="3630"/>
        <item sd="0" x="3631"/>
        <item sd="0" x="3632"/>
        <item sd="0" x="3633"/>
        <item sd="0" x="3634"/>
        <item sd="0" x="3635"/>
        <item sd="0" x="3636"/>
        <item sd="0" x="3637"/>
        <item sd="0" x="3638"/>
        <item sd="0" x="3639"/>
        <item sd="0" x="3640"/>
        <item sd="0" x="3641"/>
        <item sd="0" x="3890"/>
        <item sd="0" x="3891"/>
        <item sd="0" x="3892"/>
        <item sd="0" x="3893"/>
        <item sd="0" x="3894"/>
        <item sd="0" x="3895"/>
        <item sd="0" x="3896"/>
        <item sd="0" x="3897"/>
        <item sd="0" x="3898"/>
        <item sd="0" x="3899"/>
        <item sd="0" x="3900"/>
        <item sd="0" x="3901"/>
        <item sd="0" x="3902"/>
        <item sd="0" x="3903"/>
        <item sd="0" x="3904"/>
        <item sd="0" x="3905"/>
        <item sd="0" x="3906"/>
        <item sd="0" x="3907"/>
        <item sd="0" x="3908"/>
        <item sd="0" x="3909"/>
        <item sd="0" x="3910"/>
        <item sd="0" x="3911"/>
        <item sd="0" x="3912"/>
        <item sd="0" x="3913"/>
        <item sd="0" x="3914"/>
        <item sd="0" x="3915"/>
        <item sd="0" x="3916"/>
        <item sd="0" x="3917"/>
        <item sd="0" x="3918"/>
        <item sd="0" x="3919"/>
        <item sd="0" x="3920"/>
        <item sd="0" x="3921"/>
        <item sd="0" x="3922"/>
        <item sd="0" x="3923"/>
        <item sd="0" x="3924"/>
        <item sd="0" x="3925"/>
        <item sd="0" x="3926"/>
        <item sd="0" x="3927"/>
        <item sd="0" x="3928"/>
        <item sd="0" x="3929"/>
        <item sd="0" x="3930"/>
        <item sd="0" x="3931"/>
        <item sd="0" x="3932"/>
        <item sd="0" x="3933"/>
        <item sd="0" x="3934"/>
        <item sd="0" x="3935"/>
        <item sd="0" x="3936"/>
        <item sd="0" x="3937"/>
        <item sd="0" x="3938"/>
        <item sd="0" x="3939"/>
        <item sd="0" x="3940"/>
        <item sd="0" x="3941"/>
        <item sd="0" x="3942"/>
        <item sd="0" x="3943"/>
        <item sd="0" x="3944"/>
        <item sd="0" x="3945"/>
        <item sd="0" x="3946"/>
        <item sd="0" x="3947"/>
        <item sd="0" x="3948"/>
        <item sd="0" x="3949"/>
        <item sd="0" x="3950"/>
        <item sd="0" x="3951"/>
        <item sd="0" x="4200"/>
        <item sd="0" x="4201"/>
        <item sd="0" x="4202"/>
        <item sd="0" x="4203"/>
        <item sd="0" x="4204"/>
        <item sd="0" x="4205"/>
        <item sd="0" x="5107"/>
        <item sd="0" x="5108"/>
        <item sd="0" x="5109"/>
        <item sd="0" x="5110"/>
        <item sd="0" x="5111"/>
        <item sd="0" x="5112"/>
        <item sd="0" x="5113"/>
        <item sd="0" x="4206"/>
        <item sd="0" x="4207"/>
        <item sd="0" x="4208"/>
        <item sd="0" x="4209"/>
        <item sd="0" x="4210"/>
        <item sd="0" x="4211"/>
        <item sd="0" x="4212"/>
        <item sd="0" x="4213"/>
        <item sd="0" x="4214"/>
        <item sd="0" x="4215"/>
        <item sd="0" x="4216"/>
        <item sd="0" x="4217"/>
        <item sd="0" x="4218"/>
        <item sd="0" x="4219"/>
        <item sd="0" x="4220"/>
        <item sd="0" x="4221"/>
        <item sd="0" x="4222"/>
        <item sd="0" x="4223"/>
        <item sd="0" x="4224"/>
        <item sd="0" x="4225"/>
        <item sd="0" x="4226"/>
        <item sd="0" x="4227"/>
        <item sd="0" x="4228"/>
        <item sd="0" x="4229"/>
        <item sd="0" x="4230"/>
        <item sd="0" x="4231"/>
        <item sd="0" x="4232"/>
        <item sd="0" x="4233"/>
        <item sd="0" x="4234"/>
        <item sd="0" x="4235"/>
        <item sd="0" x="4236"/>
        <item sd="0" x="4237"/>
        <item sd="0" x="4238"/>
        <item sd="0" x="4239"/>
        <item sd="0" x="4240"/>
        <item sd="0" x="4241"/>
        <item sd="0" x="4242"/>
        <item sd="0" x="4243"/>
        <item sd="0" x="4244"/>
        <item sd="0" x="4245"/>
        <item sd="0" x="4246"/>
        <item sd="0" x="4247"/>
        <item sd="0" x="4248"/>
        <item sd="0" x="4249"/>
        <item sd="0" x="4250"/>
        <item sd="0" x="4251"/>
        <item sd="0" x="4252"/>
        <item sd="0" x="4253"/>
        <item sd="0" x="4254"/>
        <item sd="0" x="4255"/>
        <item sd="0" x="4256"/>
        <item sd="0" x="4257"/>
        <item sd="0" x="4258"/>
        <item sd="0" x="4259"/>
        <item sd="0" x="4260"/>
        <item sd="0" x="4261"/>
        <item sd="0" x="4510"/>
        <item sd="0" x="4511"/>
        <item sd="0" x="4512"/>
        <item sd="0" x="4513"/>
        <item sd="0" x="4514"/>
        <item sd="0" x="4515"/>
        <item sd="0" x="4516"/>
        <item sd="0" x="4517"/>
        <item sd="0" x="4518"/>
        <item sd="0" x="4519"/>
        <item sd="0" x="4520"/>
        <item sd="0" x="4521"/>
        <item sd="0" x="4522"/>
        <item sd="0" x="4523"/>
        <item sd="0" x="4524"/>
        <item sd="0" x="4525"/>
        <item sd="0" x="4526"/>
        <item sd="0" x="4527"/>
        <item sd="0" x="4528"/>
        <item sd="0" x="4529"/>
        <item sd="0" x="4530"/>
        <item sd="0" x="4531"/>
        <item sd="0" x="4532"/>
        <item sd="0" x="4533"/>
        <item sd="0" x="4534"/>
        <item sd="0" x="4535"/>
        <item sd="0" x="4536"/>
        <item sd="0" x="4537"/>
        <item sd="0" x="4538"/>
        <item sd="0" x="4539"/>
        <item sd="0" x="4540"/>
        <item sd="0" x="4541"/>
        <item sd="0" x="4542"/>
        <item sd="0" x="4543"/>
        <item sd="0" x="4544"/>
        <item sd="0" x="4545"/>
        <item sd="0" x="4546"/>
        <item sd="0" x="4547"/>
        <item sd="0" x="4548"/>
        <item sd="0" x="4549"/>
        <item sd="0" x="4550"/>
        <item sd="0" x="4551"/>
        <item sd="0" x="4552"/>
        <item sd="0" x="4553"/>
        <item sd="0" x="4554"/>
        <item sd="0" x="4555"/>
        <item sd="0" x="4556"/>
        <item sd="0" x="4557"/>
        <item sd="0" x="4558"/>
        <item sd="0" x="4559"/>
        <item sd="0" x="4560"/>
        <item sd="0" x="4561"/>
        <item sd="0" x="4562"/>
        <item sd="0" x="4563"/>
        <item sd="0" x="4564"/>
        <item sd="0" x="4565"/>
        <item sd="0" x="4566"/>
        <item sd="0" x="4567"/>
        <item sd="0" x="4568"/>
        <item sd="0" x="4569"/>
        <item sd="0" x="4570"/>
        <item sd="0" x="4571"/>
        <item sd="0" x="4820"/>
        <item sd="0" x="4821"/>
        <item sd="0" x="5158"/>
        <item sd="0" x="5159"/>
        <item sd="0" x="5160"/>
        <item sd="0" x="5161"/>
        <item sd="0" x="5162"/>
        <item sd="0" x="5163"/>
        <item sd="0" x="5164"/>
        <item sd="0" x="4822"/>
        <item sd="0" x="4823"/>
        <item sd="0" x="4824"/>
        <item sd="0" x="4825"/>
        <item sd="0" x="4826"/>
        <item sd="0" x="4827"/>
        <item sd="0" x="4828"/>
        <item sd="0" x="4829"/>
        <item sd="0" x="4830"/>
        <item sd="0" x="4831"/>
        <item sd="0" x="4832"/>
        <item sd="0" x="4833"/>
        <item sd="0" x="4834"/>
        <item sd="0" x="4835"/>
        <item sd="0" x="4836"/>
        <item sd="0" x="4837"/>
        <item sd="0" x="4838"/>
        <item sd="0" x="4839"/>
        <item sd="0" x="4840"/>
        <item sd="0" x="4841"/>
        <item sd="0" x="4842"/>
        <item sd="0" x="4843"/>
        <item sd="0" x="4844"/>
        <item sd="0" x="4845"/>
        <item sd="0" x="4846"/>
        <item sd="0" x="4847"/>
        <item sd="0" x="4848"/>
        <item sd="0" x="4849"/>
        <item sd="0" x="4850"/>
        <item sd="0" x="4851"/>
        <item sd="0" x="4852"/>
        <item sd="0" x="4853"/>
        <item sd="0" x="4854"/>
        <item sd="0" x="4855"/>
        <item sd="0" x="4856"/>
        <item sd="0" x="4857"/>
        <item sd="0" x="4858"/>
        <item sd="0" x="4859"/>
        <item sd="0" x="4860"/>
        <item sd="0" x="4861"/>
        <item sd="0" x="4862"/>
        <item sd="0" x="4863"/>
        <item sd="0" x="4864"/>
        <item sd="0" x="4865"/>
        <item sd="0" x="4866"/>
        <item sd="0" x="4867"/>
        <item sd="0" x="4868"/>
        <item sd="0" x="4869"/>
        <item sd="0" x="4870"/>
        <item sd="0" x="4871"/>
        <item sd="0" x="4872"/>
        <item sd="0" x="4873"/>
        <item sd="0" x="4874"/>
        <item sd="0" x="4875"/>
        <item sd="0" x="4876"/>
        <item sd="0" x="4877"/>
        <item sd="0" x="4878"/>
        <item sd="0" x="4879"/>
        <item sd="0" x="4880"/>
        <item sd="0" x="4881"/>
        <item sd="0" x="5049"/>
        <item sd="0" x="5050"/>
        <item sd="0" x="5051"/>
        <item sd="0" x="5052"/>
        <item sd="0" x="5053"/>
        <item sd="0" x="5054"/>
        <item sd="0" x="5055"/>
        <item sd="0" x="5056"/>
        <item sd="0" x="5057"/>
        <item sd="0" x="5058"/>
        <item sd="0" x="5059"/>
        <item sd="0" x="5060"/>
        <item sd="0" x="5061"/>
        <item sd="0" x="5062"/>
        <item sd="0" x="5063"/>
        <item sd="0" x="5064"/>
        <item sd="0" x="5065"/>
        <item sd="0" x="5066"/>
        <item sd="0" x="5067"/>
        <item sd="0" x="5068"/>
        <item sd="0" x="5069"/>
        <item sd="0" x="5070"/>
        <item sd="0" x="5071"/>
        <item sd="0" x="5072"/>
        <item sd="0" x="5073"/>
        <item sd="0" x="5074"/>
        <item sd="0" x="5075"/>
        <item sd="0" x="5076"/>
        <item sd="0" x="5077"/>
        <item sd="0" x="5078"/>
        <item sd="0" x="5079"/>
        <item sd="0" x="5080"/>
        <item sd="0" x="5081"/>
        <item sd="0" x="5082"/>
        <item sd="0" x="5083"/>
        <item sd="0" x="929"/>
        <item sd="0" x="930"/>
        <item sd="0" x="931"/>
        <item sd="0" x="932"/>
        <item sd="0" x="933"/>
        <item sd="0" x="934"/>
        <item sd="0" x="935"/>
        <item sd="0" x="936"/>
        <item sd="0" x="937"/>
        <item sd="0" x="938"/>
        <item sd="0" x="939"/>
        <item sd="0" x="940"/>
        <item sd="0" x="941"/>
        <item sd="0" x="942"/>
        <item sd="0" x="943"/>
        <item sd="0" x="944"/>
        <item sd="0" x="945"/>
        <item sd="0" x="946"/>
        <item sd="0" x="947"/>
        <item sd="0" x="948"/>
        <item sd="0" x="949"/>
        <item sd="0" x="950"/>
        <item sd="0" x="951"/>
        <item sd="0" x="952"/>
        <item sd="0" x="953"/>
        <item sd="0" x="5208"/>
        <item sd="0" x="5209"/>
        <item sd="0" x="5210"/>
        <item sd="0" x="5211"/>
        <item sd="0" x="5212"/>
        <item sd="0" x="5213"/>
        <item sd="0" x="5214"/>
        <item sd="0" x="954"/>
        <item sd="0" x="955"/>
        <item sd="0" x="786"/>
        <item sd="0" x="787"/>
        <item sd="0" x="788"/>
        <item sd="0" x="789"/>
        <item sd="0" x="790"/>
        <item sd="0" x="791"/>
        <item sd="0" x="792"/>
        <item sd="0" x="793"/>
        <item sd="0" x="794"/>
        <item sd="0" x="795"/>
        <item sd="0" x="796"/>
        <item sd="0" x="797"/>
        <item sd="0" x="798"/>
        <item sd="0" x="799"/>
        <item sd="0" x="800"/>
        <item sd="0" x="801"/>
        <item sd="0" x="802"/>
        <item sd="0" x="803"/>
        <item sd="0" x="804"/>
        <item sd="0" x="805"/>
        <item sd="0" x="806"/>
        <item sd="0" x="807"/>
        <item sd="0" x="808"/>
        <item sd="0" x="809"/>
        <item sd="0" x="810"/>
        <item sd="0" x="811"/>
        <item sd="0" x="812"/>
        <item sd="0" x="813"/>
        <item sd="0" x="814"/>
        <item sd="0" x="815"/>
        <item sd="0" x="816"/>
        <item sd="0" x="817"/>
        <item sd="0" x="818"/>
        <item sd="0" x="819"/>
        <item sd="0" x="820"/>
        <item sd="0" x="821"/>
        <item sd="0" x="822"/>
        <item sd="0" x="823"/>
        <item sd="0" x="824"/>
        <item sd="0" x="825"/>
        <item sd="0" x="826"/>
        <item sd="0" x="827"/>
        <item sd="0" x="828"/>
        <item sd="0" x="829"/>
        <item sd="0" x="830"/>
        <item sd="0" x="831"/>
        <item sd="0" x="832"/>
        <item sd="0" x="833"/>
        <item sd="0" x="834"/>
        <item sd="0" x="835"/>
        <item sd="0" x="836"/>
        <item sd="0" x="837"/>
        <item sd="0" x="838"/>
        <item sd="0" x="839"/>
        <item sd="0" x="840"/>
        <item sd="0" x="841"/>
        <item sd="0" x="842"/>
        <item sd="0" x="843"/>
        <item sd="0" x="844"/>
        <item sd="0" x="845"/>
        <item sd="0" x="846"/>
        <item sd="0" x="847"/>
        <item sd="0" x="1142"/>
        <item sd="0" x="1143"/>
        <item sd="0" x="1144"/>
        <item sd="0" x="1145"/>
        <item sd="0" x="1146"/>
        <item sd="0" x="1147"/>
        <item sd="0" x="1148"/>
        <item sd="0" x="1149"/>
        <item sd="0" x="1150"/>
        <item sd="0" x="1151"/>
        <item sd="0" x="1152"/>
        <item sd="0" x="1153"/>
        <item sd="0" x="1154"/>
        <item sd="0" x="1155"/>
        <item sd="0" x="1156"/>
        <item sd="0" x="1157"/>
        <item sd="0" x="1158"/>
        <item sd="0" x="1159"/>
        <item sd="0" x="1160"/>
        <item sd="0" x="1161"/>
        <item sd="0" x="1162"/>
        <item sd="0" x="1163"/>
        <item sd="0" x="1164"/>
        <item sd="0" x="1165"/>
        <item sd="0" x="1166"/>
        <item sd="0" x="1167"/>
        <item sd="0" x="1168"/>
        <item sd="0" x="1169"/>
        <item sd="0" x="1170"/>
        <item sd="0" x="1171"/>
        <item sd="0" x="1172"/>
        <item sd="0" x="1173"/>
        <item sd="0" x="1174"/>
        <item sd="0" x="1175"/>
        <item sd="0" x="1176"/>
        <item sd="0" x="1177"/>
        <item sd="0" x="1178"/>
        <item sd="0" x="1179"/>
        <item sd="0" x="1180"/>
        <item sd="0" x="1181"/>
        <item sd="0" x="1182"/>
        <item sd="0" x="1183"/>
        <item sd="0" x="1184"/>
        <item sd="0" x="1185"/>
        <item sd="0" x="1186"/>
        <item sd="0" x="1187"/>
        <item sd="0" x="1188"/>
        <item sd="0" x="1189"/>
        <item sd="0" x="1190"/>
        <item sd="0" x="1191"/>
        <item sd="0" x="1192"/>
        <item sd="0" x="1193"/>
        <item sd="0" x="1194"/>
        <item sd="0" x="1195"/>
        <item sd="0" x="1196"/>
        <item sd="0" x="1197"/>
        <item sd="0" x="5247"/>
        <item sd="0" x="5248"/>
        <item sd="0" x="5249"/>
        <item sd="0" x="5250"/>
        <item sd="0" x="5251"/>
        <item sd="0" x="5252"/>
        <item sd="0" x="5253"/>
        <item sd="0" x="1198"/>
        <item sd="0" x="1199"/>
        <item sd="0" x="1200"/>
        <item sd="0" x="1201"/>
        <item sd="0" x="1202"/>
        <item sd="0" x="1203"/>
        <item sd="0" x="1390"/>
        <item sd="0" x="1391"/>
        <item sd="0" x="1392"/>
        <item sd="0" x="1393"/>
        <item sd="0" x="1394"/>
        <item sd="0" x="1395"/>
        <item sd="0" x="1396"/>
        <item sd="0" x="1397"/>
        <item sd="0" x="1398"/>
        <item sd="0" x="1399"/>
        <item sd="0" x="1400"/>
        <item sd="0" x="1401"/>
        <item sd="0" x="1402"/>
        <item sd="0" x="1403"/>
        <item sd="0" x="1404"/>
        <item sd="0" x="1405"/>
        <item sd="0" x="1406"/>
        <item sd="0" x="1407"/>
        <item sd="0" x="1408"/>
        <item sd="0" x="1409"/>
        <item sd="0" x="1410"/>
        <item sd="0" x="1411"/>
        <item sd="0" x="1412"/>
        <item sd="0" x="1413"/>
        <item sd="0" x="1414"/>
        <item sd="0" x="1415"/>
        <item sd="0" x="1416"/>
        <item sd="0" x="1417"/>
        <item sd="0" x="1418"/>
        <item sd="0" x="1419"/>
        <item sd="0" x="1420"/>
        <item sd="0" x="1421"/>
        <item sd="0" x="1422"/>
        <item sd="0" x="1423"/>
        <item sd="0" x="1424"/>
        <item sd="0" x="1425"/>
        <item sd="0" x="1426"/>
        <item sd="0" x="1427"/>
        <item sd="0" x="1428"/>
        <item sd="0" x="1429"/>
        <item sd="0" x="1430"/>
        <item sd="0" x="1431"/>
        <item sd="0" x="1432"/>
        <item sd="0" x="1433"/>
        <item sd="0" x="1434"/>
        <item sd="0" x="1435"/>
        <item sd="0" x="1436"/>
        <item sd="0" x="1437"/>
        <item sd="0" x="1438"/>
        <item sd="0" x="1439"/>
        <item sd="0" x="1440"/>
        <item sd="0" x="1441"/>
        <item sd="0" x="1442"/>
        <item sd="0" x="1443"/>
        <item sd="0" x="1444"/>
        <item sd="0" x="1445"/>
        <item sd="0" x="1446"/>
        <item sd="0" x="1447"/>
        <item sd="0" x="1448"/>
        <item sd="0" x="1449"/>
        <item sd="0" x="1450"/>
        <item sd="0" x="1451"/>
        <item sd="0" x="1638"/>
        <item sd="0" x="1639"/>
        <item sd="0" x="1640"/>
        <item sd="0" x="1641"/>
        <item sd="0" x="1642"/>
        <item sd="0" x="1643"/>
        <item sd="0" x="1644"/>
        <item sd="0" x="1645"/>
        <item sd="0" x="1646"/>
        <item sd="0" x="1647"/>
        <item sd="0" x="1648"/>
        <item sd="0" x="1649"/>
        <item sd="0" x="1650"/>
        <item sd="0" x="1651"/>
        <item sd="0" x="1652"/>
        <item sd="0" x="1653"/>
        <item sd="0" x="1654"/>
        <item sd="0" x="1655"/>
        <item sd="0" x="1656"/>
        <item sd="0" x="1657"/>
        <item sd="0" x="1658"/>
        <item sd="0" x="1659"/>
        <item sd="0" x="1660"/>
        <item sd="0" x="1661"/>
        <item sd="0" x="1662"/>
        <item sd="0" x="1663"/>
        <item sd="0" x="1664"/>
        <item sd="0" x="1665"/>
        <item sd="0" x="1666"/>
        <item sd="0" x="1667"/>
        <item sd="0" x="1668"/>
        <item sd="0" x="1669"/>
        <item sd="0" x="1670"/>
        <item sd="0" x="1671"/>
        <item sd="0" x="1672"/>
        <item sd="0" x="1673"/>
        <item sd="0" x="1674"/>
        <item sd="0" x="1675"/>
        <item sd="0" x="1676"/>
        <item sd="0" x="1677"/>
        <item sd="0" x="1678"/>
        <item sd="0" x="1679"/>
        <item sd="0" x="1680"/>
        <item sd="0" x="1681"/>
        <item sd="0" x="1682"/>
        <item sd="0" x="1683"/>
        <item sd="0" x="1684"/>
        <item sd="0" x="1685"/>
        <item sd="0" x="1686"/>
        <item sd="0" x="1687"/>
        <item sd="0" x="1688"/>
        <item sd="0" x="1689"/>
        <item sd="0" x="5283"/>
        <item sd="0" x="5284"/>
        <item sd="0" x="5285"/>
        <item sd="0" x="5286"/>
        <item sd="0" x="5287"/>
        <item sd="0" x="5288"/>
        <item sd="0" x="5289"/>
        <item sd="0" x="1690"/>
        <item sd="0" x="1691"/>
        <item sd="0" x="1692"/>
        <item sd="0" x="1693"/>
        <item sd="0" x="1694"/>
        <item sd="0" x="1695"/>
        <item sd="0" x="1696"/>
        <item sd="0" x="1697"/>
        <item sd="0" x="1698"/>
        <item sd="0" x="1699"/>
        <item sd="0" x="1886"/>
        <item sd="0" x="1887"/>
        <item sd="0" x="1888"/>
        <item sd="0" x="1889"/>
        <item sd="0" x="1890"/>
        <item sd="0" x="1891"/>
        <item sd="0" x="1892"/>
        <item sd="0" x="1893"/>
        <item sd="0" x="1894"/>
        <item sd="0" x="1895"/>
        <item sd="0" x="1896"/>
        <item sd="0" x="1897"/>
        <item sd="0" x="1898"/>
        <item sd="0" x="1899"/>
        <item sd="0" x="1900"/>
        <item sd="0" x="1901"/>
        <item sd="0" x="1902"/>
        <item sd="0" x="1903"/>
        <item sd="0" x="1904"/>
        <item sd="0" x="1905"/>
        <item sd="0" x="1906"/>
        <item sd="0" x="1907"/>
        <item sd="0" x="1908"/>
        <item sd="0" x="1909"/>
        <item sd="0" x="1910"/>
        <item sd="0" x="1911"/>
        <item sd="0" x="1912"/>
        <item sd="0" x="1913"/>
        <item sd="0" x="1914"/>
        <item sd="0" x="1915"/>
        <item sd="0" x="1916"/>
        <item sd="0" x="1917"/>
        <item sd="0" x="1918"/>
        <item sd="0" x="1919"/>
        <item sd="0" x="1920"/>
        <item sd="0" x="1921"/>
        <item sd="0" x="1922"/>
        <item sd="0" x="1923"/>
        <item sd="0" x="1924"/>
        <item sd="0" x="1925"/>
        <item sd="0" x="1926"/>
        <item sd="0" x="1927"/>
        <item sd="0" x="1928"/>
        <item sd="0" x="1929"/>
        <item sd="0" x="1930"/>
        <item sd="0" x="1931"/>
        <item sd="0" x="1932"/>
        <item sd="0" x="1933"/>
        <item sd="0" x="1934"/>
        <item sd="0" x="1935"/>
        <item sd="0" x="1936"/>
        <item sd="0" x="1937"/>
        <item sd="0" x="1938"/>
        <item sd="0" x="1939"/>
        <item sd="0" x="1940"/>
        <item sd="0" x="1941"/>
        <item sd="0" x="1942"/>
        <item sd="0" x="1943"/>
        <item sd="0" x="1944"/>
        <item sd="0" x="1945"/>
        <item sd="0" x="1946"/>
        <item sd="0" x="1947"/>
        <item sd="0" x="2134"/>
        <item sd="0" x="2135"/>
        <item sd="0" x="2136"/>
        <item sd="0" x="2137"/>
        <item sd="0" x="2138"/>
        <item sd="0" x="2139"/>
        <item sd="0" x="2140"/>
        <item sd="0" x="2141"/>
        <item sd="0" x="2142"/>
        <item sd="0" x="2143"/>
        <item sd="0" x="2144"/>
        <item sd="0" x="2145"/>
        <item sd="0" x="2146"/>
        <item sd="0" x="2147"/>
        <item sd="0" x="2148"/>
        <item sd="0" x="2149"/>
        <item sd="0" x="2150"/>
        <item sd="0" x="2151"/>
        <item sd="0" x="2152"/>
        <item sd="0" x="2153"/>
        <item sd="0" x="2154"/>
        <item sd="0" x="2155"/>
        <item sd="0" x="2156"/>
        <item sd="0" x="2157"/>
        <item sd="0" x="2158"/>
        <item sd="0" x="2159"/>
        <item sd="0" x="2160"/>
        <item sd="0" x="2161"/>
        <item sd="0" x="2162"/>
        <item sd="0" x="2163"/>
        <item sd="0" x="2164"/>
        <item sd="0" x="2165"/>
        <item sd="0" x="2166"/>
        <item sd="0" x="2167"/>
        <item sd="0" x="2168"/>
        <item sd="0" x="2169"/>
        <item sd="0" x="2170"/>
        <item sd="0" x="2171"/>
        <item sd="0" x="2172"/>
        <item sd="0" x="2173"/>
        <item sd="0" x="2174"/>
        <item sd="0" x="2175"/>
        <item sd="0" x="2176"/>
        <item sd="0" x="2177"/>
        <item sd="0" x="2178"/>
        <item sd="0" x="2179"/>
        <item sd="0" x="2180"/>
        <item sd="0" x="2181"/>
        <item sd="0" x="5345"/>
        <item sd="0" x="5346"/>
        <item sd="0" x="5347"/>
        <item sd="0" x="5348"/>
        <item sd="0" x="5349"/>
        <item sd="0" x="5350"/>
        <item sd="0" x="5351"/>
        <item sd="0" x="2182"/>
        <item sd="0" x="2183"/>
        <item sd="0" x="2184"/>
        <item sd="0" x="2185"/>
        <item sd="0" x="2186"/>
        <item sd="0" x="2187"/>
        <item sd="0" x="2188"/>
        <item sd="0" x="2189"/>
        <item sd="0" x="2190"/>
        <item sd="0" x="2191"/>
        <item sd="0" x="2192"/>
        <item sd="0" x="2193"/>
        <item sd="0" x="2194"/>
        <item sd="0" x="2195"/>
        <item sd="0" x="2391"/>
        <item sd="0" x="2392"/>
        <item sd="0" x="2393"/>
        <item sd="0" x="2394"/>
        <item sd="0" x="2395"/>
        <item sd="0" x="2396"/>
        <item sd="0" x="2397"/>
        <item sd="0" x="2398"/>
        <item sd="0" x="2399"/>
        <item sd="0" x="2400"/>
        <item sd="0" x="2401"/>
        <item sd="0" x="2402"/>
        <item sd="0" x="2403"/>
        <item sd="0" x="2404"/>
        <item sd="0" x="2405"/>
        <item sd="0" x="2406"/>
        <item sd="0" x="2407"/>
        <item sd="0" x="2408"/>
        <item sd="0" x="2409"/>
        <item sd="0" x="2410"/>
        <item sd="0" x="2411"/>
        <item sd="0" x="2412"/>
        <item sd="0" x="2413"/>
        <item sd="0" x="2414"/>
        <item sd="0" x="2415"/>
        <item sd="0" x="2416"/>
        <item sd="0" x="2417"/>
        <item sd="0" x="2418"/>
        <item sd="0" x="2419"/>
        <item sd="0" x="2420"/>
        <item sd="0" x="2421"/>
        <item sd="0" x="2422"/>
        <item sd="0" x="2423"/>
        <item sd="0" x="2424"/>
        <item sd="0" x="2425"/>
        <item sd="0" x="2426"/>
        <item sd="0" x="2427"/>
        <item sd="0" x="2428"/>
        <item sd="0" x="2429"/>
        <item sd="0" x="2430"/>
        <item sd="0" x="2431"/>
        <item sd="0" x="2432"/>
        <item sd="0" x="2433"/>
        <item sd="0" x="2434"/>
        <item sd="0" x="2435"/>
        <item sd="0" x="2436"/>
        <item sd="0" x="2437"/>
        <item sd="0" x="2438"/>
        <item sd="0" x="2439"/>
        <item sd="0" x="2440"/>
        <item sd="0" x="2441"/>
        <item sd="0" x="2442"/>
        <item sd="0" x="2443"/>
        <item sd="0" x="2444"/>
        <item sd="0" x="2445"/>
        <item sd="0" x="2446"/>
        <item sd="0" x="2447"/>
        <item sd="0" x="2448"/>
        <item sd="0" x="2449"/>
        <item sd="0" x="2450"/>
        <item sd="0" x="2451"/>
        <item sd="0" x="2452"/>
        <item sd="0" x="2712"/>
        <item sd="0" x="2713"/>
        <item sd="0" x="2714"/>
        <item sd="0" x="2715"/>
        <item sd="0" x="2716"/>
        <item sd="0" x="2717"/>
        <item sd="0" x="2718"/>
        <item sd="0" x="2719"/>
        <item sd="0" x="2720"/>
        <item sd="0" x="2721"/>
        <item sd="0" x="2722"/>
        <item sd="0" x="2723"/>
        <item sd="0" x="2724"/>
        <item sd="0" x="2725"/>
        <item sd="0" x="2726"/>
        <item sd="0" x="2727"/>
        <item sd="0" x="2728"/>
        <item sd="0" x="2729"/>
        <item sd="0" x="2730"/>
        <item sd="0" x="2731"/>
        <item sd="0" x="2732"/>
        <item sd="0" x="2733"/>
        <item sd="0" x="2734"/>
        <item sd="0" x="2735"/>
        <item sd="0" x="2736"/>
        <item sd="0" x="2737"/>
        <item sd="0" x="2738"/>
        <item sd="0" x="2739"/>
        <item sd="0" x="2740"/>
        <item sd="0" x="2741"/>
        <item sd="0" x="2742"/>
        <item sd="0" x="2743"/>
        <item sd="0" x="2744"/>
        <item sd="0" x="2745"/>
        <item sd="0" x="2746"/>
        <item sd="0" x="2747"/>
        <item sd="0" x="2748"/>
        <item sd="0" x="2749"/>
        <item sd="0" x="2750"/>
        <item sd="0" x="2751"/>
        <item sd="0" x="2752"/>
        <item sd="0" x="2753"/>
        <item sd="0" x="2754"/>
        <item sd="0" x="2755"/>
        <item sd="0" x="5387"/>
        <item sd="0" x="5388"/>
        <item sd="0" x="5389"/>
        <item sd="0" x="5390"/>
        <item sd="0" x="5391"/>
        <item sd="0" x="5392"/>
        <item sd="0" x="5393"/>
        <item sd="0" x="2756"/>
        <item sd="0" x="2757"/>
        <item sd="0" x="2758"/>
        <item sd="0" x="2759"/>
        <item sd="0" x="2760"/>
        <item sd="0" x="2761"/>
        <item sd="0" x="2762"/>
        <item sd="0" x="2763"/>
        <item sd="0" x="2764"/>
        <item sd="0" x="2765"/>
        <item sd="0" x="2766"/>
        <item sd="0" x="2767"/>
        <item sd="0" x="2768"/>
        <item sd="0" x="2769"/>
        <item sd="0" x="2770"/>
        <item sd="0" x="2771"/>
        <item sd="0" x="2772"/>
        <item sd="0" x="2773"/>
        <item sd="0" x="3022"/>
        <item sd="0" x="3023"/>
        <item sd="0" x="3024"/>
        <item sd="0" x="3025"/>
        <item sd="0" x="3026"/>
        <item sd="0" x="3027"/>
        <item sd="0" x="3028"/>
        <item sd="0" x="3029"/>
        <item sd="0" x="3030"/>
        <item sd="0" x="3031"/>
        <item sd="0" x="3032"/>
        <item sd="0" x="3033"/>
        <item sd="0" x="3034"/>
        <item sd="0" x="3035"/>
        <item sd="0" x="3036"/>
        <item sd="0" x="3037"/>
        <item sd="0" x="3038"/>
        <item sd="0" x="3039"/>
        <item sd="0" x="3040"/>
        <item sd="0" x="3041"/>
        <item sd="0" x="3042"/>
        <item sd="0" x="3043"/>
        <item sd="0" x="3044"/>
        <item sd="0" x="3045"/>
        <item sd="0" x="3046"/>
        <item sd="0" x="3047"/>
        <item sd="0" x="3048"/>
        <item sd="0" x="3049"/>
        <item sd="0" x="3050"/>
        <item sd="0" x="3051"/>
        <item sd="0" x="3052"/>
        <item sd="0" x="3053"/>
        <item sd="0" x="3054"/>
        <item sd="0" x="3055"/>
        <item sd="0" x="3056"/>
        <item sd="0" x="3057"/>
        <item sd="0" x="3058"/>
        <item sd="0" x="3059"/>
        <item sd="0" x="3060"/>
        <item sd="0" x="3061"/>
        <item sd="0" x="3062"/>
        <item sd="0" x="3063"/>
        <item sd="0" x="3064"/>
        <item sd="0" x="3065"/>
        <item sd="0" x="3066"/>
        <item sd="0" x="3067"/>
        <item sd="0" x="3068"/>
        <item sd="0" x="3069"/>
        <item sd="0" x="3070"/>
        <item sd="0" x="3071"/>
        <item sd="0" x="3072"/>
        <item sd="0" x="3073"/>
        <item sd="0" x="3074"/>
        <item sd="0" x="3075"/>
        <item sd="0" x="3076"/>
        <item sd="0" x="3077"/>
        <item sd="0" x="3078"/>
        <item sd="0" x="3079"/>
        <item sd="0" x="3080"/>
        <item sd="0" x="3081"/>
        <item sd="0" x="3082"/>
        <item sd="0" x="3083"/>
        <item sd="0" x="3332"/>
        <item sd="0" x="3333"/>
        <item sd="0" x="3334"/>
        <item sd="0" x="3335"/>
        <item sd="0" x="3336"/>
        <item sd="0" x="3337"/>
        <item sd="0" x="3338"/>
        <item sd="0" x="3339"/>
        <item sd="0" x="3340"/>
        <item sd="0" x="3341"/>
        <item sd="0" x="3342"/>
        <item sd="0" x="3343"/>
        <item sd="0" x="3344"/>
        <item sd="0" x="3345"/>
        <item sd="0" x="3346"/>
        <item sd="0" x="3347"/>
        <item sd="0" x="3348"/>
        <item sd="0" x="3349"/>
        <item sd="0" x="3350"/>
        <item sd="0" x="3351"/>
        <item sd="0" x="3352"/>
        <item sd="0" x="3353"/>
        <item sd="0" x="3354"/>
        <item sd="0" x="3355"/>
        <item sd="0" x="3356"/>
        <item sd="0" x="3357"/>
        <item sd="0" x="3358"/>
        <item sd="0" x="3359"/>
        <item sd="0" x="3360"/>
        <item sd="0" x="3361"/>
        <item sd="0" x="3362"/>
        <item sd="0" x="3363"/>
        <item sd="0" x="3364"/>
        <item sd="0" x="3365"/>
        <item sd="0" x="3366"/>
        <item sd="0" x="3367"/>
        <item sd="0" x="3368"/>
        <item sd="0" x="3369"/>
        <item sd="0" x="3370"/>
        <item sd="0" x="3371"/>
        <item sd="0" x="5422"/>
        <item sd="0" x="5423"/>
        <item sd="0" x="5424"/>
        <item sd="0" x="5425"/>
        <item sd="0" x="5426"/>
        <item sd="0" x="5427"/>
        <item sd="0" x="5428"/>
        <item sd="0" x="3372"/>
        <item sd="0" x="3373"/>
        <item sd="0" x="3374"/>
        <item sd="0" x="3375"/>
        <item sd="0" x="3376"/>
        <item sd="0" x="3377"/>
        <item sd="0" x="3378"/>
        <item sd="0" x="3379"/>
        <item sd="0" x="3380"/>
        <item sd="0" x="3381"/>
        <item sd="0" x="3382"/>
        <item sd="0" x="3383"/>
        <item sd="0" x="3384"/>
        <item sd="0" x="3385"/>
        <item sd="0" x="3386"/>
        <item sd="0" x="3387"/>
        <item sd="0" x="3388"/>
        <item sd="0" x="3389"/>
        <item sd="0" x="3390"/>
        <item sd="0" x="3391"/>
        <item sd="0" x="3392"/>
        <item sd="0" x="3393"/>
        <item sd="0" x="3642"/>
        <item sd="0" x="3643"/>
        <item sd="0" x="3644"/>
        <item sd="0" x="3645"/>
        <item sd="0" x="3646"/>
        <item sd="0" x="3647"/>
        <item sd="0" x="3648"/>
        <item sd="0" x="3649"/>
        <item sd="0" x="3650"/>
        <item sd="0" x="3651"/>
        <item sd="0" x="3652"/>
        <item sd="0" x="3653"/>
        <item sd="0" x="3654"/>
        <item sd="0" x="3655"/>
        <item sd="0" x="3656"/>
        <item sd="0" x="3657"/>
        <item sd="0" x="3658"/>
        <item sd="0" x="3659"/>
        <item sd="0" x="3660"/>
        <item sd="0" x="3661"/>
        <item sd="0" x="3662"/>
        <item sd="0" x="3663"/>
        <item sd="0" x="3664"/>
        <item sd="0" x="3665"/>
        <item sd="0" x="3666"/>
        <item sd="0" x="3667"/>
        <item sd="0" x="3668"/>
        <item sd="0" x="3669"/>
        <item sd="0" x="3670"/>
        <item sd="0" x="3671"/>
        <item sd="0" x="3672"/>
        <item sd="0" x="3673"/>
        <item sd="0" x="3674"/>
        <item sd="0" x="3675"/>
        <item sd="0" x="3676"/>
        <item sd="0" x="3677"/>
        <item sd="0" x="3678"/>
        <item sd="0" x="3679"/>
        <item sd="0" x="3680"/>
        <item sd="0" x="3681"/>
        <item sd="0" x="3682"/>
        <item sd="0" x="3683"/>
        <item sd="0" x="3684"/>
        <item sd="0" x="3685"/>
        <item sd="0" x="3686"/>
        <item sd="0" x="3687"/>
        <item sd="0" x="3688"/>
        <item sd="0" x="3689"/>
        <item sd="0" x="3690"/>
        <item sd="0" x="3691"/>
        <item sd="0" x="3692"/>
        <item sd="0" x="3693"/>
        <item sd="0" x="3694"/>
        <item sd="0" x="3695"/>
        <item sd="0" x="3696"/>
        <item sd="0" x="3697"/>
        <item sd="0" x="3698"/>
        <item sd="0" x="3699"/>
        <item sd="0" x="3700"/>
        <item sd="0" x="3701"/>
        <item sd="0" x="3702"/>
        <item sd="0" x="3703"/>
        <item sd="0" x="3952"/>
        <item sd="0" x="3953"/>
        <item sd="0" x="3954"/>
        <item sd="0" x="3955"/>
        <item sd="0" x="3956"/>
        <item sd="0" x="3957"/>
        <item sd="0" x="3958"/>
        <item sd="0" x="3959"/>
        <item sd="0" x="3960"/>
        <item sd="0" x="3961"/>
        <item sd="0" x="3962"/>
        <item sd="0" x="3963"/>
        <item sd="0" x="3964"/>
        <item sd="0" x="3965"/>
        <item sd="0" x="3966"/>
        <item sd="0" x="3967"/>
        <item sd="0" x="3968"/>
        <item sd="0" x="3969"/>
        <item sd="0" x="3970"/>
        <item sd="0" x="3971"/>
        <item sd="0" x="3972"/>
        <item sd="0" x="3973"/>
        <item sd="0" x="3974"/>
        <item sd="0" x="3975"/>
        <item sd="0" x="3976"/>
        <item sd="0" x="3977"/>
        <item sd="0" x="3978"/>
        <item sd="0" x="3979"/>
        <item sd="0" x="3980"/>
        <item sd="0" x="3981"/>
        <item sd="0" x="3982"/>
        <item sd="0" x="3983"/>
        <item sd="0" x="3984"/>
        <item sd="0" x="3985"/>
        <item sd="0" x="3986"/>
        <item sd="0" x="3987"/>
        <item sd="0" x="5437"/>
        <item sd="0" x="5438"/>
        <item sd="0" x="5439"/>
        <item sd="0" x="5440"/>
        <item sd="0" x="5441"/>
        <item sd="0" x="5442"/>
        <item sd="0" x="5443"/>
        <item sd="0" x="3988"/>
        <item sd="0" x="3989"/>
        <item sd="0" x="3990"/>
        <item sd="0" x="3991"/>
        <item sd="0" x="3992"/>
        <item sd="0" x="3993"/>
        <item sd="0" x="3994"/>
        <item sd="0" x="3995"/>
        <item sd="0" x="3996"/>
        <item sd="0" x="3997"/>
        <item sd="0" x="3998"/>
        <item sd="0" x="3999"/>
        <item sd="0" x="4000"/>
        <item sd="0" x="4001"/>
        <item sd="0" x="4002"/>
        <item sd="0" x="4003"/>
        <item sd="0" x="4004"/>
        <item sd="0" x="4005"/>
        <item sd="0" x="4006"/>
        <item sd="0" x="4007"/>
        <item sd="0" x="4008"/>
        <item sd="0" x="4009"/>
        <item sd="0" x="4010"/>
        <item sd="0" x="4011"/>
        <item sd="0" x="4012"/>
        <item sd="0" x="4013"/>
        <item sd="0" x="4262"/>
        <item sd="0" x="4263"/>
        <item sd="0" x="4264"/>
        <item sd="0" x="4265"/>
        <item sd="0" x="4266"/>
        <item sd="0" x="4267"/>
        <item sd="0" x="4268"/>
        <item sd="0" x="4269"/>
        <item sd="0" x="4270"/>
        <item sd="0" x="4271"/>
        <item sd="0" x="4272"/>
        <item sd="0" x="4273"/>
        <item sd="0" x="4274"/>
        <item sd="0" x="4275"/>
        <item sd="0" x="4276"/>
        <item sd="0" x="4277"/>
        <item sd="0" x="4278"/>
        <item sd="0" x="4279"/>
        <item sd="0" x="4280"/>
        <item sd="0" x="4281"/>
        <item sd="0" x="4282"/>
        <item sd="0" x="4283"/>
        <item sd="0" x="4284"/>
        <item sd="0" x="4285"/>
        <item sd="0" x="4286"/>
        <item sd="0" x="4287"/>
        <item sd="0" x="4288"/>
        <item sd="0" x="4289"/>
        <item sd="0" x="4290"/>
        <item sd="0" x="4291"/>
        <item sd="0" x="4292"/>
        <item sd="0" x="4293"/>
        <item sd="0" x="4294"/>
        <item sd="0" x="4295"/>
        <item sd="0" x="4296"/>
        <item sd="0" x="4297"/>
        <item sd="0" x="4298"/>
        <item sd="0" x="4299"/>
        <item sd="0" x="4300"/>
        <item sd="0" x="4301"/>
        <item sd="0" x="4302"/>
        <item sd="0" x="4303"/>
        <item sd="0" x="4304"/>
        <item sd="0" x="4305"/>
        <item sd="0" x="4306"/>
        <item sd="0" x="4307"/>
        <item sd="0" x="4308"/>
        <item sd="0" x="4309"/>
        <item sd="0" x="4310"/>
        <item sd="0" x="4311"/>
        <item sd="0" x="4312"/>
        <item sd="0" x="4313"/>
        <item sd="0" x="4314"/>
        <item sd="0" x="4315"/>
        <item sd="0" x="4316"/>
        <item sd="0" x="4317"/>
        <item sd="0" x="4318"/>
        <item sd="0" x="4319"/>
        <item sd="0" x="4320"/>
        <item sd="0" x="4321"/>
        <item sd="0" x="4322"/>
        <item sd="0" x="4323"/>
        <item sd="0" x="4572"/>
        <item sd="0" x="4573"/>
        <item sd="0" x="4574"/>
        <item sd="0" x="4575"/>
        <item sd="0" x="4576"/>
        <item sd="0" x="4577"/>
        <item sd="0" x="4578"/>
        <item sd="0" x="4579"/>
        <item sd="0" x="4580"/>
        <item sd="0" x="4581"/>
        <item sd="0" x="4582"/>
        <item sd="0" x="4583"/>
        <item sd="0" x="4584"/>
        <item sd="0" x="4585"/>
        <item sd="0" x="4586"/>
        <item sd="0" x="4587"/>
        <item sd="0" x="4588"/>
        <item sd="0" x="4589"/>
        <item sd="0" x="4590"/>
        <item sd="0" x="4591"/>
        <item sd="0" x="4592"/>
        <item sd="0" x="4593"/>
        <item sd="0" x="4594"/>
        <item sd="0" x="4595"/>
        <item sd="0" x="4596"/>
        <item sd="0" x="4597"/>
        <item sd="0" x="4598"/>
        <item sd="0" x="4599"/>
        <item sd="0" x="4600"/>
        <item sd="0" x="4601"/>
        <item sd="0" x="4602"/>
        <item sd="0" x="4603"/>
        <item sd="0" x="5165"/>
        <item sd="0" x="5166"/>
        <item sd="0" x="5167"/>
        <item sd="0" x="5168"/>
        <item sd="0" x="5169"/>
        <item sd="0" x="5170"/>
        <item sd="0" x="5171"/>
        <item sd="0" x="4604"/>
        <item sd="0" x="4605"/>
        <item sd="0" x="4606"/>
        <item sd="0" x="4607"/>
        <item sd="0" x="4608"/>
        <item sd="0" x="4609"/>
        <item sd="0" x="4610"/>
        <item sd="0" x="4611"/>
        <item sd="0" x="4612"/>
        <item sd="0" x="4613"/>
        <item sd="0" x="4614"/>
        <item sd="0" x="4615"/>
        <item sd="0" x="4616"/>
        <item sd="0" x="4617"/>
        <item sd="0" x="4618"/>
        <item sd="0" x="4619"/>
        <item sd="0" x="4620"/>
        <item sd="0" x="4621"/>
        <item sd="0" x="4622"/>
        <item sd="0" x="4623"/>
        <item sd="0" x="4624"/>
        <item sd="0" x="4625"/>
        <item sd="0" x="4626"/>
        <item sd="0" x="4627"/>
        <item sd="0" x="4628"/>
        <item sd="0" x="4629"/>
        <item sd="0" x="4630"/>
        <item sd="0" x="4631"/>
        <item sd="0" x="4632"/>
        <item sd="0" x="4633"/>
        <item sd="0" x="4882"/>
        <item sd="0" x="4883"/>
        <item sd="0" x="4884"/>
        <item sd="0" x="4885"/>
        <item sd="0" x="4886"/>
        <item sd="0" x="4887"/>
        <item sd="0" x="4888"/>
        <item sd="0" x="4889"/>
        <item sd="0" x="4890"/>
        <item sd="0" x="4891"/>
        <item sd="0" x="4892"/>
        <item sd="0" x="4893"/>
        <item sd="0" x="4894"/>
        <item sd="0" x="4895"/>
        <item sd="0" x="4896"/>
        <item sd="0" x="4897"/>
        <item sd="0" x="4898"/>
        <item sd="0" x="4899"/>
        <item sd="0" x="4900"/>
        <item sd="0" x="4901"/>
        <item sd="0" x="4902"/>
        <item sd="0" x="4903"/>
        <item sd="0" x="4904"/>
        <item sd="0" x="4905"/>
        <item sd="0" x="4906"/>
        <item sd="0" x="4907"/>
        <item sd="0" x="4908"/>
        <item sd="0" x="4909"/>
        <item sd="0" x="4910"/>
        <item sd="0" x="4911"/>
        <item sd="0" x="4912"/>
        <item sd="0" x="4913"/>
        <item sd="0" x="4914"/>
        <item sd="0" x="4915"/>
        <item sd="0" x="4916"/>
        <item sd="0" x="4917"/>
        <item sd="0" x="4918"/>
        <item sd="0" x="4919"/>
        <item sd="0" x="4920"/>
        <item sd="0" x="4921"/>
        <item sd="0" x="4922"/>
        <item sd="0" x="4923"/>
        <item sd="0" x="4924"/>
        <item sd="0" x="4925"/>
        <item sd="0" x="4926"/>
        <item sd="0" x="4927"/>
        <item sd="0" x="4928"/>
        <item sd="0" x="4929"/>
        <item sd="0" x="4930"/>
        <item sd="0" x="4931"/>
        <item sd="0" x="4932"/>
        <item sd="0" x="4933"/>
        <item sd="0" x="4934"/>
        <item sd="0" x="4935"/>
        <item sd="0" x="4936"/>
        <item sd="0" x="4937"/>
        <item sd="0" x="4938"/>
        <item sd="0" x="4939"/>
        <item sd="0" x="4940"/>
        <item sd="0" x="4941"/>
        <item sd="0" x="4942"/>
        <item sd="0" x="4943"/>
        <item sd="0" x="5084"/>
        <item sd="0" x="5085"/>
        <item sd="0" x="5086"/>
        <item sd="0" x="5087"/>
        <item sd="0" x="5088"/>
        <item sd="0" x="5089"/>
        <item sd="0" x="5090"/>
        <item sd="0" x="5091"/>
        <item sd="0" x="5092"/>
        <item sd="0" x="5093"/>
        <item sd="0" x="5094"/>
        <item sd="0" x="5095"/>
        <item sd="0" x="5096"/>
        <item sd="0" x="5097"/>
        <item sd="0" x="5098"/>
        <item sd="0" x="5099"/>
        <item sd="0" x="280"/>
        <item sd="0" x="281"/>
        <item sd="0" x="282"/>
        <item sd="0" x="283"/>
        <item sd="0" x="284"/>
        <item sd="0" x="285"/>
        <item sd="0" x="286"/>
        <item sd="0" x="287"/>
        <item sd="0" x="288"/>
        <item sd="0" x="289"/>
        <item sd="0" x="290"/>
        <item sd="0" x="291"/>
        <item sd="0" x="5179"/>
        <item sd="0" x="5215"/>
        <item sd="0" x="5216"/>
        <item sd="0" x="5217"/>
        <item sd="0" x="5218"/>
        <item sd="0" x="5219"/>
        <item sd="0" x="5220"/>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66"/>
        <item sd="0" x="367"/>
        <item sd="0" x="368"/>
        <item sd="0" x="369"/>
        <item sd="0" x="370"/>
        <item sd="0" x="371"/>
        <item sd="0" x="372"/>
        <item sd="0" x="373"/>
        <item sd="0" x="374"/>
        <item sd="0" x="375"/>
        <item sd="0" x="376"/>
        <item sd="0" x="377"/>
        <item sd="0" x="378"/>
        <item sd="0" x="379"/>
        <item sd="0" x="380"/>
        <item sd="0" x="381"/>
        <item sd="0" x="382"/>
        <item sd="0" x="383"/>
        <item sd="0" x="384"/>
        <item sd="0" x="385"/>
        <item sd="0" x="386"/>
        <item sd="0" x="387"/>
        <item sd="0" x="388"/>
        <item sd="0" x="389"/>
        <item sd="0" x="390"/>
        <item sd="0" x="391"/>
        <item sd="0" x="392"/>
        <item sd="0" x="393"/>
        <item sd="0" x="394"/>
        <item sd="0" x="395"/>
        <item sd="0" x="396"/>
        <item sd="0" x="397"/>
        <item sd="0" x="398"/>
        <item sd="0" x="399"/>
        <item sd="0" x="400"/>
        <item sd="0" x="401"/>
        <item sd="0" x="402"/>
        <item sd="0" x="403"/>
        <item sd="0" x="404"/>
        <item sd="0" x="405"/>
        <item sd="0" x="406"/>
        <item sd="0" x="407"/>
        <item sd="0" x="408"/>
        <item sd="0" x="409"/>
        <item sd="0" x="410"/>
        <item sd="0" x="411"/>
        <item sd="0" x="412"/>
        <item sd="0" x="413"/>
        <item sd="0" x="414"/>
        <item sd="0" x="415"/>
        <item sd="0" x="416"/>
        <item sd="0" x="417"/>
        <item sd="0" x="418"/>
        <item sd="0" x="419"/>
        <item sd="0" x="420"/>
        <item sd="0" x="421"/>
        <item sd="0" x="422"/>
        <item sd="0" x="423"/>
        <item sd="0" x="424"/>
        <item sd="0" x="5221"/>
        <item sd="0" x="5222"/>
        <item sd="0" x="5223"/>
        <item sd="0" x="5254"/>
        <item sd="0" x="5255"/>
        <item sd="0" x="5256"/>
        <item sd="0" x="5257"/>
        <item sd="0" x="425"/>
        <item sd="0" x="426"/>
        <item sd="0" x="427"/>
        <item sd="0" x="428"/>
        <item sd="0" x="429"/>
        <item sd="0" x="430"/>
        <item sd="0" x="431"/>
        <item sd="0" x="432"/>
        <item sd="0" x="433"/>
        <item sd="0" x="434"/>
        <item sd="0" x="435"/>
        <item sd="0" x="436"/>
        <item sd="0" x="437"/>
        <item sd="0" x="438"/>
        <item sd="0" x="439"/>
        <item sd="0" x="440"/>
        <item sd="0" x="441"/>
        <item sd="0" x="442"/>
        <item sd="0" x="443"/>
        <item sd="0" x="444"/>
        <item sd="0" x="445"/>
        <item sd="0" x="446"/>
        <item sd="0" x="447"/>
        <item sd="0" x="448"/>
        <item sd="0" x="449"/>
        <item sd="0" x="450"/>
        <item sd="0" x="451"/>
        <item sd="0" x="452"/>
        <item sd="0" x="453"/>
        <item sd="0" x="454"/>
        <item sd="0" x="455"/>
        <item sd="0" x="456"/>
        <item sd="0" x="457"/>
        <item sd="0" x="458"/>
        <item sd="0" x="459"/>
        <item sd="0" x="460"/>
        <item sd="0" x="461"/>
        <item sd="0" x="462"/>
        <item sd="0" x="463"/>
        <item sd="0" x="464"/>
        <item sd="0" x="465"/>
        <item sd="0" x="466"/>
        <item sd="0" x="467"/>
        <item sd="0" x="468"/>
        <item sd="0" x="469"/>
        <item sd="0" x="470"/>
        <item sd="0" x="471"/>
        <item sd="0" x="472"/>
        <item sd="0" x="473"/>
        <item sd="0" x="474"/>
        <item sd="0" x="475"/>
        <item sd="0" x="476"/>
        <item sd="0" x="477"/>
        <item sd="0" x="478"/>
        <item sd="0" x="479"/>
        <item sd="0" x="480"/>
        <item sd="0" x="481"/>
        <item sd="0" x="482"/>
        <item sd="0" x="483"/>
        <item sd="0" x="484"/>
        <item sd="0" x="485"/>
        <item sd="0" x="486"/>
        <item sd="0" x="487"/>
        <item sd="0" x="488"/>
        <item sd="0" x="489"/>
        <item sd="0" x="490"/>
        <item sd="0" x="491"/>
        <item sd="0" x="492"/>
        <item sd="0" x="493"/>
        <item sd="0" x="494"/>
        <item sd="0" x="495"/>
        <item sd="0" x="496"/>
        <item sd="0" x="497"/>
        <item sd="0" x="498"/>
        <item sd="0" x="499"/>
        <item sd="0" x="500"/>
        <item sd="0" x="501"/>
        <item sd="0" x="502"/>
        <item sd="0" x="503"/>
        <item sd="0" x="504"/>
        <item sd="0" x="505"/>
        <item sd="0" x="506"/>
        <item sd="0" x="507"/>
        <item sd="0" x="508"/>
        <item sd="0" x="509"/>
        <item sd="0" x="510"/>
        <item sd="0" x="511"/>
        <item sd="0" x="512"/>
        <item sd="0" x="513"/>
        <item sd="0" x="514"/>
        <item sd="0" x="515"/>
        <item sd="0" x="516"/>
        <item sd="0" x="517"/>
        <item sd="0" x="518"/>
        <item sd="0" x="519"/>
        <item sd="0" x="520"/>
        <item sd="0" x="521"/>
        <item sd="0" x="522"/>
        <item sd="0" x="523"/>
        <item sd="0" x="524"/>
        <item sd="0" x="525"/>
        <item sd="0" x="526"/>
        <item sd="0" x="527"/>
        <item sd="0" x="528"/>
        <item sd="0" x="529"/>
        <item sd="0" x="530"/>
        <item sd="0" x="531"/>
        <item sd="0" x="532"/>
        <item sd="0" x="533"/>
        <item sd="0" x="534"/>
        <item sd="0" x="535"/>
        <item sd="0" x="536"/>
        <item sd="0" x="537"/>
        <item sd="0" x="538"/>
        <item sd="0" x="539"/>
        <item sd="0" x="540"/>
        <item sd="0" x="541"/>
        <item sd="0" x="542"/>
        <item sd="0" x="543"/>
        <item sd="0" x="544"/>
        <item sd="0" x="5258"/>
        <item sd="0" x="5259"/>
        <item sd="0" x="5260"/>
        <item sd="0" x="5261"/>
        <item sd="0" x="5262"/>
        <item sd="0" x="5290"/>
        <item sd="0" x="5291"/>
        <item sd="0" x="545"/>
        <item sd="0" x="546"/>
        <item sd="0" x="547"/>
        <item sd="0" x="548"/>
        <item sd="0" x="549"/>
        <item sd="0" x="550"/>
        <item sd="0" x="551"/>
        <item sd="0" x="552"/>
        <item sd="0" x="553"/>
        <item sd="0" x="554"/>
        <item sd="0" x="555"/>
        <item sd="0" x="556"/>
        <item sd="0" x="557"/>
        <item sd="0" x="558"/>
        <item sd="0" x="559"/>
        <item sd="0" x="560"/>
        <item sd="0" x="561"/>
        <item sd="0" x="562"/>
        <item sd="0" x="563"/>
        <item sd="0" x="564"/>
        <item sd="0" x="565"/>
        <item sd="0" x="566"/>
        <item sd="0" x="567"/>
        <item sd="0" x="568"/>
        <item sd="0" x="569"/>
        <item sd="0" x="570"/>
        <item sd="0" x="571"/>
        <item sd="0" x="572"/>
        <item sd="0" x="573"/>
        <item sd="0" x="574"/>
        <item sd="0" x="575"/>
        <item sd="0" x="576"/>
        <item sd="0" x="577"/>
        <item sd="0" x="578"/>
        <item sd="0" x="579"/>
        <item sd="0" x="580"/>
        <item sd="0" x="581"/>
        <item sd="0" x="582"/>
        <item sd="0" x="583"/>
        <item sd="0" x="584"/>
        <item sd="0" x="585"/>
        <item sd="0" x="586"/>
        <item sd="0" x="587"/>
        <item sd="0" x="588"/>
        <item sd="0" x="589"/>
        <item sd="0" x="590"/>
        <item sd="0" x="591"/>
        <item sd="0" x="592"/>
        <item sd="0" x="593"/>
        <item sd="0" x="594"/>
        <item sd="0" x="595"/>
        <item sd="0" x="596"/>
        <item sd="0" x="597"/>
        <item sd="0" x="598"/>
        <item sd="0" x="5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5292"/>
        <item x="5293"/>
        <item sd="0" x="5294"/>
        <item sd="0" x="5295"/>
        <item sd="0" x="5296"/>
        <item sd="0" x="5297"/>
        <item sd="0" x="5298"/>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353"/>
        <item sd="0" x="354"/>
        <item sd="0" x="355"/>
        <item sd="0" x="356"/>
        <item sd="0" x="357"/>
        <item sd="0" x="5352"/>
        <item sd="0" x="5353"/>
        <item sd="0" x="5354"/>
        <item sd="0" x="5355"/>
        <item sd="0" x="5356"/>
        <item sd="0" x="5357"/>
        <item sd="0" x="5358"/>
        <item sd="0" x="358"/>
        <item sd="0" x="359"/>
        <item sd="0" x="360"/>
        <item sd="0" x="361"/>
        <item sd="0" x="362"/>
        <item sd="0" x="363"/>
        <item sd="0" x="364"/>
        <item sd="0" x="365"/>
        <item sd="0" m="1" x="15502"/>
        <item sd="0" x="0"/>
        <item sd="0" x="1"/>
        <item sd="0" x="2"/>
        <item sd="0" x="3"/>
        <item sd="0" x="4"/>
        <item sd="0" x="5"/>
        <item sd="0" x="6"/>
        <item sd="0" x="7"/>
        <item sd="0" x="8"/>
        <item sd="0" x="9"/>
        <item sd="0" x="10"/>
        <item sd="0" x="11"/>
        <item sd="0" x="12"/>
        <item sd="0" x="13"/>
        <item sd="0" x="14"/>
        <item sd="0" x="15"/>
        <item sd="0" x="16"/>
        <item sd="0" x="17"/>
        <item sd="0" x="18"/>
        <item sd="0" x="19"/>
        <item sd="0" x="5224"/>
        <item sd="0" x="5225"/>
        <item sd="0" x="5226"/>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5114"/>
        <item sd="0" x="5115"/>
        <item sd="0" x="5116"/>
        <item sd="0" x="5117"/>
        <item sd="0" x="5118"/>
        <item sd="0" x="5119"/>
        <item sd="0" x="5120"/>
        <item sd="0" x="5121"/>
        <item sd="0" x="5122"/>
        <item sd="0" x="5123"/>
        <item sd="0" x="5124"/>
        <item sd="0" x="5125"/>
        <item sd="0" x="5126"/>
        <item sd="0" x="5127"/>
        <item sd="0" x="5128"/>
        <item sd="0" x="5129"/>
        <item sd="0" x="5130"/>
        <item sd="0" x="5131"/>
        <item sd="0" x="5132"/>
        <item sd="0" x="5133"/>
        <item sd="0" x="5134"/>
        <item sd="0" x="5135"/>
        <item sd="0" x="5136"/>
        <item sd="0" x="5137"/>
        <item sd="0" x="5178"/>
        <item sd="0" x="15444"/>
        <item sd="0" m="1" x="15477"/>
        <item sd="0" m="1" x="15518"/>
        <item sd="0" m="1" x="15530"/>
        <item sd="0" m="1" x="15484"/>
        <item sd="0" m="1" x="15521"/>
        <item sd="0" m="1" x="15507"/>
        <item sd="0" m="1" x="15532"/>
        <item sd="0" m="1" x="15503"/>
        <item sd="0" m="1" x="15526"/>
        <item sd="0" m="1" x="15505"/>
        <item sd="0" m="1" x="15528"/>
        <item sd="0" m="1" x="15454"/>
        <item sd="0" m="1" x="15511"/>
        <item sd="0" m="1" x="15459"/>
        <item sd="0" m="1" x="15514"/>
        <item sd="0" m="1" x="15482"/>
        <item sd="0" m="1" x="15520"/>
        <item sd="0" m="1" x="15487"/>
        <item sd="0" m="1" x="15481"/>
        <item sd="0" m="1" x="15513"/>
        <item sd="0" m="1" x="15463"/>
        <item sd="0" m="1" x="15516"/>
        <item sd="0" m="1" x="15517"/>
        <item sd="0" m="1" x="15456"/>
        <item sd="0" m="1" x="15512"/>
        <item sd="0" m="1" x="15486"/>
        <item sd="0" m="1" x="15523"/>
        <item sd="0" m="1" x="15461"/>
        <item sd="0" m="1" x="15515"/>
        <item sd="0" m="1" x="15488"/>
        <item sd="0" m="1" x="15524"/>
        <item sd="0" m="1" x="15478"/>
        <item sd="0" m="1" x="15519"/>
        <item sd="0" m="1" x="15531"/>
        <item sd="0" m="1" x="15485"/>
        <item sd="0" m="1" x="15522"/>
        <item sd="0" m="1" x="15508"/>
        <item sd="0" m="1" x="15533"/>
        <item sd="0" m="1" x="15504"/>
        <item sd="0" m="1" x="15527"/>
        <item sd="0" m="1" x="15506"/>
        <item sd="0" m="1" x="15529"/>
        <item sd="0" m="1" x="15525"/>
        <item sd="0" m="1" x="15509"/>
        <item sd="0" m="1" x="15510"/>
        <item t="default" sd="0"/>
      </items>
    </pivotField>
    <pivotField showAll="0" defaultSubtotal="0"/>
    <pivotField showAll="0">
      <items count="5">
        <item x="0"/>
        <item h="1" x="1"/>
        <item h="1" m="1" x="2"/>
        <item h="1" m="1" x="3"/>
        <item t="default"/>
      </items>
    </pivotField>
    <pivotField showAll="0"/>
    <pivotField showAll="0"/>
    <pivotField showAll="0"/>
    <pivotField showAll="0"/>
    <pivotField showAll="0"/>
    <pivotField showAll="0"/>
    <pivotField dataField="1" showAll="0"/>
    <pivotField dataField="1" showAll="0"/>
    <pivotField dataField="1" showAll="0"/>
    <pivotField showAll="0"/>
  </pivotFields>
  <rowFields count="2">
    <field x="7"/>
    <field x="6"/>
  </rowFields>
  <rowItems count="101">
    <i>
      <x v="15382"/>
    </i>
    <i>
      <x v="15390"/>
    </i>
    <i>
      <x v="15391"/>
    </i>
    <i>
      <x v="15392"/>
    </i>
    <i>
      <x v="15393"/>
    </i>
    <i>
      <x v="15394"/>
    </i>
    <i>
      <x v="15395"/>
    </i>
    <i>
      <x v="15396"/>
    </i>
    <i>
      <x v="15397"/>
    </i>
    <i>
      <x v="15398"/>
    </i>
    <i>
      <x v="15399"/>
    </i>
    <i>
      <x v="15400"/>
    </i>
    <i>
      <x v="15401"/>
    </i>
    <i>
      <x v="15402"/>
    </i>
    <i>
      <x v="15403"/>
    </i>
    <i>
      <x v="15404"/>
    </i>
    <i>
      <x v="15405"/>
    </i>
    <i>
      <x v="15406"/>
    </i>
    <i>
      <x v="15407"/>
    </i>
    <i>
      <x v="15408"/>
    </i>
    <i>
      <x v="15409"/>
    </i>
    <i>
      <x v="15410"/>
    </i>
    <i>
      <x v="15411"/>
    </i>
    <i>
      <x v="15412"/>
    </i>
    <i>
      <x v="15413"/>
    </i>
    <i>
      <x v="15414"/>
    </i>
    <i>
      <x v="15415"/>
    </i>
    <i>
      <x v="15416"/>
    </i>
    <i>
      <x v="15417"/>
    </i>
    <i>
      <x v="15418"/>
    </i>
    <i>
      <x v="15419"/>
    </i>
    <i>
      <x v="15420"/>
    </i>
    <i>
      <x v="15421"/>
    </i>
    <i>
      <x v="15422"/>
    </i>
    <i>
      <x v="15423"/>
    </i>
    <i>
      <x v="15424"/>
    </i>
    <i>
      <x v="15425"/>
    </i>
    <i>
      <x v="15426"/>
    </i>
    <i>
      <x v="15427"/>
    </i>
    <i>
      <x v="15428"/>
    </i>
    <i>
      <x v="15429"/>
    </i>
    <i>
      <x v="15430"/>
    </i>
    <i>
      <x v="15431"/>
    </i>
    <i>
      <x v="15432"/>
    </i>
    <i>
      <x v="15433"/>
    </i>
    <i>
      <x v="15434"/>
    </i>
    <i>
      <x v="15435"/>
    </i>
    <i>
      <x v="15436"/>
    </i>
    <i>
      <x v="15437"/>
    </i>
    <i>
      <x v="15438"/>
    </i>
    <i>
      <x v="15439"/>
    </i>
    <i>
      <x v="15440"/>
    </i>
    <i>
      <x v="15441"/>
    </i>
    <i>
      <x v="15442"/>
    </i>
    <i>
      <x v="15443"/>
    </i>
    <i>
      <x v="15444"/>
    </i>
    <i>
      <x v="15445"/>
    </i>
    <i>
      <x v="15446"/>
    </i>
    <i>
      <x v="15447"/>
    </i>
    <i>
      <x v="15448"/>
    </i>
    <i>
      <x v="15449"/>
    </i>
    <i>
      <x v="15450"/>
    </i>
    <i>
      <x v="15451"/>
    </i>
    <i>
      <x v="15452"/>
    </i>
    <i>
      <x v="15453"/>
    </i>
    <i>
      <x v="15454"/>
    </i>
    <i>
      <x v="15455"/>
    </i>
    <i>
      <x v="15456"/>
    </i>
    <i>
      <x v="15457"/>
    </i>
    <i>
      <x v="15458"/>
    </i>
    <i>
      <x v="15459"/>
    </i>
    <i>
      <x v="15460"/>
    </i>
    <i>
      <x v="15461"/>
    </i>
    <i>
      <x v="15462"/>
    </i>
    <i>
      <x v="15463"/>
    </i>
    <i>
      <x v="15464"/>
    </i>
    <i>
      <x v="15465"/>
    </i>
    <i>
      <x v="15466"/>
    </i>
    <i>
      <x v="15467"/>
    </i>
    <i>
      <x v="15468"/>
    </i>
    <i>
      <x v="15469"/>
    </i>
    <i>
      <x v="15470"/>
    </i>
    <i>
      <x v="15471"/>
    </i>
    <i>
      <x v="15472"/>
    </i>
    <i>
      <x v="15473"/>
    </i>
    <i>
      <x v="15474"/>
    </i>
    <i>
      <x v="15475"/>
    </i>
    <i>
      <x v="15476"/>
    </i>
    <i>
      <x v="15477"/>
    </i>
    <i>
      <x v="15478"/>
    </i>
    <i>
      <x v="15479"/>
    </i>
    <i>
      <x v="15480"/>
    </i>
    <i>
      <x v="15481"/>
    </i>
    <i>
      <x v="15482"/>
    </i>
    <i>
      <x v="15483"/>
    </i>
    <i>
      <x v="15484"/>
    </i>
    <i>
      <x v="15485"/>
    </i>
    <i>
      <x v="15486"/>
    </i>
    <i>
      <x v="15487"/>
    </i>
    <i>
      <x v="15488"/>
    </i>
    <i t="grand">
      <x/>
    </i>
  </rowItems>
  <colFields count="1">
    <field x="-2"/>
  </colFields>
  <colItems count="3">
    <i>
      <x/>
    </i>
    <i i="1">
      <x v="1"/>
    </i>
    <i i="2">
      <x v="2"/>
    </i>
  </colItems>
  <dataFields count="3">
    <dataField name="Average of ACTUALBASE" fld="17" subtotal="average" baseField="7" baseItem="7997" numFmtId="164"/>
    <dataField name="Average of PREDICTEDBASE" fld="18" subtotal="average" baseField="7" baseItem="7997" numFmtId="164"/>
    <dataField name="Average of ERRORTR" fld="16" subtotal="average" baseField="7" baseItem="14598" numFmtId="164"/>
  </dataFields>
  <chartFormats count="3">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2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2:J27" firstHeaderRow="0" firstDataRow="1" firstDataCol="1"/>
  <pivotFields count="14">
    <pivotField showAll="0">
      <items count="782">
        <item h="1" m="1" x="197"/>
        <item h="1" m="1" x="48"/>
        <item h="1" m="1" x="149"/>
        <item h="1" m="1" x="71"/>
        <item h="1" m="1" x="254"/>
        <item h="1" m="1" x="506"/>
        <item h="1" m="1" x="285"/>
        <item h="1" m="1" x="353"/>
        <item h="1" m="1" x="552"/>
        <item h="1" m="1" x="328"/>
        <item h="1" m="1" x="345"/>
        <item h="1" m="1" x="381"/>
        <item h="1" m="1" x="630"/>
        <item h="1" m="1" x="620"/>
        <item h="1" m="1" x="472"/>
        <item h="1" m="1" x="654"/>
        <item h="1" m="1" x="593"/>
        <item h="1" m="1" x="443"/>
        <item h="1" m="1" x="698"/>
        <item h="1" m="1" x="19"/>
        <item h="1" m="1" x="579"/>
        <item h="1" m="1" x="191"/>
        <item h="1" m="1" x="342"/>
        <item h="1" m="1" x="389"/>
        <item h="1" m="1" x="413"/>
        <item h="1" m="1" x="33"/>
        <item h="1" m="1" x="67"/>
        <item h="1" m="1" x="533"/>
        <item h="1" m="1" x="677"/>
        <item h="1" m="1" x="302"/>
        <item h="1" m="1" x="4"/>
        <item h="1" m="1" x="95"/>
        <item h="1" m="1" x="496"/>
        <item h="1" m="1" x="106"/>
        <item h="1" m="1" x="250"/>
        <item h="1" m="1" x="400"/>
        <item h="1" m="1" x="615"/>
        <item h="1" m="1" x="753"/>
        <item h="1" m="1" x="17"/>
        <item h="1" m="1" x="117"/>
        <item h="1" m="1" x="262"/>
        <item h="1" m="1" x="719"/>
        <item h="1" m="1" x="30"/>
        <item h="1" m="1" x="53"/>
        <item h="1" m="1" x="79"/>
        <item h="1" m="1" x="128"/>
        <item h="1" m="1" x="219"/>
        <item h="1" m="1" x="453"/>
        <item h="1" m="1" x="520"/>
        <item h="1" m="1" x="50"/>
        <item h="1" m="1" x="492"/>
        <item h="1" m="1" x="419"/>
        <item h="1" m="1" x="491"/>
        <item h="1" m="1" x="517"/>
        <item h="1" m="1" x="278"/>
        <item h="1" m="1" x="686"/>
        <item h="1" m="1" x="749"/>
        <item h="1" m="1" x="774"/>
        <item h="1" m="1" x="206"/>
        <item h="1" m="1" x="229"/>
        <item h="1" m="1" x="348"/>
        <item h="1" m="1" x="631"/>
        <item h="1" m="1" x="242"/>
        <item h="1" m="1" x="418"/>
        <item h="1" m="1" x="548"/>
        <item h="1" m="1" x="612"/>
        <item h="1" m="1" x="646"/>
        <item h="1" m="1" x="658"/>
        <item h="1" m="1" x="672"/>
        <item h="1" m="1" x="771"/>
        <item h="1" m="1" x="13"/>
        <item h="1" m="1" x="204"/>
        <item h="1" m="1" x="500"/>
        <item h="1" m="1" x="111"/>
        <item h="1" m="1" x="318"/>
        <item h="1" m="1" x="514"/>
        <item h="1" m="1" x="710"/>
        <item h="1" m="1" x="125"/>
        <item h="1" m="1" x="330"/>
        <item h="1" m="1" x="529"/>
        <item h="1" m="1" x="611"/>
        <item h="1" m="1" x="644"/>
        <item h="1" m="1" x="657"/>
        <item h="1" m="1" x="670"/>
        <item h="1" m="1" x="101"/>
        <item h="1" m="1" x="499"/>
        <item h="1" m="1" x="561"/>
        <item h="1" m="1" x="684"/>
        <item h="1" m="1" x="702"/>
        <item h="1" m="1" x="739"/>
        <item h="1" m="1" x="24"/>
        <item h="1" m="1" x="47"/>
        <item h="1" m="1" x="74"/>
        <item h="1" m="1" x="89"/>
        <item h="1" m="1" x="171"/>
        <item h="1" m="1" x="212"/>
        <item h="1" m="1" x="80"/>
        <item h="1" m="1" x="350"/>
        <item h="1" m="1" x="378"/>
        <item h="1" m="1" x="446"/>
        <item h="1" m="1" x="609"/>
        <item h="1" m="1" x="640"/>
        <item h="1" m="1" x="23"/>
        <item h="1" m="1" x="306"/>
        <item h="1" m="1" x="482"/>
        <item h="1" m="1" x="510"/>
        <item h="1" m="1" x="676"/>
        <item h="1" m="1" x="85"/>
        <item h="1" m="1" x="183"/>
        <item h="1" m="1" x="114"/>
        <item h="1" m="1" x="246"/>
        <item h="1" m="1" x="461"/>
        <item h="1" m="1" x="584"/>
        <item h="1" m="1" x="121"/>
        <item h="1" m="1" x="403"/>
        <item h="1" m="1" x="487"/>
        <item h="1" m="1" x="680"/>
        <item h="1" m="1" x="690"/>
        <item h="1" m="1" x="35"/>
        <item h="1" m="1" x="98"/>
        <item h="1" m="1" x="134"/>
        <item h="1" m="1" x="332"/>
        <item h="1" m="1" x="442"/>
        <item h="1" m="1" x="83"/>
        <item h="1" m="1" x="154"/>
        <item h="1" m="1" x="618"/>
        <item h="1" m="1" x="303"/>
        <item h="1" m="1" x="320"/>
        <item h="1" m="1" x="390"/>
        <item h="1" m="1" x="68"/>
        <item h="1" m="1" x="109"/>
        <item h="1" m="1" x="200"/>
        <item h="1" m="1" x="665"/>
        <item h="1" m="1" x="76"/>
        <item h="1" m="1" x="177"/>
        <item h="1" m="1" x="273"/>
        <item h="1" m="1" x="735"/>
        <item h="1" m="1" x="148"/>
        <item h="1" m="1" x="248"/>
        <item h="1" m="1" x="347"/>
        <item h="1" m="1" x="462"/>
        <item h="1" m="1" x="549"/>
        <item h="1" m="1" x="650"/>
        <item h="1" m="1" x="745"/>
        <item h="1" m="1" x="376"/>
        <item h="1" m="1" x="524"/>
        <item h="1" m="1" x="570"/>
        <item h="1" m="1" x="290"/>
        <item h="1" m="1" x="375"/>
        <item h="1" m="1" x="82"/>
        <item h="1" m="1" x="421"/>
        <item h="1" m="1" x="523"/>
        <item h="1" m="1" x="143"/>
        <item h="1" m="1" x="578"/>
        <item h="1" m="1" x="636"/>
        <item h="1" m="1" x="711"/>
        <item h="1" m="1" x="721"/>
        <item h="1" m="1" x="439"/>
        <item h="1" m="1" x="751"/>
        <item h="1" m="1" x="66"/>
        <item h="1" m="1" x="507"/>
        <item h="1" m="1" x="592"/>
        <item h="1" m="1" x="604"/>
        <item h="1" m="1" x="616"/>
        <item h="1" m="1" x="236"/>
        <item h="1" m="1" x="288"/>
        <item h="1" m="1" x="301"/>
        <item h="1" m="1" x="356"/>
        <item h="1" m="1" x="388"/>
        <item h="1" m="1" x="458"/>
        <item h="1" m="1" x="468"/>
        <item h="1" m="1" x="568"/>
        <item h="1" m="1" x="687"/>
        <item h="1" m="1" x="595"/>
        <item h="1" m="1" x="18"/>
        <item h="1" m="1" x="467"/>
        <item h="1" m="1" x="63"/>
        <item h="1" m="1" x="94"/>
        <item h="1" m="1" x="118"/>
        <item h="1" m="1" x="164"/>
        <item h="1" m="1" x="576"/>
        <item h="1" m="1" x="223"/>
        <item h="1" m="1" x="235"/>
        <item h="1" m="1" x="287"/>
        <item h="1" m="1" x="733"/>
        <item h="1" m="1" x="743"/>
        <item h="1" m="1" x="370"/>
        <item h="1" m="1" x="326"/>
        <item h="1" m="1" x="425"/>
        <item h="1" m="1" x="44"/>
        <item h="1" m="1" x="81"/>
        <item h="1" m="1" x="494"/>
        <item h="1" m="1" x="522"/>
        <item h="1" m="1" x="189"/>
        <item h="1" m="1" x="270"/>
        <item h="1" m="1" x="185"/>
        <item h="1" m="1" x="286"/>
        <item h="1" m="1" x="300"/>
        <item h="1" m="1" x="457"/>
        <item h="1" m="1" x="62"/>
        <item h="1" m="1" x="493"/>
        <item h="1" m="1" x="449"/>
        <item h="1" m="1" x="543"/>
        <item h="1" m="1" x="575"/>
        <item h="1" m="1" x="663"/>
        <item h="1" m="1" x="695"/>
        <item h="1" m="1" x="709"/>
        <item h="1" m="1" x="732"/>
        <item h="1" m="1" x="257"/>
        <item h="1" m="1" x="355"/>
        <item h="1" m="1" x="384"/>
        <item h="1" m="1" x="399"/>
        <item h="1" m="1" x="433"/>
        <item h="1" m="1" x="379"/>
        <item h="1" m="1" x="485"/>
        <item h="1" m="1" x="504"/>
        <item h="1" m="1" x="521"/>
        <item h="1" m="1" x="142"/>
        <item h="1" m="1" x="162"/>
        <item h="1" m="1" x="614"/>
        <item h="1" m="1" x="218"/>
        <item h="1" m="1" x="158"/>
        <item h="1" m="1" x="259"/>
        <item h="1" m="1" x="717"/>
        <item h="1" m="1" x="731"/>
        <item h="1" m="1" x="368"/>
        <item h="1" m="1" x="383"/>
        <item h="1" m="1" x="409"/>
        <item h="1" m="1" x="15"/>
        <item h="1" m="1" x="422"/>
        <item h="1" m="1" x="452"/>
        <item h="1" m="1" x="51"/>
        <item h="1" m="1" x="477"/>
        <item h="1" m="1" x="141"/>
        <item h="1" m="1" x="161"/>
        <item h="1" m="1" x="603"/>
        <item h="1" m="1" x="624"/>
        <item h="1" m="1" x="233"/>
        <item h="1" m="1" x="247"/>
        <item h="1" m="1" x="282"/>
        <item h="1" m="1" x="298"/>
        <item h="1" m="1" x="312"/>
        <item h="1" m="1" x="707"/>
        <item h="1" m="1" x="716"/>
        <item h="1" m="1" x="645"/>
        <item h="1" m="1" x="309"/>
        <item h="1" m="1" x="432"/>
        <item h="1" m="1" x="629"/>
        <item h="1" m="1" x="726"/>
        <item h="1" m="1" x="42"/>
        <item h="1" m="1" x="566"/>
        <item h="1" m="1" x="562"/>
        <item h="1" m="1" x="311"/>
        <item h="1" m="1" x="730"/>
        <item h="1" m="1" x="364"/>
        <item h="1" m="1" x="78"/>
        <item h="1" m="1" x="539"/>
        <item h="1" m="1" x="150"/>
        <item h="1" m="1" x="186"/>
        <item h="1" m="1" x="613"/>
        <item h="1" m="1" x="217"/>
        <item h="1" m="1" x="647"/>
        <item x="0"/>
        <item h="1" m="1" x="297"/>
        <item h="1" m="1" x="715"/>
        <item h="1" m="1" x="729"/>
        <item h="1" m="1" x="241"/>
        <item h="1" m="1" x="363"/>
        <item h="1" m="1" x="759"/>
        <item h="1" m="1" x="61"/>
        <item h="1" m="1" x="113"/>
        <item h="1" m="1" x="518"/>
        <item h="1" m="1" x="538"/>
        <item h="1" m="1" x="588"/>
        <item h="1" m="1" x="195"/>
        <item h="1" m="1" x="245"/>
        <item h="1" m="1" x="660"/>
        <item h="1" m="1" x="279"/>
        <item h="1" m="1" x="296"/>
        <item h="1" m="1" x="656"/>
        <item h="1" m="1" x="60"/>
        <item h="1" m="1" x="103"/>
        <item h="1" m="1" x="475"/>
        <item h="1" m="1" x="207"/>
        <item h="1" m="1" x="674"/>
        <item h="1" m="1" x="693"/>
        <item h="1" m="1" x="740"/>
        <item h="1" m="1" x="757"/>
        <item h="1" m="1" x="408"/>
        <item h="1" m="1" x="431"/>
        <item h="1" m="1" x="39"/>
        <item h="1" m="1" x="450"/>
        <item h="1" m="1" x="252"/>
        <item h="1" m="1" x="465"/>
        <item h="1" m="1" x="93"/>
        <item h="1" m="1" x="516"/>
        <item h="1" m="1" x="551"/>
        <item h="1" m="1" x="160"/>
        <item h="1" m="1" x="214"/>
        <item h="1" m="1" x="244"/>
        <item h="1" m="1" x="659"/>
        <item h="1" m="1" x="673"/>
        <item h="1" m="1" x="692"/>
        <item h="1" m="1" x="714"/>
        <item h="1" m="1" x="727"/>
        <item h="1" m="1" x="748"/>
        <item h="1" m="1" x="336"/>
        <item h="1" m="1" x="382"/>
        <item h="1" m="1" x="772"/>
        <item h="1" m="1" x="396"/>
        <item h="1" m="1" x="2"/>
        <item h="1" m="1" x="407"/>
        <item h="1" m="1" x="28"/>
        <item h="1" m="1" x="627"/>
        <item h="1" m="1" x="26"/>
        <item h="1" m="1" x="77"/>
        <item h="1" m="1" x="292"/>
        <item h="1" m="1" x="112"/>
        <item h="1" m="1" x="537"/>
        <item h="1" m="1" x="633"/>
        <item h="1" m="1" x="736"/>
        <item h="1" m="1" x="316"/>
        <item h="1" m="1" x="357"/>
        <item h="1" m="1" x="767"/>
        <item h="1" m="1" x="147"/>
        <item h="1" m="1" x="193"/>
        <item h="1" m="1" x="599"/>
        <item h="1" m="1" x="6"/>
        <item h="1" m="1" x="213"/>
        <item h="1" m="1" x="622"/>
        <item h="1" m="1" x="228"/>
        <item h="1" m="1" x="441"/>
        <item h="1" x="1"/>
        <item h="1" m="1" x="295"/>
        <item h="1" m="1" x="643"/>
        <item h="1" m="1" x="691"/>
        <item h="1" m="1" x="132"/>
        <item h="1" m="1" x="144"/>
        <item h="1" m="1" x="153"/>
        <item h="1" m="1" x="166"/>
        <item h="1" m="1" x="335"/>
        <item h="1" m="1" x="380"/>
        <item h="1" m="1" x="486"/>
        <item h="1" m="1" x="531"/>
        <item h="1" m="1" x="581"/>
        <item h="1" m="1" x="395"/>
        <item h="1" m="1" x="626"/>
        <item h="1" m="1" x="464"/>
        <item h="1" m="1" x="59"/>
        <item h="1" m="1" x="679"/>
        <item h="1" m="1" x="92"/>
        <item h="1" m="1" x="489"/>
        <item h="1" m="1" x="319"/>
        <item h="1" m="1" x="515"/>
        <item h="1" m="1" x="722"/>
        <item h="1" m="1" x="688"/>
        <item h="1" m="1" x="720"/>
        <item h="1" m="1" x="87"/>
        <item h="1" m="1" x="137"/>
        <item h="1" m="1" x="184"/>
        <item h="1" m="1" x="415"/>
        <item h="1" m="1" x="387"/>
        <item h="1" m="1" x="440"/>
        <item h="1" m="1" x="354"/>
        <item h="1" m="1" x="411"/>
        <item h="1" m="1" x="469"/>
        <item h="1" m="1" x="705"/>
        <item h="1" m="1" x="16"/>
        <item h="1" m="1" x="64"/>
        <item h="1" m="1" x="119"/>
        <item h="1" m="1" x="152"/>
        <item h="1" m="1" x="747"/>
        <item h="1" m="1" x="756"/>
        <item h="1" m="1" x="580"/>
        <item h="1" m="1" x="199"/>
        <item h="1" m="1" x="605"/>
        <item h="1" m="1" x="567"/>
        <item h="1" m="1" x="178"/>
        <item h="1" m="1" x="224"/>
        <item h="1" m="1" x="251"/>
        <item h="1" m="1" x="58"/>
        <item h="1" m="1" x="264"/>
        <item h="1" m="1" x="484"/>
        <item h="1" m="1" x="291"/>
        <item h="1" m="1" x="331"/>
        <item h="1" m="1" x="90"/>
        <item h="1" m="1" x="139"/>
        <item h="1" m="1" x="564"/>
        <item h="1" m="1" x="766"/>
        <item h="1" m="1" x="536"/>
        <item h="1" m="1" x="587"/>
        <item h="1" m="1" x="5"/>
        <item h="1" m="1" x="414"/>
        <item h="1" m="1" x="459"/>
        <item h="1" m="1" x="268"/>
        <item h="1" m="1" x="327"/>
        <item h="1" m="1" x="367"/>
        <item h="1" m="1" x="426"/>
        <item h="1" m="1" x="479"/>
        <item h="1" m="1" x="525"/>
        <item h="1" m="1" x="572"/>
        <item h="1" m="1" x="621"/>
        <item h="1" m="1" x="671"/>
        <item h="1" m="1" x="294"/>
        <item h="1" m="1" x="108"/>
        <item h="1" m="1" x="255"/>
        <item h="1" m="1" x="310"/>
        <item h="1" m="1" x="704"/>
        <item h="1" m="1" x="325"/>
        <item h="1" m="1" x="131"/>
        <item h="1" m="1" x="556"/>
        <item h="1" m="1" x="755"/>
        <item h="1" m="1" x="182"/>
        <item h="1" m="1" x="417"/>
        <item h="1" m="1" x="617"/>
        <item h="1" m="1" x="27"/>
        <item h="1" m="1" x="664"/>
        <item h="1" m="1" x="289"/>
        <item h="1" m="1" x="102"/>
        <item h="1" m="1" x="501"/>
        <item h="1" m="1" x="138"/>
        <item h="1" m="1" x="341"/>
        <item h="1" m="1" x="563"/>
        <item h="1" m="1" x="373"/>
        <item h="1" m="1" x="764"/>
        <item h="1" m="1" x="401"/>
        <item h="1" m="1" x="598"/>
        <item h="1" m="1" x="203"/>
        <item h="1" m="1" x="412"/>
        <item h="1" m="1" x="32"/>
        <item h="1" m="1" x="324"/>
        <item h="1" m="1" x="130"/>
        <item h="1" m="1" x="682"/>
        <item h="1" m="1" x="725"/>
        <item h="1" m="1" x="181"/>
        <item h="1" m="1" x="577"/>
        <item h="1" m="1" x="394"/>
        <item h="1" m="1" x="12"/>
        <item h="1" m="1" x="237"/>
        <item h="1" m="1" x="263"/>
        <item h="1" m="1" x="317"/>
        <item h="1" m="1" x="173"/>
        <item h="1" m="1" x="776"/>
        <item h="1" m="1" x="546"/>
        <item h="1" m="1" x="597"/>
        <item h="1" m="1" x="202"/>
        <item h="1" m="1" x="256"/>
        <item h="1" m="1" x="267"/>
        <item h="1" m="1" x="669"/>
        <item h="1" m="1" x="226"/>
        <item h="1" m="1" x="277"/>
        <item h="1" m="1" x="434"/>
        <item h="1" m="1" x="685"/>
        <item h="1" m="1" x="454"/>
        <item h="1" m="1" x="495"/>
        <item h="1" m="1" x="505"/>
        <item h="1" m="1" x="532"/>
        <item h="1" m="1" x="151"/>
        <item h="1" m="1" x="555"/>
        <item h="1" m="1" x="569"/>
        <item h="1" m="1" x="180"/>
        <item h="1" m="1" x="393"/>
        <item h="1" m="1" x="11"/>
        <item h="1" m="1" x="209"/>
        <item h="1" m="1" x="25"/>
        <item h="1" m="1" x="38"/>
        <item h="1" m="1" x="447"/>
        <item h="1" m="1" x="249"/>
        <item h="1" m="1" x="272"/>
        <item h="1" m="1" x="91"/>
        <item h="1" m="1" x="100"/>
        <item h="1" m="1" x="734"/>
        <item h="1" m="1" x="172"/>
        <item h="1" m="1" x="372"/>
        <item h="1" m="1" x="596"/>
        <item h="1" m="1" x="3"/>
        <item h="1" m="1" x="120"/>
        <item h="1" m="1" x="168"/>
        <item h="1" m="1" x="438"/>
        <item h="1" m="1" x="642"/>
        <item h="1" m="1" x="54"/>
        <item h="1" m="1" x="65"/>
        <item h="1" m="1" x="478"/>
        <item h="1" m="1" x="758"/>
        <item h="1" m="1" x="29"/>
        <item h="1" m="1" x="239"/>
        <item h="1" m="1" x="293"/>
        <item h="1" m="1" x="308"/>
        <item h="1" m="1" x="703"/>
        <item h="1" m="1" x="344"/>
        <item h="1" m="1" x="554"/>
        <item h="1" m="1" x="165"/>
        <item h="1" m="1" x="265"/>
        <item h="1" m="1" x="359"/>
        <item h="1" m="1" x="179"/>
        <item h="1" m="1" x="392"/>
        <item h="1" m="1" x="540"/>
        <item h="1" m="1" x="591"/>
        <item h="1" m="1" x="780"/>
        <item h="1" m="1" x="198"/>
        <item h="1" m="1" x="502"/>
        <item h="1" m="1" x="75"/>
        <item h="1" m="1" x="271"/>
        <item h="1" m="1" x="234"/>
        <item h="1" m="1" x="697"/>
        <item h="1" m="1" x="513"/>
        <item h="1" m="1" x="215"/>
        <item h="1" m="1" x="329"/>
        <item h="1" m="1" x="230"/>
        <item h="1" m="1" x="283"/>
        <item h="1" m="1" x="340"/>
        <item h="1" m="1" x="157"/>
        <item h="1" m="1" x="371"/>
        <item h="1" m="1" x="763"/>
        <item h="1" m="1" x="192"/>
        <item h="1" m="1" x="610"/>
        <item h="1" m="1" x="337"/>
        <item h="1" m="1" x="641"/>
        <item h="1" m="1" x="668"/>
        <item h="1" m="1" x="683"/>
        <item h="1" m="1" x="116"/>
        <item h="1" m="1" x="323"/>
        <item h="1" m="1" x="334"/>
        <item h="1" m="1" x="503"/>
        <item h="1" m="1" x="163"/>
        <item h="1" m="1" x="667"/>
        <item h="1" m="1" x="712"/>
        <item h="1" m="1" x="190"/>
        <item h="1" m="1" x="737"/>
        <item h="1" m="1" x="779"/>
        <item h="1" m="1" x="222"/>
        <item h="1" m="1" x="625"/>
        <item h="1" m="1" x="37"/>
        <item h="1" m="1" x="635"/>
        <item h="1" m="1" x="651"/>
        <item h="1" m="1" x="73"/>
        <item h="1" m="1" x="88"/>
        <item h="1" m="1" x="110"/>
        <item h="1" m="1" x="315"/>
        <item h="1" m="1" x="346"/>
        <item h="1" m="1" x="369"/>
        <item h="1" m="1" x="762"/>
        <item h="1" m="1" x="386"/>
        <item h="1" m="1" x="594"/>
        <item h="1" m="1" x="365"/>
        <item h="1" m="1" x="424"/>
        <item h="1" m="1" x="31"/>
        <item h="1" m="1" x="437"/>
        <item h="1" m="1" x="398"/>
        <item h="1" m="1" x="655"/>
        <item h="1" m="1" x="360"/>
        <item h="1" m="1" x="420"/>
        <item h="1" m="1" x="276"/>
        <item h="1" m="1" x="307"/>
        <item h="1" m="1" x="701"/>
        <item h="1" m="1" x="322"/>
        <item h="1" m="1" x="129"/>
        <item h="1" m="1" x="724"/>
        <item h="1" m="1" x="700"/>
        <item h="1" m="1" x="746"/>
        <item h="1" m="1" x="770"/>
        <item h="1" m="1" x="590"/>
        <item h="1" m="1" x="196"/>
        <item h="1" m="1" x="220"/>
        <item h="1" m="1" x="430"/>
        <item h="1" m="1" x="634"/>
        <item h="1" m="1" x="57"/>
        <item h="1" m="1" x="261"/>
        <item h="1" m="1" x="474"/>
        <item h="1" m="1" x="72"/>
        <item h="1" m="1" x="483"/>
        <item h="1" m="1" x="777"/>
        <item h="1" m="1" x="46"/>
        <item h="1" m="1" x="99"/>
        <item h="1" m="1" x="402"/>
        <item h="1" m="1" x="460"/>
        <item h="1" m="1" x="498"/>
        <item h="1" m="1" x="314"/>
        <item h="1" m="1" x="470"/>
        <item h="1" m="1" x="512"/>
        <item h="1" m="1" x="527"/>
        <item h="1" m="1" x="718"/>
        <item h="1" m="1" x="146"/>
        <item h="1" m="1" x="243"/>
        <item h="1" m="1" x="742"/>
        <item h="1" m="1" x="156"/>
        <item h="1" m="1" x="706"/>
        <item h="1" m="1" x="122"/>
        <item h="1" m="1" x="170"/>
        <item h="1" m="1" x="338"/>
        <item h="1" m="1" x="385"/>
        <item h="1" m="1" x="586"/>
        <item h="1" m="1" x="351"/>
        <item h="1" m="1" x="410"/>
        <item h="1" m="1" x="211"/>
        <item h="1" m="1" x="760"/>
        <item h="1" m="1" x="435"/>
        <item h="1" m="1" x="240"/>
        <item h="1" m="1" x="455"/>
        <item h="1" m="1" x="639"/>
        <item h="1" m="1" x="52"/>
        <item h="1" m="1" x="266"/>
        <item h="1" m="1" x="723"/>
        <item h="1" m="1" x="343"/>
        <item h="1" m="1" x="542"/>
        <item h="1" m="1" x="738"/>
        <item h="1" m="1" x="589"/>
        <item h="1" m="1" x="10"/>
        <item h="1" m="1" x="22"/>
        <item h="1" m="1" x="445"/>
        <item h="1" m="1" x="463"/>
        <item h="1" m="1" x="260"/>
        <item h="1" m="1" x="216"/>
        <item h="1" m="1" x="269"/>
        <item h="1" m="1" x="299"/>
        <item h="1" m="1" x="511"/>
        <item h="1" m="1" x="136"/>
        <item h="1" m="1" x="145"/>
        <item h="1" m="1" x="560"/>
        <item h="1" m="1" x="169"/>
        <item h="1" m="1" x="585"/>
        <item h="1" m="1" x="557"/>
        <item h="1" m="1" x="608"/>
        <item h="1" m="1" x="361"/>
        <item h="1" m="1" x="423"/>
        <item h="1" m="1" x="619"/>
        <item h="1" m="1" x="43"/>
        <item h="1" m="1" x="466"/>
        <item h="1" m="1" x="275"/>
        <item h="1" m="1" x="628"/>
        <item h="1" m="1" x="681"/>
        <item h="1" m="1" x="105"/>
        <item h="1" m="1" x="253"/>
        <item h="1" m="1" x="305"/>
        <item h="1" m="1" x="115"/>
        <item h="1" m="1" x="519"/>
        <item h="1" m="1" x="448"/>
        <item h="1" m="1" x="490"/>
        <item h="1" m="1" x="541"/>
        <item h="1" m="1" x="358"/>
        <item h="1" m="1" x="574"/>
        <item h="1" m="1" x="769"/>
        <item h="1" m="1" x="188"/>
        <item h="1" m="1" x="21"/>
        <item h="1" m="1" x="649"/>
        <item h="1" m="1" x="258"/>
        <item h="1" m="1" x="473"/>
        <item h="1" m="1" x="662"/>
        <item h="1" m="1" x="86"/>
        <item h="1" m="1" x="284"/>
        <item h="1" m="1" x="444"/>
        <item h="1" m="1" x="497"/>
        <item h="1" m="1" x="694"/>
        <item h="1" m="1" x="313"/>
        <item h="1" m="1" x="708"/>
        <item h="1" m="1" x="124"/>
        <item h="1" m="1" x="526"/>
        <item h="1" m="1" x="339"/>
        <item h="1" m="1" x="545"/>
        <item h="1" m="1" x="741"/>
        <item h="1" m="1" x="752"/>
        <item h="1" m="1" x="761"/>
        <item h="1" m="1" x="14"/>
        <item h="1" m="1" x="104"/>
        <item h="1" m="1" x="713"/>
        <item h="1" m="1" x="127"/>
        <item h="1" m="1" x="530"/>
        <item h="1" m="1" x="699"/>
        <item h="1" m="1" x="176"/>
        <item h="1" m="1" x="377"/>
        <item h="1" m="1" x="678"/>
        <item h="1" m="1" x="768"/>
        <item h="1" m="1" x="391"/>
        <item h="1" m="1" x="602"/>
        <item h="1" m="1" x="429"/>
        <item h="1" m="1" x="632"/>
        <item h="1" m="1" x="70"/>
        <item h="1" m="1" x="623"/>
        <item h="1" m="1" x="675"/>
        <item h="1" m="1" x="765"/>
        <item h="1" m="1" x="34"/>
        <item h="1" m="1" x="84"/>
        <item h="1" m="1" x="488"/>
        <item h="1" m="1" x="509"/>
        <item h="1" m="1" x="69"/>
        <item h="1" m="1" x="123"/>
        <item h="1" m="1" x="559"/>
        <item h="1" m="1" x="167"/>
        <item h="1" m="1" x="366"/>
        <item h="1" m="1" x="607"/>
        <item h="1" m="1" x="773"/>
        <item h="1" m="1" x="41"/>
        <item h="1" m="1" x="451"/>
        <item h="1" m="1" x="476"/>
        <item h="1" m="1" x="274"/>
        <item h="1" m="1" x="333"/>
        <item h="1" m="1" x="553"/>
        <item h="1" m="1" x="565"/>
        <item h="1" m="1" x="187"/>
        <item h="1" m="1" x="405"/>
        <item h="1" m="1" x="550"/>
        <item h="1" m="1" x="601"/>
        <item h="1" m="1" x="9"/>
        <item h="1" m="1" x="159"/>
        <item h="1" m="1" x="208"/>
        <item h="1" m="1" x="36"/>
        <item h="1" m="1" x="547"/>
        <item h="1" m="1" x="600"/>
        <item h="1" m="1" x="648"/>
        <item h="1" m="1" x="696"/>
        <item h="1" m="1" x="744"/>
        <item h="1" m="1" x="7"/>
        <item h="1" m="1" x="56"/>
        <item h="1" m="1" x="471"/>
        <item h="1" m="1" x="427"/>
        <item h="1" m="1" x="481"/>
        <item h="1" m="1" x="281"/>
        <item h="1" m="1" x="508"/>
        <item h="1" m="1" x="135"/>
        <item h="1" m="1" x="352"/>
        <item h="1" m="1" x="571"/>
        <item h="1" m="1" x="534"/>
        <item h="1" m="1" x="583"/>
        <item h="1" m="1" x="397"/>
        <item h="1" m="1" x="225"/>
        <item h="1" m="1" x="40"/>
        <item h="1" m="1" x="238"/>
        <item h="1" m="1" x="638"/>
        <item h="1" m="1" x="653"/>
        <item h="1" m="1" x="140"/>
        <item h="1" m="1" x="126"/>
        <item h="1" m="1" x="175"/>
        <item h="1" m="1" x="573"/>
        <item h="1" m="1" x="404"/>
        <item h="1" m="1" x="8"/>
        <item h="1" m="1" x="416"/>
        <item h="1" m="1" x="20"/>
        <item h="1" m="1" x="232"/>
        <item h="1" m="1" x="661"/>
        <item h="1" m="1" x="480"/>
        <item h="1" m="1" x="227"/>
        <item h="1" m="1" x="280"/>
        <item h="1" m="1" x="544"/>
        <item h="1" m="1" x="558"/>
        <item h="1" m="1" x="750"/>
        <item h="1" m="1" x="362"/>
        <item h="1" m="1" x="582"/>
        <item h="1" m="1" x="775"/>
        <item h="1" m="1" x="49"/>
        <item h="1" m="1" x="304"/>
        <item h="1" m="1" x="349"/>
        <item h="1" m="1" x="754"/>
        <item h="1" m="1" x="778"/>
        <item h="1" m="1" x="231"/>
        <item h="1" m="1" x="728"/>
        <item h="1" m="1" x="210"/>
        <item h="1" m="1" x="637"/>
        <item h="1" m="1" x="652"/>
        <item h="1" m="1" x="321"/>
        <item h="1" m="1" x="174"/>
        <item h="1" m="1" x="205"/>
        <item h="1" m="1" x="374"/>
        <item h="1" m="1" x="428"/>
        <item h="1" m="1" x="45"/>
        <item h="1" m="1" x="97"/>
        <item h="1" m="1" x="133"/>
        <item h="1" m="1" x="535"/>
        <item h="1" m="1" x="96"/>
        <item h="1" m="1" x="107"/>
        <item h="1" m="1" x="155"/>
        <item h="1" m="1" x="606"/>
        <item h="1" m="1" x="666"/>
        <item h="1" m="1" x="689"/>
        <item h="1" m="1" x="221"/>
        <item h="1" m="1" x="194"/>
        <item h="1" m="1" x="528"/>
        <item h="1" m="1" x="55"/>
        <item h="1" m="1" x="201"/>
        <item h="1" m="1" x="436"/>
        <item h="1" m="1" x="456"/>
        <item h="1" m="1" x="406"/>
        <item t="default"/>
      </items>
    </pivotField>
    <pivotField showAll="0"/>
    <pivotField axis="axisRow" numFmtId="22" showAll="0" sortType="ascending" defaultSubtotal="0">
      <items count="2069">
        <item m="1" x="791"/>
        <item m="1" x="1108"/>
        <item m="1" x="1110"/>
        <item m="1" x="1112"/>
        <item m="1" x="1113"/>
        <item m="1" x="1115"/>
        <item m="1" x="1116"/>
        <item m="1" x="1118"/>
        <item m="1" x="1120"/>
        <item m="1" x="1122"/>
        <item m="1" x="1124"/>
        <item m="1" x="1127"/>
        <item m="1" x="1129"/>
        <item m="1" x="1131"/>
        <item m="1" x="1133"/>
        <item m="1" x="1135"/>
        <item m="1" x="1137"/>
        <item m="1" x="1139"/>
        <item m="1" x="1141"/>
        <item m="1" x="1143"/>
        <item m="1" x="155"/>
        <item m="1" x="157"/>
        <item m="1" x="159"/>
        <item m="1" x="162"/>
        <item m="1" x="163"/>
        <item m="1" x="166"/>
        <item m="1" x="168"/>
        <item m="1" x="170"/>
        <item m="1" x="172"/>
        <item m="1" x="174"/>
        <item m="1" x="177"/>
        <item m="1" x="179"/>
        <item m="1" x="181"/>
        <item m="1" x="183"/>
        <item m="1" x="185"/>
        <item m="1" x="186"/>
        <item m="1" x="190"/>
        <item m="1" x="1147"/>
        <item m="1" x="1148"/>
        <item m="1" x="1150"/>
        <item m="1" x="1153"/>
        <item m="1" x="1158"/>
        <item m="1" x="1162"/>
        <item m="1" x="1165"/>
        <item m="1" x="1169"/>
        <item m="1" x="1173"/>
        <item m="1" x="1177"/>
        <item m="1" x="1180"/>
        <item m="1" x="1184"/>
        <item m="1" x="1188"/>
        <item m="1" x="1192"/>
        <item m="1" x="1196"/>
        <item m="1" x="1200"/>
        <item m="1" x="1204"/>
        <item m="1" x="1211"/>
        <item m="1" x="1214"/>
        <item m="1" x="1217"/>
        <item m="1" x="192"/>
        <item m="1" x="194"/>
        <item m="1" x="195"/>
        <item m="1" x="198"/>
        <item m="1" x="200"/>
        <item m="1" x="202"/>
        <item m="1" x="205"/>
        <item m="1" x="208"/>
        <item m="1" x="211"/>
        <item m="1" x="215"/>
        <item m="1" x="220"/>
        <item m="1" x="223"/>
        <item m="1" x="227"/>
        <item m="1" x="230"/>
        <item m="1" x="233"/>
        <item m="1" x="235"/>
        <item m="1" x="239"/>
        <item m="1" x="243"/>
        <item m="1" x="247"/>
        <item m="1" x="252"/>
        <item m="1" x="1225"/>
        <item m="1" x="1226"/>
        <item m="1" x="1227"/>
        <item m="1" x="1234"/>
        <item m="1" x="1236"/>
        <item m="1" x="1241"/>
        <item m="1" x="1243"/>
        <item m="1" x="1246"/>
        <item m="1" x="1248"/>
        <item m="1" x="1250"/>
        <item m="1" x="1253"/>
        <item m="1" x="1256"/>
        <item m="1" x="1259"/>
        <item m="1" x="1262"/>
        <item m="1" x="1265"/>
        <item m="1" x="1267"/>
        <item m="1" x="272"/>
        <item m="1" x="278"/>
        <item m="1" x="282"/>
        <item m="1" x="285"/>
        <item m="1" x="288"/>
        <item m="1" x="290"/>
        <item m="1" x="292"/>
        <item m="1" x="294"/>
        <item m="1" x="296"/>
        <item m="1" x="298"/>
        <item m="1" x="300"/>
        <item m="1" x="304"/>
        <item m="1" x="1323"/>
        <item m="1" x="1327"/>
        <item m="1" x="1335"/>
        <item m="1" x="1342"/>
        <item m="1" x="1347"/>
        <item m="1" x="1354"/>
        <item m="1" x="1357"/>
        <item m="1" x="1361"/>
        <item m="1" x="1364"/>
        <item m="1" x="1618"/>
        <item m="1" x="608"/>
        <item m="1" x="610"/>
        <item m="1" x="612"/>
        <item m="1" x="614"/>
        <item m="1" x="617"/>
        <item m="1" x="620"/>
        <item m="1" x="623"/>
        <item m="1" x="625"/>
        <item m="1" x="627"/>
        <item m="1" x="630"/>
        <item m="1" x="633"/>
        <item m="1" x="636"/>
        <item m="1" x="640"/>
        <item m="1" x="644"/>
        <item m="1" x="648"/>
        <item m="1" x="652"/>
        <item m="1" x="655"/>
        <item m="1" x="659"/>
        <item m="1" x="663"/>
        <item m="1" x="668"/>
        <item m="1" x="673"/>
        <item m="1" x="678"/>
        <item m="1" x="683"/>
        <item m="1" x="689"/>
        <item m="1" x="1702"/>
        <item m="1" x="1705"/>
        <item m="1" x="1708"/>
        <item m="1" x="1711"/>
        <item m="1" x="1715"/>
        <item m="1" x="1718"/>
        <item m="1" x="1722"/>
        <item m="1" x="1726"/>
        <item m="1" x="1730"/>
        <item m="1" x="1735"/>
        <item m="1" x="1740"/>
        <item m="1" x="1745"/>
        <item m="1" x="1751"/>
        <item m="1" x="1757"/>
        <item m="1" x="1763"/>
        <item m="1" x="1769"/>
        <item m="1" x="1775"/>
        <item m="1" x="1781"/>
        <item m="1" x="1786"/>
        <item m="1" x="1792"/>
        <item m="1" x="1798"/>
        <item m="1" x="1804"/>
        <item m="1" x="1810"/>
        <item m="1" x="1816"/>
        <item m="1" x="713"/>
        <item m="1" x="717"/>
        <item m="1" x="720"/>
        <item m="1" x="723"/>
        <item m="1" x="726"/>
        <item m="1" x="728"/>
        <item m="1" x="730"/>
        <item m="1" x="733"/>
        <item m="1" x="736"/>
        <item m="1" x="740"/>
        <item m="1" x="743"/>
        <item m="1" x="747"/>
        <item m="1" x="751"/>
        <item m="1" x="755"/>
        <item m="1" x="760"/>
        <item m="1" x="765"/>
        <item m="1" x="768"/>
        <item m="1" x="773"/>
        <item m="1" x="777"/>
        <item m="1" x="782"/>
        <item m="1" x="786"/>
        <item m="1" x="792"/>
        <item m="1" x="796"/>
        <item m="1" x="800"/>
        <item m="1" x="1841"/>
        <item m="1" x="1843"/>
        <item m="1" x="1846"/>
        <item m="1" x="1848"/>
        <item m="1" x="1851"/>
        <item m="1" x="1853"/>
        <item m="1" x="1855"/>
        <item m="1" x="1857"/>
        <item m="1" x="1860"/>
        <item m="1" x="1863"/>
        <item m="1" x="1865"/>
        <item m="1" x="1867"/>
        <item m="1" x="1870"/>
        <item m="1" x="1872"/>
        <item m="1" x="1876"/>
        <item m="1" x="1879"/>
        <item m="1" x="1882"/>
        <item m="1" x="1885"/>
        <item m="1" x="1888"/>
        <item m="1" x="1890"/>
        <item m="1" x="1893"/>
        <item m="1" x="1896"/>
        <item m="1" x="1900"/>
        <item m="1" x="823"/>
        <item m="1" x="825"/>
        <item m="1" x="826"/>
        <item m="1" x="827"/>
        <item m="1" x="829"/>
        <item m="1" x="830"/>
        <item m="1" x="835"/>
        <item m="1" x="838"/>
        <item m="1" x="839"/>
        <item m="1" x="841"/>
        <item m="1" x="843"/>
        <item m="1" x="844"/>
        <item m="1" x="846"/>
        <item m="1" x="848"/>
        <item m="1" x="852"/>
        <item m="1" x="1969"/>
        <item m="1" x="1971"/>
        <item m="1" x="1975"/>
        <item m="1" x="1981"/>
        <item m="1" x="1998"/>
        <item m="1" x="2001"/>
        <item m="1" x="2004"/>
        <item m="1" x="2007"/>
        <item m="1" x="2011"/>
        <item m="1" x="2014"/>
        <item m="1" x="2018"/>
        <item m="1" x="1154"/>
        <item m="1" x="1156"/>
        <item m="1" x="1159"/>
        <item m="1" x="1166"/>
        <item m="1" x="1170"/>
        <item m="1" x="1174"/>
        <item m="1" x="1181"/>
        <item m="1" x="1185"/>
        <item m="1" x="1189"/>
        <item m="1" x="1193"/>
        <item m="1" x="1197"/>
        <item m="1" x="1201"/>
        <item m="1" x="1205"/>
        <item m="1" x="1208"/>
        <item m="1" x="1218"/>
        <item m="1" x="209"/>
        <item m="1" x="212"/>
        <item m="1" x="217"/>
        <item m="1" x="224"/>
        <item m="1" x="228"/>
        <item m="1" x="236"/>
        <item m="1" x="240"/>
        <item m="1" x="244"/>
        <item m="1" x="253"/>
        <item m="1" x="257"/>
        <item m="1" x="1230"/>
        <item m="1" x="1237"/>
        <item m="1" x="1239"/>
        <item m="1" x="1244"/>
        <item m="1" x="1251"/>
        <item m="1" x="1254"/>
        <item m="1" x="1257"/>
        <item m="1" x="1260"/>
        <item m="1" x="1263"/>
        <item m="1" x="1268"/>
        <item m="1" x="262"/>
        <item m="1" x="263"/>
        <item m="1" x="264"/>
        <item m="1" x="265"/>
        <item m="1" x="266"/>
        <item m="1" x="267"/>
        <item m="1" x="268"/>
        <item m="1" x="269"/>
        <item m="1" x="270"/>
        <item m="1" x="1324"/>
        <item m="1" x="1328"/>
        <item m="1" x="1330"/>
        <item m="1" x="1332"/>
        <item m="1" x="1337"/>
        <item m="1" x="1344"/>
        <item m="1" x="1348"/>
        <item m="1" x="1351"/>
        <item m="1" x="1355"/>
        <item m="1" x="1358"/>
        <item m="1" x="1362"/>
        <item m="1" x="1365"/>
        <item m="1" x="316"/>
        <item m="1" x="321"/>
        <item m="1" x="330"/>
        <item m="1" x="335"/>
        <item m="1" x="339"/>
        <item m="1" x="341"/>
        <item m="1" x="343"/>
        <item m="1" x="345"/>
        <item m="1" x="348"/>
        <item m="1" x="350"/>
        <item m="1" x="1382"/>
        <item m="1" x="1384"/>
        <item m="1" x="1387"/>
        <item m="1" x="1393"/>
        <item m="1" x="1401"/>
        <item m="1" x="1403"/>
        <item m="1" x="1405"/>
        <item m="1" x="1407"/>
        <item m="1" x="1410"/>
        <item m="1" x="1413"/>
        <item m="1" x="1415"/>
        <item m="1" x="1417"/>
        <item m="1" x="1419"/>
        <item m="1" x="1421"/>
        <item m="1" x="1423"/>
        <item m="1" x="1425"/>
        <item m="1" x="359"/>
        <item m="1" x="360"/>
        <item m="1" x="361"/>
        <item m="1" x="362"/>
        <item m="1" x="363"/>
        <item m="1" x="364"/>
        <item m="1" x="365"/>
        <item m="1" x="366"/>
        <item m="1" x="367"/>
        <item m="1" x="368"/>
        <item m="1" x="369"/>
        <item m="1" x="370"/>
        <item m="1" x="1429"/>
        <item m="1" x="1430"/>
        <item m="1" x="1431"/>
        <item m="1" x="1432"/>
        <item m="1" x="1433"/>
        <item m="1" x="1435"/>
        <item m="1" x="1437"/>
        <item m="1" x="1439"/>
        <item m="1" x="1441"/>
        <item m="1" x="1443"/>
        <item m="1" x="1445"/>
        <item m="1" x="1447"/>
        <item m="1" x="1449"/>
        <item m="1" x="420"/>
        <item m="1" x="423"/>
        <item m="1" x="426"/>
        <item m="1" x="433"/>
        <item m="1" x="436"/>
        <item m="1" x="439"/>
        <item m="1" x="442"/>
        <item m="1" x="445"/>
        <item m="1" x="450"/>
        <item m="1" x="461"/>
        <item m="1" x="464"/>
        <item m="1" x="467"/>
        <item m="1" x="1511"/>
        <item m="1" x="1516"/>
        <item m="1" x="1522"/>
        <item m="1" x="1526"/>
        <item m="1" x="1529"/>
        <item m="1" x="1533"/>
        <item m="1" x="1537"/>
        <item m="1" x="1541"/>
        <item m="1" x="1545"/>
        <item m="1" x="1550"/>
        <item m="1" x="1557"/>
        <item m="1" x="1563"/>
        <item m="1" x="480"/>
        <item m="1" x="482"/>
        <item m="1" x="494"/>
        <item m="1" x="496"/>
        <item m="1" x="498"/>
        <item m="1" x="500"/>
        <item m="1" x="503"/>
        <item m="1" x="505"/>
        <item m="1" x="508"/>
        <item m="1" x="517"/>
        <item m="1" x="520"/>
        <item m="1" x="525"/>
        <item m="1" x="530"/>
        <item m="1" x="535"/>
        <item m="1" x="1585"/>
        <item m="1" x="1587"/>
        <item m="1" x="1588"/>
        <item m="1" x="1590"/>
        <item m="1" x="1591"/>
        <item m="1" x="1595"/>
        <item m="1" x="1598"/>
        <item m="1" x="1599"/>
        <item m="1" x="1602"/>
        <item m="1" x="1604"/>
        <item m="1" x="1606"/>
        <item m="1" x="1610"/>
        <item m="1" x="1612"/>
        <item m="1" x="1613"/>
        <item m="1" x="1619"/>
        <item m="1" x="1622"/>
        <item m="1" x="544"/>
        <item m="1" x="545"/>
        <item m="1" x="546"/>
        <item m="1" x="553"/>
        <item m="1" x="559"/>
        <item m="1" x="562"/>
        <item m="1" x="565"/>
        <item m="1" x="568"/>
        <item m="1" x="571"/>
        <item m="1" x="574"/>
        <item m="1" x="577"/>
        <item m="1" x="580"/>
        <item m="1" x="583"/>
        <item m="1" x="586"/>
        <item m="1" x="593"/>
        <item m="1" x="1390"/>
        <item m="1" x="1394"/>
        <item m="1" x="1408"/>
        <item m="1" x="1411"/>
        <item m="1" x="1434"/>
        <item m="1" x="1436"/>
        <item m="1" x="1438"/>
        <item m="1" x="1440"/>
        <item m="1" x="1442"/>
        <item m="1" x="1444"/>
        <item m="1" x="1446"/>
        <item m="1" x="1448"/>
        <item m="1" x="1450"/>
        <item m="1" x="1451"/>
        <item m="1" x="1452"/>
        <item m="1" x="1453"/>
        <item m="1" x="1454"/>
        <item m="1" x="377"/>
        <item m="1" x="381"/>
        <item m="1" x="384"/>
        <item m="1" x="386"/>
        <item m="1" x="388"/>
        <item m="1" x="390"/>
        <item m="1" x="392"/>
        <item m="1" x="394"/>
        <item m="1" x="396"/>
        <item m="1" x="398"/>
        <item m="1" x="400"/>
        <item m="1" x="402"/>
        <item m="1" x="404"/>
        <item m="1" x="406"/>
        <item m="1" x="408"/>
        <item m="1" x="410"/>
        <item m="1" x="412"/>
        <item m="1" x="414"/>
        <item m="1" x="416"/>
        <item m="1" x="417"/>
        <item m="1" x="1460"/>
        <item m="1" x="1513"/>
        <item m="1" x="1519"/>
        <item m="1" x="1523"/>
        <item m="1" x="1530"/>
        <item m="1" x="1534"/>
        <item m="1" x="1538"/>
        <item m="1" x="1542"/>
        <item m="1" x="1546"/>
        <item m="1" x="1551"/>
        <item m="1" x="1560"/>
        <item m="1" x="1564"/>
        <item m="1" x="1567"/>
        <item m="1" x="1572"/>
        <item m="1" x="1576"/>
        <item m="1" x="491"/>
        <item m="1" x="501"/>
        <item m="1" x="506"/>
        <item m="1" x="511"/>
        <item m="1" x="514"/>
        <item m="1" x="521"/>
        <item m="1" x="526"/>
        <item m="1" x="531"/>
        <item m="1" x="536"/>
        <item m="1" x="539"/>
        <item m="1" x="542"/>
        <item m="1" x="1589"/>
        <item m="1" x="1592"/>
        <item m="1" x="1600"/>
        <item m="1" x="1603"/>
        <item m="1" x="1607"/>
        <item m="1" x="1611"/>
        <item m="1" x="1614"/>
        <item m="1" x="1616"/>
        <item m="1" x="1620"/>
        <item m="1" x="1623"/>
        <item m="1" x="1625"/>
        <item m="1" x="1628"/>
        <item m="1" x="1630"/>
        <item m="1" x="547"/>
        <item m="1" x="548"/>
        <item m="1" x="549"/>
        <item m="1" x="550"/>
        <item m="1" x="551"/>
        <item m="1" x="554"/>
        <item m="1" x="557"/>
        <item m="1" x="560"/>
        <item m="1" x="563"/>
        <item m="1" x="566"/>
        <item m="1" x="569"/>
        <item m="1" x="572"/>
        <item m="1" x="575"/>
        <item m="1" x="578"/>
        <item m="1" x="581"/>
        <item m="1" x="584"/>
        <item m="1" x="587"/>
        <item m="1" x="589"/>
        <item m="1" x="591"/>
        <item m="1" x="594"/>
        <item m="1" x="596"/>
        <item m="1" x="598"/>
        <item m="1" x="601"/>
        <item m="1" x="1642"/>
        <item m="1" x="1646"/>
        <item m="1" x="1650"/>
        <item m="1" x="1657"/>
        <item m="1" x="1664"/>
        <item m="1" x="1669"/>
        <item m="1" x="1672"/>
        <item m="1" x="1675"/>
        <item m="1" x="1678"/>
        <item m="1" x="1681"/>
        <item m="1" x="1684"/>
        <item m="1" x="1687"/>
        <item m="1" x="1692"/>
        <item m="1" x="1694"/>
        <item m="1" x="1696"/>
        <item m="1" x="618"/>
        <item m="1" x="621"/>
        <item m="1" x="731"/>
        <item m="1" x="734"/>
        <item m="1" x="737"/>
        <item m="1" x="756"/>
        <item m="1" x="761"/>
        <item m="1" x="769"/>
        <item m="1" x="778"/>
        <item m="1" x="787"/>
        <item m="1" x="797"/>
        <item m="1" x="804"/>
        <item m="1" x="809"/>
        <item m="1" x="815"/>
        <item m="1" x="1858"/>
        <item m="1" x="1873"/>
        <item m="1" x="1877"/>
        <item m="1" x="1880"/>
        <item m="1" x="1883"/>
        <item m="1" x="1886"/>
        <item m="1" x="1894"/>
        <item m="1" x="1897"/>
        <item m="1" x="1902"/>
        <item m="1" x="1909"/>
        <item m="1" x="1912"/>
        <item m="1" x="1914"/>
        <item m="1" x="828"/>
        <item m="1" x="831"/>
        <item m="1" x="836"/>
        <item m="1" x="840"/>
        <item m="1" x="842"/>
        <item m="1" x="845"/>
        <item m="1" x="849"/>
        <item m="1" x="850"/>
        <item m="1" x="860"/>
        <item m="1" x="862"/>
        <item m="1" x="1922"/>
        <item m="1" x="1464"/>
        <item m="1" x="1466"/>
        <item m="1" x="1468"/>
        <item m="1" x="1470"/>
        <item m="1" x="1472"/>
        <item m="1" x="1474"/>
        <item m="1" x="1476"/>
        <item m="1" x="1478"/>
        <item m="1" x="1480"/>
        <item m="1" x="1482"/>
        <item m="1" x="1484"/>
        <item m="1" x="1486"/>
        <item m="1" x="1488"/>
        <item m="1" x="1490"/>
        <item m="1" x="1492"/>
        <item m="1" x="1494"/>
        <item m="1" x="1496"/>
        <item m="1" x="1498"/>
        <item m="1" x="1499"/>
        <item m="1" x="1500"/>
        <item m="1" x="1501"/>
        <item m="1" x="1502"/>
        <item m="1" x="1504"/>
        <item m="1" x="1505"/>
        <item m="1" x="429"/>
        <item m="1" x="431"/>
        <item m="1" x="434"/>
        <item m="1" x="437"/>
        <item m="1" x="440"/>
        <item m="1" x="443"/>
        <item m="1" x="446"/>
        <item m="1" x="448"/>
        <item m="1" x="451"/>
        <item m="1" x="453"/>
        <item m="1" x="455"/>
        <item m="1" x="457"/>
        <item m="1" x="459"/>
        <item m="1" x="462"/>
        <item m="1" x="465"/>
        <item m="1" x="468"/>
        <item m="1" x="470"/>
        <item m="1" x="472"/>
        <item m="1" x="473"/>
        <item m="1" x="474"/>
        <item m="1" x="475"/>
        <item m="1" x="476"/>
        <item m="1" x="477"/>
        <item m="1" x="478"/>
        <item m="1" x="1517"/>
        <item m="1" x="1520"/>
        <item m="1" x="1524"/>
        <item m="1" x="1527"/>
        <item m="1" x="1531"/>
        <item m="1" x="1535"/>
        <item m="1" x="1539"/>
        <item m="1" x="1543"/>
        <item m="1" x="1547"/>
        <item m="1" x="1552"/>
        <item m="1" x="1555"/>
        <item m="1" x="1558"/>
        <item m="1" x="1561"/>
        <item m="1" x="1565"/>
        <item m="1" x="1568"/>
        <item m="1" x="1570"/>
        <item m="1" x="1573"/>
        <item m="1" x="1575"/>
        <item m="1" x="1577"/>
        <item m="1" x="1578"/>
        <item m="1" x="1579"/>
        <item m="1" x="1580"/>
        <item m="1" x="1582"/>
        <item m="1" x="1583"/>
        <item m="1" x="552"/>
        <item m="1" x="555"/>
        <item m="1" x="558"/>
        <item m="1" x="561"/>
        <item m="1" x="564"/>
        <item m="1" x="567"/>
        <item m="1" x="570"/>
        <item m="1" x="573"/>
        <item m="1" x="576"/>
        <item m="1" x="579"/>
        <item m="1" x="582"/>
        <item m="1" x="585"/>
        <item m="1" x="588"/>
        <item m="1" x="590"/>
        <item m="1" x="592"/>
        <item m="1" x="595"/>
        <item m="1" x="597"/>
        <item m="1" x="599"/>
        <item m="1" x="602"/>
        <item m="1" x="604"/>
        <item m="1" x="606"/>
        <item m="1" x="607"/>
        <item m="1" x="609"/>
        <item m="1" x="1648"/>
        <item m="1" x="1651"/>
        <item m="1" x="1653"/>
        <item m="1" x="1655"/>
        <item m="1" x="1658"/>
        <item m="1" x="1660"/>
        <item m="1" x="1662"/>
        <item m="1" x="1665"/>
        <item m="1" x="1667"/>
        <item m="1" x="1670"/>
        <item m="1" x="1673"/>
        <item m="1" x="1676"/>
        <item m="1" x="1679"/>
        <item m="1" x="1682"/>
        <item m="1" x="1685"/>
        <item m="1" x="1688"/>
        <item m="1" x="1690"/>
        <item m="1" x="1693"/>
        <item m="1" x="1695"/>
        <item m="1" x="1697"/>
        <item m="1" x="1698"/>
        <item m="1" x="1699"/>
        <item m="1" x="1700"/>
        <item m="1" x="1703"/>
        <item m="1" x="628"/>
        <item m="1" x="631"/>
        <item m="1" x="634"/>
        <item m="1" x="637"/>
        <item m="1" x="641"/>
        <item m="1" x="645"/>
        <item m="1" x="649"/>
        <item m="1" x="653"/>
        <item m="1" x="656"/>
        <item m="1" x="660"/>
        <item m="1" x="664"/>
        <item m="1" x="669"/>
        <item m="1" x="674"/>
        <item m="1" x="679"/>
        <item m="1" x="684"/>
        <item m="1" x="690"/>
        <item m="1" x="693"/>
        <item m="1" x="697"/>
        <item m="1" x="700"/>
        <item m="1" x="703"/>
        <item m="1" x="706"/>
        <item m="1" x="709"/>
        <item m="1" x="711"/>
        <item m="1" x="714"/>
        <item m="1" x="1731"/>
        <item m="1" x="1736"/>
        <item m="1" x="1741"/>
        <item m="1" x="1746"/>
        <item m="1" x="1752"/>
        <item m="1" x="1758"/>
        <item m="1" x="1764"/>
        <item m="1" x="1770"/>
        <item m="1" x="1776"/>
        <item m="1" x="1782"/>
        <item m="1" x="1787"/>
        <item m="1" x="1793"/>
        <item m="1" x="1799"/>
        <item m="1" x="1805"/>
        <item m="1" x="1811"/>
        <item m="1" x="1817"/>
        <item m="1" x="1821"/>
        <item m="1" x="1825"/>
        <item m="1" x="1828"/>
        <item m="1" x="1831"/>
        <item m="1" x="1833"/>
        <item m="1" x="1836"/>
        <item m="1" x="1839"/>
        <item m="1" x="1842"/>
        <item m="1" x="738"/>
        <item m="1" x="741"/>
        <item m="1" x="744"/>
        <item m="1" x="748"/>
        <item m="1" x="752"/>
        <item m="1" x="757"/>
        <item m="1" x="762"/>
        <item m="1" x="766"/>
        <item m="1" x="770"/>
        <item m="1" x="774"/>
        <item m="1" x="779"/>
        <item m="1" x="783"/>
        <item m="1" x="788"/>
        <item m="1" x="793"/>
        <item m="1" x="798"/>
        <item m="1" x="801"/>
        <item m="1" x="805"/>
        <item m="1" x="810"/>
        <item m="1" x="812"/>
        <item m="1" x="816"/>
        <item m="1" x="818"/>
        <item m="1" x="819"/>
        <item m="1" x="821"/>
        <item m="1" x="822"/>
        <item m="1" x="1861"/>
        <item m="1" x="1928"/>
        <item m="1" x="1930"/>
        <item m="1" x="1933"/>
        <item m="1" x="1935"/>
        <item m="1" x="1937"/>
        <item m="1" x="1939"/>
        <item m="1" x="1941"/>
        <item m="1" x="1943"/>
        <item m="1" x="1945"/>
        <item m="1" x="1947"/>
        <item m="1" x="1949"/>
        <item m="1" x="1951"/>
        <item m="1" x="1953"/>
        <item m="1" x="1955"/>
        <item m="1" x="1957"/>
        <item m="1" x="1959"/>
        <item m="1" x="1961"/>
        <item m="1" x="1962"/>
        <item m="1" x="1963"/>
        <item m="1" x="1964"/>
        <item m="1" x="1965"/>
        <item m="1" x="1966"/>
        <item m="1" x="1967"/>
        <item m="1" x="880"/>
        <item m="1" x="883"/>
        <item m="1" x="886"/>
        <item m="1" x="889"/>
        <item m="1" x="892"/>
        <item m="1" x="895"/>
        <item m="1" x="898"/>
        <item m="1" x="901"/>
        <item m="1" x="904"/>
        <item m="1" x="907"/>
        <item m="1" x="910"/>
        <item m="1" x="913"/>
        <item m="1" x="916"/>
        <item m="1" x="919"/>
        <item m="1" x="922"/>
        <item m="1" x="925"/>
        <item m="1" x="928"/>
        <item m="1" x="930"/>
        <item m="1" x="931"/>
        <item m="1" x="932"/>
        <item m="1" x="933"/>
        <item m="1" x="934"/>
        <item m="1" x="935"/>
        <item m="1" x="937"/>
        <item m="1" x="1979"/>
        <item m="1" x="1982"/>
        <item m="1" x="1984"/>
        <item m="1" x="1986"/>
        <item m="1" x="1989"/>
        <item m="1" x="1992"/>
        <item m="1" x="1994"/>
        <item m="1" x="1996"/>
        <item m="1" x="1999"/>
        <item m="1" x="2002"/>
        <item m="1" x="2005"/>
        <item m="1" x="2008"/>
        <item m="1" x="2012"/>
        <item m="1" x="2015"/>
        <item m="1" x="2019"/>
        <item m="1" x="2021"/>
        <item m="1" x="2023"/>
        <item m="1" x="2025"/>
        <item m="1" x="2026"/>
        <item m="1" x="2028"/>
        <item m="1" x="2030"/>
        <item m="1" x="2032"/>
        <item m="1" x="2034"/>
        <item m="1" x="939"/>
        <item m="1" x="940"/>
        <item m="1" x="941"/>
        <item m="1" x="942"/>
        <item m="1" x="944"/>
        <item m="1" x="946"/>
        <item m="1" x="947"/>
        <item m="1" x="948"/>
        <item m="1" x="950"/>
        <item m="1" x="951"/>
        <item m="1" x="952"/>
        <item m="1" x="954"/>
        <item m="1" x="956"/>
        <item m="1" x="958"/>
        <item m="1" x="959"/>
        <item m="1" x="961"/>
        <item m="1" x="963"/>
        <item m="1" x="965"/>
        <item m="1" x="967"/>
        <item m="1" x="969"/>
        <item m="1" x="971"/>
        <item m="1" x="973"/>
        <item m="1" x="975"/>
        <item m="1" x="2036"/>
        <item m="1" x="2037"/>
        <item m="1" x="2038"/>
        <item m="1" x="2040"/>
        <item m="1" x="2041"/>
        <item m="1" x="2042"/>
        <item m="1" x="2043"/>
        <item m="1" x="2044"/>
        <item m="1" x="2045"/>
        <item m="1" x="2047"/>
        <item m="1" x="2049"/>
        <item m="1" x="2051"/>
        <item m="1" x="2052"/>
        <item m="1" x="2054"/>
        <item m="1" x="2056"/>
        <item m="1" x="2058"/>
        <item m="1" x="2060"/>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35"/>
        <item m="1" x="36"/>
        <item m="1" x="37"/>
        <item m="1" x="38"/>
        <item m="1" x="39"/>
        <item m="1" x="40"/>
        <item m="1" x="41"/>
        <item m="1" x="42"/>
        <item m="1" x="43"/>
        <item m="1" x="44"/>
        <item m="1" x="45"/>
        <item m="1" x="46"/>
        <item m="1" x="47"/>
        <item m="1" x="48"/>
        <item m="1" x="49"/>
        <item m="1" x="50"/>
        <item m="1" x="51"/>
        <item m="1" x="52"/>
        <item m="1" x="53"/>
        <item m="1" x="54"/>
        <item m="1" x="55"/>
        <item m="1" x="56"/>
        <item m="1" x="1018"/>
        <item m="1" x="1019"/>
        <item m="1" x="1020"/>
        <item m="1" x="1021"/>
        <item m="1" x="1023"/>
        <item m="1" x="1025"/>
        <item m="1" x="1026"/>
        <item m="1" x="1027"/>
        <item m="1" x="1029"/>
        <item m="1" x="1030"/>
        <item m="1" x="1031"/>
        <item m="1" x="1033"/>
        <item m="1" x="1034"/>
        <item m="1" x="1037"/>
        <item m="1" x="1039"/>
        <item m="1" x="1041"/>
        <item m="1" x="1043"/>
        <item m="1" x="1045"/>
        <item m="1" x="1047"/>
        <item m="1" x="1049"/>
        <item m="1" x="1051"/>
        <item m="1" x="1053"/>
        <item m="1" x="1054"/>
        <item m="1" x="57"/>
        <item m="1" x="58"/>
        <item m="1" x="59"/>
        <item m="1" x="60"/>
        <item m="1" x="62"/>
        <item m="1" x="63"/>
        <item m="1" x="65"/>
        <item m="1" x="66"/>
        <item m="1" x="68"/>
        <item m="1" x="69"/>
        <item m="1" x="70"/>
        <item m="1" x="72"/>
        <item m="1" x="73"/>
        <item m="1" x="74"/>
        <item m="1" x="75"/>
        <item m="1" x="77"/>
        <item m="1" x="78"/>
        <item m="1" x="79"/>
        <item m="1" x="81"/>
        <item m="1" x="83"/>
        <item m="1" x="85"/>
        <item m="1" x="87"/>
        <item m="1" x="89"/>
        <item m="1" x="91"/>
        <item m="1" x="1056"/>
        <item m="1" x="1057"/>
        <item m="1" x="1059"/>
        <item m="1" x="1061"/>
        <item m="1" x="1062"/>
        <item m="1" x="1063"/>
        <item m="1" x="1064"/>
        <item m="1" x="1065"/>
        <item m="1" x="1066"/>
        <item m="1" x="1067"/>
        <item m="1" x="1068"/>
        <item m="1" x="1069"/>
        <item m="1" x="1070"/>
        <item m="1" x="1071"/>
        <item m="1" x="93"/>
        <item m="1" x="95"/>
        <item m="1" x="96"/>
        <item m="1" x="97"/>
        <item m="1" x="98"/>
        <item m="1" x="99"/>
        <item m="1" x="100"/>
        <item m="1" x="101"/>
        <item m="1" x="102"/>
        <item m="1" x="103"/>
        <item m="1" x="104"/>
        <item m="1" x="105"/>
        <item m="1" x="106"/>
        <item m="1" x="107"/>
        <item m="1" x="1073"/>
        <item m="1" x="1074"/>
        <item m="1" x="1075"/>
        <item m="1" x="1076"/>
        <item m="1" x="1077"/>
        <item m="1" x="1078"/>
        <item m="1" x="1079"/>
        <item m="1" x="1080"/>
        <item m="1" x="1081"/>
        <item m="1" x="1082"/>
        <item m="1" x="1083"/>
        <item m="1" x="1084"/>
        <item m="1" x="1085"/>
        <item m="1" x="1086"/>
        <item m="1" x="1087"/>
        <item m="1" x="108"/>
        <item m="1" x="109"/>
        <item m="1" x="110"/>
        <item m="1" x="111"/>
        <item m="1" x="112"/>
        <item m="1" x="113"/>
        <item m="1" x="114"/>
        <item m="1" x="115"/>
        <item m="1" x="116"/>
        <item m="1" x="117"/>
        <item m="1" x="118"/>
        <item m="1" x="119"/>
        <item m="1" x="120"/>
        <item m="1" x="121"/>
        <item m="1" x="122"/>
        <item m="1" x="123"/>
        <item m="1" x="124"/>
        <item m="1" x="125"/>
        <item m="1" x="1088"/>
        <item m="1" x="1089"/>
        <item m="1" x="1091"/>
        <item m="1" x="1092"/>
        <item m="1" x="1093"/>
        <item m="1" x="1094"/>
        <item m="1" x="1095"/>
        <item m="1" x="1096"/>
        <item m="1" x="1097"/>
        <item m="1" x="1098"/>
        <item m="1" x="1099"/>
        <item m="1" x="1100"/>
        <item m="1" x="1101"/>
        <item m="1" x="1102"/>
        <item m="1" x="1593"/>
        <item m="1" x="1594"/>
        <item m="1" x="1596"/>
        <item m="1" x="1597"/>
        <item m="1" x="1601"/>
        <item m="1" x="1608"/>
        <item m="1" x="1615"/>
        <item m="1" x="1617"/>
        <item m="1" x="1621"/>
        <item m="1" x="1626"/>
        <item m="1" x="1629"/>
        <item m="1" x="1631"/>
        <item m="1" x="1634"/>
        <item m="1" x="1635"/>
        <item m="1" x="1636"/>
        <item m="1" x="1637"/>
        <item m="1" x="1639"/>
        <item m="1" x="556"/>
        <item m="1" x="638"/>
        <item m="1" x="642"/>
        <item m="1" x="646"/>
        <item m="1" x="650"/>
        <item m="1" x="657"/>
        <item m="1" x="661"/>
        <item m="1" x="665"/>
        <item m="1" x="670"/>
        <item m="1" x="675"/>
        <item m="1" x="680"/>
        <item m="1" x="685"/>
        <item m="1" x="694"/>
        <item m="1" x="698"/>
        <item m="1" x="701"/>
        <item m="1" x="704"/>
        <item m="1" x="707"/>
        <item m="1" x="710"/>
        <item m="1" x="712"/>
        <item m="1" x="715"/>
        <item m="1" x="718"/>
        <item m="1" x="721"/>
        <item m="1" x="1747"/>
        <item m="1" x="1753"/>
        <item m="1" x="1759"/>
        <item m="1" x="1765"/>
        <item m="1" x="1771"/>
        <item m="1" x="1777"/>
        <item m="1" x="1788"/>
        <item m="1" x="1794"/>
        <item m="1" x="1800"/>
        <item m="1" x="1806"/>
        <item m="1" x="1812"/>
        <item m="1" x="1818"/>
        <item m="1" x="1822"/>
        <item m="1" x="1826"/>
        <item m="1" x="1829"/>
        <item m="1" x="1832"/>
        <item m="1" x="1834"/>
        <item m="1" x="1837"/>
        <item m="1" x="1840"/>
        <item m="1" x="1844"/>
        <item m="1" x="745"/>
        <item m="1" x="749"/>
        <item m="1" x="753"/>
        <item m="1" x="758"/>
        <item m="1" x="763"/>
        <item m="1" x="771"/>
        <item m="1" x="775"/>
        <item m="1" x="780"/>
        <item m="1" x="784"/>
        <item m="1" x="789"/>
        <item m="1" x="794"/>
        <item m="1" x="802"/>
        <item m="1" x="806"/>
        <item m="1" x="813"/>
        <item m="1" x="817"/>
        <item m="1" x="820"/>
        <item m="1" x="1868"/>
        <item m="1" x="1874"/>
        <item m="1" x="1891"/>
        <item m="1" x="1898"/>
        <item m="1" x="1903"/>
        <item m="1" x="1906"/>
        <item m="1" x="1910"/>
        <item m="1" x="1913"/>
        <item m="1" x="1915"/>
        <item m="1" x="1916"/>
        <item m="1" x="1917"/>
        <item m="1" x="1918"/>
        <item m="1" x="1919"/>
        <item m="1" x="1920"/>
        <item m="1" x="832"/>
        <item m="1" x="833"/>
        <item m="1" x="834"/>
        <item m="1" x="837"/>
        <item m="1" x="847"/>
        <item m="1" x="851"/>
        <item m="1" x="853"/>
        <item m="1" x="855"/>
        <item m="1" x="857"/>
        <item m="1" x="859"/>
        <item m="1" x="861"/>
        <item m="1" x="863"/>
        <item m="1" x="864"/>
        <item m="1" x="865"/>
        <item m="1" x="866"/>
        <item m="1" x="1931"/>
        <item m="1" x="1987"/>
        <item m="1" x="1990"/>
        <item m="1" x="2009"/>
        <item m="1" x="2016"/>
        <item m="1" x="2027"/>
        <item m="1" x="2029"/>
        <item m="1" x="2031"/>
        <item m="1" x="2033"/>
        <item m="1" x="2035"/>
        <item m="1" x="943"/>
        <item m="1" x="945"/>
        <item m="1" x="949"/>
        <item m="1" x="953"/>
        <item m="1" x="955"/>
        <item m="1" x="957"/>
        <item m="1" x="960"/>
        <item m="1" x="962"/>
        <item m="1" x="964"/>
        <item m="1" x="966"/>
        <item m="1" x="968"/>
        <item m="1" x="970"/>
        <item m="1" x="972"/>
        <item m="1" x="974"/>
        <item m="1" x="976"/>
        <item m="1" x="2039"/>
        <item m="1" x="2046"/>
        <item m="1" x="2048"/>
        <item m="1" x="2050"/>
        <item m="1" x="2053"/>
        <item m="1" x="2055"/>
        <item m="1" x="2057"/>
        <item m="1" x="2059"/>
        <item m="1" x="2061"/>
        <item m="1" x="2062"/>
        <item m="1" x="2063"/>
        <item m="1" x="977"/>
        <item m="1" x="978"/>
        <item m="1" x="979"/>
        <item m="1" x="980"/>
        <item m="1" x="981"/>
        <item m="1" x="982"/>
        <item m="1" x="983"/>
        <item m="1" x="984"/>
        <item m="1" x="985"/>
        <item m="1" x="986"/>
        <item m="1" x="987"/>
        <item m="1" x="988"/>
        <item m="1" x="989"/>
        <item m="1" x="990"/>
        <item m="1" x="991"/>
        <item m="1" x="992"/>
        <item m="1" x="993"/>
        <item m="1" x="994"/>
        <item m="1" x="2064"/>
        <item m="1" x="2065"/>
        <item m="1" x="2066"/>
        <item m="1" x="2067"/>
        <item m="1" x="2068"/>
        <item m="1" x="24"/>
        <item m="1" x="25"/>
        <item m="1" x="26"/>
        <item m="1" x="27"/>
        <item m="1" x="28"/>
        <item m="1" x="29"/>
        <item m="1" x="30"/>
        <item m="1" x="31"/>
        <item m="1" x="32"/>
        <item m="1" x="33"/>
        <item m="1" x="34"/>
        <item m="1" x="1022"/>
        <item m="1" x="1024"/>
        <item m="1" x="1028"/>
        <item m="1" x="1032"/>
        <item m="1" x="1035"/>
        <item m="1" x="1036"/>
        <item m="1" x="1038"/>
        <item m="1" x="1040"/>
        <item m="1" x="1042"/>
        <item m="1" x="1044"/>
        <item m="1" x="1046"/>
        <item m="1" x="1048"/>
        <item m="1" x="1050"/>
        <item m="1" x="1052"/>
        <item m="1" x="1055"/>
        <item m="1" x="61"/>
        <item m="1" x="64"/>
        <item m="1" x="67"/>
        <item m="1" x="71"/>
        <item m="1" x="76"/>
        <item m="1" x="80"/>
        <item m="1" x="82"/>
        <item m="1" x="84"/>
        <item m="1" x="86"/>
        <item m="1" x="88"/>
        <item m="1" x="90"/>
        <item m="1" x="92"/>
        <item m="1" x="1058"/>
        <item m="1" x="1060"/>
        <item m="1" x="94"/>
        <item m="1" x="1072"/>
        <item m="1" x="1090"/>
        <item m="1" x="126"/>
        <item m="1" x="543"/>
        <item m="1" x="1632"/>
        <item m="1" x="1103"/>
        <item m="1" x="1104"/>
        <item m="1" x="1105"/>
        <item m="1" x="127"/>
        <item m="1" x="128"/>
        <item m="1" x="129"/>
        <item m="1" x="1106"/>
        <item m="1" x="686"/>
        <item m="1" x="1701"/>
        <item m="1" x="1704"/>
        <item m="1" x="1706"/>
        <item m="1" x="1709"/>
        <item m="1" x="1712"/>
        <item m="1" x="1716"/>
        <item m="1" x="1719"/>
        <item m="1" x="1723"/>
        <item m="1" x="1727"/>
        <item m="1" x="1732"/>
        <item m="1" x="1737"/>
        <item m="1" x="1742"/>
        <item m="1" x="1748"/>
        <item m="1" x="1754"/>
        <item m="1" x="1760"/>
        <item m="1" x="1766"/>
        <item m="1" x="1772"/>
        <item m="1" x="1778"/>
        <item m="1" x="1783"/>
        <item m="1" x="1789"/>
        <item m="1" x="1795"/>
        <item m="1" x="1801"/>
        <item m="1" x="1807"/>
        <item m="1" x="1813"/>
        <item m="1" x="716"/>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107"/>
        <item m="1" x="1109"/>
        <item m="1" x="1111"/>
        <item m="1" x="1114"/>
        <item m="1" x="1117"/>
        <item m="1" x="1119"/>
        <item m="1" x="1121"/>
        <item m="1" x="1123"/>
        <item m="1" x="1125"/>
        <item m="1" x="1126"/>
        <item m="1" x="1128"/>
        <item m="1" x="1130"/>
        <item m="1" x="1132"/>
        <item m="1" x="1134"/>
        <item m="1" x="1136"/>
        <item m="1" x="1138"/>
        <item m="1" x="1140"/>
        <item m="1" x="1142"/>
        <item m="1" x="1144"/>
        <item m="1" x="1145"/>
        <item m="1" x="1146"/>
        <item m="1" x="156"/>
        <item m="1" x="158"/>
        <item m="1" x="160"/>
        <item m="1" x="161"/>
        <item m="1" x="164"/>
        <item m="1" x="165"/>
        <item m="1" x="167"/>
        <item m="1" x="169"/>
        <item m="1" x="171"/>
        <item m="1" x="173"/>
        <item m="1" x="175"/>
        <item m="1" x="176"/>
        <item m="1" x="178"/>
        <item m="1" x="180"/>
        <item m="1" x="182"/>
        <item m="1" x="184"/>
        <item m="1" x="187"/>
        <item m="1" x="188"/>
        <item m="1" x="189"/>
        <item m="1" x="191"/>
        <item m="1" x="1149"/>
        <item m="1" x="1151"/>
        <item m="1" x="1160"/>
        <item m="1" x="1167"/>
        <item m="1" x="1171"/>
        <item m="1" x="1175"/>
        <item m="1" x="1178"/>
        <item m="1" x="1182"/>
        <item m="1" x="1186"/>
        <item m="1" x="1190"/>
        <item m="1" x="1194"/>
        <item m="1" x="1198"/>
        <item m="1" x="1202"/>
        <item m="1" x="1206"/>
        <item m="1" x="1209"/>
        <item m="1" x="1212"/>
        <item m="1" x="1215"/>
        <item m="1" x="1219"/>
        <item m="1" x="1221"/>
        <item m="1" x="193"/>
        <item m="1" x="196"/>
        <item m="1" x="203"/>
        <item m="1" x="206"/>
        <item m="1" x="213"/>
        <item m="1" x="218"/>
        <item m="1" x="221"/>
        <item m="1" x="225"/>
        <item m="1" x="231"/>
        <item m="1" x="237"/>
        <item m="1" x="241"/>
        <item m="1" x="245"/>
        <item m="1" x="248"/>
        <item m="1" x="250"/>
        <item m="1" x="254"/>
        <item m="1" x="258"/>
        <item m="1" x="1274"/>
        <item m="1" x="1275"/>
        <item m="1" x="1276"/>
        <item m="1" x="1278"/>
        <item m="1" x="1280"/>
        <item m="1" x="1282"/>
        <item m="1" x="1284"/>
        <item m="1" x="1286"/>
        <item m="1" x="1288"/>
        <item m="1" x="1290"/>
        <item m="1" x="1292"/>
        <item m="1" x="1294"/>
        <item m="1" x="1296"/>
        <item m="1" x="1298"/>
        <item m="1" x="1300"/>
        <item m="1" x="1302"/>
        <item m="1" x="1304"/>
        <item m="1" x="1306"/>
        <item m="1" x="1308"/>
        <item m="1" x="1310"/>
        <item m="1" x="1312"/>
        <item m="1" x="1314"/>
        <item m="1" x="1316"/>
        <item m="1" x="1318"/>
        <item m="1" x="271"/>
        <item m="1" x="273"/>
        <item m="1" x="274"/>
        <item m="1" x="276"/>
        <item m="1" x="277"/>
        <item m="1" x="279"/>
        <item m="1" x="280"/>
        <item m="1" x="283"/>
        <item m="1" x="286"/>
        <item m="1" x="289"/>
        <item m="1" x="291"/>
        <item m="1" x="293"/>
        <item m="1" x="295"/>
        <item m="1" x="297"/>
        <item m="1" x="299"/>
        <item m="1" x="301"/>
        <item m="1" x="302"/>
        <item m="1" x="303"/>
        <item m="1" x="305"/>
        <item m="1" x="306"/>
        <item m="1" x="307"/>
        <item m="1" x="308"/>
        <item m="1" x="309"/>
        <item m="1" x="310"/>
        <item m="1" x="1321"/>
        <item m="1" x="1322"/>
        <item m="1" x="1325"/>
        <item m="1" x="1329"/>
        <item m="1" x="1331"/>
        <item m="1" x="1333"/>
        <item m="1" x="1336"/>
        <item m="1" x="1338"/>
        <item m="1" x="1340"/>
        <item m="1" x="1343"/>
        <item m="1" x="1345"/>
        <item m="1" x="1349"/>
        <item m="1" x="1352"/>
        <item m="1" x="1356"/>
        <item m="1" x="1359"/>
        <item m="1" x="1363"/>
        <item m="1" x="1366"/>
        <item m="1" x="1368"/>
        <item m="1" x="1369"/>
        <item m="1" x="1370"/>
        <item m="1" x="1371"/>
        <item m="1" x="1372"/>
        <item m="1" x="1373"/>
        <item m="1" x="1374"/>
        <item m="1" x="314"/>
        <item m="1" x="315"/>
        <item m="1" x="317"/>
        <item m="1" x="319"/>
        <item m="1" x="320"/>
        <item m="1" x="322"/>
        <item m="1" x="324"/>
        <item m="1" x="326"/>
        <item m="1" x="327"/>
        <item m="1" x="328"/>
        <item m="1" x="329"/>
        <item m="1" x="331"/>
        <item m="1" x="332"/>
        <item m="1" x="333"/>
        <item m="1" x="334"/>
        <item m="1" x="336"/>
        <item m="1" x="337"/>
        <item m="1" x="338"/>
        <item m="1" x="340"/>
        <item m="1" x="342"/>
        <item m="1" x="344"/>
        <item m="1" x="346"/>
        <item m="1" x="349"/>
        <item m="1" x="351"/>
        <item m="1" x="1377"/>
        <item m="1" x="1378"/>
        <item m="1" x="1379"/>
        <item m="1" x="1381"/>
        <item m="1" x="1383"/>
        <item m="1" x="1385"/>
        <item m="1" x="1388"/>
        <item m="1" x="1391"/>
        <item m="1" x="1395"/>
        <item m="1" x="1397"/>
        <item m="1" x="1399"/>
        <item m="1" x="1402"/>
        <item m="1" x="1404"/>
        <item m="1" x="1406"/>
        <item m="1" x="1409"/>
        <item m="1" x="1412"/>
        <item m="1" x="1414"/>
        <item m="1" x="1416"/>
        <item m="1" x="1418"/>
        <item m="1" x="1420"/>
        <item m="1" x="1422"/>
        <item m="1" x="1424"/>
        <item m="1" x="1426"/>
        <item m="1" x="1427"/>
        <item m="1" x="374"/>
        <item m="1" x="375"/>
        <item m="1" x="376"/>
        <item m="1" x="378"/>
        <item m="1" x="379"/>
        <item m="1" x="380"/>
        <item m="1" x="382"/>
        <item m="1" x="383"/>
        <item m="1" x="385"/>
        <item m="1" x="387"/>
        <item m="1" x="389"/>
        <item m="1" x="391"/>
        <item m="1" x="393"/>
        <item m="1" x="395"/>
        <item m="1" x="397"/>
        <item m="1" x="399"/>
        <item m="1" x="401"/>
        <item m="1" x="403"/>
        <item m="1" x="405"/>
        <item m="1" x="407"/>
        <item m="1" x="409"/>
        <item m="1" x="411"/>
        <item m="1" x="413"/>
        <item m="1" x="415"/>
        <item m="1" x="1455"/>
        <item m="1" x="1456"/>
        <item m="1" x="1457"/>
        <item m="1" x="1459"/>
        <item m="1" x="1461"/>
        <item m="1" x="1462"/>
        <item m="1" x="1463"/>
        <item m="1" x="1465"/>
        <item m="1" x="1467"/>
        <item m="1" x="1469"/>
        <item m="1" x="1471"/>
        <item m="1" x="1473"/>
        <item m="1" x="1475"/>
        <item m="1" x="1477"/>
        <item m="1" x="1479"/>
        <item m="1" x="1481"/>
        <item m="1" x="1483"/>
        <item m="1" x="1485"/>
        <item m="1" x="1487"/>
        <item m="1" x="1489"/>
        <item m="1" x="1491"/>
        <item m="1" x="1493"/>
        <item m="1" x="1495"/>
        <item m="1" x="1497"/>
        <item m="1" x="418"/>
        <item m="1" x="419"/>
        <item m="1" x="421"/>
        <item m="1" x="424"/>
        <item m="1" x="425"/>
        <item m="1" x="427"/>
        <item m="1" x="428"/>
        <item m="1" x="430"/>
        <item m="1" x="432"/>
        <item m="1" x="435"/>
        <item m="1" x="438"/>
        <item m="1" x="441"/>
        <item m="1" x="444"/>
        <item m="1" x="447"/>
        <item m="1" x="449"/>
        <item m="1" x="452"/>
        <item m="1" x="454"/>
        <item m="1" x="456"/>
        <item m="1" x="458"/>
        <item m="1" x="460"/>
        <item m="1" x="463"/>
        <item m="1" x="466"/>
        <item m="1" x="469"/>
        <item m="1" x="471"/>
        <item m="1" x="1506"/>
        <item m="1" x="1507"/>
        <item m="1" x="1508"/>
        <item m="1" x="1510"/>
        <item m="1" x="1512"/>
        <item m="1" x="1514"/>
        <item m="1" x="1515"/>
        <item m="1" x="1518"/>
        <item m="1" x="1521"/>
        <item m="1" x="1525"/>
        <item m="1" x="1528"/>
        <item m="1" x="1532"/>
        <item m="1" x="1536"/>
        <item m="1" x="1540"/>
        <item m="1" x="1544"/>
        <item m="1" x="1548"/>
        <item m="1" x="1553"/>
        <item m="1" x="1556"/>
        <item m="1" x="1559"/>
        <item m="1" x="1562"/>
        <item m="1" x="1566"/>
        <item m="1" x="1569"/>
        <item m="1" x="1571"/>
        <item m="1" x="1574"/>
        <item m="1" x="479"/>
        <item m="1" x="481"/>
        <item m="1" x="483"/>
        <item m="1" x="485"/>
        <item m="1" x="486"/>
        <item m="1" x="487"/>
        <item m="1" x="488"/>
        <item m="1" x="489"/>
        <item m="1" x="490"/>
        <item m="1" x="492"/>
        <item m="1" x="493"/>
        <item m="1" x="495"/>
        <item m="1" x="497"/>
        <item m="1" x="499"/>
        <item m="1" x="502"/>
        <item m="1" x="504"/>
        <item m="1" x="507"/>
        <item m="1" x="509"/>
        <item m="1" x="512"/>
        <item m="1" x="515"/>
        <item m="1" x="518"/>
        <item m="1" x="522"/>
        <item m="1" x="527"/>
        <item m="1" x="532"/>
        <item m="1" x="1584"/>
        <item m="1" x="1638"/>
        <item m="1" x="1640"/>
        <item m="1" x="1641"/>
        <item m="1" x="1643"/>
        <item m="1" x="1644"/>
        <item m="1" x="1645"/>
        <item m="1" x="1647"/>
        <item m="1" x="1649"/>
        <item m="1" x="1652"/>
        <item m="1" x="1654"/>
        <item m="1" x="1656"/>
        <item m="1" x="1659"/>
        <item m="1" x="1661"/>
        <item m="1" x="1663"/>
        <item m="1" x="1666"/>
        <item m="1" x="1668"/>
        <item m="1" x="1671"/>
        <item m="1" x="1674"/>
        <item m="1" x="1677"/>
        <item m="1" x="1680"/>
        <item m="1" x="1683"/>
        <item m="1" x="1686"/>
        <item m="1" x="1689"/>
        <item m="1" x="1691"/>
        <item m="1" x="611"/>
        <item m="1" x="613"/>
        <item m="1" x="615"/>
        <item m="1" x="619"/>
        <item m="1" x="622"/>
        <item m="1" x="624"/>
        <item m="1" x="626"/>
        <item m="1" x="629"/>
        <item m="1" x="632"/>
        <item m="1" x="635"/>
        <item m="1" x="639"/>
        <item m="1" x="643"/>
        <item m="1" x="647"/>
        <item m="1" x="651"/>
        <item m="1" x="654"/>
        <item m="1" x="658"/>
        <item m="1" x="662"/>
        <item m="1" x="666"/>
        <item m="1" x="671"/>
        <item m="1" x="676"/>
        <item m="1" x="681"/>
        <item m="1" x="687"/>
        <item m="1" x="691"/>
        <item m="1" x="695"/>
        <item m="1" x="1707"/>
        <item m="1" x="1710"/>
        <item m="1" x="1713"/>
        <item m="1" x="1717"/>
        <item m="1" x="1720"/>
        <item m="1" x="1724"/>
        <item m="1" x="1728"/>
        <item m="1" x="1733"/>
        <item m="1" x="1738"/>
        <item m="1" x="1743"/>
        <item m="1" x="1749"/>
        <item m="1" x="1755"/>
        <item m="1" x="1761"/>
        <item m="1" x="1767"/>
        <item m="1" x="1773"/>
        <item m="1" x="1779"/>
        <item m="1" x="1784"/>
        <item m="1" x="1790"/>
        <item m="1" x="1796"/>
        <item m="1" x="1802"/>
        <item m="1" x="1808"/>
        <item m="1" x="1814"/>
        <item m="1" x="1819"/>
        <item m="1" x="1823"/>
        <item m="1" x="719"/>
        <item m="1" x="722"/>
        <item m="1" x="724"/>
        <item m="1" x="727"/>
        <item m="1" x="729"/>
        <item m="1" x="732"/>
        <item m="1" x="735"/>
        <item m="1" x="739"/>
        <item m="1" x="742"/>
        <item m="1" x="746"/>
        <item m="1" x="750"/>
        <item m="1" x="754"/>
        <item m="1" x="759"/>
        <item m="1" x="764"/>
        <item m="1" x="767"/>
        <item m="1" x="772"/>
        <item m="1" x="776"/>
        <item m="1" x="781"/>
        <item m="1" x="785"/>
        <item m="1" x="790"/>
        <item m="1" x="795"/>
        <item m="1" x="799"/>
        <item m="1" x="803"/>
        <item m="1" x="807"/>
        <item m="1" x="1845"/>
        <item m="1" x="1847"/>
        <item m="1" x="1849"/>
        <item m="1" x="1852"/>
        <item m="1" x="1854"/>
        <item m="1" x="1856"/>
        <item m="1" x="1859"/>
        <item m="1" x="1862"/>
        <item m="1" x="1864"/>
        <item m="1" x="1866"/>
        <item m="1" x="1869"/>
        <item m="1" x="1871"/>
        <item m="1" x="1875"/>
        <item m="1" x="1878"/>
        <item m="1" x="1881"/>
        <item m="1" x="1884"/>
        <item m="1" x="1887"/>
        <item m="1" x="1889"/>
        <item m="1" x="1892"/>
        <item m="1" x="1895"/>
        <item m="1" x="1899"/>
        <item m="1" x="1901"/>
        <item m="1" x="1904"/>
        <item m="1" x="1907"/>
        <item m="1" x="854"/>
        <item m="1" x="856"/>
        <item m="1" x="858"/>
        <item m="1" x="867"/>
        <item m="1" x="868"/>
        <item m="1" x="870"/>
        <item m="1" x="872"/>
        <item m="1" x="874"/>
        <item m="1" x="876"/>
        <item m="1" x="878"/>
        <item m="1" x="881"/>
        <item m="1" x="884"/>
        <item m="1" x="887"/>
        <item m="1" x="890"/>
        <item m="1" x="893"/>
        <item m="1" x="896"/>
        <item m="1" x="899"/>
        <item m="1" x="902"/>
        <item m="1" x="905"/>
        <item m="1" x="908"/>
        <item m="1" x="911"/>
        <item m="1" x="914"/>
        <item m="1" x="917"/>
        <item m="1" x="920"/>
        <item m="1" x="923"/>
        <item m="1" x="926"/>
        <item m="1" x="929"/>
        <item m="1" x="1968"/>
        <item m="1" x="1970"/>
        <item m="1" x="1972"/>
        <item m="1" x="1974"/>
        <item m="1" x="1976"/>
        <item m="1" x="1977"/>
        <item m="1" x="1978"/>
        <item m="1" x="1980"/>
        <item m="1" x="1983"/>
        <item m="1" x="1985"/>
        <item m="1" x="1988"/>
        <item m="1" x="1991"/>
        <item m="1" x="1993"/>
        <item m="1" x="1995"/>
        <item m="1" x="1997"/>
        <item m="1" x="2000"/>
        <item m="1" x="2003"/>
        <item m="1" x="2006"/>
        <item m="1" x="2010"/>
        <item m="1" x="2013"/>
        <item m="1" x="2017"/>
        <item m="1" x="2020"/>
        <item m="1" x="2022"/>
        <item m="1" x="2024"/>
        <item m="1" x="1152"/>
        <item m="1" x="1155"/>
        <item m="1" x="1157"/>
        <item m="1" x="1161"/>
        <item m="1" x="1163"/>
        <item m="1" x="1164"/>
        <item m="1" x="1168"/>
        <item m="1" x="1172"/>
        <item m="1" x="1176"/>
        <item m="1" x="1179"/>
        <item m="1" x="1183"/>
        <item m="1" x="1187"/>
        <item m="1" x="1191"/>
        <item m="1" x="1195"/>
        <item m="1" x="1199"/>
        <item m="1" x="1203"/>
        <item m="1" x="1207"/>
        <item m="1" x="1210"/>
        <item m="1" x="1213"/>
        <item m="1" x="1216"/>
        <item m="1" x="1220"/>
        <item m="1" x="1222"/>
        <item m="1" x="1223"/>
        <item m="1" x="1224"/>
        <item m="1" x="197"/>
        <item m="1" x="199"/>
        <item m="1" x="201"/>
        <item m="1" x="204"/>
        <item m="1" x="207"/>
        <item m="1" x="210"/>
        <item m="1" x="214"/>
        <item m="1" x="216"/>
        <item m="1" x="219"/>
        <item m="1" x="222"/>
        <item m="1" x="226"/>
        <item m="1" x="229"/>
        <item m="1" x="232"/>
        <item m="1" x="234"/>
        <item m="1" x="238"/>
        <item m="1" x="242"/>
        <item m="1" x="246"/>
        <item m="1" x="249"/>
        <item m="1" x="251"/>
        <item m="1" x="255"/>
        <item m="1" x="256"/>
        <item m="1" x="259"/>
        <item m="1" x="260"/>
        <item m="1" x="261"/>
        <item m="1" x="1228"/>
        <item m="1" x="1229"/>
        <item m="1" x="1231"/>
        <item m="1" x="1232"/>
        <item m="1" x="1233"/>
        <item m="1" x="1235"/>
        <item m="1" x="1238"/>
        <item m="1" x="1240"/>
        <item m="1" x="1242"/>
        <item m="1" x="1245"/>
        <item m="1" x="1247"/>
        <item m="1" x="1249"/>
        <item m="1" x="1252"/>
        <item m="1" x="1255"/>
        <item m="1" x="1258"/>
        <item m="1" x="1261"/>
        <item m="1" x="1264"/>
        <item m="1" x="1266"/>
        <item m="1" x="1269"/>
        <item m="1" x="1270"/>
        <item m="1" x="1271"/>
        <item m="1" x="1272"/>
        <item m="1" x="1273"/>
        <item m="1" x="1277"/>
        <item m="1" x="1279"/>
        <item m="1" x="1281"/>
        <item m="1" x="1283"/>
        <item m="1" x="1285"/>
        <item m="1" x="1287"/>
        <item m="1" x="1289"/>
        <item m="1" x="1291"/>
        <item m="1" x="1293"/>
        <item m="1" x="1295"/>
        <item m="1" x="1297"/>
        <item m="1" x="1299"/>
        <item m="1" x="1301"/>
        <item m="1" x="1303"/>
        <item m="1" x="1305"/>
        <item m="1" x="1307"/>
        <item m="1" x="1309"/>
        <item m="1" x="1311"/>
        <item m="1" x="1313"/>
        <item m="1" x="1315"/>
        <item m="1" x="1317"/>
        <item m="1" x="1319"/>
        <item m="1" x="1320"/>
        <item m="1" x="275"/>
        <item m="1" x="1326"/>
        <item m="1" x="318"/>
        <item m="1" x="1380"/>
        <item m="1" x="358"/>
        <item m="1" x="1458"/>
        <item m="1" x="422"/>
        <item m="1" x="1509"/>
        <item m="1" x="484"/>
        <item m="1" x="1586"/>
        <item m="1" x="616"/>
        <item m="1" x="1714"/>
        <item m="1" x="725"/>
        <item m="1" x="1850"/>
        <item m="1" x="824"/>
        <item m="1" x="1973"/>
        <item m="1" x="938"/>
        <item x="0"/>
        <item x="1"/>
        <item x="2"/>
        <item x="3"/>
        <item x="4"/>
        <item x="5"/>
        <item x="6"/>
        <item x="7"/>
        <item x="8"/>
        <item x="9"/>
        <item x="10"/>
        <item x="11"/>
        <item x="12"/>
        <item x="13"/>
        <item x="14"/>
        <item x="15"/>
        <item x="16"/>
        <item x="17"/>
        <item x="18"/>
        <item x="19"/>
        <item x="20"/>
        <item x="21"/>
        <item x="22"/>
        <item x="23"/>
        <item m="1" x="600"/>
        <item m="1" x="603"/>
        <item m="1" x="605"/>
        <item m="1" x="1721"/>
        <item m="1" x="1725"/>
        <item m="1" x="1729"/>
        <item m="1" x="1734"/>
        <item m="1" x="1739"/>
        <item m="1" x="1744"/>
        <item m="1" x="1750"/>
        <item m="1" x="1756"/>
        <item m="1" x="1762"/>
        <item m="1" x="1768"/>
        <item m="1" x="1774"/>
        <item m="1" x="1780"/>
        <item m="1" x="1785"/>
        <item m="1" x="1791"/>
        <item m="1" x="1797"/>
        <item m="1" x="1803"/>
        <item m="1" x="1809"/>
        <item m="1" x="1815"/>
        <item m="1" x="1820"/>
        <item m="1" x="1824"/>
        <item m="1" x="1827"/>
        <item m="1" x="1830"/>
        <item m="1" x="130"/>
        <item m="1" x="1905"/>
        <item m="1" x="1908"/>
        <item m="1" x="1911"/>
        <item m="1" x="869"/>
        <item m="1" x="871"/>
        <item m="1" x="873"/>
        <item m="1" x="875"/>
        <item m="1" x="877"/>
        <item m="1" x="879"/>
        <item m="1" x="882"/>
        <item m="1" x="885"/>
        <item m="1" x="888"/>
        <item m="1" x="891"/>
        <item m="1" x="894"/>
        <item m="1" x="897"/>
        <item m="1" x="900"/>
        <item m="1" x="903"/>
        <item m="1" x="906"/>
        <item m="1" x="909"/>
        <item m="1" x="912"/>
        <item m="1" x="915"/>
        <item m="1" x="918"/>
        <item m="1" x="921"/>
        <item m="1" x="924"/>
        <item m="1" x="927"/>
        <item m="1" x="281"/>
        <item m="1" x="284"/>
        <item m="1" x="287"/>
        <item m="1" x="311"/>
        <item m="1" x="312"/>
        <item m="1" x="313"/>
        <item m="1" x="1334"/>
        <item m="1" x="1339"/>
        <item m="1" x="1341"/>
        <item m="1" x="1346"/>
        <item m="1" x="1350"/>
        <item m="1" x="1353"/>
        <item m="1" x="1360"/>
        <item m="1" x="1367"/>
        <item m="1" x="1375"/>
        <item m="1" x="1376"/>
        <item m="1" x="323"/>
        <item m="1" x="325"/>
        <item m="1" x="347"/>
        <item m="1" x="352"/>
        <item m="1" x="353"/>
        <item m="1" x="354"/>
        <item m="1" x="355"/>
        <item m="1" x="356"/>
        <item m="1" x="357"/>
        <item m="1" x="1386"/>
        <item m="1" x="1389"/>
        <item m="1" x="1392"/>
        <item m="1" x="1396"/>
        <item m="1" x="1398"/>
        <item m="1" x="1400"/>
        <item m="1" x="1428"/>
        <item m="1" x="371"/>
        <item m="1" x="372"/>
        <item m="1" x="373"/>
        <item m="1" x="1549"/>
        <item m="1" x="1554"/>
        <item m="1" x="1581"/>
        <item m="1" x="523"/>
        <item m="1" x="528"/>
        <item m="1" x="533"/>
        <item m="1" x="537"/>
        <item m="1" x="540"/>
        <item m="1" x="1605"/>
        <item m="1" x="1609"/>
        <item m="1" x="1624"/>
        <item m="1" x="1627"/>
        <item m="1" x="1633"/>
        <item m="1" x="667"/>
        <item m="1" x="672"/>
        <item m="1" x="677"/>
        <item m="1" x="682"/>
        <item m="1" x="688"/>
        <item m="1" x="692"/>
        <item m="1" x="696"/>
        <item m="1" x="699"/>
        <item m="1" x="702"/>
        <item m="1" x="705"/>
        <item m="1" x="708"/>
        <item m="1" x="1835"/>
        <item m="1" x="1838"/>
        <item m="1" x="936"/>
        <item m="1" x="1503"/>
        <item m="1" x="808"/>
        <item m="1" x="811"/>
        <item m="1" x="814"/>
        <item m="1" x="1921"/>
        <item m="1" x="1923"/>
        <item m="1" x="1924"/>
        <item m="1" x="1925"/>
        <item m="1" x="1926"/>
        <item m="1" x="1927"/>
        <item m="1" x="1929"/>
        <item m="1" x="1932"/>
        <item m="1" x="1934"/>
        <item m="1" x="1936"/>
        <item m="1" x="1938"/>
        <item m="1" x="1940"/>
        <item m="1" x="1942"/>
        <item m="1" x="1944"/>
        <item m="1" x="1946"/>
        <item m="1" x="1948"/>
        <item m="1" x="1950"/>
        <item m="1" x="1952"/>
        <item m="1" x="1954"/>
        <item m="1" x="1956"/>
        <item m="1" x="1958"/>
        <item m="1" x="1960"/>
        <item m="1" x="510"/>
        <item m="1" x="513"/>
        <item m="1" x="516"/>
        <item m="1" x="519"/>
        <item m="1" x="524"/>
        <item m="1" x="529"/>
        <item m="1" x="534"/>
        <item m="1" x="538"/>
        <item m="1" x="541"/>
      </items>
    </pivotField>
    <pivotField dataField="1" showAl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ragToRow="0" dragToCol="0" dragToPage="0" showAll="0" defaultSubtotal="0"/>
    <pivotField dragToRow="0" dragToCol="0" dragToPage="0" showAll="0" defaultSubtotal="0"/>
  </pivotFields>
  <rowFields count="1">
    <field x="2"/>
  </rowFields>
  <rowItems count="25">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t="grand">
      <x/>
    </i>
  </rowItems>
  <colFields count="1">
    <field x="-2"/>
  </colFields>
  <colItems count="9">
    <i>
      <x/>
    </i>
    <i i="1">
      <x v="1"/>
    </i>
    <i i="2">
      <x v="2"/>
    </i>
    <i i="3">
      <x v="3"/>
    </i>
    <i i="4">
      <x v="4"/>
    </i>
    <i i="5">
      <x v="5"/>
    </i>
    <i i="6">
      <x v="6"/>
    </i>
    <i i="7">
      <x v="7"/>
    </i>
    <i i="8">
      <x v="8"/>
    </i>
  </colItems>
  <dataFields count="9">
    <dataField name="actH" fld="3" subtotal="average" baseField="2" baseItem="1739" numFmtId="164"/>
    <dataField name="prdH" fld="4" subtotal="average" baseField="2" baseItem="1739" numFmtId="164"/>
    <dataField name="errH" fld="5" subtotal="average" baseField="2" baseItem="1739" numFmtId="164"/>
    <dataField name="actL" fld="6" subtotal="average" baseField="2" baseItem="1739" numFmtId="164"/>
    <dataField name="prdL" fld="7" subtotal="average" baseField="2" baseItem="1739" numFmtId="164"/>
    <dataField name="errL" fld="8" subtotal="average" baseField="2" baseItem="1739" numFmtId="164"/>
    <dataField name="actC" fld="9" subtotal="average" baseField="2" baseItem="1739" numFmtId="164"/>
    <dataField name="prdC" fld="10" subtotal="average" baseField="2" baseItem="1734" numFmtId="164"/>
    <dataField name="errC" fld="11" subtotal="average" baseField="2" baseItem="1734" numFmtId="164"/>
  </dataFields>
  <formats count="14">
    <format dxfId="42">
      <pivotArea dataOnly="0" fieldPosition="0">
        <references count="1">
          <reference field="2" count="1">
            <x v="1641"/>
          </reference>
        </references>
      </pivotArea>
    </format>
    <format dxfId="41">
      <pivotArea dataOnly="0" fieldPosition="0">
        <references count="1">
          <reference field="2" count="1">
            <x v="1342"/>
          </reference>
        </references>
      </pivotArea>
    </format>
    <format dxfId="40">
      <pivotArea outline="0" fieldPosition="0">
        <references count="1">
          <reference field="4294967294" count="1">
            <x v="0"/>
          </reference>
        </references>
      </pivotArea>
    </format>
    <format dxfId="39">
      <pivotArea outline="0" fieldPosition="0">
        <references count="1">
          <reference field="4294967294" count="1">
            <x v="1"/>
          </reference>
        </references>
      </pivotArea>
    </format>
    <format dxfId="38">
      <pivotArea outline="0" fieldPosition="0">
        <references count="1">
          <reference field="4294967294" count="1">
            <x v="3"/>
          </reference>
        </references>
      </pivotArea>
    </format>
    <format dxfId="37">
      <pivotArea outline="0" fieldPosition="0">
        <references count="1">
          <reference field="4294967294" count="1">
            <x v="4"/>
          </reference>
        </references>
      </pivotArea>
    </format>
    <format dxfId="36">
      <pivotArea outline="0" fieldPosition="0">
        <references count="1">
          <reference field="4294967294" count="1">
            <x v="2"/>
          </reference>
        </references>
      </pivotArea>
    </format>
    <format dxfId="35">
      <pivotArea outline="0" fieldPosition="0">
        <references count="1">
          <reference field="4294967294" count="1">
            <x v="5"/>
          </reference>
        </references>
      </pivotArea>
    </format>
    <format dxfId="34">
      <pivotArea outline="0" fieldPosition="0">
        <references count="1">
          <reference field="4294967294" count="1">
            <x v="6"/>
          </reference>
        </references>
      </pivotArea>
    </format>
    <format dxfId="33">
      <pivotArea outline="0" fieldPosition="0">
        <references count="1">
          <reference field="4294967294" count="1">
            <x v="8"/>
          </reference>
        </references>
      </pivotArea>
    </format>
    <format dxfId="32">
      <pivotArea outline="0" fieldPosition="0">
        <references count="1">
          <reference field="4294967294" count="1">
            <x v="7"/>
          </reference>
        </references>
      </pivotArea>
    </format>
    <format dxfId="31">
      <pivotArea field="2" grandRow="1" outline="0" collapsedLevelsAreSubtotals="1" axis="axisRow" fieldPosition="0">
        <references count="1">
          <reference field="4294967294" count="1" selected="0">
            <x v="2"/>
          </reference>
        </references>
      </pivotArea>
    </format>
    <format dxfId="30">
      <pivotArea field="2" grandRow="1" outline="0" collapsedLevelsAreSubtotals="1" axis="axisRow" fieldPosition="0">
        <references count="1">
          <reference field="4294967294" count="1" selected="0">
            <x v="5"/>
          </reference>
        </references>
      </pivotArea>
    </format>
    <format dxfId="29">
      <pivotArea field="2" grandRow="1" outline="0" collapsedLevelsAreSubtotals="1" axis="axisRow" fieldPosition="0">
        <references count="1">
          <reference field="4294967294" count="1" selected="0">
            <x v="8"/>
          </reference>
        </references>
      </pivotArea>
    </format>
  </formats>
  <conditionalFormats count="1">
    <conditionalFormat priority="1">
      <pivotAreas count="3">
        <pivotArea type="data" collapsedLevelsAreSubtotals="1" fieldPosition="0">
          <references count="2">
            <reference field="4294967294" count="1" selected="0">
              <x v="2"/>
            </reference>
            <reference field="2" count="25">
              <x v="1733"/>
              <x v="1734"/>
              <x v="1738"/>
              <x v="1739"/>
              <x v="1740"/>
              <x v="1741"/>
              <x v="1742"/>
              <x v="1743"/>
              <x v="1744"/>
              <x v="1745"/>
              <x v="1746"/>
              <x v="1747"/>
              <x v="1748"/>
              <x v="1749"/>
              <x v="1750"/>
              <x v="1751"/>
              <x v="1752"/>
              <x v="1753"/>
              <x v="1754"/>
              <x v="1755"/>
              <x v="1756"/>
              <x v="1757"/>
              <x v="1758"/>
              <x v="1759"/>
              <x v="1760"/>
            </reference>
          </references>
        </pivotArea>
        <pivotArea type="data" collapsedLevelsAreSubtotals="1" fieldPosition="0">
          <references count="2">
            <reference field="4294967294" count="1" selected="0">
              <x v="5"/>
            </reference>
            <reference field="2" count="25">
              <x v="1733"/>
              <x v="1734"/>
              <x v="1738"/>
              <x v="1739"/>
              <x v="1740"/>
              <x v="1741"/>
              <x v="1742"/>
              <x v="1743"/>
              <x v="1744"/>
              <x v="1745"/>
              <x v="1746"/>
              <x v="1747"/>
              <x v="1748"/>
              <x v="1749"/>
              <x v="1750"/>
              <x v="1751"/>
              <x v="1752"/>
              <x v="1753"/>
              <x v="1754"/>
              <x v="1755"/>
              <x v="1756"/>
              <x v="1757"/>
              <x v="1758"/>
              <x v="1759"/>
              <x v="1760"/>
            </reference>
          </references>
        </pivotArea>
        <pivotArea type="data" collapsedLevelsAreSubtotals="1" fieldPosition="0">
          <references count="2">
            <reference field="4294967294" count="1" selected="0">
              <x v="8"/>
            </reference>
            <reference field="2" count="25">
              <x v="1733"/>
              <x v="1734"/>
              <x v="1738"/>
              <x v="1739"/>
              <x v="1740"/>
              <x v="1741"/>
              <x v="1742"/>
              <x v="1743"/>
              <x v="1744"/>
              <x v="1745"/>
              <x v="1746"/>
              <x v="1747"/>
              <x v="1748"/>
              <x v="1749"/>
              <x v="1750"/>
              <x v="1751"/>
              <x v="1752"/>
              <x v="1753"/>
              <x v="1754"/>
              <x v="1755"/>
              <x v="1756"/>
              <x v="1757"/>
              <x v="1758"/>
              <x v="1759"/>
              <x v="1760"/>
            </reference>
          </references>
        </pivotArea>
      </pivotAreas>
    </conditionalFormat>
  </conditionalFormats>
  <chartFormats count="9">
    <chartFormat chart="0" format="26" series="1">
      <pivotArea type="data" outline="0" fieldPosition="0">
        <references count="1">
          <reference field="4294967294" count="1" selected="0">
            <x v="0"/>
          </reference>
        </references>
      </pivotArea>
    </chartFormat>
    <chartFormat chart="0" format="29" series="1">
      <pivotArea type="data" outline="0" fieldPosition="0">
        <references count="1">
          <reference field="4294967294" count="1" selected="0">
            <x v="1"/>
          </reference>
        </references>
      </pivotArea>
    </chartFormat>
    <chartFormat chart="0" format="32" series="1">
      <pivotArea type="data" outline="0" fieldPosition="0">
        <references count="1">
          <reference field="4294967294" count="1" selected="0">
            <x v="3"/>
          </reference>
        </references>
      </pivotArea>
    </chartFormat>
    <chartFormat chart="0" format="33" series="1">
      <pivotArea type="data" outline="0" fieldPosition="0">
        <references count="1">
          <reference field="4294967294" count="1" selected="0">
            <x v="4"/>
          </reference>
        </references>
      </pivotArea>
    </chartFormat>
    <chartFormat chart="0" format="36" series="1">
      <pivotArea type="data" outline="0" fieldPosition="0">
        <references count="1">
          <reference field="4294967294" count="1" selected="0">
            <x v="6"/>
          </reference>
        </references>
      </pivotArea>
    </chartFormat>
    <chartFormat chart="0" format="37" series="1">
      <pivotArea type="data" outline="0" fieldPosition="0">
        <references count="1">
          <reference field="4294967294" count="1" selected="0">
            <x v="7"/>
          </reference>
        </references>
      </pivotArea>
    </chartFormat>
    <chartFormat chart="0" format="38" series="1">
      <pivotArea type="data" outline="0" fieldPosition="0">
        <references count="1">
          <reference field="4294967294" count="1" selected="0">
            <x v="2"/>
          </reference>
        </references>
      </pivotArea>
    </chartFormat>
    <chartFormat chart="0" format="39" series="1">
      <pivotArea type="data" outline="0" fieldPosition="0">
        <references count="1">
          <reference field="4294967294" count="1" selected="0">
            <x v="5"/>
          </reference>
        </references>
      </pivotArea>
    </chartFormat>
    <chartFormat chart="0" format="40" series="1">
      <pivotArea type="data" outline="0" fieldPosition="0">
        <references count="1">
          <reference field="4294967294"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9" fieldListSortAscending="1">
  <location ref="A3:B5" firstHeaderRow="1" firstDataRow="2" firstDataCol="1"/>
  <pivotFields count="21">
    <pivotField compact="0" outline="0" showAll="0">
      <items count="403">
        <item m="1" x="167"/>
        <item m="1" x="227"/>
        <item m="1" x="124"/>
        <item m="1" x="248"/>
        <item m="1" x="308"/>
        <item m="1" x="176"/>
        <item m="1" x="64"/>
        <item m="1" x="187"/>
        <item m="1" x="287"/>
        <item m="1" x="279"/>
        <item m="1" x="49"/>
        <item m="1" x="129"/>
        <item m="1" x="182"/>
        <item m="1" x="208"/>
        <item m="1" x="256"/>
        <item m="1" x="304"/>
        <item m="1" x="350"/>
        <item m="1" x="236"/>
        <item m="1" x="97"/>
        <item m="1" x="138"/>
        <item m="1" x="90"/>
        <item m="1" x="104"/>
        <item m="1" x="252"/>
        <item m="1" x="24"/>
        <item m="1" x="151"/>
        <item m="1" x="56"/>
        <item m="1" x="117"/>
        <item m="1" x="309"/>
        <item m="1" x="368"/>
        <item m="1" x="65"/>
        <item m="1" x="300"/>
        <item m="1" x="121"/>
        <item m="1" x="263"/>
        <item m="1" x="313"/>
        <item m="1" x="155"/>
        <item m="1" x="388"/>
        <item m="1" x="351"/>
        <item m="1" x="260"/>
        <item m="1" x="112"/>
        <item m="1" x="125"/>
        <item m="1" x="45"/>
        <item m="1" x="135"/>
        <item m="1" x="212"/>
        <item m="1" x="357"/>
        <item m="1" x="99"/>
        <item m="1" x="324"/>
        <item m="1" x="230"/>
        <item m="1" x="40"/>
        <item m="1" x="52"/>
        <item m="1" x="107"/>
        <item m="1" x="119"/>
        <item m="1" x="174"/>
        <item m="1" x="393"/>
        <item m="1" x="28"/>
        <item m="1" x="75"/>
        <item m="1" x="336"/>
        <item m="1" x="27"/>
        <item m="1" x="74"/>
        <item m="1" x="83"/>
        <item m="1" x="140"/>
        <item m="1" x="18"/>
        <item m="1" x="365"/>
        <item m="1" x="379"/>
        <item m="1" x="50"/>
        <item m="1" x="80"/>
        <item m="1" x="321"/>
        <item m="1" x="343"/>
        <item m="1" x="17"/>
        <item m="1" x="25"/>
        <item m="1" x="226"/>
        <item m="1" x="93"/>
        <item m="1" x="385"/>
        <item m="1" x="400"/>
        <item m="1" x="37"/>
        <item m="1" x="133"/>
        <item m="1" x="173"/>
        <item m="1" x="109"/>
        <item m="1" x="114"/>
        <item m="1" x="147"/>
        <item m="1" x="172"/>
        <item m="1" x="181"/>
        <item m="1" x="192"/>
        <item m="1" x="199"/>
        <item m="1" x="242"/>
        <item m="1" x="78"/>
        <item m="1" x="378"/>
        <item m="1" x="156"/>
        <item m="1" x="198"/>
        <item m="1" x="224"/>
        <item m="1" x="42"/>
        <item m="1" x="318"/>
        <item m="1" x="377"/>
        <item m="1" x="191"/>
        <item m="1" x="118"/>
        <item m="1" x="36"/>
        <item m="1" x="246"/>
        <item m="1" x="102"/>
        <item m="1" x="48"/>
        <item m="1" x="66"/>
        <item m="1" x="273"/>
        <item m="1" x="295"/>
        <item m="1" x="301"/>
        <item m="1" x="362"/>
        <item m="1" x="375"/>
        <item m="1" x="190"/>
        <item m="1" x="12"/>
        <item m="1" x="35"/>
        <item m="1" x="47"/>
        <item m="1" x="251"/>
        <item m="1" x="361"/>
        <item m="1" x="312"/>
        <item m="1" x="374"/>
        <item m="1" x="4"/>
        <item m="1" x="23"/>
        <item m="1" x="215"/>
        <item m="1" x="373"/>
        <item m="1" x="1"/>
        <item m="1" x="204"/>
        <item m="1" x="22"/>
        <item m="1" x="196"/>
        <item m="1" x="95"/>
        <item m="1" x="315"/>
        <item m="1" x="383"/>
        <item m="1" x="11"/>
        <item m="1" x="220"/>
        <item m="1" x="55"/>
        <item m="1" x="255"/>
        <item m="1" x="326"/>
        <item m="1" x="353"/>
        <item m="1" x="21"/>
        <item m="1" x="77"/>
        <item m="1" x="94"/>
        <item m="1" x="272"/>
        <item m="1" x="277"/>
        <item m="1" x="307"/>
        <item m="1" x="314"/>
        <item m="1" x="340"/>
        <item m="1" x="254"/>
        <item m="1" x="82"/>
        <item m="1" x="166"/>
        <item m="1" x="271"/>
        <item m="1" x="177"/>
        <item m="1" x="286"/>
        <item m="1" x="9"/>
        <item m="1" x="214"/>
        <item m="1" x="322"/>
        <item m="1" x="395"/>
        <item m="1" x="139"/>
        <item m="1" x="149"/>
        <item m="1" x="352"/>
        <item m="1" x="262"/>
        <item m="1" x="168"/>
        <item m="1" x="108"/>
        <item m="1" x="282"/>
        <item m="1" x="291"/>
        <item m="1" x="14"/>
        <item m="1" x="160"/>
        <item m="1" x="81"/>
        <item m="1" x="170"/>
        <item m="1" x="285"/>
        <item m="1" x="41"/>
        <item m="1" x="54"/>
        <item m="1" x="392"/>
        <item m="1" x="116"/>
        <item m="1" x="243"/>
        <item m="1" x="253"/>
        <item m="1" x="382"/>
        <item m="1" x="397"/>
        <item m="1" x="148"/>
        <item m="1" x="387"/>
        <item m="1" x="7"/>
        <item m="1" x="200"/>
        <item m="1" x="209"/>
        <item m="1" x="26"/>
        <item m="1" x="347"/>
        <item m="1" x="159"/>
        <item m="1" x="106"/>
        <item m="1" x="396"/>
        <item m="1" x="284"/>
        <item m="1" x="203"/>
        <item m="1" x="228"/>
        <item m="1" x="334"/>
        <item m="1" x="261"/>
        <item m="1" x="386"/>
        <item m="1" x="281"/>
        <item m="1" x="120"/>
        <item m="1" x="346"/>
        <item m="1" x="360"/>
        <item m="1" x="339"/>
        <item m="1" x="79"/>
        <item m="1" x="163"/>
        <item m="1" x="265"/>
        <item m="1" x="276"/>
        <item m="1" x="278"/>
        <item m="1" x="183"/>
        <item m="1" x="16"/>
        <item m="1" x="288"/>
        <item m="1" x="320"/>
        <item m="1" x="329"/>
        <item m="1" x="233"/>
        <item m="1" x="46"/>
        <item m="1" x="76"/>
        <item m="1" x="88"/>
        <item m="1" x="384"/>
        <item m="1" x="126"/>
        <item m="1" x="332"/>
        <item m="1" x="345"/>
        <item m="1" x="381"/>
        <item m="1" x="202"/>
        <item m="1" x="328"/>
        <item m="1" x="132"/>
        <item m="1" x="239"/>
        <item m="1" x="349"/>
        <item m="1" x="6"/>
        <item m="1" x="299"/>
        <item m="1" x="207"/>
        <item m="1" x="43"/>
        <item m="1" x="142"/>
        <item m="1" x="98"/>
        <item m="1" x="154"/>
        <item m="1" x="275"/>
        <item m="1" x="269"/>
        <item m="1" x="290"/>
        <item m="1" x="297"/>
        <item m="1" x="15"/>
        <item m="1" x="303"/>
        <item m="1" x="20"/>
        <item m="1" x="123"/>
        <item m="1" x="72"/>
        <item m="1" x="165"/>
        <item m="1" x="391"/>
        <item m="1" x="13"/>
        <item m="1" x="115"/>
        <item m="1" x="180"/>
        <item m="1" x="225"/>
        <item m="1" x="231"/>
        <item m="1" x="235"/>
        <item m="1" x="241"/>
        <item m="1" x="311"/>
        <item m="1" x="344"/>
        <item m="1" x="359"/>
        <item m="1" x="92"/>
        <item m="1" x="274"/>
        <item m="1" x="105"/>
        <item m="1" x="175"/>
        <item m="1" x="113"/>
        <item m="1" x="319"/>
        <item m="1" x="34"/>
        <item m="1" x="232"/>
        <item m="1" x="44"/>
        <item m="1" x="342"/>
        <item m="1" x="53"/>
        <item m="1" x="244"/>
        <item m="1" x="71"/>
        <item m="1" x="131"/>
        <item m="1" x="157"/>
        <item m="1" x="87"/>
        <item m="1" x="216"/>
        <item m="1" x="223"/>
        <item m="1" x="58"/>
        <item m="1" x="358"/>
        <item m="1" x="91"/>
        <item m="1" x="270"/>
        <item m="1" x="268"/>
        <item m="1" x="289"/>
        <item m="1" x="8"/>
        <item m="1" x="296"/>
        <item m="1" x="302"/>
        <item m="1" x="317"/>
        <item m="1" x="238"/>
        <item m="1" x="146"/>
        <item m="1" x="70"/>
        <item m="1" x="162"/>
        <item m="1" x="371"/>
        <item m="1" x="143"/>
        <item m="1" x="399"/>
        <item m="1" x="5"/>
        <item m="1" x="2"/>
        <item m="1" x="32"/>
        <item m="1" x="222"/>
        <item m="1" x="325"/>
        <item m="1" x="331"/>
        <item m="1" x="234"/>
        <item m="1" x="338"/>
        <item m="1" x="247"/>
        <item m="1" x="356"/>
        <item m="1" x="103"/>
        <item m="1" x="195"/>
        <item m="1" x="327"/>
        <item m="1" x="341"/>
        <item m="1" x="145"/>
        <item m="1" x="152"/>
        <item m="1" x="250"/>
        <item m="1" x="354"/>
        <item m="1" x="69"/>
        <item m="1" x="364"/>
        <item m="1" x="164"/>
        <item m="1" x="266"/>
        <item m="1" x="376"/>
        <item m="1" x="390"/>
        <item m="1" x="111"/>
        <item m="1" x="206"/>
        <item m="1" x="0"/>
        <item m="1" x="31"/>
        <item m="1" x="330"/>
        <item m="1" x="141"/>
        <item m="1" x="213"/>
        <item m="1" x="96"/>
        <item m="1" x="19"/>
        <item m="1" x="122"/>
        <item m="1" x="29"/>
        <item m="1" x="219"/>
        <item m="1" x="193"/>
        <item m="1" x="210"/>
        <item m="1" x="237"/>
        <item m="1" x="63"/>
        <item m="1" x="249"/>
        <item m="1" x="363"/>
        <item m="1" x="259"/>
        <item m="1" x="370"/>
        <item m="1" x="86"/>
        <item m="1" x="280"/>
        <item m="1" x="84"/>
        <item m="1" x="221"/>
        <item m="1" x="229"/>
        <item m="1" x="337"/>
        <item m="1" x="57"/>
        <item m="1" x="153"/>
        <item m="1" x="73"/>
        <item m="1" x="158"/>
        <item m="1" x="89"/>
        <item m="1" x="380"/>
        <item m="1" x="169"/>
        <item m="1" x="101"/>
        <item m="1" x="194"/>
        <item m="1" x="294"/>
        <item m="1" x="211"/>
        <item m="1" x="316"/>
        <item m="1" x="33"/>
        <item m="1" x="292"/>
        <item m="1" x="137"/>
        <item m="1" x="51"/>
        <item m="1" x="144"/>
        <item m="1" x="348"/>
        <item m="1" x="62"/>
        <item m="1" x="258"/>
        <item m="1" x="85"/>
        <item m="1" x="67"/>
        <item m="1" x="389"/>
        <item m="1" x="179"/>
        <item m="1" x="110"/>
        <item m="1" x="185"/>
        <item m="1" x="189"/>
        <item m="1" x="197"/>
        <item m="1" x="298"/>
        <item m="1" x="306"/>
        <item m="1" x="310"/>
        <item m="1" x="323"/>
        <item m="1" x="130"/>
        <item m="1" x="366"/>
        <item m="1" x="245"/>
        <item m="1" x="394"/>
        <item m="1" x="401"/>
        <item m="1" x="293"/>
        <item m="1" x="128"/>
        <item m="1" x="39"/>
        <item m="1" x="150"/>
        <item m="1" x="3"/>
        <item m="1" x="188"/>
        <item m="1" x="205"/>
        <item m="1" x="305"/>
        <item m="1" x="398"/>
        <item m="1" x="30"/>
        <item m="1" x="240"/>
        <item m="1" x="267"/>
        <item m="1" x="283"/>
        <item m="1" x="186"/>
        <item m="1" x="127"/>
        <item m="1" x="136"/>
        <item m="1" x="61"/>
        <item m="1" x="369"/>
        <item m="1" x="171"/>
        <item m="1" x="178"/>
        <item m="1" x="355"/>
        <item m="1" x="100"/>
        <item m="1" x="218"/>
        <item m="1" x="60"/>
        <item m="1" x="68"/>
        <item m="1" x="161"/>
        <item m="1" x="367"/>
        <item m="1" x="184"/>
        <item m="1" x="134"/>
        <item m="1" x="335"/>
        <item m="1" x="264"/>
        <item m="1" x="372"/>
        <item m="1" x="201"/>
        <item m="1" x="217"/>
        <item m="1" x="38"/>
        <item m="1" x="333"/>
        <item m="1" x="59"/>
        <item m="1" x="257"/>
        <item m="1" x="10"/>
        <item t="default"/>
      </items>
    </pivotField>
    <pivotField compact="0" outline="0" showAll="0">
      <items count="989">
        <item m="1" x="245"/>
        <item m="1" x="724"/>
        <item m="1" x="91"/>
        <item m="1" x="314"/>
        <item m="1" x="68"/>
        <item m="1" x="298"/>
        <item m="1" x="539"/>
        <item m="1" x="791"/>
        <item m="1" x="175"/>
        <item m="1" x="744"/>
        <item m="1" x="461"/>
        <item m="1" x="97"/>
        <item m="1" x="563"/>
        <item m="1" x="815"/>
        <item m="1" x="930"/>
        <item m="1" x="393"/>
        <item m="1" x="150"/>
        <item m="1" x="621"/>
        <item m="1" x="489"/>
        <item m="1" x="864"/>
        <item m="1" x="776"/>
        <item m="1" x="912"/>
        <item m="1" x="697"/>
        <item m="1" x="369"/>
        <item m="1" x="541"/>
        <item m="1" x="347"/>
        <item m="1" x="465"/>
        <item m="1" x="591"/>
        <item m="1" x="840"/>
        <item m="1" x="936"/>
        <item m="1" x="10"/>
        <item m="1" x="626"/>
        <item m="1" x="825"/>
        <item m="1" x="856"/>
        <item m="1" x="113"/>
        <item m="1" x="400"/>
        <item m="1" x="432"/>
        <item m="1" x="498"/>
        <item m="1" x="522"/>
        <item m="1" x="805"/>
        <item m="1" x="903"/>
        <item m="1" x="99"/>
        <item m="1" x="325"/>
        <item m="1" x="358"/>
        <item m="1" x="416"/>
        <item m="1" x="689"/>
        <item m="1" x="950"/>
        <item m="1" x="980"/>
        <item m="1" x="111"/>
        <item m="1" x="169"/>
        <item m="1" x="364"/>
        <item m="1" x="703"/>
        <item m="1" x="900"/>
        <item m="1" x="4"/>
        <item m="1" x="98"/>
        <item m="1" x="210"/>
        <item m="1" x="507"/>
        <item m="1" x="721"/>
        <item m="1" x="818"/>
        <item m="1" x="922"/>
        <item m="1" x="43"/>
        <item m="1" x="278"/>
        <item m="1" x="339"/>
        <item m="1" x="395"/>
        <item m="1" x="739"/>
        <item m="1" x="963"/>
        <item m="1" x="208"/>
        <item m="1" x="238"/>
        <item m="1" x="414"/>
        <item m="1" x="560"/>
        <item m="1" x="683"/>
        <item m="1" x="784"/>
        <item m="1" x="850"/>
        <item m="1" x="915"/>
        <item m="1" x="946"/>
        <item m="1" x="975"/>
        <item m="1" x="108"/>
        <item m="1" x="275"/>
        <item m="1" x="303"/>
        <item m="1" x="763"/>
        <item m="1" x="797"/>
        <item m="1" x="106"/>
        <item m="1" x="151"/>
        <item m="1" x="272"/>
        <item m="1" x="290"/>
        <item m="1" x="360"/>
        <item m="1" x="411"/>
        <item m="1" x="427"/>
        <item m="1" x="660"/>
        <item m="1" x="737"/>
        <item m="1" x="846"/>
        <item m="1" x="960"/>
        <item m="1" x="972"/>
        <item m="1" x="13"/>
        <item m="1" x="78"/>
        <item m="1" x="220"/>
        <item m="1" x="315"/>
        <item m="1" x="350"/>
        <item m="1" x="424"/>
        <item m="1" x="503"/>
        <item m="1" x="528"/>
        <item m="1" x="659"/>
        <item m="1" x="778"/>
        <item m="1" x="121"/>
        <item m="1" x="235"/>
        <item m="1" x="250"/>
        <item m="1" x="333"/>
        <item m="1" x="408"/>
        <item m="1" x="542"/>
        <item m="1" x="681"/>
        <item m="1" x="713"/>
        <item m="1" x="830"/>
        <item m="1" x="940"/>
        <item m="1" x="39"/>
        <item m="1" x="75"/>
        <item m="1" x="268"/>
        <item m="1" x="287"/>
        <item m="1" x="331"/>
        <item m="1" x="617"/>
        <item m="1" x="760"/>
        <item m="1" x="775"/>
        <item m="1" x="829"/>
        <item m="1" x="842"/>
        <item m="1" x="93"/>
        <item m="1" x="132"/>
        <item m="1" x="162"/>
        <item m="1" x="179"/>
        <item m="1" x="203"/>
        <item m="1" x="285"/>
        <item m="1" x="329"/>
        <item m="1" x="615"/>
        <item m="1" x="696"/>
        <item m="1" x="793"/>
        <item m="1" x="909"/>
        <item m="1" x="957"/>
        <item m="1" x="71"/>
        <item m="1" x="201"/>
        <item m="1" x="218"/>
        <item m="1" x="232"/>
        <item m="1" x="248"/>
        <item m="1" x="267"/>
        <item m="1" x="328"/>
        <item m="1" x="368"/>
        <item m="1" x="571"/>
        <item m="1" x="628"/>
        <item m="1" x="709"/>
        <item m="1" x="730"/>
        <item m="1" x="772"/>
        <item m="1" x="807"/>
        <item m="1" x="907"/>
        <item m="1" x="926"/>
        <item m="1" x="89"/>
        <item m="1" x="104"/>
        <item m="1" x="119"/>
        <item m="1" x="144"/>
        <item m="1" x="187"/>
        <item m="1" x="217"/>
        <item m="1" x="327"/>
        <item m="1" x="403"/>
        <item m="1" x="466"/>
        <item m="1" x="540"/>
        <item m="1" x="604"/>
        <item m="1" x="612"/>
        <item m="1" x="675"/>
        <item m="1" x="749"/>
        <item m="1" x="806"/>
        <item m="1" x="841"/>
        <item m="1" x="876"/>
        <item m="1" x="937"/>
        <item m="1" x="969"/>
        <item m="1" x="116"/>
        <item m="1" x="199"/>
        <item m="1" x="215"/>
        <item m="1" x="483"/>
        <item m="1" x="500"/>
        <item m="1" x="102"/>
        <item m="1" x="590"/>
        <item m="1" x="115"/>
        <item m="1" x="603"/>
        <item m="1" x="143"/>
        <item m="1" x="638"/>
        <item m="1" x="654"/>
        <item m="1" x="186"/>
        <item m="1" x="673"/>
        <item m="1" x="694"/>
        <item m="1" x="401"/>
        <item m="1" x="482"/>
        <item m="1" x="499"/>
        <item m="1" x="524"/>
        <item m="1" x="536"/>
        <item m="1" x="67"/>
        <item m="1" x="555"/>
        <item m="1" x="569"/>
        <item m="1" x="588"/>
        <item m="1" x="173"/>
        <item m="1" x="653"/>
        <item m="1" x="747"/>
        <item m="1" x="346"/>
        <item m="1" x="887"/>
        <item m="1" x="953"/>
        <item m="1" x="448"/>
        <item m="1" x="968"/>
        <item m="1" x="36"/>
        <item m="1" x="553"/>
        <item m="1" x="114"/>
        <item m="1" x="601"/>
        <item m="1" x="198"/>
        <item m="1" x="214"/>
        <item m="1" x="728"/>
        <item m="1" x="282"/>
        <item m="1" x="789"/>
        <item m="1" x="905"/>
        <item m="1" x="418"/>
        <item m="1" x="447"/>
        <item m="1" x="983"/>
        <item m="1" x="481"/>
        <item m="1" x="86"/>
        <item m="1" x="600"/>
        <item m="1" x="652"/>
        <item m="1" x="727"/>
        <item m="1" x="788"/>
        <item m="1" x="296"/>
        <item m="1" x="311"/>
        <item m="1" x="823"/>
        <item m="1" x="904"/>
        <item m="1" x="8"/>
        <item m="1" x="51"/>
        <item m="1" x="552"/>
        <item m="1" x="84"/>
        <item m="1" x="599"/>
        <item m="1" x="141"/>
        <item m="1" x="171"/>
        <item m="1" x="257"/>
        <item m="1" x="769"/>
        <item m="1" x="281"/>
        <item m="1" x="981"/>
        <item m="1" x="7"/>
        <item m="1" x="509"/>
        <item m="1" x="32"/>
        <item m="1" x="64"/>
        <item m="1" x="651"/>
        <item m="1" x="212"/>
        <item m="1" x="743"/>
        <item m="1" x="756"/>
        <item m="1" x="822"/>
        <item m="1" x="838"/>
        <item m="1" x="342"/>
        <item m="1" x="854"/>
        <item m="1" x="357"/>
        <item m="1" x="462"/>
        <item m="1" x="6"/>
        <item m="1" x="49"/>
        <item m="1" x="128"/>
        <item m="1" x="140"/>
        <item m="1" x="688"/>
        <item m="1" x="820"/>
        <item m="1" x="365"/>
        <item m="1" x="397"/>
        <item m="1" x="935"/>
        <item m="1" x="444"/>
        <item m="1" x="508"/>
        <item m="1" x="30"/>
        <item m="1" x="47"/>
        <item m="1" x="598"/>
        <item m="1" x="154"/>
        <item m="1" x="649"/>
        <item m="1" x="230"/>
        <item m="1" x="244"/>
        <item m="1" x="742"/>
        <item m="1" x="255"/>
        <item m="1" x="801"/>
        <item m="1" x="308"/>
        <item m="1" x="323"/>
        <item m="1" x="837"/>
        <item m="1" x="872"/>
        <item m="1" x="381"/>
        <item m="1" x="948"/>
        <item m="1" x="533"/>
        <item m="1" x="63"/>
        <item m="1" x="127"/>
        <item m="1" x="609"/>
        <item m="1" x="624"/>
        <item m="1" x="648"/>
        <item m="1" x="668"/>
        <item m="1" x="195"/>
        <item m="1" x="754"/>
        <item m="1" x="800"/>
        <item m="1" x="924"/>
        <item m="1" x="415"/>
        <item m="1" x="934"/>
        <item m="1" x="520"/>
        <item m="1" x="82"/>
        <item m="1" x="126"/>
        <item m="1" x="634"/>
        <item m="1" x="167"/>
        <item m="1" x="686"/>
        <item m="1" x="722"/>
        <item m="1" x="293"/>
        <item m="1" x="306"/>
        <item m="1" x="354"/>
        <item m="1" x="379"/>
        <item m="1" x="923"/>
        <item m="1" x="965"/>
        <item m="1" x="476"/>
        <item m="1" x="2"/>
        <item m="1" x="18"/>
        <item m="1" x="518"/>
        <item m="1" x="564"/>
        <item m="1" x="597"/>
        <item m="1" x="607"/>
        <item m="1" x="666"/>
        <item m="1" x="685"/>
        <item m="1" x="701"/>
        <item m="1" x="766"/>
        <item m="1" x="279"/>
        <item m="1" x="799"/>
        <item m="1" x="816"/>
        <item m="1" x="377"/>
        <item m="1" x="494"/>
        <item m="1" x="60"/>
        <item m="1" x="580"/>
        <item m="1" x="632"/>
        <item m="1" x="240"/>
        <item m="1" x="253"/>
        <item m="1" x="292"/>
        <item m="1" x="321"/>
        <item m="1" x="361"/>
        <item m="1" x="376"/>
        <item m="1" x="459"/>
        <item m="1" x="977"/>
        <item m="1" x="125"/>
        <item m="1" x="136"/>
        <item m="1" x="622"/>
        <item m="1" x="239"/>
        <item m="1" x="765"/>
        <item m="1" x="277"/>
        <item m="1" x="813"/>
        <item m="1" x="319"/>
        <item m="1" x="337"/>
        <item m="1" x="918"/>
        <item m="1" x="931"/>
        <item m="1" x="962"/>
        <item m="1" x="28"/>
        <item m="1" x="579"/>
        <item m="1" x="165"/>
        <item m="1" x="262"/>
        <item m="1" x="304"/>
        <item m="1" x="317"/>
        <item m="1" x="851"/>
        <item m="1" x="916"/>
        <item m="1" x="413"/>
        <item m="1" x="440"/>
        <item m="1" x="457"/>
        <item m="1" x="474"/>
        <item m="1" x="504"/>
        <item m="1" x="41"/>
        <item m="1" x="578"/>
        <item m="1" x="124"/>
        <item m="1" x="605"/>
        <item m="1" x="182"/>
        <item m="1" x="665"/>
        <item m="1" x="192"/>
        <item m="1" x="206"/>
        <item m="1" x="782"/>
        <item m="1" x="849"/>
        <item m="1" x="867"/>
        <item m="1" x="412"/>
        <item m="1" x="14"/>
        <item m="1" x="27"/>
        <item m="1" x="40"/>
        <item m="1" x="530"/>
        <item m="1" x="546"/>
        <item m="1" x="577"/>
        <item m="1" x="107"/>
        <item m="1" x="123"/>
        <item m="1" x="644"/>
        <item m="1" x="663"/>
        <item m="1" x="717"/>
        <item m="1" x="273"/>
        <item m="1" x="291"/>
        <item m="1" x="302"/>
        <item m="1" x="848"/>
        <item m="1" x="160"/>
        <item m="1" x="439"/>
        <item m="1" x="456"/>
        <item m="1" x="529"/>
        <item m="1" x="826"/>
        <item m="1" x="576"/>
        <item m="1" x="596"/>
        <item m="1" x="857"/>
        <item m="1" x="889"/>
        <item m="1" x="383"/>
        <item m="1" x="402"/>
        <item m="1" x="662"/>
        <item m="1" x="190"/>
        <item m="1" x="955"/>
        <item m="1" x="449"/>
        <item m="1" x="223"/>
        <item m="1" x="464"/>
        <item m="1" x="236"/>
        <item m="1" x="738"/>
        <item m="1" x="9"/>
        <item m="1" x="23"/>
        <item m="1" x="510"/>
        <item m="1" x="537"/>
        <item m="1" x="796"/>
        <item m="1" x="811"/>
        <item m="1" x="833"/>
        <item m="1" x="101"/>
        <item m="1" x="589"/>
        <item m="1" x="159"/>
        <item m="1" x="392"/>
        <item m="1" x="943"/>
        <item m="1" x="438"/>
        <item m="1" x="693"/>
        <item m="1" x="973"/>
        <item m="1" x="473"/>
        <item m="1" x="283"/>
        <item m="1" x="58"/>
        <item m="1" x="79"/>
        <item m="1" x="575"/>
        <item m="1" x="839"/>
        <item m="1" x="595"/>
        <item m="1" x="888"/>
        <item m="1" x="420"/>
        <item m="1" x="661"/>
        <item m="1" x="189"/>
        <item m="1" x="954"/>
        <item m="1" x="222"/>
        <item m="1" x="716"/>
        <item m="1" x="22"/>
        <item m="1" x="523"/>
        <item m="1" x="780"/>
        <item m="1" x="289"/>
        <item m="1" x="535"/>
        <item m="1" x="66"/>
        <item m="1" x="554"/>
        <item m="1" x="316"/>
        <item m="1" x="587"/>
        <item m="1" x="847"/>
        <item m="1" x="351"/>
        <item m="1" x="602"/>
        <item m="1" x="374"/>
        <item m="1" x="625"/>
        <item m="1" x="895"/>
        <item m="1" x="172"/>
        <item m="1" x="426"/>
        <item m="1" x="672"/>
        <item m="1" x="942"/>
        <item m="1" x="692"/>
        <item m="1" x="961"/>
        <item m="1" x="491"/>
        <item m="1" x="746"/>
        <item m="1" x="545"/>
        <item m="1" x="312"/>
        <item m="1" x="559"/>
        <item m="1" x="824"/>
        <item m="1" x="326"/>
        <item m="1" x="345"/>
        <item m="1" x="874"/>
        <item m="1" x="135"/>
        <item m="1" x="886"/>
        <item m="1" x="631"/>
        <item m="1" x="906"/>
        <item m="1" x="164"/>
        <item m="1" x="643"/>
        <item m="1" x="419"/>
        <item m="1" x="952"/>
        <item m="1" x="204"/>
        <item m="1" x="221"/>
        <item m="1" x="715"/>
        <item m="1" x="21"/>
        <item m="1" x="35"/>
        <item m="1" x="795"/>
        <item m="1" x="301"/>
        <item m="1" x="87"/>
        <item m="1" x="568"/>
        <item m="1" x="832"/>
        <item m="1" x="100"/>
        <item m="1" x="335"/>
        <item m="1" x="610"/>
        <item m="1" x="373"/>
        <item m="1" x="391"/>
        <item m="1" x="929"/>
        <item m="1" x="185"/>
        <item m="1" x="425"/>
        <item m="1" x="941"/>
        <item m="1" x="437"/>
        <item m="1" x="959"/>
        <item m="1" x="472"/>
        <item m="1" x="490"/>
        <item m="1" x="745"/>
        <item m="1" x="26"/>
        <item m="1" x="544"/>
        <item m="1" x="344"/>
        <item m="1" x="855"/>
        <item m="1" x="122"/>
        <item m="1" x="873"/>
        <item m="1" x="620"/>
        <item m="1" x="885"/>
        <item m="1" x="149"/>
        <item m="1" x="417"/>
        <item m="1" x="188"/>
        <item m="1" x="480"/>
        <item m="1" x="736"/>
        <item m="1" x="762"/>
        <item m="1" x="34"/>
        <item m="1" x="271"/>
        <item m="1" x="779"/>
        <item m="1" x="52"/>
        <item m="1" x="65"/>
        <item m="1" x="85"/>
        <item m="1" x="567"/>
        <item m="1" x="831"/>
        <item m="1" x="586"/>
        <item m="1" x="866"/>
        <item m="1" x="142"/>
        <item m="1" x="372"/>
        <item m="1" x="158"/>
        <item m="1" x="390"/>
        <item m="1" x="410"/>
        <item m="1" x="928"/>
        <item m="1" x="671"/>
        <item m="1" x="691"/>
        <item m="1" x="706"/>
        <item m="1" x="231"/>
        <item m="1" x="516"/>
        <item m="1" x="770"/>
        <item m="1" x="57"/>
        <item m="1" x="295"/>
        <item m="1" x="543"/>
        <item m="1" x="804"/>
        <item m="1" x="77"/>
        <item m="1" x="558"/>
        <item m="1" x="96"/>
        <item m="1" x="343"/>
        <item m="1" x="594"/>
        <item m="1" x="884"/>
        <item m="1" x="148"/>
        <item m="1" x="382"/>
        <item m="1" x="630"/>
        <item m="1" x="902"/>
        <item m="1" x="642"/>
        <item m="1" x="925"/>
        <item m="1" x="181"/>
        <item m="1" x="699"/>
        <item m="1" x="463"/>
        <item m="1" x="982"/>
        <item m="1" x="479"/>
        <item m="1" x="251"/>
        <item m="1" x="20"/>
        <item m="1" x="261"/>
        <item m="1" x="33"/>
        <item m="1" x="270"/>
        <item m="1" x="288"/>
        <item m="1" x="83"/>
        <item m="1" x="334"/>
        <item m="1" x="585"/>
        <item m="1" x="845"/>
        <item m="1" x="865"/>
        <item m="1" x="359"/>
        <item m="1" x="157"/>
        <item m="1" x="914"/>
        <item m="1" x="170"/>
        <item m="1" x="409"/>
        <item m="1" x="423"/>
        <item m="1" x="197"/>
        <item m="1" x="436"/>
        <item m="1" x="690"/>
        <item m="1" x="958"/>
        <item m="1" x="213"/>
        <item m="1" x="455"/>
        <item m="1" x="705"/>
        <item m="1" x="971"/>
        <item m="1" x="726"/>
        <item m="1" x="987"/>
        <item m="1" x="488"/>
        <item m="1" x="515"/>
        <item m="1" x="56"/>
        <item m="1" x="310"/>
        <item m="1" x="95"/>
        <item m="1" x="134"/>
        <item m="1" x="883"/>
        <item m="1" x="163"/>
        <item m="1" x="399"/>
        <item m="1" x="431"/>
        <item m="1" x="951"/>
        <item m="1" x="446"/>
        <item m="1" x="698"/>
        <item m="1" x="967"/>
        <item m="1" x="714"/>
        <item m="1" x="234"/>
        <item m="1" x="735"/>
        <item m="1" x="497"/>
        <item m="1" x="269"/>
        <item m="1" x="50"/>
        <item m="1" x="584"/>
        <item m="1" x="112"/>
        <item m="1" x="863"/>
        <item m="1" x="894"/>
        <item m="1" x="156"/>
        <item m="1" x="389"/>
        <item m="1" x="637"/>
        <item m="1" x="422"/>
        <item m="1" x="435"/>
        <item m="1" x="211"/>
        <item m="1" x="454"/>
        <item m="1" x="704"/>
        <item m="1" x="725"/>
        <item m="1" x="246"/>
        <item m="1" x="487"/>
        <item m="1" x="755"/>
        <item m="1" x="25"/>
        <item m="1" x="266"/>
        <item m="1" x="768"/>
        <item m="1" x="803"/>
        <item m="1" x="76"/>
        <item m="1" x="309"/>
        <item m="1" x="821"/>
        <item m="1" x="94"/>
        <item m="1" x="574"/>
        <item m="1" x="341"/>
        <item m="1" x="356"/>
        <item m="1" x="366"/>
        <item m="1" x="619"/>
        <item m="1" x="882"/>
        <item m="1" x="901"/>
        <item m="1" x="398"/>
        <item m="1" x="430"/>
        <item m="1" x="445"/>
        <item m="1" x="233"/>
        <item m="1" x="478"/>
        <item m="1" x="734"/>
        <item m="1" x="496"/>
        <item m="1" x="761"/>
        <item m="1" x="31"/>
        <item m="1" x="777"/>
        <item m="1" x="48"/>
        <item m="1" x="534"/>
        <item m="1" x="810"/>
        <item m="1" x="332"/>
        <item m="1" x="583"/>
        <item m="1" x="844"/>
        <item m="1" x="862"/>
        <item m="1" x="893"/>
        <item m="1" x="155"/>
        <item m="1" x="388"/>
        <item m="1" x="636"/>
        <item m="1" x="913"/>
        <item m="1" x="168"/>
        <item m="1" x="650"/>
        <item m="1" x="184"/>
        <item m="1" x="670"/>
        <item m="1" x="196"/>
        <item m="1" x="453"/>
        <item m="1" x="471"/>
        <item m="1" x="986"/>
        <item m="1" x="256"/>
        <item m="1" x="265"/>
        <item m="1" x="294"/>
        <item m="1" x="802"/>
        <item m="1" x="74"/>
        <item m="1" x="324"/>
        <item m="1" x="593"/>
        <item m="1" x="355"/>
        <item m="1" x="133"/>
        <item m="1" x="363"/>
        <item m="1" x="618"/>
        <item m="1" x="881"/>
        <item m="1" x="658"/>
        <item m="1" x="680"/>
        <item m="1" x="949"/>
        <item m="1" x="712"/>
        <item m="1" x="5"/>
        <item m="1" x="249"/>
        <item m="1" x="521"/>
        <item m="1" x="46"/>
        <item m="1" x="300"/>
        <item m="1" x="551"/>
        <item m="1" x="566"/>
        <item m="1" x="843"/>
        <item m="1" x="349"/>
        <item m="1" x="861"/>
        <item m="1" x="371"/>
        <item m="1" x="635"/>
        <item m="1" x="407"/>
        <item m="1" x="669"/>
        <item m="1" x="434"/>
        <item m="1" x="687"/>
        <item m="1" x="229"/>
        <item m="1" x="243"/>
        <item m="1" x="502"/>
        <item m="1" x="264"/>
        <item m="1" x="514"/>
        <item m="1" x="767"/>
        <item m="1" x="527"/>
        <item m="1" x="55"/>
        <item m="1" x="73"/>
        <item m="1" x="819"/>
        <item m="1" x="573"/>
        <item m="1" x="836"/>
        <item m="1" x="105"/>
        <item m="1" x="340"/>
        <item m="1" x="147"/>
        <item m="1" x="396"/>
        <item m="1" x="180"/>
        <item m="1" x="657"/>
        <item m="1" x="679"/>
        <item m="1" x="443"/>
        <item m="1" x="966"/>
        <item m="1" x="219"/>
        <item m="1" x="460"/>
        <item m="1" x="711"/>
        <item m="1" x="19"/>
        <item m="1" x="260"/>
        <item m="1" x="45"/>
        <item m="1" x="286"/>
        <item m="1" x="794"/>
        <item m="1" x="62"/>
        <item m="1" x="550"/>
        <item m="1" x="828"/>
        <item m="1" x="330"/>
        <item m="1" x="582"/>
        <item m="1" x="110"/>
        <item m="1" x="348"/>
        <item m="1" x="879"/>
        <item m="1" x="153"/>
        <item m="1" x="387"/>
        <item m="1" x="911"/>
        <item m="1" x="647"/>
        <item m="1" x="939"/>
        <item m="1" x="194"/>
        <item m="1" x="433"/>
        <item m="1" x="209"/>
        <item m="1" x="702"/>
        <item m="1" x="723"/>
        <item m="1" x="985"/>
        <item m="1" x="741"/>
        <item m="1" x="12"/>
        <item m="1" x="263"/>
        <item m="1" x="513"/>
        <item m="1" x="526"/>
        <item m="1" x="307"/>
        <item m="1" x="92"/>
        <item m="1" x="853"/>
        <item m="1" x="131"/>
        <item m="1" x="362"/>
        <item m="1" x="616"/>
        <item m="1" x="380"/>
        <item m="1" x="629"/>
        <item m="1" x="899"/>
        <item m="1" x="178"/>
        <item m="1" x="656"/>
        <item m="1" x="678"/>
        <item m="1" x="947"/>
        <item m="1" x="710"/>
        <item m="1" x="979"/>
        <item m="1" x="477"/>
        <item m="1" x="733"/>
        <item m="1" x="3"/>
        <item m="1" x="495"/>
        <item m="1" x="752"/>
        <item m="1" x="519"/>
        <item m="1" x="774"/>
        <item m="1" x="44"/>
        <item m="1" x="284"/>
        <item m="1" x="809"/>
        <item m="1" x="565"/>
        <item m="1" x="827"/>
        <item m="1" x="860"/>
        <item m="1" x="608"/>
        <item m="1" x="878"/>
        <item m="1" x="139"/>
        <item m="1" x="370"/>
        <item m="1" x="892"/>
        <item m="1" x="633"/>
        <item m="1" x="910"/>
        <item m="1" x="166"/>
        <item m="1" x="406"/>
        <item m="1" x="183"/>
        <item m="1" x="667"/>
        <item m="1" x="228"/>
        <item m="1" x="470"/>
        <item m="1" x="720"/>
        <item m="1" x="242"/>
        <item m="1" x="740"/>
        <item m="1" x="11"/>
        <item m="1" x="280"/>
        <item m="1" x="787"/>
        <item m="1" x="54"/>
        <item m="1" x="72"/>
        <item m="1" x="305"/>
        <item m="1" x="557"/>
        <item m="1" x="817"/>
        <item m="1" x="322"/>
        <item m="1" x="835"/>
        <item m="1" x="120"/>
        <item m="1" x="871"/>
        <item m="1" x="880"/>
        <item m="1" x="378"/>
        <item m="1" x="898"/>
        <item m="1" x="921"/>
        <item m="1" x="933"/>
        <item m="1" x="429"/>
        <item m="1" x="677"/>
        <item m="1" x="202"/>
        <item m="1" x="964"/>
        <item m="1" x="732"/>
        <item m="1" x="751"/>
        <item m="1" x="17"/>
        <item m="1" x="259"/>
        <item m="1" x="773"/>
        <item m="1" x="42"/>
        <item m="1" x="532"/>
        <item m="1" x="61"/>
        <item m="1" x="549"/>
        <item m="1" x="808"/>
        <item m="1" x="81"/>
        <item m="1" x="581"/>
        <item m="1" x="138"/>
        <item m="1" x="891"/>
        <item m="1" x="386"/>
        <item m="1" x="405"/>
        <item m="1" x="646"/>
        <item m="1" x="938"/>
        <item m="1" x="684"/>
        <item m="1" x="452"/>
        <item m="1" x="227"/>
        <item m="1" x="469"/>
        <item m="1" x="984"/>
        <item m="1" x="241"/>
        <item m="1" x="254"/>
        <item m="1" x="753"/>
        <item m="1" x="786"/>
        <item m="1" x="53"/>
        <item m="1" x="798"/>
        <item m="1" x="70"/>
        <item m="1" x="556"/>
        <item m="1" x="814"/>
        <item m="1" x="90"/>
        <item m="1" x="572"/>
        <item m="1" x="834"/>
        <item m="1" x="852"/>
        <item m="1" x="353"/>
        <item m="1" x="870"/>
        <item m="1" x="130"/>
        <item m="1" x="146"/>
        <item m="1" x="897"/>
        <item m="1" x="161"/>
        <item m="1" x="394"/>
        <item m="1" x="641"/>
        <item m="1" x="920"/>
        <item m="1" x="177"/>
        <item m="1" x="655"/>
        <item m="1" x="932"/>
        <item m="1" x="428"/>
        <item m="1" x="200"/>
        <item m="1" x="442"/>
        <item m="1" x="978"/>
        <item m="1" x="475"/>
        <item m="1" x="731"/>
        <item m="1" x="1"/>
        <item m="1" x="16"/>
        <item m="1" x="258"/>
        <item m="1" x="759"/>
        <item m="1" x="29"/>
        <item m="1" x="299"/>
        <item m="1" x="313"/>
        <item m="1" x="562"/>
        <item m="1" x="109"/>
        <item m="1" x="859"/>
        <item m="1" x="606"/>
        <item m="1" x="137"/>
        <item m="1" x="623"/>
        <item m="1" x="908"/>
        <item m="1" x="927"/>
        <item m="1" x="193"/>
        <item m="1" x="700"/>
        <item m="1" x="468"/>
        <item m="1" x="486"/>
        <item m="1" x="501"/>
        <item m="1" x="512"/>
        <item m="1" x="38"/>
        <item m="1" x="525"/>
        <item m="1" x="785"/>
        <item m="1" x="69"/>
        <item m="1" x="320"/>
        <item m="1" x="338"/>
        <item m="1" x="869"/>
        <item m="1" x="129"/>
        <item m="1" x="614"/>
        <item m="1" x="145"/>
        <item m="1" x="375"/>
        <item m="1" x="896"/>
        <item m="1" x="919"/>
        <item m="1" x="176"/>
        <item m="1" x="676"/>
        <item m="1" x="750"/>
        <item m="1" x="506"/>
        <item m="1" x="792"/>
        <item m="1" x="59"/>
        <item m="1" x="80"/>
        <item m="1" x="561"/>
        <item m="1" x="367"/>
        <item m="1" x="890"/>
        <item m="1" x="152"/>
        <item m="1" x="385"/>
        <item m="1" x="404"/>
        <item m="1" x="421"/>
        <item m="1" x="207"/>
        <item m="1" x="970"/>
        <item m="1" x="226"/>
        <item m="1" x="467"/>
        <item m="1" x="719"/>
        <item m="1" x="485"/>
        <item m="1" x="252"/>
        <item m="1" x="24"/>
        <item m="1" x="764"/>
        <item m="1" x="812"/>
        <item m="1" x="318"/>
        <item m="1" x="103"/>
        <item m="1" x="592"/>
        <item m="1" x="118"/>
        <item m="1" x="868"/>
        <item m="1" x="613"/>
        <item m="1" x="640"/>
        <item m="1" x="917"/>
        <item m="1" x="441"/>
        <item m="1" x="216"/>
        <item m="1" x="458"/>
        <item m="1" x="708"/>
        <item m="1" x="976"/>
        <item m="1" x="247"/>
        <item m="1" x="493"/>
        <item m="1" x="505"/>
        <item m="1" x="758"/>
        <item m="1" x="517"/>
        <item m="1" x="548"/>
        <item m="1" x="877"/>
        <item m="1" x="384"/>
        <item m="1" x="451"/>
        <item m="1" x="225"/>
        <item m="1" x="718"/>
        <item m="1" x="484"/>
        <item m="1" x="511"/>
        <item m="1" x="37"/>
        <item m="1" x="276"/>
        <item m="1" x="783"/>
        <item m="1" x="88"/>
        <item m="1" x="570"/>
        <item m="1" x="117"/>
        <item m="1" x="352"/>
        <item m="1" x="611"/>
        <item m="1" x="945"/>
        <item m="1" x="695"/>
        <item m="1" x="974"/>
        <item m="1" x="0"/>
        <item m="1" x="492"/>
        <item m="1" x="748"/>
        <item m="1" x="15"/>
        <item m="1" x="757"/>
        <item m="1" x="771"/>
        <item m="1" x="531"/>
        <item m="1" x="790"/>
        <item m="1" x="297"/>
        <item m="1" x="547"/>
        <item m="1" x="858"/>
        <item m="1" x="875"/>
        <item m="1" x="645"/>
        <item m="1" x="664"/>
        <item m="1" x="191"/>
        <item m="1" x="682"/>
        <item m="1" x="956"/>
        <item m="1" x="205"/>
        <item m="1" x="450"/>
        <item m="1" x="224"/>
        <item m="1" x="274"/>
        <item m="1" x="781"/>
        <item m="1" x="538"/>
        <item m="1" x="336"/>
        <item m="1" x="627"/>
        <item m="1" x="639"/>
        <item m="1" x="174"/>
        <item m="1" x="674"/>
        <item m="1" x="944"/>
        <item m="1" x="707"/>
        <item m="1" x="729"/>
        <item m="1" x="237"/>
        <item t="default"/>
      </items>
    </pivotField>
    <pivotField compact="0" outline="0" showAll="0" defaultSubtotal="0"/>
    <pivotField compact="0" outline="0" showAll="0">
      <items count="149">
        <item m="1" x="0"/>
        <item m="1" x="23"/>
        <item m="1" x="102"/>
        <item m="1" x="90"/>
        <item m="1" x="59"/>
        <item m="1" x="27"/>
        <item m="1" x="51"/>
        <item m="1" x="15"/>
        <item m="1" x="13"/>
        <item m="1" x="3"/>
        <item m="1" x="139"/>
        <item m="1" x="11"/>
        <item m="1" x="147"/>
        <item m="1" x="66"/>
        <item m="1" x="129"/>
        <item m="1" x="119"/>
        <item m="1" x="40"/>
        <item m="1" x="35"/>
        <item m="1" x="32"/>
        <item m="1" x="48"/>
        <item m="1" x="72"/>
        <item m="1" x="144"/>
        <item m="1" x="120"/>
        <item m="1" x="131"/>
        <item m="1" x="49"/>
        <item m="1" x="19"/>
        <item m="1" x="46"/>
        <item m="1" x="121"/>
        <item m="1" x="26"/>
        <item m="1" x="118"/>
        <item m="1" x="94"/>
        <item m="1" x="76"/>
        <item m="1" x="86"/>
        <item m="1" x="77"/>
        <item m="1" x="132"/>
        <item m="1" x="109"/>
        <item m="1" x="21"/>
        <item m="1" x="58"/>
        <item m="1" x="134"/>
        <item m="1" x="88"/>
        <item m="1" x="25"/>
        <item m="1" x="30"/>
        <item m="1" x="133"/>
        <item m="1" x="41"/>
        <item m="1" x="38"/>
        <item m="1" x="103"/>
        <item m="1" x="105"/>
        <item m="1" x="128"/>
        <item m="1" x="122"/>
        <item m="1" x="101"/>
        <item m="1" x="5"/>
        <item m="1" x="83"/>
        <item m="1" x="79"/>
        <item m="1" x="54"/>
        <item m="1" x="78"/>
        <item m="1" x="4"/>
        <item m="1" x="52"/>
        <item m="1" x="82"/>
        <item m="1" x="31"/>
        <item m="1" x="137"/>
        <item m="1" x="100"/>
        <item m="1" x="69"/>
        <item m="1" x="71"/>
        <item m="1" x="20"/>
        <item m="1" x="106"/>
        <item m="1" x="2"/>
        <item m="1" x="126"/>
        <item m="1" x="89"/>
        <item m="1" x="73"/>
        <item m="1" x="113"/>
        <item m="1" x="125"/>
        <item m="1" x="43"/>
        <item m="1" x="68"/>
        <item m="1" x="123"/>
        <item m="1" x="135"/>
        <item m="1" x="17"/>
        <item m="1" x="130"/>
        <item m="1" x="127"/>
        <item m="1" x="28"/>
        <item m="1" x="99"/>
        <item m="1" x="70"/>
        <item m="1" x="110"/>
        <item m="1" x="60"/>
        <item m="1" x="92"/>
        <item m="1" x="36"/>
        <item m="1" x="53"/>
        <item m="1" x="1"/>
        <item m="1" x="107"/>
        <item m="1" x="12"/>
        <item m="1" x="33"/>
        <item m="1" x="141"/>
        <item m="1" x="116"/>
        <item m="1" x="42"/>
        <item m="1" x="39"/>
        <item m="1" x="91"/>
        <item m="1" x="29"/>
        <item m="1" x="140"/>
        <item m="1" x="95"/>
        <item m="1" x="37"/>
        <item m="1" x="63"/>
        <item m="1" x="108"/>
        <item m="1" x="9"/>
        <item m="1" x="61"/>
        <item m="1" x="67"/>
        <item m="1" x="14"/>
        <item m="1" x="45"/>
        <item m="1" x="136"/>
        <item m="1" x="65"/>
        <item m="1" x="145"/>
        <item m="1" x="81"/>
        <item m="1" x="138"/>
        <item m="1" x="6"/>
        <item m="1" x="74"/>
        <item m="1" x="96"/>
        <item m="1" x="124"/>
        <item m="1" x="34"/>
        <item m="1" x="85"/>
        <item m="1" x="146"/>
        <item m="1" x="50"/>
        <item m="1" x="104"/>
        <item m="1" x="10"/>
        <item m="1" x="64"/>
        <item m="1" x="62"/>
        <item m="1" x="44"/>
        <item m="1" x="84"/>
        <item m="1" x="7"/>
        <item m="1" x="114"/>
        <item m="1" x="115"/>
        <item m="1" x="98"/>
        <item m="1" x="112"/>
        <item m="1" x="16"/>
        <item m="1" x="87"/>
        <item m="1" x="117"/>
        <item m="1" x="93"/>
        <item m="1" x="55"/>
        <item m="1" x="111"/>
        <item m="1" x="47"/>
        <item m="1" x="24"/>
        <item m="1" x="75"/>
        <item m="1" x="57"/>
        <item m="1" x="56"/>
        <item m="1" x="8"/>
        <item m="1" x="97"/>
        <item m="1" x="143"/>
        <item m="1" x="80"/>
        <item m="1" x="142"/>
        <item m="1" x="18"/>
        <item m="1" x="22"/>
        <item t="default"/>
      </items>
    </pivotField>
    <pivotField compact="0" outline="0" showAll="0"/>
    <pivotField compact="0" outline="0" showAll="0" defaultSubtotal="0">
      <items count="6">
        <item m="1" x="0"/>
        <item m="1" x="4"/>
        <item m="1" x="3"/>
        <item m="1" x="1"/>
        <item m="1" x="2"/>
        <item m="1" x="5"/>
      </items>
    </pivotField>
    <pivotField compact="0" outline="0" showAll="0" defaultSubtotal="0">
      <items count="2">
        <item m="1" x="0"/>
        <item m="1" x="1"/>
      </items>
    </pivotField>
    <pivotField axis="axisRow" compact="0" outline="0" showAll="0" sortType="descending">
      <items count="741">
        <item m="1" x="200"/>
        <item m="1" x="177"/>
        <item m="1" x="164"/>
        <item m="1" x="175"/>
        <item m="1" x="163"/>
        <item m="1" x="185"/>
        <item m="1" x="206"/>
        <item m="1" x="237"/>
        <item m="1" x="162"/>
        <item m="1" x="173"/>
        <item m="1" x="183"/>
        <item m="1" x="219"/>
        <item m="1" x="236"/>
        <item m="1" x="160"/>
        <item m="1" x="205"/>
        <item m="1" x="235"/>
        <item m="1" x="218"/>
        <item m="1" x="234"/>
        <item m="1" x="172"/>
        <item m="1" x="180"/>
        <item m="1" x="217"/>
        <item m="1" x="216"/>
        <item m="1" x="469"/>
        <item m="1" x="484"/>
        <item m="1" x="448"/>
        <item m="1" x="443"/>
        <item m="1" x="519"/>
        <item m="1" x="517"/>
        <item m="1" x="501"/>
        <item m="1" x="391"/>
        <item m="1" x="412"/>
        <item m="1" x="461"/>
        <item m="1" x="516"/>
        <item m="1" x="460"/>
        <item m="1" x="370"/>
        <item m="1" x="410"/>
        <item m="1" x="369"/>
        <item m="1" x="388"/>
        <item m="1" x="409"/>
        <item m="1" x="434"/>
        <item m="1" x="499"/>
        <item m="1" x="368"/>
        <item m="1" x="387"/>
        <item m="1" x="433"/>
        <item m="1" x="498"/>
        <item m="1" x="514"/>
        <item m="1" x="406"/>
        <item m="1" x="432"/>
        <item m="1" x="457"/>
        <item m="1" x="497"/>
        <item m="1" x="512"/>
        <item m="1" x="367"/>
        <item m="1" x="456"/>
        <item m="1" x="496"/>
        <item m="1" x="511"/>
        <item m="1" x="366"/>
        <item m="1" x="405"/>
        <item m="1" x="455"/>
        <item m="1" x="494"/>
        <item m="1" x="385"/>
        <item m="1" x="430"/>
        <item m="1" x="475"/>
        <item m="1" x="384"/>
        <item m="1" x="403"/>
        <item m="1" x="428"/>
        <item m="1" x="453"/>
        <item m="1" x="365"/>
        <item m="1" x="402"/>
        <item m="1" x="426"/>
        <item m="1" x="452"/>
        <item m="1" x="492"/>
        <item m="1" x="509"/>
        <item m="1" x="364"/>
        <item m="1" x="401"/>
        <item m="1" x="425"/>
        <item m="1" x="451"/>
        <item m="1" x="507"/>
        <item m="1" x="383"/>
        <item m="1" x="424"/>
        <item m="1" x="450"/>
        <item m="1" x="505"/>
        <item m="1" x="381"/>
        <item m="1" x="423"/>
        <item m="1" x="400"/>
        <item m="1" x="449"/>
        <item m="1" x="471"/>
        <item m="1" x="489"/>
        <item m="1" x="377"/>
        <item m="1" x="421"/>
        <item m="1" x="468"/>
        <item m="1" x="488"/>
        <item m="1" x="420"/>
        <item m="1" x="487"/>
        <item m="1" x="397"/>
        <item m="1" x="445"/>
        <item m="1" x="486"/>
        <item m="1" x="442"/>
        <item m="1" x="440"/>
        <item m="1" x="375"/>
        <item m="1" x="415"/>
        <item m="1" x="11"/>
        <item m="1" x="270"/>
        <item m="1" x="244"/>
        <item m="1" x="266"/>
        <item m="1" x="242"/>
        <item m="1" x="265"/>
        <item m="1" x="298"/>
        <item m="1" x="241"/>
        <item m="1" x="297"/>
        <item m="1" x="240"/>
        <item m="1" x="303"/>
        <item m="1" x="283"/>
        <item m="1" x="296"/>
        <item m="1" x="238"/>
        <item m="1" x="262"/>
        <item m="1" x="250"/>
        <item m="1" x="260"/>
        <item m="1" x="294"/>
        <item m="1" x="249"/>
        <item m="1" x="293"/>
        <item m="1" x="646"/>
        <item m="1" x="115"/>
        <item m="1" x="557"/>
        <item m="1" x="662"/>
        <item m="1" x="563"/>
        <item m="1" x="117"/>
        <item m="1" x="136"/>
        <item m="1" x="590"/>
        <item m="1" x="538"/>
        <item m="1" x="372"/>
        <item m="1" x="220"/>
        <item m="1" x="716"/>
        <item m="1" x="24"/>
        <item m="1" x="650"/>
        <item m="1" x="201"/>
        <item m="1" x="669"/>
        <item m="1" x="126"/>
        <item m="1" x="2"/>
        <item m="1" x="212"/>
        <item m="1" x="683"/>
        <item m="1" x="337"/>
        <item m="1" x="358"/>
        <item m="1" x="694"/>
        <item m="1" x="46"/>
        <item m="1" x="90"/>
        <item m="1" x="300"/>
        <item m="1" x="80"/>
        <item m="1" x="463"/>
        <item m="1" x="508"/>
        <item m="1" x="35"/>
        <item m="1" x="639"/>
        <item m="1" x="197"/>
        <item m="1" x="414"/>
        <item m="1" x="605"/>
        <item m="1" x="657"/>
        <item m="1" x="660"/>
        <item m="1" x="343"/>
        <item m="1" x="161"/>
        <item m="1" x="336"/>
        <item m="1" x="272"/>
        <item m="1" x="692"/>
        <item m="1" x="547"/>
        <item m="1" x="640"/>
        <item m="1" x="18"/>
        <item m="1" x="261"/>
        <item m="1" x="729"/>
        <item m="1" x="88"/>
        <item m="1" x="617"/>
        <item m="1" x="589"/>
        <item m="1" x="735"/>
        <item m="1" x="659"/>
        <item m="1" x="156"/>
        <item m="1" x="26"/>
        <item m="1" x="5"/>
        <item m="1" x="39"/>
        <item m="1" x="350"/>
        <item m="1" x="732"/>
        <item m="1" x="147"/>
        <item m="1" x="268"/>
        <item m="1" x="587"/>
        <item m="1" x="645"/>
        <item m="1" x="111"/>
        <item m="1" x="574"/>
        <item m="1" x="192"/>
        <item m="1" x="525"/>
        <item m="1" x="279"/>
        <item m="1" x="722"/>
        <item m="1" x="715"/>
        <item m="1" x="146"/>
        <item m="1" x="95"/>
        <item m="1" x="631"/>
        <item m="1" x="221"/>
        <item m="1" x="9"/>
        <item m="1" x="462"/>
        <item m="1" x="310"/>
        <item m="1" x="33"/>
        <item m="1" x="571"/>
        <item m="1" x="565"/>
        <item m="1" x="106"/>
        <item m="1" x="576"/>
        <item m="1" x="145"/>
        <item m="1" x="134"/>
        <item m="1" x="643"/>
        <item m="1" x="725"/>
        <item m="1" x="226"/>
        <item m="1" x="186"/>
        <item m="1" x="399"/>
        <item m="1" x="436"/>
        <item m="1" x="51"/>
        <item m="1" x="556"/>
        <item m="1" x="614"/>
        <item m="1" x="56"/>
        <item m="1" x="734"/>
        <item m="1" x="267"/>
        <item m="1" x="620"/>
        <item m="1" x="44"/>
        <item m="1" x="8"/>
        <item m="1" x="441"/>
        <item m="1" x="61"/>
        <item m="1" x="32"/>
        <item m="1" x="522"/>
        <item m="1" x="386"/>
        <item m="1" x="374"/>
        <item m="1" x="730"/>
        <item m="1" x="243"/>
        <item m="1" x="728"/>
        <item m="1" x="690"/>
        <item m="1" x="282"/>
        <item m="1" x="306"/>
        <item m="1" x="320"/>
        <item m="1" x="302"/>
        <item m="1" x="718"/>
        <item m="1" x="97"/>
        <item m="1" x="120"/>
        <item m="1" x="483"/>
        <item m="1" x="724"/>
        <item m="1" x="202"/>
        <item m="1" x="629"/>
        <item m="1" x="316"/>
        <item m="1" x="573"/>
        <item m="1" x="548"/>
        <item m="1" x="40"/>
        <item m="1" x="338"/>
        <item m="1" x="155"/>
        <item m="1" x="437"/>
        <item m="1" x="277"/>
        <item m="1" x="174"/>
        <item m="1" x="636"/>
        <item m="1" x="500"/>
        <item m="1" x="495"/>
        <item m="1" x="567"/>
        <item m="1" x="671"/>
        <item m="1" x="182"/>
        <item m="1" x="560"/>
        <item m="1" x="510"/>
        <item m="1" x="543"/>
        <item m="1" x="64"/>
        <item m="1" x="269"/>
        <item m="1" x="50"/>
        <item m="1" x="305"/>
        <item m="1" x="275"/>
        <item m="1" x="176"/>
        <item m="1" x="566"/>
        <item m="1" x="465"/>
        <item m="1" x="151"/>
        <item m="1" x="325"/>
        <item m="1" x="618"/>
        <item m="1" x="555"/>
        <item m="1" x="74"/>
        <item m="1" x="630"/>
        <item m="1" x="515"/>
        <item m="1" x="439"/>
        <item m="1" x="533"/>
        <item m="1" x="502"/>
        <item m="1" x="21"/>
        <item m="1" x="609"/>
        <item m="1" x="528"/>
        <item m="1" x="503"/>
        <item m="1" x="379"/>
        <item m="1" x="328"/>
        <item m="1" x="274"/>
        <item m="1" x="141"/>
        <item m="1" x="626"/>
        <item m="1" x="346"/>
        <item m="1" x="211"/>
        <item m="1" x="697"/>
        <item m="1" x="36"/>
        <item m="1" x="558"/>
        <item m="1" x="648"/>
        <item m="1" x="678"/>
        <item m="1" x="711"/>
        <item m="1" x="233"/>
        <item m="1" x="529"/>
        <item m="1" x="658"/>
        <item m="1" x="239"/>
        <item m="1" x="713"/>
        <item m="1" x="332"/>
        <item m="1" x="42"/>
        <item m="1" x="103"/>
        <item m="1" x="418"/>
        <item m="1" x="356"/>
        <item m="1" x="599"/>
        <item m="1" x="41"/>
        <item m="1" x="55"/>
        <item m="1" x="521"/>
        <item m="1" x="544"/>
        <item m="1" x="598"/>
        <item m="1" x="476"/>
        <item m="1" x="615"/>
        <item m="1" x="621"/>
        <item m="1" x="597"/>
        <item m="1" x="28"/>
        <item m="1" x="144"/>
        <item m="1" x="562"/>
        <item m="1" x="92"/>
        <item m="1" x="360"/>
        <item m="1" x="83"/>
        <item m="1" x="606"/>
        <item m="1" x="295"/>
        <item m="1" x="229"/>
        <item m="1" x="312"/>
        <item m="1" x="70"/>
        <item m="1" x="534"/>
        <item m="1" x="319"/>
        <item m="1" x="704"/>
        <item m="1" x="105"/>
        <item m="1" x="178"/>
        <item m="1" x="390"/>
        <item m="1" x="701"/>
        <item m="1" x="119"/>
        <item m="1" x="688"/>
        <item m="1" x="578"/>
        <item m="1" x="20"/>
        <item m="1" x="169"/>
        <item m="1" x="691"/>
        <item m="1" x="137"/>
        <item m="1" x="382"/>
        <item m="1" x="31"/>
        <item m="1" x="554"/>
        <item m="1" x="679"/>
        <item m="1" x="682"/>
        <item m="1" x="153"/>
        <item m="1" x="408"/>
        <item m="1" x="559"/>
        <item m="1" x="531"/>
        <item m="1" x="318"/>
        <item m="1" x="721"/>
        <item m="1" x="334"/>
        <item m="1" x="668"/>
        <item m="1" x="118"/>
        <item m="1" x="413"/>
        <item m="1" x="601"/>
        <item m="1" x="680"/>
        <item m="1" x="89"/>
        <item m="1" x="16"/>
        <item m="1" x="264"/>
        <item m="1" x="330"/>
        <item m="1" x="133"/>
        <item m="1" x="592"/>
        <item m="1" x="34"/>
        <item m="1" x="581"/>
        <item m="1" x="114"/>
        <item m="1" x="624"/>
        <item m="1" x="135"/>
        <item m="1" x="675"/>
        <item m="1" x="685"/>
        <item m="1" x="100"/>
        <item m="1" x="313"/>
        <item m="1" x="82"/>
        <item m="1" x="53"/>
        <item m="1" x="376"/>
        <item m="1" x="493"/>
        <item m="1" x="474"/>
        <item m="1" x="651"/>
        <item m="1" x="19"/>
        <item m="1" x="710"/>
        <item m="1" x="292"/>
        <item m="1" x="102"/>
        <item m="1" x="65"/>
        <item m="1" x="709"/>
        <item m="1" x="273"/>
        <item m="1" x="478"/>
        <item m="1" x="93"/>
        <item m="1" x="444"/>
        <item m="1" x="422"/>
        <item m="1" x="76"/>
        <item m="1" x="527"/>
        <item m="1" x="13"/>
        <item m="1" x="204"/>
        <item m="1" x="539"/>
        <item m="1" x="59"/>
        <item m="1" x="698"/>
        <item m="1" x="687"/>
        <item m="1" x="10"/>
        <item m="1" x="224"/>
        <item m="1" x="85"/>
        <item m="1" x="635"/>
        <item m="1" x="378"/>
        <item m="1" x="69"/>
        <item m="1" x="87"/>
        <item m="1" x="717"/>
        <item m="1" x="458"/>
        <item m="1" x="625"/>
        <item m="1" x="253"/>
        <item m="1" x="199"/>
        <item m="1" x="619"/>
        <item m="1" x="210"/>
        <item m="1" x="157"/>
        <item m="1" x="15"/>
        <item m="1" x="184"/>
        <item m="1" x="535"/>
        <item m="1" x="27"/>
        <item m="1" x="122"/>
        <item m="1" x="568"/>
        <item m="1" x="363"/>
        <item m="1" x="398"/>
        <item m="1" x="43"/>
        <item m="1" x="251"/>
        <item m="1" x="188"/>
        <item m="1" x="454"/>
        <item m="1" x="77"/>
        <item m="1" x="653"/>
        <item m="1" x="580"/>
        <item m="1" x="613"/>
        <item m="1" x="138"/>
        <item m="1" x="143"/>
        <item m="1" x="553"/>
        <item m="1" x="130"/>
        <item m="1" x="57"/>
        <item m="1" x="340"/>
        <item m="1" x="577"/>
        <item m="1" x="321"/>
        <item m="1" x="344"/>
        <item m="1" x="666"/>
        <item m="1" x="546"/>
        <item m="1" x="94"/>
        <item m="1" x="62"/>
        <item m="1" x="459"/>
        <item m="1" x="278"/>
        <item m="1" x="108"/>
        <item m="1" x="545"/>
        <item m="1" x="532"/>
        <item m="1" x="537"/>
        <item m="1" x="1"/>
        <item m="1" x="591"/>
        <item m="1" x="79"/>
        <item m="1" x="315"/>
        <item m="1" x="677"/>
        <item m="1" x="586"/>
        <item m="1" x="583"/>
        <item m="1" x="466"/>
        <item m="1" x="66"/>
        <item m="1" x="612"/>
        <item m="1" x="223"/>
        <item m="1" x="25"/>
        <item m="1" x="552"/>
        <item m="1" x="203"/>
        <item m="1" x="389"/>
        <item m="1" x="655"/>
        <item m="1" x="641"/>
        <item m="1" x="479"/>
        <item m="1" x="348"/>
        <item m="1" x="259"/>
        <item m="1" x="67"/>
        <item m="1" x="513"/>
        <item m="1" x="48"/>
        <item m="1" x="572"/>
        <item m="1" x="258"/>
        <item m="1" x="49"/>
        <item m="1" x="524"/>
        <item m="1" x="417"/>
        <item m="1" x="323"/>
        <item m="1" x="228"/>
        <item m="1" x="58"/>
        <item m="1" x="4"/>
        <item m="1" x="214"/>
        <item m="1" x="29"/>
        <item m="1" x="520"/>
        <item m="1" x="84"/>
        <item m="1" x="714"/>
        <item m="1" x="569"/>
        <item m="1" x="54"/>
        <item m="1" x="726"/>
        <item m="1" x="23"/>
        <item m="1" x="78"/>
        <item m="1" x="17"/>
        <item m="1" x="96"/>
        <item m="1" x="550"/>
        <item m="1" x="482"/>
        <item m="1" x="232"/>
        <item m="1" x="670"/>
        <item m="1" x="647"/>
        <item m="1" x="37"/>
        <item m="1" x="447"/>
        <item m="1" x="477"/>
        <item m="1" x="491"/>
        <item m="1" x="257"/>
        <item m="1" x="341"/>
        <item m="1" x="331"/>
        <item m="1" x="314"/>
        <item m="1" x="681"/>
        <item m="1" x="47"/>
        <item m="1" x="672"/>
        <item m="1" x="407"/>
        <item m="1" x="575"/>
        <item m="1" x="588"/>
        <item m="1" x="518"/>
        <item m="1" x="642"/>
        <item m="1" x="311"/>
        <item m="1" x="246"/>
        <item m="1" x="152"/>
        <item m="1" x="45"/>
        <item m="1" x="351"/>
        <item m="1" x="705"/>
        <item m="1" x="622"/>
        <item m="1" x="739"/>
        <item m="1" x="347"/>
        <item m="1" x="213"/>
        <item m="1" x="230"/>
        <item m="1" x="667"/>
        <item m="1" x="584"/>
        <item m="1" x="68"/>
        <item m="1" x="148"/>
        <item m="1" x="129"/>
        <item m="1" x="696"/>
        <item m="1" x="322"/>
        <item m="1" x="291"/>
        <item m="1" x="616"/>
        <item m="1" x="628"/>
        <item m="1" x="140"/>
        <item m="1" x="170"/>
        <item m="1" x="354"/>
        <item m="1" x="720"/>
        <item m="1" x="125"/>
        <item m="1" x="396"/>
        <item m="1" x="195"/>
        <item m="1" x="256"/>
        <item m="1" x="595"/>
        <item m="1" x="307"/>
        <item m="1" x="638"/>
        <item m="1" x="123"/>
        <item m="1" x="73"/>
        <item m="1" x="22"/>
        <item m="1" x="333"/>
        <item m="1" x="353"/>
        <item m="1" x="676"/>
        <item m="1" x="699"/>
        <item m="1" x="196"/>
        <item m="1" x="198"/>
        <item m="1" x="549"/>
        <item m="1" x="107"/>
        <item m="1" x="737"/>
        <item m="1" x="60"/>
        <item m="1" x="285"/>
        <item m="1" x="435"/>
        <item m="1" x="335"/>
        <item m="1" x="284"/>
        <item m="1" x="158"/>
        <item m="1" x="189"/>
        <item m="1" x="607"/>
        <item m="1" x="324"/>
        <item m="1" x="52"/>
        <item m="1" x="634"/>
        <item m="1" x="446"/>
        <item m="1" x="656"/>
        <item m="1" x="404"/>
        <item m="1" x="380"/>
        <item m="1" x="309"/>
        <item m="1" x="91"/>
        <item m="1" x="301"/>
        <item m="1" x="131"/>
        <item m="1" x="727"/>
        <item m="1" x="392"/>
        <item m="1" x="222"/>
        <item m="1" x="663"/>
        <item m="1" x="154"/>
        <item m="1" x="564"/>
        <item m="1" x="665"/>
        <item m="1" x="193"/>
        <item m="1" x="472"/>
        <item m="1" x="187"/>
        <item m="1" x="610"/>
        <item m="1" x="473"/>
        <item m="1" x="352"/>
        <item m="1" x="128"/>
        <item m="1" x="357"/>
        <item m="1" x="149"/>
        <item m="1" x="359"/>
        <item m="1" x="288"/>
        <item m="1" x="536"/>
        <item m="1" x="252"/>
        <item m="1" x="703"/>
        <item m="1" x="637"/>
        <item m="1" x="345"/>
        <item m="1" x="689"/>
        <item m="1" x="113"/>
        <item m="1" x="361"/>
        <item m="1" x="526"/>
        <item m="1" x="542"/>
        <item m="1" x="304"/>
        <item m="1" x="225"/>
        <item m="1" x="393"/>
        <item m="1" x="7"/>
        <item m="1" x="490"/>
        <item m="1" x="427"/>
        <item m="1" x="419"/>
        <item m="1" x="582"/>
        <item m="1" x="124"/>
        <item m="1" x="326"/>
        <item m="1" x="207"/>
        <item m="1" x="99"/>
        <item m="1" x="719"/>
        <item m="1" x="329"/>
        <item m="1" x="594"/>
        <item m="1" x="623"/>
        <item m="1" x="231"/>
        <item m="1" x="464"/>
        <item m="1" x="467"/>
        <item m="1" x="281"/>
        <item m="1" x="287"/>
        <item m="1" x="116"/>
        <item m="1" x="109"/>
        <item m="1" x="736"/>
        <item m="1" x="165"/>
        <item m="1" x="227"/>
        <item m="1" x="245"/>
        <item m="1" x="480"/>
        <item m="1" x="3"/>
        <item m="1" x="317"/>
        <item m="1" x="723"/>
        <item m="1" x="342"/>
        <item m="1" x="254"/>
        <item m="1" x="181"/>
        <item m="1" x="707"/>
        <item m="1" x="561"/>
        <item m="1" x="608"/>
        <item m="1" x="355"/>
        <item m="1" x="504"/>
        <item m="1" x="603"/>
        <item m="1" x="101"/>
        <item m="1" x="12"/>
        <item m="1" x="673"/>
        <item m="1" x="349"/>
        <item m="1" x="593"/>
        <item m="1" x="191"/>
        <item m="1" x="611"/>
        <item m="1" x="72"/>
        <item m="1" x="132"/>
        <item m="1" x="431"/>
        <item m="1" x="733"/>
        <item m="1" x="194"/>
        <item m="1" x="654"/>
        <item m="1" x="481"/>
        <item m="1" x="686"/>
        <item m="1" x="139"/>
        <item m="1" x="702"/>
        <item m="1" x="327"/>
        <item m="1" x="104"/>
        <item m="1" x="110"/>
        <item m="1" x="695"/>
        <item m="1" x="706"/>
        <item m="1" x="708"/>
        <item m="1" x="664"/>
        <item m="1" x="371"/>
        <item m="1" x="30"/>
        <item m="1" x="373"/>
        <item m="1" x="86"/>
        <item m="1" x="693"/>
        <item m="1" x="570"/>
        <item m="1" x="551"/>
        <item m="1" x="63"/>
        <item m="1" x="276"/>
        <item m="1" x="644"/>
        <item m="1" x="523"/>
        <item m="1" x="684"/>
        <item m="1" x="286"/>
        <item m="1" x="263"/>
        <item m="1" x="6"/>
        <item m="1" x="208"/>
        <item m="1" x="247"/>
        <item m="1" x="167"/>
        <item m="1" x="579"/>
        <item m="1" x="438"/>
        <item m="1" x="179"/>
        <item m="1" x="98"/>
        <item m="1" x="362"/>
        <item m="1" x="530"/>
        <item m="1" x="633"/>
        <item m="1" x="75"/>
        <item m="1" x="159"/>
        <item m="1" x="290"/>
        <item m="1" x="308"/>
        <item m="1" x="394"/>
        <item m="1" x="209"/>
        <item m="1" x="150"/>
        <item m="1" x="632"/>
        <item m="1" x="470"/>
        <item m="1" x="506"/>
        <item m="1" x="81"/>
        <item m="1" x="166"/>
        <item m="1" x="339"/>
        <item m="1" x="121"/>
        <item m="1" x="395"/>
        <item m="1" x="215"/>
        <item m="1" x="190"/>
        <item m="1" x="604"/>
        <item m="1" x="38"/>
        <item m="1" x="627"/>
        <item m="1" x="602"/>
        <item m="1" x="289"/>
        <item m="1" x="142"/>
        <item m="1" x="168"/>
        <item m="1" x="541"/>
        <item m="1" x="429"/>
        <item m="1" x="171"/>
        <item m="1" x="112"/>
        <item m="1" x="649"/>
        <item m="1" x="127"/>
        <item m="1" x="600"/>
        <item m="1" x="255"/>
        <item m="1" x="485"/>
        <item m="1" x="0"/>
        <item m="1" x="596"/>
        <item m="1" x="585"/>
        <item m="1" x="712"/>
        <item m="1" x="416"/>
        <item m="1" x="14"/>
        <item m="1" x="731"/>
        <item m="1" x="271"/>
        <item m="1" x="540"/>
        <item m="1" x="661"/>
        <item m="1" x="652"/>
        <item m="1" x="738"/>
        <item m="1" x="700"/>
        <item m="1" x="248"/>
        <item m="1" x="674"/>
        <item m="1" x="280"/>
        <item m="1" x="411"/>
        <item m="1" x="299"/>
        <item m="1" x="71"/>
        <item t="default"/>
      </items>
    </pivotField>
    <pivotField compact="0" outline="0" showAll="0" sortType="ascending"/>
    <pivotField compact="0" outline="0" showAll="0" sortType="ascending"/>
    <pivotField compact="0" outline="0" showAll="0">
      <items count="11">
        <item m="1" x="0"/>
        <item m="1" x="8"/>
        <item m="1" x="6"/>
        <item m="1" x="2"/>
        <item m="1" x="5"/>
        <item m="1" x="9"/>
        <item m="1" x="1"/>
        <item m="1" x="3"/>
        <item m="1" x="4"/>
        <item m="1" x="7"/>
        <item t="default"/>
      </items>
    </pivotField>
    <pivotField compact="0" outline="0" showAll="0" defaultSubtotal="0"/>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7"/>
  </rowFields>
  <colFields count="1">
    <field x="-2"/>
  </colFields>
  <dataFields count="2">
    <dataField name="Average of ERRORTRS" fld="14" subtotal="average" baseField="6" baseItem="94"/>
    <dataField name="Average of ERRORTR" fld="17" subtotal="average" baseField="0" baseItem="855237056"/>
  </dataFields>
  <chartFormats count="2">
    <chartFormat chart="5" format="11" series="1">
      <pivotArea type="data" outline="0" fieldPosition="0">
        <references count="1">
          <reference field="4294967294" count="1" selected="0">
            <x v="0"/>
          </reference>
        </references>
      </pivotArea>
    </chartFormat>
    <chartFormat chart="5"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E10" firstHeaderRow="2" firstDataRow="2" firstDataCol="4"/>
  <pivotFields count="14">
    <pivotField axis="axisRow" dataField="1" compact="0" outline="0" showAll="0">
      <items count="44">
        <item x="12"/>
        <item x="32"/>
        <item x="37"/>
        <item x="9"/>
        <item x="15"/>
        <item x="40"/>
        <item x="30"/>
        <item x="18"/>
        <item x="21"/>
        <item x="35"/>
        <item x="29"/>
        <item x="39"/>
        <item x="16"/>
        <item x="33"/>
        <item x="10"/>
        <item x="11"/>
        <item x="19"/>
        <item x="31"/>
        <item x="17"/>
        <item x="34"/>
        <item x="20"/>
        <item x="27"/>
        <item x="14"/>
        <item x="13"/>
        <item x="28"/>
        <item x="0"/>
        <item x="1"/>
        <item x="2"/>
        <item x="3"/>
        <item x="4"/>
        <item x="5"/>
        <item x="6"/>
        <item x="7"/>
        <item x="8"/>
        <item x="22"/>
        <item x="23"/>
        <item x="24"/>
        <item x="25"/>
        <item x="26"/>
        <item x="36"/>
        <item x="38"/>
        <item x="41"/>
        <item x="42"/>
        <item t="default"/>
      </items>
    </pivotField>
    <pivotField compact="0" outline="0" showAll="0"/>
    <pivotField axis="axisRow" compact="0" outline="0" showAll="0" defaultSubtotal="0">
      <items count="4">
        <item sd="0" x="3"/>
        <item sd="0" x="2"/>
        <item sd="0" x="0"/>
        <item x="1"/>
      </items>
    </pivotField>
    <pivotField axis="axisRow" compact="0" outline="0" showAll="0" defaultSubtotal="0">
      <items count="4">
        <item x="1"/>
        <item x="0"/>
        <item x="2"/>
        <item x="3"/>
      </items>
    </pivotField>
    <pivotField compact="0" outline="0" showAll="0"/>
    <pivotField axis="axisRow" compact="0" outline="0" showAll="0" defaultSubtotal="0">
      <items count="6">
        <item x="2"/>
        <item x="4"/>
        <item x="1"/>
        <item x="3"/>
        <item x="0"/>
        <item x="5"/>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2"/>
    <field x="3"/>
    <field x="5"/>
    <field x="0"/>
  </rowFields>
  <rowItems count="8">
    <i>
      <x/>
    </i>
    <i>
      <x v="1"/>
    </i>
    <i>
      <x v="2"/>
    </i>
    <i>
      <x v="3"/>
      <x/>
      <x v="2"/>
      <x v="30"/>
    </i>
    <i r="3">
      <x v="31"/>
    </i>
    <i r="3">
      <x v="32"/>
    </i>
    <i r="3">
      <x v="33"/>
    </i>
    <i t="grand">
      <x/>
    </i>
  </rowItems>
  <colItems count="1">
    <i/>
  </colItems>
  <dataFields count="1">
    <dataField name="Count of PROCESSID" fld="0"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7" fieldListSortAscending="1">
  <location ref="A1:C7" firstHeaderRow="1" firstDataRow="2" firstDataCol="1"/>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2">
        <item x="0"/>
        <item h="1" x="1"/>
      </items>
    </pivotField>
    <pivotField compact="0" outline="0" showAll="0"/>
    <pivotField compact="0" outline="0" showAll="0"/>
    <pivotField axis="axisRow" compact="0" outline="0" showAll="0" sortType="ascending" defaultSubtotal="0">
      <items count="4">
        <item x="0"/>
        <item x="3"/>
        <item x="2"/>
        <item x="1"/>
      </items>
    </pivotField>
    <pivotField compact="0" outline="0" showAll="0" defaultSubtotal="0">
      <items count="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pivotField dataField="1" compact="0" outline="0" showAll="0" defaultSubtotal="0"/>
  </pivotFields>
  <rowFields count="1">
    <field x="15"/>
  </rowFields>
  <rowItems count="5">
    <i>
      <x/>
    </i>
    <i>
      <x v="1"/>
    </i>
    <i>
      <x v="2"/>
    </i>
    <i>
      <x v="3"/>
    </i>
    <i t="grand">
      <x/>
    </i>
  </rowItems>
  <colFields count="1">
    <field x="-2"/>
  </colFields>
  <colItems count="2">
    <i>
      <x/>
    </i>
    <i i="1">
      <x v="1"/>
    </i>
  </colItems>
  <dataFields count="2">
    <dataField name="Average of AVGERRORTRS" fld="26" subtotal="average" baseField="2" baseItem="0"/>
    <dataField name="Average of AVGMSER" fld="24" subtotal="average" baseField="15" baseItem="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8">
      <pivotArea dataOnly="0" labelOnly="1" fieldPosition="0">
        <references count="1">
          <reference field="9" count="0"/>
        </references>
      </pivotArea>
    </format>
    <format dxfId="27">
      <pivotArea dataOnly="0" labelOnly="1" grandCol="1" outline="0" fieldPosition="0"/>
    </format>
    <format dxfId="26">
      <pivotArea collapsedLevelsAreSubtotals="1" fieldPosition="0">
        <references count="3">
          <reference field="4294967294" count="1" selected="0">
            <x v="0"/>
          </reference>
          <reference field="4" count="1">
            <x v="46"/>
          </reference>
          <reference field="9" count="0" selected="0"/>
        </references>
      </pivotArea>
    </format>
    <format dxfId="25">
      <pivotArea collapsedLevelsAreSubtotals="1" fieldPosition="0">
        <references count="3">
          <reference field="4294967294" count="1" selected="0">
            <x v="0"/>
          </reference>
          <reference field="4" count="1">
            <x v="48"/>
          </reference>
          <reference field="9" count="0" selected="0"/>
        </references>
      </pivotArea>
    </format>
    <format dxfId="24">
      <pivotArea collapsedLevelsAreSubtotals="1" fieldPosition="0">
        <references count="3">
          <reference field="4294967294" count="1" selected="0">
            <x v="0"/>
          </reference>
          <reference field="4" count="1">
            <x v="49"/>
          </reference>
          <reference field="9" count="0" selected="0"/>
        </references>
      </pivotArea>
    </format>
    <format dxfId="23">
      <pivotArea collapsedLevelsAreSubtotals="1" fieldPosition="0">
        <references count="3">
          <reference field="4294967294" count="1" selected="0">
            <x v="0"/>
          </reference>
          <reference field="4" count="1">
            <x v="131"/>
          </reference>
          <reference field="9" count="0" selected="0"/>
        </references>
      </pivotArea>
    </format>
    <format dxfId="22">
      <pivotArea collapsedLevelsAreSubtotals="1" fieldPosition="0">
        <references count="3">
          <reference field="4294967294" count="1" selected="0">
            <x v="0"/>
          </reference>
          <reference field="4" count="1">
            <x v="133"/>
          </reference>
          <reference field="9" count="0" selected="0"/>
        </references>
      </pivotArea>
    </format>
    <format dxfId="21">
      <pivotArea collapsedLevelsAreSubtotals="1" fieldPosition="0">
        <references count="3">
          <reference field="4294967294" count="1" selected="0">
            <x v="0"/>
          </reference>
          <reference field="4" count="1">
            <x v="137"/>
          </reference>
          <reference field="9" count="0" selected="0"/>
        </references>
      </pivotArea>
    </format>
    <format dxfId="20">
      <pivotArea collapsedLevelsAreSubtotals="1" fieldPosition="0">
        <references count="3">
          <reference field="4294967294" count="1" selected="0">
            <x v="0"/>
          </reference>
          <reference field="4" count="1">
            <x v="159"/>
          </reference>
          <reference field="9" count="0" selected="0"/>
        </references>
      </pivotArea>
    </format>
    <format dxfId="19">
      <pivotArea collapsedLevelsAreSubtotals="1" fieldPosition="0">
        <references count="3">
          <reference field="4294967294" count="1" selected="0">
            <x v="0"/>
          </reference>
          <reference field="4" count="1">
            <x v="162"/>
          </reference>
          <reference field="9" count="0" selected="0"/>
        </references>
      </pivotArea>
    </format>
    <format dxfId="18">
      <pivotArea collapsedLevelsAreSubtotals="1" fieldPosition="0">
        <references count="3">
          <reference field="4294967294" count="1" selected="0">
            <x v="0"/>
          </reference>
          <reference field="4" count="1">
            <x v="167"/>
          </reference>
          <reference field="9" count="0" selected="0"/>
        </references>
      </pivotArea>
    </format>
    <format dxfId="17">
      <pivotArea collapsedLevelsAreSubtotals="1" fieldPosition="0">
        <references count="3">
          <reference field="4294967294" count="1" selected="0">
            <x v="0"/>
          </reference>
          <reference field="4" count="1">
            <x v="171"/>
          </reference>
          <reference field="9" count="0" selected="0"/>
        </references>
      </pivotArea>
    </format>
    <format dxfId="16">
      <pivotArea collapsedLevelsAreSubtotals="1" fieldPosition="0">
        <references count="3">
          <reference field="4294967294" count="1" selected="0">
            <x v="0"/>
          </reference>
          <reference field="4" count="1">
            <x v="174"/>
          </reference>
          <reference field="9" count="0" selected="0"/>
        </references>
      </pivotArea>
    </format>
    <format dxfId="15">
      <pivotArea collapsedLevelsAreSubtotals="1" fieldPosition="0">
        <references count="3">
          <reference field="4294967294" count="1" selected="0">
            <x v="0"/>
          </reference>
          <reference field="4" count="1">
            <x v="178"/>
          </reference>
          <reference field="9" count="0" selected="0"/>
        </references>
      </pivotArea>
    </format>
    <format dxfId="14">
      <pivotArea collapsedLevelsAreSubtotals="1" fieldPosition="0">
        <references count="3">
          <reference field="4294967294" count="1" selected="0">
            <x v="0"/>
          </reference>
          <reference field="4" count="1">
            <x v="197"/>
          </reference>
          <reference field="9" count="0" selected="0"/>
        </references>
      </pivotArea>
    </format>
    <format dxfId="13">
      <pivotArea collapsedLevelsAreSubtotals="1" fieldPosition="0">
        <references count="3">
          <reference field="4294967294" count="1" selected="0">
            <x v="0"/>
          </reference>
          <reference field="4" count="1">
            <x v="199"/>
          </reference>
          <reference field="9" count="0" selected="0"/>
        </references>
      </pivotArea>
    </format>
    <format dxfId="12">
      <pivotArea collapsedLevelsAreSubtotals="1" fieldPosition="0">
        <references count="3">
          <reference field="4294967294" count="1" selected="0">
            <x v="0"/>
          </reference>
          <reference field="4" count="1">
            <x v="203"/>
          </reference>
          <reference field="9" count="0" selected="0"/>
        </references>
      </pivotArea>
    </format>
    <format dxfId="11">
      <pivotArea collapsedLevelsAreSubtotals="1" fieldPosition="0">
        <references count="3">
          <reference field="4294967294" count="1" selected="0">
            <x v="0"/>
          </reference>
          <reference field="4" count="1">
            <x v="212"/>
          </reference>
          <reference field="9" count="0" selected="0"/>
        </references>
      </pivotArea>
    </format>
    <format dxfId="10">
      <pivotArea collapsedLevelsAreSubtotals="1" fieldPosition="0">
        <references count="3">
          <reference field="4294967294" count="1" selected="0">
            <x v="0"/>
          </reference>
          <reference field="4" count="1">
            <x v="218"/>
          </reference>
          <reference field="9" count="0" selected="0"/>
        </references>
      </pivotArea>
    </format>
    <format dxfId="9">
      <pivotArea collapsedLevelsAreSubtotals="1" fieldPosition="0">
        <references count="3">
          <reference field="4294967294" count="1" selected="0">
            <x v="0"/>
          </reference>
          <reference field="4" count="1">
            <x v="224"/>
          </reference>
          <reference field="9" count="0" selected="0"/>
        </references>
      </pivotArea>
    </format>
    <format dxfId="8">
      <pivotArea dataOnly="0" labelOnly="1" fieldPosition="0">
        <references count="1">
          <reference field="4" count="0"/>
        </references>
      </pivotArea>
    </format>
    <format dxfId="7">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2.xml><?xml version="1.0" encoding="utf-8"?>
<queryTable xmlns="http://schemas.openxmlformats.org/spreadsheetml/2006/main" name="ExternalData_1" connectionId="15"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queryTables/queryTable3.xml><?xml version="1.0" encoding="utf-8"?>
<queryTable xmlns="http://schemas.openxmlformats.org/spreadsheetml/2006/main" name="Query from Algo" connectionId="12" autoFormatId="16" applyNumberFormats="0" applyBorderFormats="0" applyFontFormats="0" applyPatternFormats="0" applyAlignmentFormats="0" applyWidthHeightFormats="0">
  <queryTableRefresh nextId="16">
    <queryTableFields count="15">
      <queryTableField id="1" name="PROCESSID" tableColumnId="1"/>
      <queryTableField id="2" name="HISTORYLEN" tableColumnId="2"/>
      <queryTableField id="3" name="TOPOLOGY" tableColumnId="3"/>
      <queryTableField id="4" name="MAXEPOCHS" tableColumnId="4"/>
      <queryTableField id="5" name="MAXK" tableColumnId="5"/>
      <queryTableField id="6" name="SAMPLELEN" tableColumnId="6"/>
      <queryTableField id="7" name="DATE0" tableColumnId="7"/>
      <queryTableField id="8" name="SYMBOL0" tableColumnId="8"/>
      <queryTableField id="9" name="SYMBOL1" tableColumnId="9"/>
      <queryTableField id="10" name="SYMBOL2" tableColumnId="10"/>
      <queryTableField id="11" name="TIMEFRAME" tableColumnId="11"/>
      <queryTableField id="12" name="DATATRANSFORMATION" tableColumnId="12"/>
      <queryTableField id="13" name="CORE0USECONTEXT" tableColumnId="13"/>
      <queryTableField id="14" name="TIMESERIESCOUNT" tableColumnId="14"/>
      <queryTableField id="15" name="CORE0USEBIAS" tableColumnId="15"/>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714">
        <i x="0" s="1"/>
        <i x="1"/>
        <i x="354" nd="1"/>
        <i x="216" nd="1"/>
        <i x="451" nd="1"/>
        <i x="62" nd="1"/>
        <i x="257" nd="1"/>
        <i x="217" nd="1"/>
        <i x="288" nd="1"/>
        <i x="697" nd="1"/>
        <i x="621" nd="1"/>
        <i x="610" nd="1"/>
        <i x="159" nd="1"/>
        <i x="146" nd="1"/>
        <i x="198" nd="1"/>
        <i x="329" nd="1"/>
        <i x="374" nd="1"/>
        <i x="507" nd="1"/>
        <i x="184" nd="1"/>
        <i x="495" nd="1"/>
        <i x="395" nd="1"/>
        <i x="247" nd="1"/>
        <i x="404" nd="1"/>
        <i x="453" nd="1"/>
        <i x="440" nd="1"/>
        <i x="562" nd="1"/>
        <i x="153" nd="1"/>
        <i x="60" nd="1"/>
        <i x="115" nd="1"/>
        <i x="265" nd="1"/>
        <i x="479" nd="1"/>
        <i x="637" nd="1"/>
        <i x="22" nd="1"/>
        <i x="207" nd="1"/>
        <i x="335" nd="1"/>
        <i x="423" nd="1"/>
        <i x="84" nd="1"/>
        <i x="490" nd="1"/>
        <i x="589" nd="1"/>
        <i x="112" nd="1"/>
        <i x="164" nd="1"/>
        <i x="189" nd="1"/>
        <i x="218" nd="1"/>
        <i x="461" nd="1"/>
        <i x="560" nd="1"/>
        <i x="602" nd="1"/>
        <i x="17" nd="1"/>
        <i x="270" nd="1"/>
        <i x="446" nd="1"/>
        <i x="611" nd="1"/>
        <i x="643" nd="1"/>
        <i x="33" nd="1"/>
        <i x="238" nd="1"/>
        <i x="319" nd="1"/>
        <i x="201" nd="1"/>
        <i x="227" nd="1"/>
        <i x="286" nd="1"/>
        <i x="421" nd="1"/>
        <i x="529" nd="1"/>
        <i x="694" nd="1"/>
        <i x="31" nd="1"/>
        <i x="213" nd="1"/>
        <i x="456" nd="1"/>
        <i x="539" nd="1"/>
        <i x="598" nd="1"/>
        <i x="11" nd="1"/>
        <i x="93" nd="1"/>
        <i x="120" nd="1"/>
        <i x="283" nd="1"/>
        <i x="484" nd="1"/>
        <i x="549" nd="1"/>
        <i x="557" nd="1"/>
        <i x="633" nd="1"/>
        <i x="707" nd="1"/>
        <i x="9" nd="1"/>
        <i x="43" nd="1"/>
        <i x="107" nd="1"/>
        <i x="364" nd="1"/>
        <i x="429" nd="1"/>
        <i x="547" nd="1"/>
        <i x="596" nd="1"/>
        <i x="41" nd="1"/>
        <i x="68" nd="1"/>
        <i x="131" nd="1"/>
        <i x="156" nd="1"/>
        <i x="233" nd="1"/>
        <i x="248" nd="1"/>
        <i x="388" nd="1"/>
        <i x="396" nd="1"/>
        <i x="493" nd="1"/>
        <i x="538" nd="1"/>
        <i x="631" nd="1"/>
        <i x="67" nd="1"/>
        <i x="679" nd="1"/>
        <i x="180" nd="1"/>
        <i x="353" nd="1"/>
        <i x="545" nd="1"/>
        <i x="555" nd="1"/>
        <i x="595" nd="1"/>
        <i x="617" nd="1"/>
        <i x="54" nd="1"/>
        <i x="223" nd="1"/>
        <i x="416" nd="1"/>
        <i x="454" nd="1"/>
        <i x="471" nd="1"/>
        <i x="492" nd="1"/>
        <i x="504" nd="1"/>
        <i x="535" nd="1"/>
        <i x="578" nd="1"/>
        <i x="630" nd="1"/>
        <i x="639" nd="1"/>
        <i x="168" nd="1"/>
        <i x="222" nd="1"/>
        <i x="274" nd="1"/>
        <i x="301" nd="1"/>
        <i x="336" nd="1"/>
        <i x="481" nd="1"/>
        <i x="511" nd="1"/>
        <i x="457" nd="1"/>
        <i x="629" nd="1"/>
        <i x="682" nd="1"/>
        <i x="66" nd="1"/>
        <i x="106" nd="1"/>
        <i x="130" nd="1"/>
        <i x="279" nd="1"/>
        <i x="311" nd="1"/>
        <i x="370" nd="1"/>
        <i x="414" nd="1"/>
        <i x="526" nd="1"/>
        <i x="691" nd="1"/>
        <i x="713" nd="1"/>
        <i x="7" nd="1"/>
        <i x="87" nd="1"/>
        <i x="129" nd="1"/>
        <i x="142" nd="1"/>
        <i x="166" nd="1"/>
        <i x="195" nd="1"/>
        <i x="267" nd="1"/>
        <i x="309" nd="1"/>
        <i x="350" nd="1"/>
        <i x="361" nd="1"/>
        <i x="402" nd="1"/>
        <i x="480" nd="1"/>
        <i x="561" nd="1"/>
        <i x="432" nd="1"/>
        <i x="690" nd="1"/>
        <i x="25" nd="1"/>
        <i x="51" nd="1"/>
        <i x="61" nd="1"/>
        <i x="177" nd="1"/>
        <i x="230" nd="1"/>
        <i x="291" nd="1"/>
        <i x="323" nd="1"/>
        <i x="37" nd="1"/>
        <i x="439" nd="1"/>
        <i x="104" nd="1"/>
        <i x="491" nd="1"/>
        <i x="503" nd="1"/>
        <i x="141" nd="1"/>
        <i x="193" nd="1"/>
        <i x="245" nd="1"/>
        <i x="628" nd="1"/>
        <i x="701" nd="1"/>
        <i x="24" nd="1"/>
        <i x="103" nd="1"/>
        <i x="191" nd="1"/>
        <i x="208" nd="1"/>
        <i x="541" nd="1"/>
        <i x="23" nd="1"/>
        <i x="412" nd="1"/>
        <i x="36" nd="1"/>
        <i x="140" nd="1"/>
        <i x="524" nd="1"/>
        <i x="256" nd="1"/>
        <i x="306" nd="1"/>
        <i x="322" nd="1"/>
        <i x="699" nd="1"/>
        <i x="711" nd="1"/>
        <i x="49" nd="1"/>
        <i x="59" nd="1"/>
        <i x="85" nd="1"/>
        <i x="113" nd="1"/>
        <i x="13" nd="1"/>
        <i x="126" nd="1"/>
        <i x="552" nd="1"/>
        <i x="228" nd="1"/>
        <i x="575" nd="1"/>
        <i x="277" nd="1"/>
        <i x="663" nd="1"/>
        <i x="333" nd="1"/>
        <i x="670" nd="1"/>
        <i x="710" nd="1"/>
        <i x="466" nd="1"/>
        <i x="125" nd="1"/>
        <i x="150" nd="1"/>
        <i x="521" nd="1"/>
        <i x="219" nd="1"/>
        <i x="264" nd="1"/>
        <i x="627" nd="1"/>
        <i x="332" nd="1"/>
        <i x="63" nd="1"/>
        <i x="358" nd="1"/>
        <i x="698" nd="1"/>
        <i x="382" nd="1"/>
        <i x="20" nd="1"/>
        <i x="410" nd="1"/>
        <i x="342" nd="1"/>
        <i x="99" nd="1"/>
        <i x="587" nd="1"/>
        <i x="290" nd="1"/>
        <i x="357" nd="1"/>
        <i x="4" nd="1"/>
        <i x="400" nd="1"/>
        <i x="409" nd="1"/>
        <i x="460" nd="1"/>
        <i x="82" nd="1"/>
        <i x="478" nd="1"/>
        <i x="45" nd="1"/>
        <i x="149" nd="1"/>
        <i x="174" nd="1"/>
        <i x="543" nd="1"/>
        <i x="205" nd="1"/>
        <i x="559" nd="1"/>
        <i x="568" nd="1"/>
        <i x="254" nd="1"/>
        <i x="271" nd="1"/>
        <i x="276" nd="1"/>
        <i x="304" nd="1"/>
        <i x="651" nd="1"/>
        <i x="659" nd="1"/>
        <i x="380" nd="1"/>
        <i x="34" nd="1"/>
        <i x="436" nd="1"/>
        <i x="447" nd="1"/>
        <i x="74" nd="1"/>
        <i x="97" nd="1"/>
        <i x="148" nd="1"/>
        <i x="239" nd="1"/>
        <i x="635" nd="1"/>
        <i x="320" nd="1"/>
        <i x="658" nd="1"/>
        <i x="678" nd="1"/>
        <i x="379" nd="1"/>
        <i x="399" nd="1"/>
        <i x="16" nd="1"/>
        <i x="408" nd="1"/>
        <i x="458" nd="1"/>
        <i x="162" nd="1"/>
        <i x="531" nd="1"/>
        <i x="567" nd="1"/>
        <i x="133" nd="1"/>
        <i x="252" nd="1"/>
        <i x="601" nd="1"/>
        <i x="303" nd="1"/>
        <i x="669" nd="1"/>
        <i x="356" nd="1"/>
        <i x="687" nd="1"/>
        <i x="316" nd="1"/>
        <i x="47" nd="1"/>
        <i x="445" nd="1"/>
        <i x="111" nd="1"/>
        <i x="8" nd="1"/>
        <i x="123" nd="1"/>
        <i x="509" nd="1"/>
        <i x="558" nd="1"/>
        <i x="215" nd="1"/>
        <i x="566" nd="1"/>
        <i x="574" nd="1"/>
        <i x="528" nd="1"/>
        <i x="287" nd="1"/>
        <i x="649" nd="1"/>
        <i x="331" nd="1"/>
        <i x="668" nd="1"/>
        <i x="343" nd="1"/>
        <i x="605" nd="1"/>
        <i x="367" nd="1"/>
        <i x="15" nd="1"/>
        <i x="422" nd="1"/>
        <i x="434" nd="1"/>
        <i x="96" nd="1"/>
        <i x="109" nd="1"/>
        <i x="137" nd="1"/>
        <i x="161" nd="1"/>
        <i x="530" nd="1"/>
        <i x="540" nd="1"/>
        <i x="187" nd="1"/>
        <i x="202" nd="1"/>
        <i x="132" nd="1"/>
        <i x="237" nd="1"/>
        <i x="622" nd="1"/>
        <i x="275" nd="1"/>
        <i x="642" nd="1"/>
        <i x="118" nd="1"/>
        <i x="225" nd="1"/>
        <i x="317" nd="1"/>
        <i x="676" nd="1"/>
        <i x="686" nd="1"/>
        <i x="366" nd="1"/>
        <i x="378" nd="1"/>
        <i x="14" nd="1"/>
        <i x="313" nd="1"/>
        <i x="407" nd="1"/>
        <i x="57" nd="1"/>
        <i x="79" nd="1"/>
        <i x="477" nd="1"/>
        <i x="498" nd="1"/>
        <i x="200" nd="1"/>
        <i x="214" nd="1"/>
        <i x="236" nd="1"/>
        <i x="262" nd="1"/>
        <i x="657" nd="1"/>
        <i x="355" nd="1"/>
        <i x="695" nd="1"/>
        <i x="377" nd="1"/>
        <i x="46" nd="1"/>
        <i x="433" nd="1"/>
        <i x="78" nd="1"/>
        <i x="95" nd="1"/>
        <i x="476" nd="1"/>
        <i x="108" nd="1"/>
        <i x="487" nd="1"/>
        <i x="27" nd="1"/>
        <i x="136" nd="1"/>
        <i x="519" nd="1"/>
        <i x="186" nd="1"/>
        <i x="600" nd="1"/>
        <i x="261" nd="1"/>
        <i x="619" nd="1"/>
        <i x="224" nd="1"/>
        <i x="579" nd="1"/>
        <i x="685" nd="1"/>
        <i x="365" nd="1"/>
        <i x="391" nd="1"/>
        <i x="3" nd="1"/>
        <i x="12" nd="1"/>
        <i x="405" nd="1"/>
        <i x="420" nd="1"/>
        <i x="71" nd="1"/>
        <i x="77" nd="1"/>
        <i x="94" nd="1"/>
        <i x="475" nd="1"/>
        <i x="486" nd="1"/>
        <i x="122" nd="1"/>
        <i x="310" nd="1"/>
        <i x="171" nd="1"/>
        <i x="550" nd="1"/>
        <i x="584" nd="1"/>
        <i x="251" nd="1"/>
        <i x="599" nd="1"/>
        <i x="52" nd="1"/>
        <i x="609" nd="1"/>
        <i x="618" nd="1"/>
        <i x="285" nd="1"/>
        <i x="296" nd="1"/>
        <i x="341" nd="1"/>
        <i x="708" nd="1"/>
        <i x="294" nd="1"/>
        <i x="444" nd="1"/>
        <i x="121" nd="1"/>
        <i x="508" nd="1"/>
        <i x="518" nd="1"/>
        <i x="158" nd="1"/>
        <i x="170" nd="1"/>
        <i x="226" nd="1"/>
        <i x="235" nd="1"/>
        <i x="250" nd="1"/>
        <i x="260" nd="1"/>
        <i x="608" nd="1"/>
        <i x="284" nd="1"/>
        <i x="634" nd="1"/>
        <i x="656" nd="1"/>
        <i x="667" nd="1"/>
        <i x="390" nd="1"/>
        <i x="431" nd="1"/>
        <i x="485" nd="1"/>
        <i x="135" nd="1"/>
        <i x="147" nd="1"/>
        <i x="583" nd="1"/>
        <i x="143" nd="1"/>
        <i x="597" nd="1"/>
        <i x="259" nd="1"/>
        <i x="607" nd="1"/>
        <i x="625" nd="1"/>
        <i x="282" nd="1"/>
        <i x="462" nd="1"/>
        <i x="655" nd="1"/>
        <i x="330" nd="1"/>
        <i x="666" nd="1"/>
        <i x="165" nd="1"/>
        <i x="533" nd="1"/>
        <i x="175" nd="1"/>
        <i x="280" nd="1"/>
        <i x="221" nd="1"/>
        <i x="398" nd="1"/>
        <i x="569" nd="1"/>
        <i x="10" nd="1"/>
        <i x="577" nd="1"/>
        <i x="44" nd="1"/>
        <i x="430" nd="1"/>
        <i x="603" nd="1"/>
        <i x="266" nd="1"/>
        <i x="615" nd="1"/>
        <i x="273" nd="1"/>
        <i x="278" nd="1"/>
        <i x="92" nd="1"/>
        <i x="638" nd="1"/>
        <i x="483" nd="1"/>
        <i x="308" nd="1"/>
        <i x="497" nd="1"/>
        <i x="134" nd="1"/>
        <i x="517" nd="1"/>
        <i x="349" nd="1"/>
        <i x="681" nd="1"/>
        <i x="360" nd="1"/>
        <i x="369" nd="1"/>
        <i x="662" nd="1"/>
        <i x="702" nd="1"/>
        <i x="385" nd="1"/>
        <i x="392" nd="1"/>
        <i x="401" nd="1"/>
        <i x="573" nd="1"/>
        <i x="582" nd="1"/>
        <i x="606" nd="1"/>
        <i x="268" nd="1"/>
        <i x="450" nd="1"/>
        <i x="468" nd="1"/>
        <i x="114" nd="1"/>
        <i x="127" nd="1"/>
        <i x="340" nd="1"/>
        <i x="525" nd="1"/>
        <i x="192" nd="1"/>
        <i x="209" nd="1"/>
        <i x="2" nd="1"/>
        <i x="220" nd="1"/>
        <i x="244" nd="1"/>
        <i x="419" nd="1"/>
        <i x="704" nd="1"/>
        <i x="42" nd="1"/>
        <i x="443" nd="1"/>
        <i x="614" nd="1"/>
        <i x="69" nd="1"/>
        <i x="76" nd="1"/>
        <i x="91" nd="1"/>
        <i x="482" nd="1"/>
        <i x="653" nd="1"/>
        <i x="506" nd="1"/>
        <i x="665" nd="1"/>
        <i x="145" nd="1"/>
        <i x="672" nd="1"/>
        <i x="368" nd="1"/>
        <i x="548" nd="1"/>
        <i x="197" nd="1"/>
        <i x="515" nd="1"/>
        <i x="234" nd="1"/>
        <i x="249" nd="1"/>
        <i x="425" nd="1"/>
        <i x="438" nd="1"/>
        <i x="302" nd="1"/>
        <i x="18" nd="1"/>
        <i x="463" nd="1"/>
        <i x="624" nd="1"/>
        <i x="281" nd="1"/>
        <i x="102" nd="1"/>
        <i x="315" nd="1"/>
        <i x="502" nd="1"/>
        <i x="328" nd="1"/>
        <i x="152" nd="1"/>
        <i x="684" nd="1"/>
        <i x="373" nd="1"/>
        <i x="397" nd="1"/>
        <i x="229" nd="1"/>
        <i x="30" nd="1"/>
        <i x="243" nd="1"/>
        <i x="591" nd="1"/>
        <i x="56" nd="1"/>
        <i x="90" nd="1"/>
        <i x="307" nd="1"/>
        <i x="496" nd="1"/>
        <i x="664" nd="1"/>
        <i x="157" nd="1"/>
        <i x="359" nd="1"/>
        <i x="183" nd="1"/>
        <i x="546" nd="1"/>
        <i x="700" nd="1"/>
        <i x="384" nd="1"/>
        <i x="712" nd="1"/>
        <i x="212" nd="1"/>
        <i x="21" nd="1"/>
        <i x="411" nd="1"/>
        <i x="581" nd="1"/>
        <i x="35" nd="1"/>
        <i x="424" nd="1"/>
        <i x="50" nd="1"/>
        <i x="86" nd="1"/>
        <i x="101" nd="1"/>
        <i x="295" nd="1"/>
        <i x="641" nd="1"/>
        <i x="314" nd="1"/>
        <i x="327" nd="1"/>
        <i x="151" nd="1"/>
        <i x="339" nd="1"/>
        <i x="523" nd="1"/>
        <i x="363" nd="1"/>
        <i x="372" nd="1"/>
        <i x="553" nd="1"/>
        <i x="389" nd="1"/>
        <i x="576" nd="1"/>
        <i x="29" nd="1"/>
        <i x="242" nd="1"/>
        <i x="418" nd="1"/>
        <i x="590" nd="1"/>
        <i x="428" nd="1"/>
        <i x="623" nd="1"/>
        <i x="75" nd="1"/>
        <i x="472" nd="1"/>
        <i x="645" nd="1"/>
        <i x="119" nd="1"/>
        <i x="305" nd="1"/>
        <i x="494" nd="1"/>
        <i x="652" nd="1"/>
        <i x="334" nd="1"/>
        <i x="671" nd="1"/>
        <i x="348" nd="1"/>
        <i x="182" nd="1"/>
        <i x="556" nd="1"/>
        <i x="565" nd="1"/>
        <i x="5" nd="1"/>
        <i x="572" nd="1"/>
        <i x="580" nd="1"/>
        <i x="48" nd="1"/>
        <i x="449" nd="1"/>
        <i x="83" nd="1"/>
        <i x="467" nd="1"/>
        <i x="632" nd="1"/>
        <i x="100" nd="1"/>
        <i x="489" nd="1"/>
        <i x="312" nd="1"/>
        <i x="654" nd="1"/>
        <i x="338" nd="1"/>
        <i x="522" nd="1"/>
        <i x="674" nd="1"/>
        <i x="683" nd="1"/>
        <i x="190" nd="1"/>
        <i x="510" nd="1"/>
        <i x="706" nd="1"/>
        <i x="206" nd="1"/>
        <i x="28" nd="1"/>
        <i x="588" nd="1"/>
        <i x="272" nd="1"/>
        <i x="415" nd="1"/>
        <i x="636" nd="1"/>
        <i x="300" nd="1"/>
        <i x="321" nd="1"/>
        <i x="505" nd="1"/>
        <i x="516" nd="1"/>
        <i x="347" nd="1"/>
        <i x="680" nd="1"/>
        <i x="169" nd="1"/>
        <i x="537" nd="1"/>
        <i x="181" nd="1"/>
        <i x="383" nd="1"/>
        <i x="232" nd="1"/>
        <i x="376" nd="1"/>
        <i x="488" nd="1"/>
        <i x="647" nd="1"/>
        <i x="501" nd="1"/>
        <i x="139" nd="1"/>
        <i x="163" nd="1"/>
        <i x="705" nd="1"/>
        <i x="241" nd="1"/>
        <i x="417" nd="1"/>
        <i x="427" nd="1"/>
        <i x="55" nd="1"/>
        <i x="442" nd="1"/>
        <i x="613" nd="1"/>
        <i x="626" nd="1"/>
        <i x="89" nd="1"/>
        <i x="661" nd="1"/>
        <i x="689" nd="1"/>
        <i x="381" nd="1"/>
        <i x="167" nd="1"/>
        <i x="19" nd="1"/>
        <i x="231" nd="1"/>
        <i x="544" nd="1"/>
        <i x="58" nd="1"/>
        <i x="465" nd="1"/>
        <i x="98" nd="1"/>
        <i x="124" nd="1"/>
        <i x="520" nd="1"/>
        <i x="352" nd="1"/>
        <i x="387" nd="1"/>
        <i x="474" nd="1"/>
        <i x="26" nd="1"/>
        <i x="586" nd="1"/>
        <i x="255" nd="1"/>
        <i x="289" nd="1"/>
        <i x="660" nd="1"/>
        <i x="346" nd="1"/>
        <i x="536" nd="1"/>
        <i x="211" nd="1"/>
        <i x="677" nd="1"/>
        <i x="571" nd="1"/>
        <i x="258" nd="1"/>
        <i x="437" nd="1"/>
        <i x="604" nd="1"/>
        <i x="448" nd="1"/>
        <i x="640" nd="1"/>
        <i x="500" nd="1"/>
        <i x="337" nd="1"/>
        <i x="351" nd="1"/>
        <i x="532" nd="1"/>
        <i x="542" nd="1"/>
        <i x="693" nd="1"/>
        <i x="188" nd="1"/>
        <i x="371" nd="1"/>
        <i x="240" nd="1"/>
        <i x="253" nd="1"/>
        <i x="612" nd="1"/>
        <i x="40" nd="1"/>
        <i x="299" nd="1"/>
        <i x="644" nd="1"/>
        <i x="513" nd="1"/>
        <i x="155" nd="1"/>
        <i x="179" nd="1"/>
        <i x="554" nd="1"/>
        <i x="73" nd="1"/>
        <i x="459" nd="1"/>
        <i x="81" nd="1"/>
        <i x="293" nd="1"/>
        <i x="173" nd="1"/>
        <i x="692" nd="1"/>
        <i x="473" nd="1"/>
        <i x="585" nd="1"/>
        <i x="426" nd="1"/>
        <i x="512" nd="1"/>
        <i x="297" nd="1"/>
        <i x="345" nd="1"/>
        <i x="709" nd="1"/>
        <i x="593" nd="1"/>
        <i x="435" nd="1"/>
        <i x="80" nd="1"/>
        <i x="592" nd="1"/>
        <i x="326" nd="1"/>
        <i x="292" nd="1"/>
        <i x="172" nd="1"/>
        <i x="551" nd="1"/>
        <i x="204" nd="1"/>
        <i x="263" nd="1"/>
        <i x="470" nd="1"/>
        <i x="650" nd="1"/>
        <i x="318" nd="1"/>
        <i x="105" nd="1"/>
        <i x="344" nd="1"/>
        <i x="534" nd="1"/>
        <i x="696" nd="1"/>
        <i x="210" nd="1"/>
        <i x="178" nd="1"/>
        <i x="675" nd="1"/>
        <i x="110" nd="1"/>
        <i x="138" nd="1"/>
        <i x="203" nd="1"/>
        <i x="441" nd="1"/>
        <i x="38" nd="1"/>
        <i x="648" nd="1"/>
        <i x="154" nd="1"/>
        <i x="196" nd="1"/>
        <i x="32" nd="1"/>
        <i x="464" nd="1"/>
        <i x="499" nd="1"/>
        <i x="325" nd="1"/>
        <i x="362" nd="1"/>
        <i x="403" nd="1"/>
        <i x="65" nd="1"/>
        <i x="452" nd="1"/>
        <i x="620" nd="1"/>
        <i x="298" nd="1"/>
        <i x="117" nd="1"/>
        <i x="527" nd="1"/>
        <i x="564" nd="1"/>
        <i x="570" nd="1"/>
        <i x="406" nd="1"/>
        <i x="616" nd="1"/>
        <i x="160" nd="1"/>
        <i x="199" nd="1"/>
        <i x="64" nd="1"/>
        <i x="88" nd="1"/>
        <i x="563" nd="1"/>
        <i x="246" nd="1"/>
        <i x="646" nd="1"/>
        <i x="703" nd="1"/>
        <i x="413" nd="1"/>
        <i x="269" nd="1"/>
        <i x="116" nd="1"/>
        <i x="194" nd="1"/>
        <i x="455" nd="1"/>
        <i x="39" nd="1"/>
        <i x="128" nd="1"/>
        <i x="375" nd="1"/>
        <i x="324" nd="1"/>
        <i x="6" nd="1"/>
        <i x="176" nd="1"/>
        <i x="70" nd="1"/>
        <i x="394" nd="1"/>
        <i x="53" nd="1"/>
        <i x="185" nd="1"/>
        <i x="688" nd="1"/>
        <i x="469" nd="1"/>
        <i x="594" nd="1"/>
        <i x="72" nd="1"/>
        <i x="673" nd="1"/>
        <i x="393" nd="1"/>
        <i x="386" nd="1"/>
        <i x="144" nd="1"/>
        <i x="51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66">
        <i x="0" s="1"/>
        <i x="17" s="1" nd="1"/>
        <i x="37" s="1" nd="1"/>
        <i x="62" s="1" nd="1"/>
        <i x="8" s="1" nd="1"/>
        <i x="19" s="1" nd="1"/>
        <i x="27" s="1" nd="1"/>
        <i x="38" s="1" nd="1"/>
        <i x="43" s="1" nd="1"/>
        <i x="48" s="1" nd="1"/>
        <i x="55" s="1" nd="1"/>
        <i x="63" s="1" nd="1"/>
        <i x="13" s="1" nd="1"/>
        <i x="29" s="1" nd="1"/>
        <i x="31" s="1" nd="1"/>
        <i x="35" s="1" nd="1"/>
        <i x="57" s="1" nd="1"/>
        <i x="61" s="1" nd="1"/>
        <i x="64" s="1" nd="1"/>
        <i x="9" s="1" nd="1"/>
        <i x="20" s="1" nd="1"/>
        <i x="51" s="1" nd="1"/>
        <i x="22" s="1" nd="1"/>
        <i x="56" s="1" nd="1"/>
        <i x="11" s="1" nd="1"/>
        <i x="28" s="1" nd="1"/>
        <i x="14" s="1" nd="1"/>
        <i x="65" s="1" nd="1"/>
        <i x="33" s="1" nd="1"/>
        <i x="50" s="1" nd="1"/>
        <i x="36" s="1" nd="1"/>
        <i x="21" s="1" nd="1"/>
        <i x="7" s="1" nd="1"/>
        <i x="52" s="1" nd="1"/>
        <i x="39" s="1" nd="1"/>
        <i x="23" s="1" nd="1"/>
        <i x="10" s="1" nd="1"/>
        <i x="58" s="1" nd="1"/>
        <i x="42" s="1" nd="1"/>
        <i x="26" s="1" nd="1"/>
        <i x="30" s="1" nd="1"/>
        <i x="15" s="1" nd="1"/>
        <i x="1" s="1" nd="1"/>
        <i x="45" s="1" nd="1"/>
        <i x="32" s="1" nd="1"/>
        <i x="18" s="1" nd="1"/>
        <i x="2" s="1" nd="1"/>
        <i x="49" s="1" nd="1"/>
        <i x="41" s="1" nd="1"/>
        <i x="53" s="1" nd="1"/>
        <i x="24" s="1" nd="1"/>
        <i x="46" s="1" nd="1"/>
        <i x="3" s="1" nd="1"/>
        <i x="4" s="1" nd="1"/>
        <i x="59" s="1" nd="1"/>
        <i x="44" s="1" nd="1"/>
        <i x="54" s="1" nd="1"/>
        <i x="40" s="1" nd="1"/>
        <i x="34" s="1" nd="1"/>
        <i x="25" s="1" nd="1"/>
        <i x="16" s="1" nd="1"/>
        <i x="6" s="1" nd="1"/>
        <i x="60" s="1" nd="1"/>
        <i x="47" s="1" nd="1"/>
        <i x="12" s="1" nd="1"/>
        <i x="5"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781">
        <i x="0" s="1"/>
        <i x="1"/>
        <i x="197" nd="1"/>
        <i x="48" nd="1"/>
        <i x="149" nd="1"/>
        <i x="71" nd="1"/>
        <i x="254" nd="1"/>
        <i x="506" nd="1"/>
        <i x="285" nd="1"/>
        <i x="353" nd="1"/>
        <i x="552" nd="1"/>
        <i x="328" nd="1"/>
        <i x="345" nd="1"/>
        <i x="381" nd="1"/>
        <i x="630" nd="1"/>
        <i x="620" nd="1"/>
        <i x="472" nd="1"/>
        <i x="654" nd="1"/>
        <i x="593" nd="1"/>
        <i x="443" nd="1"/>
        <i x="698" nd="1"/>
        <i x="19" nd="1"/>
        <i x="579" nd="1"/>
        <i x="191" nd="1"/>
        <i x="342" nd="1"/>
        <i x="389" nd="1"/>
        <i x="413" nd="1"/>
        <i x="33" nd="1"/>
        <i x="67" nd="1"/>
        <i x="533" nd="1"/>
        <i x="677" nd="1"/>
        <i x="302" nd="1"/>
        <i x="4" nd="1"/>
        <i x="95" nd="1"/>
        <i x="496" nd="1"/>
        <i x="106" nd="1"/>
        <i x="250" nd="1"/>
        <i x="400" nd="1"/>
        <i x="615" nd="1"/>
        <i x="753" nd="1"/>
        <i x="17" nd="1"/>
        <i x="117" nd="1"/>
        <i x="262" nd="1"/>
        <i x="719" nd="1"/>
        <i x="30" nd="1"/>
        <i x="53" nd="1"/>
        <i x="79" nd="1"/>
        <i x="128" nd="1"/>
        <i x="219" nd="1"/>
        <i x="453" nd="1"/>
        <i x="520" nd="1"/>
        <i x="50" nd="1"/>
        <i x="492" nd="1"/>
        <i x="419" nd="1"/>
        <i x="491" nd="1"/>
        <i x="517" nd="1"/>
        <i x="278" nd="1"/>
        <i x="686" nd="1"/>
        <i x="749" nd="1"/>
        <i x="774" nd="1"/>
        <i x="206" nd="1"/>
        <i x="229" nd="1"/>
        <i x="348" nd="1"/>
        <i x="631" nd="1"/>
        <i x="242" nd="1"/>
        <i x="418" nd="1"/>
        <i x="548" nd="1"/>
        <i x="612" nd="1"/>
        <i x="646" nd="1"/>
        <i x="658" nd="1"/>
        <i x="672" nd="1"/>
        <i x="771" nd="1"/>
        <i x="13" nd="1"/>
        <i x="204" nd="1"/>
        <i x="500" nd="1"/>
        <i x="111" nd="1"/>
        <i x="318" nd="1"/>
        <i x="514" nd="1"/>
        <i x="710" nd="1"/>
        <i x="125" nd="1"/>
        <i x="330" nd="1"/>
        <i x="529" nd="1"/>
        <i x="611" nd="1"/>
        <i x="644" nd="1"/>
        <i x="657" nd="1"/>
        <i x="670" nd="1"/>
        <i x="101" nd="1"/>
        <i x="499" nd="1"/>
        <i x="561" nd="1"/>
        <i x="684" nd="1"/>
        <i x="702" nd="1"/>
        <i x="739" nd="1"/>
        <i x="24" nd="1"/>
        <i x="47" nd="1"/>
        <i x="74" nd="1"/>
        <i x="89" nd="1"/>
        <i x="171" nd="1"/>
        <i x="212" nd="1"/>
        <i x="80" nd="1"/>
        <i x="350" nd="1"/>
        <i x="378" nd="1"/>
        <i x="446" nd="1"/>
        <i x="609" nd="1"/>
        <i x="640" nd="1"/>
        <i x="23" nd="1"/>
        <i x="306" nd="1"/>
        <i x="482" nd="1"/>
        <i x="510" nd="1"/>
        <i x="676" nd="1"/>
        <i x="85" nd="1"/>
        <i x="183" nd="1"/>
        <i x="114" nd="1"/>
        <i x="246" nd="1"/>
        <i x="461" nd="1"/>
        <i x="584" nd="1"/>
        <i x="121" nd="1"/>
        <i x="403" nd="1"/>
        <i x="487" nd="1"/>
        <i x="680" nd="1"/>
        <i x="690" nd="1"/>
        <i x="35" nd="1"/>
        <i x="98" nd="1"/>
        <i x="134" nd="1"/>
        <i x="332" nd="1"/>
        <i x="442" nd="1"/>
        <i x="83" nd="1"/>
        <i x="154" nd="1"/>
        <i x="618" nd="1"/>
        <i x="303" nd="1"/>
        <i x="320" nd="1"/>
        <i x="390" nd="1"/>
        <i x="68" nd="1"/>
        <i x="109" nd="1"/>
        <i x="200" nd="1"/>
        <i x="665" nd="1"/>
        <i x="76" nd="1"/>
        <i x="177" nd="1"/>
        <i x="273" nd="1"/>
        <i x="735" nd="1"/>
        <i x="148" nd="1"/>
        <i x="248" nd="1"/>
        <i x="347" nd="1"/>
        <i x="462" nd="1"/>
        <i x="549" nd="1"/>
        <i x="650" nd="1"/>
        <i x="745" nd="1"/>
        <i x="376" nd="1"/>
        <i x="524" nd="1"/>
        <i x="570" nd="1"/>
        <i x="290" nd="1"/>
        <i x="375" nd="1"/>
        <i x="82" nd="1"/>
        <i x="421" nd="1"/>
        <i x="523" nd="1"/>
        <i x="143" nd="1"/>
        <i x="578" nd="1"/>
        <i x="636" nd="1"/>
        <i x="711" nd="1"/>
        <i x="721" nd="1"/>
        <i x="439" nd="1"/>
        <i x="751" nd="1"/>
        <i x="66" nd="1"/>
        <i x="507" nd="1"/>
        <i x="592" nd="1"/>
        <i x="604" nd="1"/>
        <i x="616" nd="1"/>
        <i x="236" nd="1"/>
        <i x="288" nd="1"/>
        <i x="301" nd="1"/>
        <i x="356" nd="1"/>
        <i x="388" nd="1"/>
        <i x="458" nd="1"/>
        <i x="468" nd="1"/>
        <i x="568" nd="1"/>
        <i x="687" nd="1"/>
        <i x="595" nd="1"/>
        <i x="18" nd="1"/>
        <i x="467" nd="1"/>
        <i x="63" nd="1"/>
        <i x="94" nd="1"/>
        <i x="118" nd="1"/>
        <i x="164" nd="1"/>
        <i x="576" nd="1"/>
        <i x="223" nd="1"/>
        <i x="235" nd="1"/>
        <i x="287" nd="1"/>
        <i x="733" nd="1"/>
        <i x="743" nd="1"/>
        <i x="370" nd="1"/>
        <i x="326" nd="1"/>
        <i x="425" nd="1"/>
        <i x="44" nd="1"/>
        <i x="81" nd="1"/>
        <i x="494" nd="1"/>
        <i x="522" nd="1"/>
        <i x="189" nd="1"/>
        <i x="270" nd="1"/>
        <i x="185" nd="1"/>
        <i x="286" nd="1"/>
        <i x="300" nd="1"/>
        <i x="457" nd="1"/>
        <i x="62" nd="1"/>
        <i x="493" nd="1"/>
        <i x="449" nd="1"/>
        <i x="543" nd="1"/>
        <i x="575" nd="1"/>
        <i x="663" nd="1"/>
        <i x="695" nd="1"/>
        <i x="709" nd="1"/>
        <i x="732" nd="1"/>
        <i x="257" nd="1"/>
        <i x="355" nd="1"/>
        <i x="384" nd="1"/>
        <i x="399" nd="1"/>
        <i x="433" nd="1"/>
        <i x="379" nd="1"/>
        <i x="485" nd="1"/>
        <i x="504" nd="1"/>
        <i x="521" nd="1"/>
        <i x="142" nd="1"/>
        <i x="162" nd="1"/>
        <i x="614" nd="1"/>
        <i x="218" nd="1"/>
        <i x="158" nd="1"/>
        <i x="259" nd="1"/>
        <i x="717" nd="1"/>
        <i x="731" nd="1"/>
        <i x="368" nd="1"/>
        <i x="383" nd="1"/>
        <i x="409" nd="1"/>
        <i x="15" nd="1"/>
        <i x="422" nd="1"/>
        <i x="452" nd="1"/>
        <i x="51" nd="1"/>
        <i x="477" nd="1"/>
        <i x="141" nd="1"/>
        <i x="161" nd="1"/>
        <i x="603" nd="1"/>
        <i x="624" nd="1"/>
        <i x="233" nd="1"/>
        <i x="247" nd="1"/>
        <i x="282" nd="1"/>
        <i x="298" nd="1"/>
        <i x="312" nd="1"/>
        <i x="707" nd="1"/>
        <i x="716" nd="1"/>
        <i x="645" nd="1"/>
        <i x="309" nd="1"/>
        <i x="432" nd="1"/>
        <i x="629" nd="1"/>
        <i x="726" nd="1"/>
        <i x="42" nd="1"/>
        <i x="566" nd="1"/>
        <i x="562" nd="1"/>
        <i x="311" nd="1"/>
        <i x="730" nd="1"/>
        <i x="364" nd="1"/>
        <i x="78" nd="1"/>
        <i x="539" nd="1"/>
        <i x="150" nd="1"/>
        <i x="186" nd="1"/>
        <i x="613" nd="1"/>
        <i x="217" nd="1"/>
        <i x="647" nd="1"/>
        <i x="297" nd="1"/>
        <i x="715" nd="1"/>
        <i x="729" nd="1"/>
        <i x="241" nd="1"/>
        <i x="363" nd="1"/>
        <i x="759" nd="1"/>
        <i x="61" nd="1"/>
        <i x="113" nd="1"/>
        <i x="518" nd="1"/>
        <i x="538" nd="1"/>
        <i x="588" nd="1"/>
        <i x="195" nd="1"/>
        <i x="245" nd="1"/>
        <i x="660" nd="1"/>
        <i x="279" nd="1"/>
        <i x="296" nd="1"/>
        <i x="656" nd="1"/>
        <i x="60" nd="1"/>
        <i x="103" nd="1"/>
        <i x="475" nd="1"/>
        <i x="207" nd="1"/>
        <i x="674" nd="1"/>
        <i x="693" nd="1"/>
        <i x="740" nd="1"/>
        <i x="757" nd="1"/>
        <i x="408" nd="1"/>
        <i x="431" nd="1"/>
        <i x="39" nd="1"/>
        <i x="450" nd="1"/>
        <i x="252" nd="1"/>
        <i x="465" nd="1"/>
        <i x="93" nd="1"/>
        <i x="516" nd="1"/>
        <i x="551" nd="1"/>
        <i x="160" nd="1"/>
        <i x="214" nd="1"/>
        <i x="244" nd="1"/>
        <i x="659" nd="1"/>
        <i x="673" nd="1"/>
        <i x="692" nd="1"/>
        <i x="714" nd="1"/>
        <i x="727" nd="1"/>
        <i x="748" nd="1"/>
        <i x="336" nd="1"/>
        <i x="382" nd="1"/>
        <i x="772" nd="1"/>
        <i x="396" nd="1"/>
        <i x="2" nd="1"/>
        <i x="407" nd="1"/>
        <i x="28" nd="1"/>
        <i x="627" nd="1"/>
        <i x="26" nd="1"/>
        <i x="77" nd="1"/>
        <i x="292" nd="1"/>
        <i x="112" nd="1"/>
        <i x="537" nd="1"/>
        <i x="633" nd="1"/>
        <i x="736" nd="1"/>
        <i x="316" nd="1"/>
        <i x="357" nd="1"/>
        <i x="767" nd="1"/>
        <i x="147" nd="1"/>
        <i x="193" nd="1"/>
        <i x="599" nd="1"/>
        <i x="6" nd="1"/>
        <i x="213" nd="1"/>
        <i x="622" nd="1"/>
        <i x="228" nd="1"/>
        <i x="441" nd="1"/>
        <i x="295" nd="1"/>
        <i x="643" nd="1"/>
        <i x="691" nd="1"/>
        <i x="132" nd="1"/>
        <i x="144" nd="1"/>
        <i x="153" nd="1"/>
        <i x="166" nd="1"/>
        <i x="335" nd="1"/>
        <i x="380" nd="1"/>
        <i x="486" nd="1"/>
        <i x="531" nd="1"/>
        <i x="581" nd="1"/>
        <i x="395" nd="1"/>
        <i x="626" nd="1"/>
        <i x="464" nd="1"/>
        <i x="59" nd="1"/>
        <i x="679" nd="1"/>
        <i x="92" nd="1"/>
        <i x="489" nd="1"/>
        <i x="319" nd="1"/>
        <i x="515" nd="1"/>
        <i x="722" nd="1"/>
        <i x="688" nd="1"/>
        <i x="720" nd="1"/>
        <i x="87" nd="1"/>
        <i x="137" nd="1"/>
        <i x="184" nd="1"/>
        <i x="415" nd="1"/>
        <i x="387" nd="1"/>
        <i x="440" nd="1"/>
        <i x="354" nd="1"/>
        <i x="411" nd="1"/>
        <i x="469" nd="1"/>
        <i x="705" nd="1"/>
        <i x="16" nd="1"/>
        <i x="64" nd="1"/>
        <i x="119" nd="1"/>
        <i x="152" nd="1"/>
        <i x="747" nd="1"/>
        <i x="756" nd="1"/>
        <i x="580" nd="1"/>
        <i x="199" nd="1"/>
        <i x="605" nd="1"/>
        <i x="567" nd="1"/>
        <i x="178" nd="1"/>
        <i x="224" nd="1"/>
        <i x="251" nd="1"/>
        <i x="58" nd="1"/>
        <i x="264" nd="1"/>
        <i x="484" nd="1"/>
        <i x="291" nd="1"/>
        <i x="331" nd="1"/>
        <i x="90" nd="1"/>
        <i x="139" nd="1"/>
        <i x="564" nd="1"/>
        <i x="766" nd="1"/>
        <i x="536" nd="1"/>
        <i x="587" nd="1"/>
        <i x="5" nd="1"/>
        <i x="414" nd="1"/>
        <i x="459" nd="1"/>
        <i x="268" nd="1"/>
        <i x="327" nd="1"/>
        <i x="367" nd="1"/>
        <i x="426" nd="1"/>
        <i x="479" nd="1"/>
        <i x="525" nd="1"/>
        <i x="572" nd="1"/>
        <i x="621" nd="1"/>
        <i x="671" nd="1"/>
        <i x="294" nd="1"/>
        <i x="108" nd="1"/>
        <i x="255" nd="1"/>
        <i x="310" nd="1"/>
        <i x="704" nd="1"/>
        <i x="325" nd="1"/>
        <i x="131" nd="1"/>
        <i x="556" nd="1"/>
        <i x="755" nd="1"/>
        <i x="182" nd="1"/>
        <i x="417" nd="1"/>
        <i x="617" nd="1"/>
        <i x="27" nd="1"/>
        <i x="664" nd="1"/>
        <i x="289" nd="1"/>
        <i x="102" nd="1"/>
        <i x="501" nd="1"/>
        <i x="138" nd="1"/>
        <i x="341" nd="1"/>
        <i x="563" nd="1"/>
        <i x="373" nd="1"/>
        <i x="764" nd="1"/>
        <i x="401" nd="1"/>
        <i x="598" nd="1"/>
        <i x="203" nd="1"/>
        <i x="412" nd="1"/>
        <i x="32" nd="1"/>
        <i x="324" nd="1"/>
        <i x="130" nd="1"/>
        <i x="682" nd="1"/>
        <i x="725" nd="1"/>
        <i x="181" nd="1"/>
        <i x="577" nd="1"/>
        <i x="394" nd="1"/>
        <i x="12" nd="1"/>
        <i x="237" nd="1"/>
        <i x="263" nd="1"/>
        <i x="317" nd="1"/>
        <i x="173" nd="1"/>
        <i x="776" nd="1"/>
        <i x="546" nd="1"/>
        <i x="597" nd="1"/>
        <i x="202" nd="1"/>
        <i x="256" nd="1"/>
        <i x="267" nd="1"/>
        <i x="669" nd="1"/>
        <i x="226" nd="1"/>
        <i x="277" nd="1"/>
        <i x="434" nd="1"/>
        <i x="685" nd="1"/>
        <i x="454" nd="1"/>
        <i x="495" nd="1"/>
        <i x="505" nd="1"/>
        <i x="532" nd="1"/>
        <i x="151" nd="1"/>
        <i x="555" nd="1"/>
        <i x="569" nd="1"/>
        <i x="180" nd="1"/>
        <i x="393" nd="1"/>
        <i x="11" nd="1"/>
        <i x="209" nd="1"/>
        <i x="25" nd="1"/>
        <i x="38" nd="1"/>
        <i x="447" nd="1"/>
        <i x="249" nd="1"/>
        <i x="272" nd="1"/>
        <i x="91" nd="1"/>
        <i x="100" nd="1"/>
        <i x="734" nd="1"/>
        <i x="172" nd="1"/>
        <i x="372" nd="1"/>
        <i x="596" nd="1"/>
        <i x="3" nd="1"/>
        <i x="120" nd="1"/>
        <i x="168" nd="1"/>
        <i x="438" nd="1"/>
        <i x="642" nd="1"/>
        <i x="54" nd="1"/>
        <i x="65" nd="1"/>
        <i x="478" nd="1"/>
        <i x="758" nd="1"/>
        <i x="29" nd="1"/>
        <i x="239" nd="1"/>
        <i x="293" nd="1"/>
        <i x="308" nd="1"/>
        <i x="703" nd="1"/>
        <i x="344" nd="1"/>
        <i x="554" nd="1"/>
        <i x="165" nd="1"/>
        <i x="265" nd="1"/>
        <i x="359" nd="1"/>
        <i x="179" nd="1"/>
        <i x="392" nd="1"/>
        <i x="540" nd="1"/>
        <i x="591" nd="1"/>
        <i x="780" nd="1"/>
        <i x="198" nd="1"/>
        <i x="502" nd="1"/>
        <i x="75" nd="1"/>
        <i x="271" nd="1"/>
        <i x="234" nd="1"/>
        <i x="697" nd="1"/>
        <i x="513" nd="1"/>
        <i x="215" nd="1"/>
        <i x="329" nd="1"/>
        <i x="230" nd="1"/>
        <i x="283" nd="1"/>
        <i x="340" nd="1"/>
        <i x="157" nd="1"/>
        <i x="371" nd="1"/>
        <i x="763" nd="1"/>
        <i x="192" nd="1"/>
        <i x="610" nd="1"/>
        <i x="337" nd="1"/>
        <i x="641" nd="1"/>
        <i x="668" nd="1"/>
        <i x="683" nd="1"/>
        <i x="116" nd="1"/>
        <i x="323" nd="1"/>
        <i x="334" nd="1"/>
        <i x="503" nd="1"/>
        <i x="163" nd="1"/>
        <i x="667" nd="1"/>
        <i x="712" nd="1"/>
        <i x="190" nd="1"/>
        <i x="737" nd="1"/>
        <i x="779" nd="1"/>
        <i x="222" nd="1"/>
        <i x="625" nd="1"/>
        <i x="37" nd="1"/>
        <i x="635" nd="1"/>
        <i x="651" nd="1"/>
        <i x="73" nd="1"/>
        <i x="88" nd="1"/>
        <i x="110" nd="1"/>
        <i x="315" nd="1"/>
        <i x="346" nd="1"/>
        <i x="369" nd="1"/>
        <i x="762" nd="1"/>
        <i x="386" nd="1"/>
        <i x="594" nd="1"/>
        <i x="365" nd="1"/>
        <i x="424" nd="1"/>
        <i x="31" nd="1"/>
        <i x="437" nd="1"/>
        <i x="398" nd="1"/>
        <i x="655" nd="1"/>
        <i x="360" nd="1"/>
        <i x="420" nd="1"/>
        <i x="276" nd="1"/>
        <i x="307" nd="1"/>
        <i x="701" nd="1"/>
        <i x="322" nd="1"/>
        <i x="129" nd="1"/>
        <i x="724" nd="1"/>
        <i x="700" nd="1"/>
        <i x="746" nd="1"/>
        <i x="770" nd="1"/>
        <i x="590" nd="1"/>
        <i x="196" nd="1"/>
        <i x="220" nd="1"/>
        <i x="430" nd="1"/>
        <i x="634" nd="1"/>
        <i x="57" nd="1"/>
        <i x="261" nd="1"/>
        <i x="474" nd="1"/>
        <i x="72" nd="1"/>
        <i x="483" nd="1"/>
        <i x="777" nd="1"/>
        <i x="46" nd="1"/>
        <i x="99" nd="1"/>
        <i x="402" nd="1"/>
        <i x="460" nd="1"/>
        <i x="498" nd="1"/>
        <i x="314" nd="1"/>
        <i x="470" nd="1"/>
        <i x="512" nd="1"/>
        <i x="527" nd="1"/>
        <i x="718" nd="1"/>
        <i x="146" nd="1"/>
        <i x="243" nd="1"/>
        <i x="742" nd="1"/>
        <i x="156" nd="1"/>
        <i x="706" nd="1"/>
        <i x="122" nd="1"/>
        <i x="170" nd="1"/>
        <i x="338" nd="1"/>
        <i x="385" nd="1"/>
        <i x="586" nd="1"/>
        <i x="351" nd="1"/>
        <i x="410" nd="1"/>
        <i x="211" nd="1"/>
        <i x="760" nd="1"/>
        <i x="435" nd="1"/>
        <i x="240" nd="1"/>
        <i x="455" nd="1"/>
        <i x="639" nd="1"/>
        <i x="52" nd="1"/>
        <i x="266" nd="1"/>
        <i x="723" nd="1"/>
        <i x="343" nd="1"/>
        <i x="542" nd="1"/>
        <i x="738" nd="1"/>
        <i x="589" nd="1"/>
        <i x="10" nd="1"/>
        <i x="22" nd="1"/>
        <i x="445" nd="1"/>
        <i x="463" nd="1"/>
        <i x="260" nd="1"/>
        <i x="216" nd="1"/>
        <i x="269" nd="1"/>
        <i x="299" nd="1"/>
        <i x="511" nd="1"/>
        <i x="136" nd="1"/>
        <i x="145" nd="1"/>
        <i x="560" nd="1"/>
        <i x="169" nd="1"/>
        <i x="585" nd="1"/>
        <i x="557" nd="1"/>
        <i x="608" nd="1"/>
        <i x="361" nd="1"/>
        <i x="423" nd="1"/>
        <i x="619" nd="1"/>
        <i x="43" nd="1"/>
        <i x="466" nd="1"/>
        <i x="275" nd="1"/>
        <i x="628" nd="1"/>
        <i x="681" nd="1"/>
        <i x="105" nd="1"/>
        <i x="253" nd="1"/>
        <i x="305" nd="1"/>
        <i x="115" nd="1"/>
        <i x="519" nd="1"/>
        <i x="448" nd="1"/>
        <i x="490" nd="1"/>
        <i x="541" nd="1"/>
        <i x="358" nd="1"/>
        <i x="574" nd="1"/>
        <i x="769" nd="1"/>
        <i x="188" nd="1"/>
        <i x="21" nd="1"/>
        <i x="649" nd="1"/>
        <i x="258" nd="1"/>
        <i x="473" nd="1"/>
        <i x="662" nd="1"/>
        <i x="86" nd="1"/>
        <i x="284" nd="1"/>
        <i x="444" nd="1"/>
        <i x="497" nd="1"/>
        <i x="694" nd="1"/>
        <i x="313" nd="1"/>
        <i x="708" nd="1"/>
        <i x="124" nd="1"/>
        <i x="526" nd="1"/>
        <i x="339" nd="1"/>
        <i x="545" nd="1"/>
        <i x="741" nd="1"/>
        <i x="752" nd="1"/>
        <i x="761" nd="1"/>
        <i x="14" nd="1"/>
        <i x="104" nd="1"/>
        <i x="713" nd="1"/>
        <i x="127" nd="1"/>
        <i x="530" nd="1"/>
        <i x="699" nd="1"/>
        <i x="176" nd="1"/>
        <i x="377" nd="1"/>
        <i x="678" nd="1"/>
        <i x="768" nd="1"/>
        <i x="391" nd="1"/>
        <i x="602" nd="1"/>
        <i x="429" nd="1"/>
        <i x="632" nd="1"/>
        <i x="70" nd="1"/>
        <i x="623" nd="1"/>
        <i x="675" nd="1"/>
        <i x="765" nd="1"/>
        <i x="34" nd="1"/>
        <i x="84" nd="1"/>
        <i x="488" nd="1"/>
        <i x="509" nd="1"/>
        <i x="69" nd="1"/>
        <i x="123" nd="1"/>
        <i x="559" nd="1"/>
        <i x="167" nd="1"/>
        <i x="366" nd="1"/>
        <i x="607" nd="1"/>
        <i x="773" nd="1"/>
        <i x="41" nd="1"/>
        <i x="451" nd="1"/>
        <i x="476" nd="1"/>
        <i x="274" nd="1"/>
        <i x="333" nd="1"/>
        <i x="553" nd="1"/>
        <i x="565" nd="1"/>
        <i x="187" nd="1"/>
        <i x="405" nd="1"/>
        <i x="550" nd="1"/>
        <i x="601" nd="1"/>
        <i x="9" nd="1"/>
        <i x="159" nd="1"/>
        <i x="208" nd="1"/>
        <i x="36" nd="1"/>
        <i x="547" nd="1"/>
        <i x="600" nd="1"/>
        <i x="648" nd="1"/>
        <i x="696" nd="1"/>
        <i x="744" nd="1"/>
        <i x="7" nd="1"/>
        <i x="56" nd="1"/>
        <i x="471" nd="1"/>
        <i x="427" nd="1"/>
        <i x="481" nd="1"/>
        <i x="281" nd="1"/>
        <i x="508" nd="1"/>
        <i x="135" nd="1"/>
        <i x="352" nd="1"/>
        <i x="571" nd="1"/>
        <i x="534" nd="1"/>
        <i x="583" nd="1"/>
        <i x="397" nd="1"/>
        <i x="225" nd="1"/>
        <i x="40" nd="1"/>
        <i x="238" nd="1"/>
        <i x="638" nd="1"/>
        <i x="653" nd="1"/>
        <i x="140" nd="1"/>
        <i x="126" nd="1"/>
        <i x="175" nd="1"/>
        <i x="573" nd="1"/>
        <i x="404" nd="1"/>
        <i x="8" nd="1"/>
        <i x="416" nd="1"/>
        <i x="20" nd="1"/>
        <i x="232" nd="1"/>
        <i x="661" nd="1"/>
        <i x="480" nd="1"/>
        <i x="227" nd="1"/>
        <i x="280" nd="1"/>
        <i x="544" nd="1"/>
        <i x="558" nd="1"/>
        <i x="750" nd="1"/>
        <i x="362" nd="1"/>
        <i x="582" nd="1"/>
        <i x="775" nd="1"/>
        <i x="49" nd="1"/>
        <i x="304" nd="1"/>
        <i x="349" nd="1"/>
        <i x="754" nd="1"/>
        <i x="778" nd="1"/>
        <i x="231" nd="1"/>
        <i x="728" nd="1"/>
        <i x="210" nd="1"/>
        <i x="637" nd="1"/>
        <i x="652" nd="1"/>
        <i x="321" nd="1"/>
        <i x="174" nd="1"/>
        <i x="205" nd="1"/>
        <i x="374" nd="1"/>
        <i x="428" nd="1"/>
        <i x="45" nd="1"/>
        <i x="97" nd="1"/>
        <i x="133" nd="1"/>
        <i x="535" nd="1"/>
        <i x="96" nd="1"/>
        <i x="107" nd="1"/>
        <i x="155" nd="1"/>
        <i x="606" nd="1"/>
        <i x="666" nd="1"/>
        <i x="689" nd="1"/>
        <i x="221" nd="1"/>
        <i x="194" nd="1"/>
        <i x="528" nd="1"/>
        <i x="55" nd="1"/>
        <i x="201" nd="1"/>
        <i x="436" nd="1"/>
        <i x="456" nd="1"/>
        <i x="406"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402">
        <i x="167" s="1" nd="1"/>
        <i x="227" s="1" nd="1"/>
        <i x="124" s="1" nd="1"/>
        <i x="248" s="1" nd="1"/>
        <i x="308" s="1" nd="1"/>
        <i x="176" s="1" nd="1"/>
        <i x="64" s="1" nd="1"/>
        <i x="187" s="1" nd="1"/>
        <i x="287" s="1" nd="1"/>
        <i x="279" s="1" nd="1"/>
        <i x="49" s="1" nd="1"/>
        <i x="129" s="1" nd="1"/>
        <i x="182" s="1" nd="1"/>
        <i x="208" s="1" nd="1"/>
        <i x="256" s="1" nd="1"/>
        <i x="304" s="1" nd="1"/>
        <i x="350" s="1" nd="1"/>
        <i x="236" s="1" nd="1"/>
        <i x="97" s="1" nd="1"/>
        <i x="138" s="1" nd="1"/>
        <i x="90" s="1" nd="1"/>
        <i x="104" s="1" nd="1"/>
        <i x="252" s="1" nd="1"/>
        <i x="24" s="1" nd="1"/>
        <i x="151" s="1" nd="1"/>
        <i x="56" s="1" nd="1"/>
        <i x="117" s="1" nd="1"/>
        <i x="309" s="1" nd="1"/>
        <i x="368" s="1" nd="1"/>
        <i x="65" s="1" nd="1"/>
        <i x="300" s="1" nd="1"/>
        <i x="121" s="1" nd="1"/>
        <i x="263" s="1" nd="1"/>
        <i x="313" s="1" nd="1"/>
        <i x="155" s="1" nd="1"/>
        <i x="388" s="1" nd="1"/>
        <i x="351" s="1" nd="1"/>
        <i x="260" s="1" nd="1"/>
        <i x="112" s="1" nd="1"/>
        <i x="125" s="1" nd="1"/>
        <i x="45" s="1" nd="1"/>
        <i x="135" s="1" nd="1"/>
        <i x="212" s="1" nd="1"/>
        <i x="357" s="1" nd="1"/>
        <i x="99" s="1" nd="1"/>
        <i x="324" s="1" nd="1"/>
        <i x="230" s="1" nd="1"/>
        <i x="40" s="1" nd="1"/>
        <i x="52" s="1" nd="1"/>
        <i x="107" s="1" nd="1"/>
        <i x="119" s="1" nd="1"/>
        <i x="174" s="1" nd="1"/>
        <i x="393" s="1" nd="1"/>
        <i x="28" s="1" nd="1"/>
        <i x="75" s="1" nd="1"/>
        <i x="336" s="1" nd="1"/>
        <i x="27" s="1" nd="1"/>
        <i x="74" s="1" nd="1"/>
        <i x="83" s="1" nd="1"/>
        <i x="140" s="1" nd="1"/>
        <i x="18" s="1" nd="1"/>
        <i x="365" s="1" nd="1"/>
        <i x="379" s="1" nd="1"/>
        <i x="50" s="1" nd="1"/>
        <i x="80" s="1" nd="1"/>
        <i x="321" s="1" nd="1"/>
        <i x="343" s="1" nd="1"/>
        <i x="17" s="1" nd="1"/>
        <i x="25" s="1" nd="1"/>
        <i x="226" s="1" nd="1"/>
        <i x="93" s="1" nd="1"/>
        <i x="385" s="1" nd="1"/>
        <i x="400" s="1" nd="1"/>
        <i x="37" s="1" nd="1"/>
        <i x="133" s="1" nd="1"/>
        <i x="173" s="1" nd="1"/>
        <i x="109" s="1" nd="1"/>
        <i x="114" s="1" nd="1"/>
        <i x="147" s="1" nd="1"/>
        <i x="172" s="1" nd="1"/>
        <i x="181" s="1" nd="1"/>
        <i x="192" s="1" nd="1"/>
        <i x="199" s="1" nd="1"/>
        <i x="242" s="1" nd="1"/>
        <i x="78" s="1" nd="1"/>
        <i x="378" s="1" nd="1"/>
        <i x="156" s="1" nd="1"/>
        <i x="198" s="1" nd="1"/>
        <i x="224" s="1" nd="1"/>
        <i x="42" s="1" nd="1"/>
        <i x="318" s="1" nd="1"/>
        <i x="377" s="1" nd="1"/>
        <i x="191" s="1" nd="1"/>
        <i x="118" s="1" nd="1"/>
        <i x="36" s="1" nd="1"/>
        <i x="246" s="1" nd="1"/>
        <i x="102" s="1" nd="1"/>
        <i x="48" s="1" nd="1"/>
        <i x="66" s="1" nd="1"/>
        <i x="273" s="1" nd="1"/>
        <i x="295" s="1" nd="1"/>
        <i x="301" s="1" nd="1"/>
        <i x="362" s="1" nd="1"/>
        <i x="375" s="1" nd="1"/>
        <i x="190" s="1" nd="1"/>
        <i x="12" s="1" nd="1"/>
        <i x="35" s="1" nd="1"/>
        <i x="47" s="1" nd="1"/>
        <i x="251" s="1" nd="1"/>
        <i x="361" s="1" nd="1"/>
        <i x="312" s="1" nd="1"/>
        <i x="374" s="1" nd="1"/>
        <i x="4" s="1" nd="1"/>
        <i x="23" s="1" nd="1"/>
        <i x="215" s="1" nd="1"/>
        <i x="373" s="1" nd="1"/>
        <i x="1" s="1" nd="1"/>
        <i x="204" s="1" nd="1"/>
        <i x="22" s="1" nd="1"/>
        <i x="196" s="1" nd="1"/>
        <i x="95" s="1" nd="1"/>
        <i x="315" s="1" nd="1"/>
        <i x="383" s="1" nd="1"/>
        <i x="11" s="1" nd="1"/>
        <i x="220" s="1" nd="1"/>
        <i x="55" s="1" nd="1"/>
        <i x="255" s="1" nd="1"/>
        <i x="326" s="1" nd="1"/>
        <i x="353" s="1" nd="1"/>
        <i x="21" s="1" nd="1"/>
        <i x="77" s="1" nd="1"/>
        <i x="94" s="1" nd="1"/>
        <i x="272" s="1" nd="1"/>
        <i x="277" s="1" nd="1"/>
        <i x="307" s="1" nd="1"/>
        <i x="314" s="1" nd="1"/>
        <i x="340" s="1" nd="1"/>
        <i x="254" s="1" nd="1"/>
        <i x="82" s="1" nd="1"/>
        <i x="166" s="1" nd="1"/>
        <i x="271" s="1" nd="1"/>
        <i x="177" s="1" nd="1"/>
        <i x="286" s="1" nd="1"/>
        <i x="9" s="1" nd="1"/>
        <i x="214" s="1" nd="1"/>
        <i x="322" s="1" nd="1"/>
        <i x="395" s="1" nd="1"/>
        <i x="139" s="1" nd="1"/>
        <i x="149" s="1" nd="1"/>
        <i x="352" s="1" nd="1"/>
        <i x="262" s="1" nd="1"/>
        <i x="168" s="1" nd="1"/>
        <i x="108" s="1" nd="1"/>
        <i x="282" s="1" nd="1"/>
        <i x="291" s="1" nd="1"/>
        <i x="14" s="1" nd="1"/>
        <i x="160" s="1" nd="1"/>
        <i x="81" s="1" nd="1"/>
        <i x="170" s="1" nd="1"/>
        <i x="285" s="1" nd="1"/>
        <i x="41" s="1" nd="1"/>
        <i x="54" s="1" nd="1"/>
        <i x="392" s="1" nd="1"/>
        <i x="116" s="1" nd="1"/>
        <i x="243" s="1" nd="1"/>
        <i x="253" s="1" nd="1"/>
        <i x="382" s="1" nd="1"/>
        <i x="397" s="1" nd="1"/>
        <i x="148" s="1" nd="1"/>
        <i x="387" s="1" nd="1"/>
        <i x="7" s="1" nd="1"/>
        <i x="200" s="1" nd="1"/>
        <i x="209" s="1" nd="1"/>
        <i x="26" s="1" nd="1"/>
        <i x="347" s="1" nd="1"/>
        <i x="159" s="1" nd="1"/>
        <i x="106" s="1" nd="1"/>
        <i x="396" s="1" nd="1"/>
        <i x="284" s="1" nd="1"/>
        <i x="203" s="1" nd="1"/>
        <i x="228" s="1" nd="1"/>
        <i x="334" s="1" nd="1"/>
        <i x="261" s="1" nd="1"/>
        <i x="386" s="1" nd="1"/>
        <i x="281" s="1" nd="1"/>
        <i x="120" s="1" nd="1"/>
        <i x="346" s="1" nd="1"/>
        <i x="360" s="1" nd="1"/>
        <i x="339" s="1" nd="1"/>
        <i x="79" s="1" nd="1"/>
        <i x="163" s="1" nd="1"/>
        <i x="265" s="1" nd="1"/>
        <i x="276" s="1" nd="1"/>
        <i x="278" s="1" nd="1"/>
        <i x="183" s="1" nd="1"/>
        <i x="16" s="1" nd="1"/>
        <i x="288" s="1" nd="1"/>
        <i x="320" s="1" nd="1"/>
        <i x="329" s="1" nd="1"/>
        <i x="233" s="1" nd="1"/>
        <i x="46" s="1" nd="1"/>
        <i x="76" s="1" nd="1"/>
        <i x="88" s="1" nd="1"/>
        <i x="384" s="1" nd="1"/>
        <i x="126" s="1" nd="1"/>
        <i x="332" s="1" nd="1"/>
        <i x="345" s="1" nd="1"/>
        <i x="381" s="1" nd="1"/>
        <i x="202" s="1" nd="1"/>
        <i x="328" s="1" nd="1"/>
        <i x="132" s="1" nd="1"/>
        <i x="239" s="1" nd="1"/>
        <i x="349" s="1" nd="1"/>
        <i x="6" s="1" nd="1"/>
        <i x="299" s="1" nd="1"/>
        <i x="207" s="1" nd="1"/>
        <i x="43" s="1" nd="1"/>
        <i x="142" s="1" nd="1"/>
        <i x="98" s="1" nd="1"/>
        <i x="154" s="1" nd="1"/>
        <i x="275" s="1" nd="1"/>
        <i x="269" s="1" nd="1"/>
        <i x="290" s="1" nd="1"/>
        <i x="297" s="1" nd="1"/>
        <i x="15" s="1" nd="1"/>
        <i x="303" s="1" nd="1"/>
        <i x="20" s="1" nd="1"/>
        <i x="123" s="1" nd="1"/>
        <i x="72" s="1" nd="1"/>
        <i x="165" s="1" nd="1"/>
        <i x="391" s="1" nd="1"/>
        <i x="13" s="1" nd="1"/>
        <i x="115" s="1" nd="1"/>
        <i x="180" s="1" nd="1"/>
        <i x="225" s="1" nd="1"/>
        <i x="231" s="1" nd="1"/>
        <i x="235" s="1" nd="1"/>
        <i x="241" s="1" nd="1"/>
        <i x="311" s="1" nd="1"/>
        <i x="344" s="1" nd="1"/>
        <i x="359" s="1" nd="1"/>
        <i x="92" s="1" nd="1"/>
        <i x="274" s="1" nd="1"/>
        <i x="105" s="1" nd="1"/>
        <i x="175" s="1" nd="1"/>
        <i x="113" s="1" nd="1"/>
        <i x="319" s="1" nd="1"/>
        <i x="34" s="1" nd="1"/>
        <i x="232" s="1" nd="1"/>
        <i x="44" s="1" nd="1"/>
        <i x="342" s="1" nd="1"/>
        <i x="53" s="1" nd="1"/>
        <i x="244" s="1" nd="1"/>
        <i x="71" s="1" nd="1"/>
        <i x="131" s="1" nd="1"/>
        <i x="157" s="1" nd="1"/>
        <i x="87" s="1" nd="1"/>
        <i x="216" s="1" nd="1"/>
        <i x="223" s="1" nd="1"/>
        <i x="58" s="1" nd="1"/>
        <i x="358" s="1" nd="1"/>
        <i x="91" s="1" nd="1"/>
        <i x="270" s="1" nd="1"/>
        <i x="268" s="1" nd="1"/>
        <i x="289" s="1" nd="1"/>
        <i x="8" s="1" nd="1"/>
        <i x="296" s="1" nd="1"/>
        <i x="302" s="1" nd="1"/>
        <i x="317" s="1" nd="1"/>
        <i x="238" s="1" nd="1"/>
        <i x="146" s="1" nd="1"/>
        <i x="70" s="1" nd="1"/>
        <i x="162" s="1" nd="1"/>
        <i x="371" s="1" nd="1"/>
        <i x="143" s="1" nd="1"/>
        <i x="399" s="1" nd="1"/>
        <i x="5" s="1" nd="1"/>
        <i x="2" s="1" nd="1"/>
        <i x="32" s="1" nd="1"/>
        <i x="222" s="1" nd="1"/>
        <i x="325" s="1" nd="1"/>
        <i x="331" s="1" nd="1"/>
        <i x="234" s="1" nd="1"/>
        <i x="338" s="1" nd="1"/>
        <i x="247" s="1" nd="1"/>
        <i x="356" s="1" nd="1"/>
        <i x="103" s="1" nd="1"/>
        <i x="195" s="1" nd="1"/>
        <i x="327" s="1" nd="1"/>
        <i x="341" s="1" nd="1"/>
        <i x="145" s="1" nd="1"/>
        <i x="152" s="1" nd="1"/>
        <i x="250" s="1" nd="1"/>
        <i x="354" s="1" nd="1"/>
        <i x="69" s="1" nd="1"/>
        <i x="364" s="1" nd="1"/>
        <i x="164" s="1" nd="1"/>
        <i x="266" s="1" nd="1"/>
        <i x="376" s="1" nd="1"/>
        <i x="390" s="1" nd="1"/>
        <i x="111" s="1" nd="1"/>
        <i x="206" s="1" nd="1"/>
        <i x="0" s="1" nd="1"/>
        <i x="31" s="1" nd="1"/>
        <i x="330" s="1" nd="1"/>
        <i x="141" s="1" nd="1"/>
        <i x="213" s="1" nd="1"/>
        <i x="96" s="1" nd="1"/>
        <i x="19" s="1" nd="1"/>
        <i x="122" s="1" nd="1"/>
        <i x="29" s="1" nd="1"/>
        <i x="219" s="1" nd="1"/>
        <i x="193" s="1" nd="1"/>
        <i x="210" s="1" nd="1"/>
        <i x="237" s="1" nd="1"/>
        <i x="63" s="1" nd="1"/>
        <i x="249" s="1" nd="1"/>
        <i x="363" s="1" nd="1"/>
        <i x="259" s="1" nd="1"/>
        <i x="370" s="1" nd="1"/>
        <i x="86" s="1" nd="1"/>
        <i x="280" s="1" nd="1"/>
        <i x="84" s="1" nd="1"/>
        <i x="221" s="1" nd="1"/>
        <i x="229" s="1" nd="1"/>
        <i x="337" s="1" nd="1"/>
        <i x="57" s="1" nd="1"/>
        <i x="153" s="1" nd="1"/>
        <i x="73" s="1" nd="1"/>
        <i x="158" s="1" nd="1"/>
        <i x="89" s="1" nd="1"/>
        <i x="380" s="1" nd="1"/>
        <i x="169" s="1" nd="1"/>
        <i x="101" s="1" nd="1"/>
        <i x="194" s="1" nd="1"/>
        <i x="294" s="1" nd="1"/>
        <i x="211" s="1" nd="1"/>
        <i x="316" s="1" nd="1"/>
        <i x="33" s="1" nd="1"/>
        <i x="292" s="1" nd="1"/>
        <i x="137" s="1" nd="1"/>
        <i x="51" s="1" nd="1"/>
        <i x="144" s="1" nd="1"/>
        <i x="348" s="1" nd="1"/>
        <i x="62" s="1" nd="1"/>
        <i x="258" s="1" nd="1"/>
        <i x="85" s="1" nd="1"/>
        <i x="67" s="1" nd="1"/>
        <i x="389" s="1" nd="1"/>
        <i x="179" s="1" nd="1"/>
        <i x="110" s="1" nd="1"/>
        <i x="185" s="1" nd="1"/>
        <i x="189" s="1" nd="1"/>
        <i x="197" s="1" nd="1"/>
        <i x="298" s="1" nd="1"/>
        <i x="306" s="1" nd="1"/>
        <i x="310" s="1" nd="1"/>
        <i x="323" s="1" nd="1"/>
        <i x="130" s="1" nd="1"/>
        <i x="366" s="1" nd="1"/>
        <i x="245" s="1" nd="1"/>
        <i x="394" s="1" nd="1"/>
        <i x="401" s="1" nd="1"/>
        <i x="293" s="1" nd="1"/>
        <i x="128" s="1" nd="1"/>
        <i x="39" s="1" nd="1"/>
        <i x="150" s="1" nd="1"/>
        <i x="3" s="1" nd="1"/>
        <i x="188" s="1" nd="1"/>
        <i x="205" s="1" nd="1"/>
        <i x="305" s="1" nd="1"/>
        <i x="398" s="1" nd="1"/>
        <i x="30" s="1" nd="1"/>
        <i x="240" s="1" nd="1"/>
        <i x="267" s="1" nd="1"/>
        <i x="283" s="1" nd="1"/>
        <i x="186" s="1" nd="1"/>
        <i x="127" s="1" nd="1"/>
        <i x="136" s="1" nd="1"/>
        <i x="61" s="1" nd="1"/>
        <i x="369" s="1" nd="1"/>
        <i x="171" s="1" nd="1"/>
        <i x="178" s="1" nd="1"/>
        <i x="355" s="1" nd="1"/>
        <i x="100" s="1" nd="1"/>
        <i x="218" s="1" nd="1"/>
        <i x="60" s="1" nd="1"/>
        <i x="68" s="1" nd="1"/>
        <i x="161" s="1" nd="1"/>
        <i x="367" s="1" nd="1"/>
        <i x="184" s="1" nd="1"/>
        <i x="134" s="1" nd="1"/>
        <i x="335" s="1" nd="1"/>
        <i x="264" s="1" nd="1"/>
        <i x="372" s="1" nd="1"/>
        <i x="201" s="1" nd="1"/>
        <i x="217" s="1" nd="1"/>
        <i x="38" s="1" nd="1"/>
        <i x="333" s="1" nd="1"/>
        <i x="59" s="1" nd="1"/>
        <i x="257" s="1" nd="1"/>
        <i x="10"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0" s="1" nd="1"/>
        <i x="8" s="1" nd="1"/>
        <i x="6" s="1" nd="1"/>
        <i x="2" s="1" nd="1"/>
        <i x="5" s="1" nd="1"/>
        <i x="9" s="1" nd="1"/>
        <i x="1" s="1" nd="1"/>
        <i x="3" s="1" nd="1"/>
        <i x="4" s="1" nd="1"/>
        <i x="7"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740">
        <i x="71" s="1" nd="1"/>
        <i x="299" s="1" nd="1"/>
        <i x="411" s="1" nd="1"/>
        <i x="280" s="1" nd="1"/>
        <i x="674" s="1" nd="1"/>
        <i x="248" s="1" nd="1"/>
        <i x="700" s="1" nd="1"/>
        <i x="738" s="1" nd="1"/>
        <i x="652" s="1" nd="1"/>
        <i x="661" s="1" nd="1"/>
        <i x="540" s="1" nd="1"/>
        <i x="271" s="1" nd="1"/>
        <i x="731" s="1" nd="1"/>
        <i x="14" s="1" nd="1"/>
        <i x="416" s="1" nd="1"/>
        <i x="712" s="1" nd="1"/>
        <i x="585" s="1" nd="1"/>
        <i x="596" s="1" nd="1"/>
        <i x="0" s="1" nd="1"/>
        <i x="485" s="1" nd="1"/>
        <i x="255" s="1" nd="1"/>
        <i x="600" s="1" nd="1"/>
        <i x="127" s="1" nd="1"/>
        <i x="649" s="1" nd="1"/>
        <i x="112" s="1" nd="1"/>
        <i x="171" s="1" nd="1"/>
        <i x="429" s="1" nd="1"/>
        <i x="541" s="1" nd="1"/>
        <i x="168" s="1" nd="1"/>
        <i x="142" s="1" nd="1"/>
        <i x="289" s="1" nd="1"/>
        <i x="602" s="1" nd="1"/>
        <i x="627" s="1" nd="1"/>
        <i x="38" s="1" nd="1"/>
        <i x="604" s="1" nd="1"/>
        <i x="190" s="1" nd="1"/>
        <i x="215" s="1" nd="1"/>
        <i x="395" s="1" nd="1"/>
        <i x="121" s="1" nd="1"/>
        <i x="339" s="1" nd="1"/>
        <i x="166" s="1" nd="1"/>
        <i x="81" s="1" nd="1"/>
        <i x="506" s="1" nd="1"/>
        <i x="470" s="1" nd="1"/>
        <i x="632" s="1" nd="1"/>
        <i x="150" s="1" nd="1"/>
        <i x="209" s="1" nd="1"/>
        <i x="394" s="1" nd="1"/>
        <i x="308" s="1" nd="1"/>
        <i x="290" s="1" nd="1"/>
        <i x="159" s="1" nd="1"/>
        <i x="75" s="1" nd="1"/>
        <i x="633" s="1" nd="1"/>
        <i x="530" s="1" nd="1"/>
        <i x="362" s="1" nd="1"/>
        <i x="98" s="1" nd="1"/>
        <i x="179" s="1" nd="1"/>
        <i x="438" s="1" nd="1"/>
        <i x="579" s="1" nd="1"/>
        <i x="167" s="1" nd="1"/>
        <i x="247" s="1" nd="1"/>
        <i x="208" s="1" nd="1"/>
        <i x="6" s="1" nd="1"/>
        <i x="263" s="1" nd="1"/>
        <i x="286" s="1" nd="1"/>
        <i x="684" s="1" nd="1"/>
        <i x="523" s="1" nd="1"/>
        <i x="644" s="1" nd="1"/>
        <i x="276" s="1" nd="1"/>
        <i x="63" s="1" nd="1"/>
        <i x="551" s="1" nd="1"/>
        <i x="570" s="1" nd="1"/>
        <i x="693" s="1" nd="1"/>
        <i x="86" s="1" nd="1"/>
        <i x="373" s="1" nd="1"/>
        <i x="30" s="1" nd="1"/>
        <i x="371" s="1" nd="1"/>
        <i x="664" s="1" nd="1"/>
        <i x="708" s="1" nd="1"/>
        <i x="706" s="1" nd="1"/>
        <i x="695" s="1" nd="1"/>
        <i x="110" s="1" nd="1"/>
        <i x="104" s="1" nd="1"/>
        <i x="327" s="1" nd="1"/>
        <i x="702" s="1" nd="1"/>
        <i x="139" s="1" nd="1"/>
        <i x="686" s="1" nd="1"/>
        <i x="481" s="1" nd="1"/>
        <i x="654" s="1" nd="1"/>
        <i x="194" s="1" nd="1"/>
        <i x="733" s="1" nd="1"/>
        <i x="431" s="1" nd="1"/>
        <i x="132" s="1" nd="1"/>
        <i x="72" s="1" nd="1"/>
        <i x="611" s="1" nd="1"/>
        <i x="191" s="1" nd="1"/>
        <i x="593" s="1" nd="1"/>
        <i x="349" s="1" nd="1"/>
        <i x="673" s="1" nd="1"/>
        <i x="12" s="1" nd="1"/>
        <i x="101" s="1" nd="1"/>
        <i x="603" s="1" nd="1"/>
        <i x="504" s="1" nd="1"/>
        <i x="355" s="1" nd="1"/>
        <i x="608" s="1" nd="1"/>
        <i x="561" s="1" nd="1"/>
        <i x="707" s="1" nd="1"/>
        <i x="181" s="1" nd="1"/>
        <i x="254" s="1" nd="1"/>
        <i x="342" s="1" nd="1"/>
        <i x="723" s="1" nd="1"/>
        <i x="317" s="1" nd="1"/>
        <i x="3" s="1" nd="1"/>
        <i x="480" s="1" nd="1"/>
        <i x="245" s="1" nd="1"/>
        <i x="227" s="1" nd="1"/>
        <i x="165" s="1" nd="1"/>
        <i x="736" s="1" nd="1"/>
        <i x="109" s="1" nd="1"/>
        <i x="116" s="1" nd="1"/>
        <i x="287" s="1" nd="1"/>
        <i x="281" s="1" nd="1"/>
        <i x="467" s="1" nd="1"/>
        <i x="464" s="1" nd="1"/>
        <i x="231" s="1" nd="1"/>
        <i x="623" s="1" nd="1"/>
        <i x="594" s="1" nd="1"/>
        <i x="329" s="1" nd="1"/>
        <i x="719" s="1" nd="1"/>
        <i x="99" s="1" nd="1"/>
        <i x="207" s="1" nd="1"/>
        <i x="326" s="1" nd="1"/>
        <i x="124" s="1" nd="1"/>
        <i x="582" s="1" nd="1"/>
        <i x="419" s="1" nd="1"/>
        <i x="427" s="1" nd="1"/>
        <i x="490" s="1" nd="1"/>
        <i x="7" s="1" nd="1"/>
        <i x="393" s="1" nd="1"/>
        <i x="225" s="1" nd="1"/>
        <i x="304" s="1" nd="1"/>
        <i x="542" s="1" nd="1"/>
        <i x="526" s="1" nd="1"/>
        <i x="361" s="1" nd="1"/>
        <i x="113" s="1" nd="1"/>
        <i x="689" s="1" nd="1"/>
        <i x="345" s="1" nd="1"/>
        <i x="637" s="1" nd="1"/>
        <i x="703" s="1" nd="1"/>
        <i x="252" s="1" nd="1"/>
        <i x="536" s="1" nd="1"/>
        <i x="288" s="1" nd="1"/>
        <i x="359" s="1" nd="1"/>
        <i x="149" s="1" nd="1"/>
        <i x="357" s="1" nd="1"/>
        <i x="128" s="1" nd="1"/>
        <i x="352" s="1" nd="1"/>
        <i x="473" s="1" nd="1"/>
        <i x="610" s="1" nd="1"/>
        <i x="187" s="1" nd="1"/>
        <i x="472" s="1" nd="1"/>
        <i x="193" s="1" nd="1"/>
        <i x="665" s="1" nd="1"/>
        <i x="564" s="1" nd="1"/>
        <i x="154" s="1" nd="1"/>
        <i x="663" s="1" nd="1"/>
        <i x="222" s="1" nd="1"/>
        <i x="392" s="1" nd="1"/>
        <i x="727" s="1" nd="1"/>
        <i x="131" s="1" nd="1"/>
        <i x="301" s="1" nd="1"/>
        <i x="91" s="1" nd="1"/>
        <i x="309" s="1" nd="1"/>
        <i x="380" s="1" nd="1"/>
        <i x="404" s="1" nd="1"/>
        <i x="656" s="1" nd="1"/>
        <i x="446" s="1" nd="1"/>
        <i x="634" s="1" nd="1"/>
        <i x="52" s="1" nd="1"/>
        <i x="324" s="1" nd="1"/>
        <i x="607" s="1" nd="1"/>
        <i x="189" s="1" nd="1"/>
        <i x="158" s="1" nd="1"/>
        <i x="284" s="1" nd="1"/>
        <i x="335" s="1" nd="1"/>
        <i x="435" s="1" nd="1"/>
        <i x="285" s="1" nd="1"/>
        <i x="60" s="1" nd="1"/>
        <i x="737" s="1" nd="1"/>
        <i x="107" s="1" nd="1"/>
        <i x="549" s="1" nd="1"/>
        <i x="198" s="1" nd="1"/>
        <i x="196" s="1" nd="1"/>
        <i x="699" s="1" nd="1"/>
        <i x="676" s="1" nd="1"/>
        <i x="353" s="1" nd="1"/>
        <i x="333" s="1" nd="1"/>
        <i x="22" s="1" nd="1"/>
        <i x="73" s="1" nd="1"/>
        <i x="123" s="1" nd="1"/>
        <i x="638" s="1" nd="1"/>
        <i x="307" s="1" nd="1"/>
        <i x="595" s="1" nd="1"/>
        <i x="256" s="1" nd="1"/>
        <i x="195" s="1" nd="1"/>
        <i x="396" s="1" nd="1"/>
        <i x="125" s="1" nd="1"/>
        <i x="720" s="1" nd="1"/>
        <i x="354" s="1" nd="1"/>
        <i x="170" s="1" nd="1"/>
        <i x="140" s="1" nd="1"/>
        <i x="628" s="1" nd="1"/>
        <i x="616" s="1" nd="1"/>
        <i x="291" s="1" nd="1"/>
        <i x="322" s="1" nd="1"/>
        <i x="696" s="1" nd="1"/>
        <i x="129" s="1" nd="1"/>
        <i x="148" s="1" nd="1"/>
        <i x="68" s="1" nd="1"/>
        <i x="584" s="1" nd="1"/>
        <i x="667" s="1" nd="1"/>
        <i x="230" s="1" nd="1"/>
        <i x="213" s="1" nd="1"/>
        <i x="347" s="1" nd="1"/>
        <i x="739" s="1" nd="1"/>
        <i x="622" s="1" nd="1"/>
        <i x="705" s="1" nd="1"/>
        <i x="351" s="1" nd="1"/>
        <i x="45" s="1" nd="1"/>
        <i x="152" s="1" nd="1"/>
        <i x="246" s="1" nd="1"/>
        <i x="311" s="1" nd="1"/>
        <i x="642" s="1" nd="1"/>
        <i x="518" s="1" nd="1"/>
        <i x="588" s="1" nd="1"/>
        <i x="575" s="1" nd="1"/>
        <i x="407" s="1" nd="1"/>
        <i x="672" s="1" nd="1"/>
        <i x="47" s="1" nd="1"/>
        <i x="681" s="1" nd="1"/>
        <i x="314" s="1" nd="1"/>
        <i x="331" s="1" nd="1"/>
        <i x="341" s="1" nd="1"/>
        <i x="257" s="1" nd="1"/>
        <i x="491" s="1" nd="1"/>
        <i x="477" s="1" nd="1"/>
        <i x="447" s="1" nd="1"/>
        <i x="37" s="1" nd="1"/>
        <i x="647" s="1" nd="1"/>
        <i x="670" s="1" nd="1"/>
        <i x="232" s="1" nd="1"/>
        <i x="482" s="1" nd="1"/>
        <i x="550" s="1" nd="1"/>
        <i x="96" s="1" nd="1"/>
        <i x="17" s="1" nd="1"/>
        <i x="78" s="1" nd="1"/>
        <i x="23" s="1" nd="1"/>
        <i x="726" s="1" nd="1"/>
        <i x="54" s="1" nd="1"/>
        <i x="569" s="1" nd="1"/>
        <i x="714" s="1" nd="1"/>
        <i x="84" s="1" nd="1"/>
        <i x="520" s="1" nd="1"/>
        <i x="29" s="1" nd="1"/>
        <i x="214" s="1" nd="1"/>
        <i x="4" s="1" nd="1"/>
        <i x="58" s="1" nd="1"/>
        <i x="228" s="1" nd="1"/>
        <i x="323" s="1" nd="1"/>
        <i x="417" s="1" nd="1"/>
        <i x="524" s="1" nd="1"/>
        <i x="49" s="1" nd="1"/>
        <i x="258" s="1" nd="1"/>
        <i x="572" s="1" nd="1"/>
        <i x="48" s="1" nd="1"/>
        <i x="513" s="1" nd="1"/>
        <i x="67" s="1" nd="1"/>
        <i x="259" s="1" nd="1"/>
        <i x="348" s="1" nd="1"/>
        <i x="479" s="1" nd="1"/>
        <i x="641" s="1" nd="1"/>
        <i x="655" s="1" nd="1"/>
        <i x="389" s="1" nd="1"/>
        <i x="203" s="1" nd="1"/>
        <i x="552" s="1" nd="1"/>
        <i x="25" s="1" nd="1"/>
        <i x="223" s="1" nd="1"/>
        <i x="612" s="1" nd="1"/>
        <i x="66" s="1" nd="1"/>
        <i x="466" s="1" nd="1"/>
        <i x="583" s="1" nd="1"/>
        <i x="586" s="1" nd="1"/>
        <i x="677" s="1" nd="1"/>
        <i x="315" s="1" nd="1"/>
        <i x="79" s="1" nd="1"/>
        <i x="591" s="1" nd="1"/>
        <i x="1" s="1" nd="1"/>
        <i x="537" s="1" nd="1"/>
        <i x="532" s="1" nd="1"/>
        <i x="545" s="1" nd="1"/>
        <i x="108" s="1" nd="1"/>
        <i x="278" s="1" nd="1"/>
        <i x="459" s="1" nd="1"/>
        <i x="62" s="1" nd="1"/>
        <i x="94" s="1" nd="1"/>
        <i x="546" s="1" nd="1"/>
        <i x="666" s="1" nd="1"/>
        <i x="344" s="1" nd="1"/>
        <i x="321" s="1" nd="1"/>
        <i x="577" s="1" nd="1"/>
        <i x="340" s="1" nd="1"/>
        <i x="57" s="1" nd="1"/>
        <i x="130" s="1" nd="1"/>
        <i x="553" s="1" nd="1"/>
        <i x="143" s="1" nd="1"/>
        <i x="138" s="1" nd="1"/>
        <i x="613" s="1" nd="1"/>
        <i x="580" s="1" nd="1"/>
        <i x="653" s="1" nd="1"/>
        <i x="77" s="1" nd="1"/>
        <i x="454" s="1" nd="1"/>
        <i x="188" s="1" nd="1"/>
        <i x="251" s="1" nd="1"/>
        <i x="43" s="1" nd="1"/>
        <i x="398" s="1" nd="1"/>
        <i x="363" s="1" nd="1"/>
        <i x="568" s="1" nd="1"/>
        <i x="122" s="1" nd="1"/>
        <i x="27" s="1" nd="1"/>
        <i x="535" s="1" nd="1"/>
        <i x="184" s="1" nd="1"/>
        <i x="15" s="1" nd="1"/>
        <i x="157" s="1" nd="1"/>
        <i x="210" s="1" nd="1"/>
        <i x="619" s="1" nd="1"/>
        <i x="199" s="1" nd="1"/>
        <i x="253" s="1" nd="1"/>
        <i x="625" s="1" nd="1"/>
        <i x="458" s="1" nd="1"/>
        <i x="717" s="1" nd="1"/>
        <i x="87" s="1" nd="1"/>
        <i x="69" s="1" nd="1"/>
        <i x="378" s="1" nd="1"/>
        <i x="635" s="1" nd="1"/>
        <i x="85" s="1" nd="1"/>
        <i x="224" s="1" nd="1"/>
        <i x="10" s="1" nd="1"/>
        <i x="687" s="1" nd="1"/>
        <i x="698" s="1" nd="1"/>
        <i x="59" s="1" nd="1"/>
        <i x="539" s="1" nd="1"/>
        <i x="204" s="1" nd="1"/>
        <i x="13" s="1" nd="1"/>
        <i x="527" s="1" nd="1"/>
        <i x="76" s="1" nd="1"/>
        <i x="422" s="1" nd="1"/>
        <i x="444" s="1" nd="1"/>
        <i x="93" s="1" nd="1"/>
        <i x="478" s="1" nd="1"/>
        <i x="273" s="1" nd="1"/>
        <i x="709" s="1" nd="1"/>
        <i x="65" s="1" nd="1"/>
        <i x="102" s="1" nd="1"/>
        <i x="292" s="1" nd="1"/>
        <i x="710" s="1" nd="1"/>
        <i x="19" s="1" nd="1"/>
        <i x="651" s="1" nd="1"/>
        <i x="474" s="1" nd="1"/>
        <i x="493" s="1" nd="1"/>
        <i x="376" s="1" nd="1"/>
        <i x="53" s="1" nd="1"/>
        <i x="82" s="1" nd="1"/>
        <i x="313" s="1" nd="1"/>
        <i x="100" s="1" nd="1"/>
        <i x="685" s="1" nd="1"/>
        <i x="675" s="1" nd="1"/>
        <i x="135" s="1" nd="1"/>
        <i x="624" s="1" nd="1"/>
        <i x="114" s="1" nd="1"/>
        <i x="581" s="1" nd="1"/>
        <i x="34" s="1" nd="1"/>
        <i x="592" s="1" nd="1"/>
        <i x="133" s="1" nd="1"/>
        <i x="330" s="1" nd="1"/>
        <i x="264" s="1" nd="1"/>
        <i x="16" s="1" nd="1"/>
        <i x="89" s="1" nd="1"/>
        <i x="680" s="1" nd="1"/>
        <i x="601" s="1" nd="1"/>
        <i x="413" s="1" nd="1"/>
        <i x="118" s="1" nd="1"/>
        <i x="668" s="1" nd="1"/>
        <i x="334" s="1" nd="1"/>
        <i x="721" s="1" nd="1"/>
        <i x="318" s="1" nd="1"/>
        <i x="531" s="1" nd="1"/>
        <i x="559" s="1" nd="1"/>
        <i x="408" s="1" nd="1"/>
        <i x="153" s="1" nd="1"/>
        <i x="682" s="1" nd="1"/>
        <i x="679" s="1" nd="1"/>
        <i x="554" s="1" nd="1"/>
        <i x="31" s="1" nd="1"/>
        <i x="382" s="1" nd="1"/>
        <i x="137" s="1" nd="1"/>
        <i x="691" s="1" nd="1"/>
        <i x="169" s="1" nd="1"/>
        <i x="20" s="1" nd="1"/>
        <i x="578" s="1" nd="1"/>
        <i x="688" s="1" nd="1"/>
        <i x="119" s="1" nd="1"/>
        <i x="701" s="1" nd="1"/>
        <i x="390" s="1" nd="1"/>
        <i x="178" s="1" nd="1"/>
        <i x="105" s="1" nd="1"/>
        <i x="704" s="1" nd="1"/>
        <i x="319" s="1" nd="1"/>
        <i x="534" s="1" nd="1"/>
        <i x="70" s="1" nd="1"/>
        <i x="312" s="1" nd="1"/>
        <i x="229" s="1" nd="1"/>
        <i x="295" s="1" nd="1"/>
        <i x="606" s="1" nd="1"/>
        <i x="83" s="1" nd="1"/>
        <i x="360" s="1" nd="1"/>
        <i x="92" s="1" nd="1"/>
        <i x="562" s="1" nd="1"/>
        <i x="144" s="1" nd="1"/>
        <i x="28" s="1" nd="1"/>
        <i x="597" s="1" nd="1"/>
        <i x="621" s="1" nd="1"/>
        <i x="615" s="1" nd="1"/>
        <i x="476" s="1" nd="1"/>
        <i x="598" s="1" nd="1"/>
        <i x="544" s="1" nd="1"/>
        <i x="521" s="1" nd="1"/>
        <i x="55" s="1" nd="1"/>
        <i x="41" s="1" nd="1"/>
        <i x="599" s="1" nd="1"/>
        <i x="356" s="1" nd="1"/>
        <i x="418" s="1" nd="1"/>
        <i x="103" s="1" nd="1"/>
        <i x="42" s="1" nd="1"/>
        <i x="332" s="1" nd="1"/>
        <i x="713" s="1" nd="1"/>
        <i x="239" s="1" nd="1"/>
        <i x="658" s="1" nd="1"/>
        <i x="529" s="1" nd="1"/>
        <i x="233" s="1" nd="1"/>
        <i x="711" s="1" nd="1"/>
        <i x="678" s="1" nd="1"/>
        <i x="648" s="1" nd="1"/>
        <i x="558" s="1" nd="1"/>
        <i x="36" s="1" nd="1"/>
        <i x="697" s="1" nd="1"/>
        <i x="211" s="1" nd="1"/>
        <i x="346" s="1" nd="1"/>
        <i x="626" s="1" nd="1"/>
        <i x="141" s="1" nd="1"/>
        <i x="274" s="1" nd="1"/>
        <i x="328" s="1" nd="1"/>
        <i x="379" s="1" nd="1"/>
        <i x="503" s="1" nd="1"/>
        <i x="528" s="1" nd="1"/>
        <i x="609" s="1" nd="1"/>
        <i x="21" s="1" nd="1"/>
        <i x="502" s="1" nd="1"/>
        <i x="533" s="1" nd="1"/>
        <i x="439" s="1" nd="1"/>
        <i x="515" s="1" nd="1"/>
        <i x="630" s="1" nd="1"/>
        <i x="74" s="1" nd="1"/>
        <i x="555" s="1" nd="1"/>
        <i x="618" s="1" nd="1"/>
        <i x="325" s="1" nd="1"/>
        <i x="151" s="1" nd="1"/>
        <i x="465" s="1" nd="1"/>
        <i x="566" s="1" nd="1"/>
        <i x="176" s="1" nd="1"/>
        <i x="275" s="1" nd="1"/>
        <i x="305" s="1" nd="1"/>
        <i x="50" s="1" nd="1"/>
        <i x="269" s="1" nd="1"/>
        <i x="64" s="1" nd="1"/>
        <i x="543" s="1" nd="1"/>
        <i x="510" s="1" nd="1"/>
        <i x="560" s="1" nd="1"/>
        <i x="182" s="1" nd="1"/>
        <i x="671" s="1" nd="1"/>
        <i x="567" s="1" nd="1"/>
        <i x="495" s="1" nd="1"/>
        <i x="500" s="1" nd="1"/>
        <i x="636" s="1" nd="1"/>
        <i x="174" s="1" nd="1"/>
        <i x="277" s="1" nd="1"/>
        <i x="437" s="1" nd="1"/>
        <i x="155" s="1" nd="1"/>
        <i x="338" s="1" nd="1"/>
        <i x="40" s="1" nd="1"/>
        <i x="548" s="1" nd="1"/>
        <i x="573" s="1" nd="1"/>
        <i x="316" s="1" nd="1"/>
        <i x="629" s="1" nd="1"/>
        <i x="202" s="1" nd="1"/>
        <i x="724" s="1" nd="1"/>
        <i x="483" s="1" nd="1"/>
        <i x="120" s="1" nd="1"/>
        <i x="97" s="1" nd="1"/>
        <i x="718" s="1" nd="1"/>
        <i x="302" s="1" nd="1"/>
        <i x="320" s="1" nd="1"/>
        <i x="306" s="1" nd="1"/>
        <i x="282" s="1" nd="1"/>
        <i x="690" s="1" nd="1"/>
        <i x="728" s="1" nd="1"/>
        <i x="243" s="1" nd="1"/>
        <i x="730" s="1" nd="1"/>
        <i x="374" s="1" nd="1"/>
        <i x="386" s="1" nd="1"/>
        <i x="522" s="1" nd="1"/>
        <i x="32" s="1" nd="1"/>
        <i x="61" s="1" nd="1"/>
        <i x="441" s="1" nd="1"/>
        <i x="8" s="1" nd="1"/>
        <i x="44" s="1" nd="1"/>
        <i x="620" s="1" nd="1"/>
        <i x="267" s="1" nd="1"/>
        <i x="734" s="1" nd="1"/>
        <i x="56" s="1" nd="1"/>
        <i x="614" s="1" nd="1"/>
        <i x="556" s="1" nd="1"/>
        <i x="51" s="1" nd="1"/>
        <i x="436" s="1" nd="1"/>
        <i x="399" s="1" nd="1"/>
        <i x="186" s="1" nd="1"/>
        <i x="226" s="1" nd="1"/>
        <i x="725" s="1" nd="1"/>
        <i x="643" s="1" nd="1"/>
        <i x="134" s="1" nd="1"/>
        <i x="145" s="1" nd="1"/>
        <i x="576" s="1" nd="1"/>
        <i x="106" s="1" nd="1"/>
        <i x="565" s="1" nd="1"/>
        <i x="571" s="1" nd="1"/>
        <i x="33" s="1" nd="1"/>
        <i x="310" s="1" nd="1"/>
        <i x="462" s="1" nd="1"/>
        <i x="9" s="1" nd="1"/>
        <i x="221" s="1" nd="1"/>
        <i x="631" s="1" nd="1"/>
        <i x="95" s="1" nd="1"/>
        <i x="146" s="1" nd="1"/>
        <i x="715" s="1" nd="1"/>
        <i x="722" s="1" nd="1"/>
        <i x="279" s="1" nd="1"/>
        <i x="525" s="1" nd="1"/>
        <i x="192" s="1" nd="1"/>
        <i x="574" s="1" nd="1"/>
        <i x="111" s="1" nd="1"/>
        <i x="645" s="1" nd="1"/>
        <i x="587" s="1" nd="1"/>
        <i x="268" s="1" nd="1"/>
        <i x="147" s="1" nd="1"/>
        <i x="732" s="1" nd="1"/>
        <i x="350" s="1" nd="1"/>
        <i x="39" s="1" nd="1"/>
        <i x="5" s="1" nd="1"/>
        <i x="26" s="1" nd="1"/>
        <i x="156" s="1" nd="1"/>
        <i x="659" s="1" nd="1"/>
        <i x="735" s="1" nd="1"/>
        <i x="589" s="1" nd="1"/>
        <i x="617" s="1" nd="1"/>
        <i x="88" s="1" nd="1"/>
        <i x="729" s="1" nd="1"/>
        <i x="261" s="1" nd="1"/>
        <i x="18" s="1" nd="1"/>
        <i x="640" s="1" nd="1"/>
        <i x="547" s="1" nd="1"/>
        <i x="692" s="1" nd="1"/>
        <i x="272" s="1" nd="1"/>
        <i x="336" s="1" nd="1"/>
        <i x="161" s="1" nd="1"/>
        <i x="343" s="1" nd="1"/>
        <i x="660" s="1" nd="1"/>
        <i x="657" s="1" nd="1"/>
        <i x="605" s="1" nd="1"/>
        <i x="414" s="1" nd="1"/>
        <i x="197" s="1" nd="1"/>
        <i x="639" s="1" nd="1"/>
        <i x="35" s="1" nd="1"/>
        <i x="508" s="1" nd="1"/>
        <i x="463" s="1" nd="1"/>
        <i x="80" s="1" nd="1"/>
        <i x="300" s="1" nd="1"/>
        <i x="90" s="1" nd="1"/>
        <i x="46" s="1" nd="1"/>
        <i x="694" s="1" nd="1"/>
        <i x="358" s="1" nd="1"/>
        <i x="337" s="1" nd="1"/>
        <i x="683" s="1" nd="1"/>
        <i x="212" s="1" nd="1"/>
        <i x="2" s="1" nd="1"/>
        <i x="126" s="1" nd="1"/>
        <i x="669" s="1" nd="1"/>
        <i x="201" s="1" nd="1"/>
        <i x="650" s="1" nd="1"/>
        <i x="24" s="1" nd="1"/>
        <i x="716" s="1" nd="1"/>
        <i x="220" s="1" nd="1"/>
        <i x="372" s="1" nd="1"/>
        <i x="538" s="1" nd="1"/>
        <i x="590" s="1" nd="1"/>
        <i x="136" s="1" nd="1"/>
        <i x="117" s="1" nd="1"/>
        <i x="563" s="1" nd="1"/>
        <i x="662" s="1" nd="1"/>
        <i x="557" s="1" nd="1"/>
        <i x="115" s="1" nd="1"/>
        <i x="646" s="1" nd="1"/>
        <i x="293" s="1" nd="1"/>
        <i x="249" s="1" nd="1"/>
        <i x="294" s="1" nd="1"/>
        <i x="260" s="1" nd="1"/>
        <i x="250" s="1" nd="1"/>
        <i x="262" s="1" nd="1"/>
        <i x="238" s="1" nd="1"/>
        <i x="296" s="1" nd="1"/>
        <i x="283" s="1" nd="1"/>
        <i x="303" s="1" nd="1"/>
        <i x="240" s="1" nd="1"/>
        <i x="297" s="1" nd="1"/>
        <i x="241" s="1" nd="1"/>
        <i x="298" s="1" nd="1"/>
        <i x="265" s="1" nd="1"/>
        <i x="242" s="1" nd="1"/>
        <i x="266" s="1" nd="1"/>
        <i x="244" s="1" nd="1"/>
        <i x="270" s="1" nd="1"/>
        <i x="11" s="1" nd="1"/>
        <i x="415" s="1" nd="1"/>
        <i x="375" s="1" nd="1"/>
        <i x="440" s="1" nd="1"/>
        <i x="442" s="1" nd="1"/>
        <i x="486" s="1" nd="1"/>
        <i x="445" s="1" nd="1"/>
        <i x="397" s="1" nd="1"/>
        <i x="487" s="1" nd="1"/>
        <i x="420" s="1" nd="1"/>
        <i x="488" s="1" nd="1"/>
        <i x="468" s="1" nd="1"/>
        <i x="421" s="1" nd="1"/>
        <i x="377" s="1" nd="1"/>
        <i x="489" s="1" nd="1"/>
        <i x="471" s="1" nd="1"/>
        <i x="449" s="1" nd="1"/>
        <i x="400" s="1" nd="1"/>
        <i x="423" s="1" nd="1"/>
        <i x="381" s="1" nd="1"/>
        <i x="505" s="1" nd="1"/>
        <i x="450" s="1" nd="1"/>
        <i x="424" s="1" nd="1"/>
        <i x="383" s="1" nd="1"/>
        <i x="507" s="1" nd="1"/>
        <i x="451" s="1" nd="1"/>
        <i x="425" s="1" nd="1"/>
        <i x="401" s="1" nd="1"/>
        <i x="364" s="1" nd="1"/>
        <i x="509" s="1" nd="1"/>
        <i x="492" s="1" nd="1"/>
        <i x="452" s="1" nd="1"/>
        <i x="426" s="1" nd="1"/>
        <i x="402" s="1" nd="1"/>
        <i x="365" s="1" nd="1"/>
        <i x="453" s="1" nd="1"/>
        <i x="428" s="1" nd="1"/>
        <i x="403" s="1" nd="1"/>
        <i x="384" s="1" nd="1"/>
        <i x="475" s="1" nd="1"/>
        <i x="430" s="1" nd="1"/>
        <i x="385" s="1" nd="1"/>
        <i x="494" s="1" nd="1"/>
        <i x="455" s="1" nd="1"/>
        <i x="405" s="1" nd="1"/>
        <i x="366" s="1" nd="1"/>
        <i x="511" s="1" nd="1"/>
        <i x="496" s="1" nd="1"/>
        <i x="456" s="1" nd="1"/>
        <i x="367" s="1" nd="1"/>
        <i x="512" s="1" nd="1"/>
        <i x="497" s="1" nd="1"/>
        <i x="457" s="1" nd="1"/>
        <i x="432" s="1" nd="1"/>
        <i x="406" s="1" nd="1"/>
        <i x="514" s="1" nd="1"/>
        <i x="498" s="1" nd="1"/>
        <i x="433" s="1" nd="1"/>
        <i x="387" s="1" nd="1"/>
        <i x="368" s="1" nd="1"/>
        <i x="499" s="1" nd="1"/>
        <i x="434" s="1" nd="1"/>
        <i x="409" s="1" nd="1"/>
        <i x="388" s="1" nd="1"/>
        <i x="369" s="1" nd="1"/>
        <i x="410" s="1" nd="1"/>
        <i x="370" s="1" nd="1"/>
        <i x="460" s="1" nd="1"/>
        <i x="516" s="1" nd="1"/>
        <i x="461" s="1" nd="1"/>
        <i x="412" s="1" nd="1"/>
        <i x="391" s="1" nd="1"/>
        <i x="501" s="1" nd="1"/>
        <i x="517" s="1" nd="1"/>
        <i x="519" s="1" nd="1"/>
        <i x="443" s="1" nd="1"/>
        <i x="448" s="1" nd="1"/>
        <i x="484" s="1" nd="1"/>
        <i x="469" s="1" nd="1"/>
        <i x="216" s="1" nd="1"/>
        <i x="217" s="1" nd="1"/>
        <i x="180" s="1" nd="1"/>
        <i x="172" s="1" nd="1"/>
        <i x="234" s="1" nd="1"/>
        <i x="218" s="1" nd="1"/>
        <i x="235" s="1" nd="1"/>
        <i x="205" s="1" nd="1"/>
        <i x="160" s="1" nd="1"/>
        <i x="236" s="1" nd="1"/>
        <i x="219" s="1" nd="1"/>
        <i x="183" s="1" nd="1"/>
        <i x="173" s="1" nd="1"/>
        <i x="162" s="1" nd="1"/>
        <i x="237" s="1" nd="1"/>
        <i x="206" s="1" nd="1"/>
        <i x="185" s="1" nd="1"/>
        <i x="163" s="1" nd="1"/>
        <i x="175" s="1" nd="1"/>
        <i x="164" s="1" nd="1"/>
        <i x="177" s="1" nd="1"/>
        <i x="200"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988">
        <i x="245" s="1" nd="1"/>
        <i x="724" s="1" nd="1"/>
        <i x="91" s="1" nd="1"/>
        <i x="314" s="1" nd="1"/>
        <i x="68" s="1" nd="1"/>
        <i x="298" s="1" nd="1"/>
        <i x="539" s="1" nd="1"/>
        <i x="791" s="1" nd="1"/>
        <i x="175" s="1" nd="1"/>
        <i x="744" s="1" nd="1"/>
        <i x="461" s="1" nd="1"/>
        <i x="97" s="1" nd="1"/>
        <i x="563" s="1" nd="1"/>
        <i x="815" s="1" nd="1"/>
        <i x="930" s="1" nd="1"/>
        <i x="393" s="1" nd="1"/>
        <i x="150" s="1" nd="1"/>
        <i x="621" s="1" nd="1"/>
        <i x="489" s="1" nd="1"/>
        <i x="864" s="1" nd="1"/>
        <i x="776" s="1" nd="1"/>
        <i x="912" s="1" nd="1"/>
        <i x="697" s="1" nd="1"/>
        <i x="369" s="1" nd="1"/>
        <i x="541" s="1" nd="1"/>
        <i x="347" s="1" nd="1"/>
        <i x="465" s="1" nd="1"/>
        <i x="591" s="1" nd="1"/>
        <i x="840" s="1" nd="1"/>
        <i x="936" s="1" nd="1"/>
        <i x="10" s="1" nd="1"/>
        <i x="626" s="1" nd="1"/>
        <i x="825" s="1" nd="1"/>
        <i x="856" s="1" nd="1"/>
        <i x="113" s="1" nd="1"/>
        <i x="400" s="1" nd="1"/>
        <i x="432" s="1" nd="1"/>
        <i x="498" s="1" nd="1"/>
        <i x="522" s="1" nd="1"/>
        <i x="805" s="1" nd="1"/>
        <i x="903" s="1" nd="1"/>
        <i x="99" s="1" nd="1"/>
        <i x="325" s="1" nd="1"/>
        <i x="358" s="1" nd="1"/>
        <i x="416" s="1" nd="1"/>
        <i x="689" s="1" nd="1"/>
        <i x="950" s="1" nd="1"/>
        <i x="980" s="1" nd="1"/>
        <i x="111" s="1" nd="1"/>
        <i x="169" s="1" nd="1"/>
        <i x="364" s="1" nd="1"/>
        <i x="703" s="1" nd="1"/>
        <i x="900" s="1" nd="1"/>
        <i x="4" s="1" nd="1"/>
        <i x="98" s="1" nd="1"/>
        <i x="210" s="1" nd="1"/>
        <i x="507" s="1" nd="1"/>
        <i x="721" s="1" nd="1"/>
        <i x="818" s="1" nd="1"/>
        <i x="922" s="1" nd="1"/>
        <i x="43" s="1" nd="1"/>
        <i x="278" s="1" nd="1"/>
        <i x="339" s="1" nd="1"/>
        <i x="395" s="1" nd="1"/>
        <i x="739" s="1" nd="1"/>
        <i x="963" s="1" nd="1"/>
        <i x="208" s="1" nd="1"/>
        <i x="238" s="1" nd="1"/>
        <i x="414" s="1" nd="1"/>
        <i x="560" s="1" nd="1"/>
        <i x="683" s="1" nd="1"/>
        <i x="784" s="1" nd="1"/>
        <i x="850" s="1" nd="1"/>
        <i x="915" s="1" nd="1"/>
        <i x="946" s="1" nd="1"/>
        <i x="975" s="1" nd="1"/>
        <i x="108" s="1" nd="1"/>
        <i x="275" s="1" nd="1"/>
        <i x="303" s="1" nd="1"/>
        <i x="763" s="1" nd="1"/>
        <i x="797" s="1" nd="1"/>
        <i x="106" s="1" nd="1"/>
        <i x="151" s="1" nd="1"/>
        <i x="272" s="1" nd="1"/>
        <i x="290" s="1" nd="1"/>
        <i x="360" s="1" nd="1"/>
        <i x="411" s="1" nd="1"/>
        <i x="427" s="1" nd="1"/>
        <i x="660" s="1" nd="1"/>
        <i x="737" s="1" nd="1"/>
        <i x="846" s="1" nd="1"/>
        <i x="960" s="1" nd="1"/>
        <i x="972" s="1" nd="1"/>
        <i x="13" s="1" nd="1"/>
        <i x="78" s="1" nd="1"/>
        <i x="220" s="1" nd="1"/>
        <i x="315" s="1" nd="1"/>
        <i x="350" s="1" nd="1"/>
        <i x="424" s="1" nd="1"/>
        <i x="503" s="1" nd="1"/>
        <i x="528" s="1" nd="1"/>
        <i x="659" s="1" nd="1"/>
        <i x="778" s="1" nd="1"/>
        <i x="121" s="1" nd="1"/>
        <i x="235" s="1" nd="1"/>
        <i x="250" s="1" nd="1"/>
        <i x="333" s="1" nd="1"/>
        <i x="408" s="1" nd="1"/>
        <i x="542" s="1" nd="1"/>
        <i x="681" s="1" nd="1"/>
        <i x="713" s="1" nd="1"/>
        <i x="830" s="1" nd="1"/>
        <i x="940" s="1" nd="1"/>
        <i x="39" s="1" nd="1"/>
        <i x="75" s="1" nd="1"/>
        <i x="268" s="1" nd="1"/>
        <i x="287" s="1" nd="1"/>
        <i x="331" s="1" nd="1"/>
        <i x="617" s="1" nd="1"/>
        <i x="760" s="1" nd="1"/>
        <i x="775" s="1" nd="1"/>
        <i x="829" s="1" nd="1"/>
        <i x="842" s="1" nd="1"/>
        <i x="93" s="1" nd="1"/>
        <i x="132" s="1" nd="1"/>
        <i x="162" s="1" nd="1"/>
        <i x="179" s="1" nd="1"/>
        <i x="203" s="1" nd="1"/>
        <i x="285" s="1" nd="1"/>
        <i x="329" s="1" nd="1"/>
        <i x="615" s="1" nd="1"/>
        <i x="696" s="1" nd="1"/>
        <i x="793" s="1" nd="1"/>
        <i x="909" s="1" nd="1"/>
        <i x="957" s="1" nd="1"/>
        <i x="71" s="1" nd="1"/>
        <i x="201" s="1" nd="1"/>
        <i x="218" s="1" nd="1"/>
        <i x="232" s="1" nd="1"/>
        <i x="248" s="1" nd="1"/>
        <i x="267" s="1" nd="1"/>
        <i x="328" s="1" nd="1"/>
        <i x="368" s="1" nd="1"/>
        <i x="571" s="1" nd="1"/>
        <i x="628" s="1" nd="1"/>
        <i x="709" s="1" nd="1"/>
        <i x="730" s="1" nd="1"/>
        <i x="772" s="1" nd="1"/>
        <i x="807" s="1" nd="1"/>
        <i x="907" s="1" nd="1"/>
        <i x="926" s="1" nd="1"/>
        <i x="89" s="1" nd="1"/>
        <i x="104" s="1" nd="1"/>
        <i x="119" s="1" nd="1"/>
        <i x="144" s="1" nd="1"/>
        <i x="187" s="1" nd="1"/>
        <i x="217" s="1" nd="1"/>
        <i x="327" s="1" nd="1"/>
        <i x="403" s="1" nd="1"/>
        <i x="466" s="1" nd="1"/>
        <i x="540" s="1" nd="1"/>
        <i x="604" s="1" nd="1"/>
        <i x="612" s="1" nd="1"/>
        <i x="675" s="1" nd="1"/>
        <i x="749" s="1" nd="1"/>
        <i x="806" s="1" nd="1"/>
        <i x="841" s="1" nd="1"/>
        <i x="876" s="1" nd="1"/>
        <i x="937" s="1" nd="1"/>
        <i x="969" s="1" nd="1"/>
        <i x="116" s="1" nd="1"/>
        <i x="199" s="1" nd="1"/>
        <i x="215" s="1" nd="1"/>
        <i x="483" s="1" nd="1"/>
        <i x="500" s="1" nd="1"/>
        <i x="102" s="1" nd="1"/>
        <i x="590" s="1" nd="1"/>
        <i x="115" s="1" nd="1"/>
        <i x="603" s="1" nd="1"/>
        <i x="143" s="1" nd="1"/>
        <i x="638" s="1" nd="1"/>
        <i x="654" s="1" nd="1"/>
        <i x="186" s="1" nd="1"/>
        <i x="673" s="1" nd="1"/>
        <i x="694" s="1" nd="1"/>
        <i x="401" s="1" nd="1"/>
        <i x="482" s="1" nd="1"/>
        <i x="499" s="1" nd="1"/>
        <i x="524" s="1" nd="1"/>
        <i x="536" s="1" nd="1"/>
        <i x="67" s="1" nd="1"/>
        <i x="555" s="1" nd="1"/>
        <i x="569" s="1" nd="1"/>
        <i x="588" s="1" nd="1"/>
        <i x="173" s="1" nd="1"/>
        <i x="653" s="1" nd="1"/>
        <i x="747" s="1" nd="1"/>
        <i x="346" s="1" nd="1"/>
        <i x="887" s="1" nd="1"/>
        <i x="953" s="1" nd="1"/>
        <i x="448" s="1" nd="1"/>
        <i x="968" s="1" nd="1"/>
        <i x="36" s="1" nd="1"/>
        <i x="553" s="1" nd="1"/>
        <i x="114" s="1" nd="1"/>
        <i x="601" s="1" nd="1"/>
        <i x="198" s="1" nd="1"/>
        <i x="214" s="1" nd="1"/>
        <i x="728" s="1" nd="1"/>
        <i x="282" s="1" nd="1"/>
        <i x="789" s="1" nd="1"/>
        <i x="905" s="1" nd="1"/>
        <i x="418" s="1" nd="1"/>
        <i x="447" s="1" nd="1"/>
        <i x="983" s="1" nd="1"/>
        <i x="481" s="1" nd="1"/>
        <i x="86" s="1" nd="1"/>
        <i x="600" s="1" nd="1"/>
        <i x="652" s="1" nd="1"/>
        <i x="727" s="1" nd="1"/>
        <i x="788" s="1" nd="1"/>
        <i x="296" s="1" nd="1"/>
        <i x="311" s="1" nd="1"/>
        <i x="823" s="1" nd="1"/>
        <i x="904" s="1" nd="1"/>
        <i x="8" s="1" nd="1"/>
        <i x="51" s="1" nd="1"/>
        <i x="552" s="1" nd="1"/>
        <i x="84" s="1" nd="1"/>
        <i x="599" s="1" nd="1"/>
        <i x="141" s="1" nd="1"/>
        <i x="171" s="1" nd="1"/>
        <i x="257" s="1" nd="1"/>
        <i x="769" s="1" nd="1"/>
        <i x="281" s="1" nd="1"/>
        <i x="981" s="1" nd="1"/>
        <i x="7" s="1" nd="1"/>
        <i x="509" s="1" nd="1"/>
        <i x="32" s="1" nd="1"/>
        <i x="64" s="1" nd="1"/>
        <i x="651" s="1" nd="1"/>
        <i x="212" s="1" nd="1"/>
        <i x="743" s="1" nd="1"/>
        <i x="756" s="1" nd="1"/>
        <i x="822" s="1" nd="1"/>
        <i x="838" s="1" nd="1"/>
        <i x="342" s="1" nd="1"/>
        <i x="854" s="1" nd="1"/>
        <i x="357" s="1" nd="1"/>
        <i x="462" s="1" nd="1"/>
        <i x="6" s="1" nd="1"/>
        <i x="49" s="1" nd="1"/>
        <i x="128" s="1" nd="1"/>
        <i x="140" s="1" nd="1"/>
        <i x="688" s="1" nd="1"/>
        <i x="820" s="1" nd="1"/>
        <i x="365" s="1" nd="1"/>
        <i x="397" s="1" nd="1"/>
        <i x="935" s="1" nd="1"/>
        <i x="444" s="1" nd="1"/>
        <i x="508" s="1" nd="1"/>
        <i x="30" s="1" nd="1"/>
        <i x="47" s="1" nd="1"/>
        <i x="598" s="1" nd="1"/>
        <i x="154" s="1" nd="1"/>
        <i x="649" s="1" nd="1"/>
        <i x="230" s="1" nd="1"/>
        <i x="244" s="1" nd="1"/>
        <i x="742" s="1" nd="1"/>
        <i x="255" s="1" nd="1"/>
        <i x="801" s="1" nd="1"/>
        <i x="308" s="1" nd="1"/>
        <i x="323" s="1" nd="1"/>
        <i x="837" s="1" nd="1"/>
        <i x="872" s="1" nd="1"/>
        <i x="381" s="1" nd="1"/>
        <i x="948" s="1" nd="1"/>
        <i x="533" s="1" nd="1"/>
        <i x="63" s="1" nd="1"/>
        <i x="127" s="1" nd="1"/>
        <i x="609" s="1" nd="1"/>
        <i x="624" s="1" nd="1"/>
        <i x="648" s="1" nd="1"/>
        <i x="668" s="1" nd="1"/>
        <i x="195" s="1" nd="1"/>
        <i x="754" s="1" nd="1"/>
        <i x="800" s="1" nd="1"/>
        <i x="924" s="1" nd="1"/>
        <i x="415" s="1" nd="1"/>
        <i x="934" s="1" nd="1"/>
        <i x="520" s="1" nd="1"/>
        <i x="82" s="1" nd="1"/>
        <i x="126" s="1" nd="1"/>
        <i x="634" s="1" nd="1"/>
        <i x="167" s="1" nd="1"/>
        <i x="686" s="1" nd="1"/>
        <i x="722" s="1" nd="1"/>
        <i x="293" s="1" nd="1"/>
        <i x="306" s="1" nd="1"/>
        <i x="354" s="1" nd="1"/>
        <i x="379" s="1" nd="1"/>
        <i x="923" s="1" nd="1"/>
        <i x="965" s="1" nd="1"/>
        <i x="476" s="1" nd="1"/>
        <i x="2" s="1" nd="1"/>
        <i x="18" s="1" nd="1"/>
        <i x="518" s="1" nd="1"/>
        <i x="564" s="1" nd="1"/>
        <i x="597" s="1" nd="1"/>
        <i x="607" s="1" nd="1"/>
        <i x="666" s="1" nd="1"/>
        <i x="685" s="1" nd="1"/>
        <i x="701" s="1" nd="1"/>
        <i x="766" s="1" nd="1"/>
        <i x="279" s="1" nd="1"/>
        <i x="799" s="1" nd="1"/>
        <i x="816" s="1" nd="1"/>
        <i x="377" s="1" nd="1"/>
        <i x="494" s="1" nd="1"/>
        <i x="60" s="1" nd="1"/>
        <i x="580" s="1" nd="1"/>
        <i x="632" s="1" nd="1"/>
        <i x="240" s="1" nd="1"/>
        <i x="253" s="1" nd="1"/>
        <i x="292" s="1" nd="1"/>
        <i x="321" s="1" nd="1"/>
        <i x="361" s="1" nd="1"/>
        <i x="376" s="1" nd="1"/>
        <i x="459" s="1" nd="1"/>
        <i x="977" s="1" nd="1"/>
        <i x="125" s="1" nd="1"/>
        <i x="136" s="1" nd="1"/>
        <i x="622" s="1" nd="1"/>
        <i x="239" s="1" nd="1"/>
        <i x="765" s="1" nd="1"/>
        <i x="277" s="1" nd="1"/>
        <i x="813" s="1" nd="1"/>
        <i x="319" s="1" nd="1"/>
        <i x="337" s="1" nd="1"/>
        <i x="918" s="1" nd="1"/>
        <i x="931" s="1" nd="1"/>
        <i x="962" s="1" nd="1"/>
        <i x="28" s="1" nd="1"/>
        <i x="579" s="1" nd="1"/>
        <i x="165" s="1" nd="1"/>
        <i x="262" s="1" nd="1"/>
        <i x="304" s="1" nd="1"/>
        <i x="317" s="1" nd="1"/>
        <i x="851" s="1" nd="1"/>
        <i x="916" s="1" nd="1"/>
        <i x="413" s="1" nd="1"/>
        <i x="440" s="1" nd="1"/>
        <i x="457" s="1" nd="1"/>
        <i x="474" s="1" nd="1"/>
        <i x="504" s="1" nd="1"/>
        <i x="41" s="1" nd="1"/>
        <i x="578" s="1" nd="1"/>
        <i x="124" s="1" nd="1"/>
        <i x="605" s="1" nd="1"/>
        <i x="182" s="1" nd="1"/>
        <i x="665" s="1" nd="1"/>
        <i x="192" s="1" nd="1"/>
        <i x="206" s="1" nd="1"/>
        <i x="782" s="1" nd="1"/>
        <i x="849" s="1" nd="1"/>
        <i x="867" s="1" nd="1"/>
        <i x="412" s="1" nd="1"/>
        <i x="14" s="1" nd="1"/>
        <i x="27" s="1" nd="1"/>
        <i x="40" s="1" nd="1"/>
        <i x="530" s="1" nd="1"/>
        <i x="546" s="1" nd="1"/>
        <i x="577" s="1" nd="1"/>
        <i x="107" s="1" nd="1"/>
        <i x="123" s="1" nd="1"/>
        <i x="644" s="1" nd="1"/>
        <i x="663" s="1" nd="1"/>
        <i x="717" s="1" nd="1"/>
        <i x="273" s="1" nd="1"/>
        <i x="291" s="1" nd="1"/>
        <i x="302" s="1" nd="1"/>
        <i x="848" s="1" nd="1"/>
        <i x="160" s="1" nd="1"/>
        <i x="439" s="1" nd="1"/>
        <i x="456" s="1" nd="1"/>
        <i x="529" s="1" nd="1"/>
        <i x="826" s="1" nd="1"/>
        <i x="576" s="1" nd="1"/>
        <i x="596" s="1" nd="1"/>
        <i x="857" s="1" nd="1"/>
        <i x="889" s="1" nd="1"/>
        <i x="383" s="1" nd="1"/>
        <i x="402" s="1" nd="1"/>
        <i x="662" s="1" nd="1"/>
        <i x="190" s="1" nd="1"/>
        <i x="955" s="1" nd="1"/>
        <i x="449" s="1" nd="1"/>
        <i x="223" s="1" nd="1"/>
        <i x="464" s="1" nd="1"/>
        <i x="236" s="1" nd="1"/>
        <i x="738" s="1" nd="1"/>
        <i x="9" s="1" nd="1"/>
        <i x="23" s="1" nd="1"/>
        <i x="510" s="1" nd="1"/>
        <i x="537" s="1" nd="1"/>
        <i x="796" s="1" nd="1"/>
        <i x="811" s="1" nd="1"/>
        <i x="833" s="1" nd="1"/>
        <i x="101" s="1" nd="1"/>
        <i x="589" s="1" nd="1"/>
        <i x="159" s="1" nd="1"/>
        <i x="392" s="1" nd="1"/>
        <i x="943" s="1" nd="1"/>
        <i x="438" s="1" nd="1"/>
        <i x="693" s="1" nd="1"/>
        <i x="973" s="1" nd="1"/>
        <i x="473" s="1" nd="1"/>
        <i x="283" s="1" nd="1"/>
        <i x="58" s="1" nd="1"/>
        <i x="79" s="1" nd="1"/>
        <i x="575" s="1" nd="1"/>
        <i x="839" s="1" nd="1"/>
        <i x="595" s="1" nd="1"/>
        <i x="888" s="1" nd="1"/>
        <i x="420" s="1" nd="1"/>
        <i x="661" s="1" nd="1"/>
        <i x="189" s="1" nd="1"/>
        <i x="954" s="1" nd="1"/>
        <i x="222" s="1" nd="1"/>
        <i x="716" s="1" nd="1"/>
        <i x="22" s="1" nd="1"/>
        <i x="523" s="1" nd="1"/>
        <i x="780" s="1" nd="1"/>
        <i x="289" s="1" nd="1"/>
        <i x="535" s="1" nd="1"/>
        <i x="66" s="1" nd="1"/>
        <i x="554" s="1" nd="1"/>
        <i x="316" s="1" nd="1"/>
        <i x="587" s="1" nd="1"/>
        <i x="847" s="1" nd="1"/>
        <i x="351" s="1" nd="1"/>
        <i x="602" s="1" nd="1"/>
        <i x="374" s="1" nd="1"/>
        <i x="625" s="1" nd="1"/>
        <i x="895" s="1" nd="1"/>
        <i x="172" s="1" nd="1"/>
        <i x="426" s="1" nd="1"/>
        <i x="672" s="1" nd="1"/>
        <i x="942" s="1" nd="1"/>
        <i x="692" s="1" nd="1"/>
        <i x="961" s="1" nd="1"/>
        <i x="491" s="1" nd="1"/>
        <i x="746" s="1" nd="1"/>
        <i x="545" s="1" nd="1"/>
        <i x="312" s="1" nd="1"/>
        <i x="559" s="1" nd="1"/>
        <i x="824" s="1" nd="1"/>
        <i x="326" s="1" nd="1"/>
        <i x="345" s="1" nd="1"/>
        <i x="874" s="1" nd="1"/>
        <i x="135" s="1" nd="1"/>
        <i x="886" s="1" nd="1"/>
        <i x="631" s="1" nd="1"/>
        <i x="906" s="1" nd="1"/>
        <i x="164" s="1" nd="1"/>
        <i x="643" s="1" nd="1"/>
        <i x="419" s="1" nd="1"/>
        <i x="952" s="1" nd="1"/>
        <i x="204" s="1" nd="1"/>
        <i x="221" s="1" nd="1"/>
        <i x="715" s="1" nd="1"/>
        <i x="21" s="1" nd="1"/>
        <i x="35" s="1" nd="1"/>
        <i x="795" s="1" nd="1"/>
        <i x="301" s="1" nd="1"/>
        <i x="87" s="1" nd="1"/>
        <i x="568" s="1" nd="1"/>
        <i x="832" s="1" nd="1"/>
        <i x="100" s="1" nd="1"/>
        <i x="335" s="1" nd="1"/>
        <i x="610" s="1" nd="1"/>
        <i x="373" s="1" nd="1"/>
        <i x="391" s="1" nd="1"/>
        <i x="929" s="1" nd="1"/>
        <i x="185" s="1" nd="1"/>
        <i x="425" s="1" nd="1"/>
        <i x="941" s="1" nd="1"/>
        <i x="437" s="1" nd="1"/>
        <i x="959" s="1" nd="1"/>
        <i x="472" s="1" nd="1"/>
        <i x="490" s="1" nd="1"/>
        <i x="745" s="1" nd="1"/>
        <i x="26" s="1" nd="1"/>
        <i x="544" s="1" nd="1"/>
        <i x="344" s="1" nd="1"/>
        <i x="855" s="1" nd="1"/>
        <i x="122" s="1" nd="1"/>
        <i x="873" s="1" nd="1"/>
        <i x="620" s="1" nd="1"/>
        <i x="885" s="1" nd="1"/>
        <i x="149" s="1" nd="1"/>
        <i x="417" s="1" nd="1"/>
        <i x="188" s="1" nd="1"/>
        <i x="480" s="1" nd="1"/>
        <i x="736" s="1" nd="1"/>
        <i x="762" s="1" nd="1"/>
        <i x="34" s="1" nd="1"/>
        <i x="271" s="1" nd="1"/>
        <i x="779" s="1" nd="1"/>
        <i x="52" s="1" nd="1"/>
        <i x="65" s="1" nd="1"/>
        <i x="85" s="1" nd="1"/>
        <i x="567" s="1" nd="1"/>
        <i x="831" s="1" nd="1"/>
        <i x="586" s="1" nd="1"/>
        <i x="866" s="1" nd="1"/>
        <i x="142" s="1" nd="1"/>
        <i x="372" s="1" nd="1"/>
        <i x="158" s="1" nd="1"/>
        <i x="390" s="1" nd="1"/>
        <i x="410" s="1" nd="1"/>
        <i x="928" s="1" nd="1"/>
        <i x="671" s="1" nd="1"/>
        <i x="691" s="1" nd="1"/>
        <i x="706" s="1" nd="1"/>
        <i x="231" s="1" nd="1"/>
        <i x="516" s="1" nd="1"/>
        <i x="770" s="1" nd="1"/>
        <i x="57" s="1" nd="1"/>
        <i x="295" s="1" nd="1"/>
        <i x="543" s="1" nd="1"/>
        <i x="804" s="1" nd="1"/>
        <i x="77" s="1" nd="1"/>
        <i x="558" s="1" nd="1"/>
        <i x="96" s="1" nd="1"/>
        <i x="343" s="1" nd="1"/>
        <i x="594" s="1" nd="1"/>
        <i x="884" s="1" nd="1"/>
        <i x="148" s="1" nd="1"/>
        <i x="382" s="1" nd="1"/>
        <i x="630" s="1" nd="1"/>
        <i x="902" s="1" nd="1"/>
        <i x="642" s="1" nd="1"/>
        <i x="925" s="1" nd="1"/>
        <i x="181" s="1" nd="1"/>
        <i x="699" s="1" nd="1"/>
        <i x="463" s="1" nd="1"/>
        <i x="982" s="1" nd="1"/>
        <i x="479" s="1" nd="1"/>
        <i x="251" s="1" nd="1"/>
        <i x="20" s="1" nd="1"/>
        <i x="261" s="1" nd="1"/>
        <i x="33" s="1" nd="1"/>
        <i x="270" s="1" nd="1"/>
        <i x="288" s="1" nd="1"/>
        <i x="83" s="1" nd="1"/>
        <i x="334" s="1" nd="1"/>
        <i x="585" s="1" nd="1"/>
        <i x="845" s="1" nd="1"/>
        <i x="865" s="1" nd="1"/>
        <i x="359" s="1" nd="1"/>
        <i x="157" s="1" nd="1"/>
        <i x="914" s="1" nd="1"/>
        <i x="170" s="1" nd="1"/>
        <i x="409" s="1" nd="1"/>
        <i x="423" s="1" nd="1"/>
        <i x="197" s="1" nd="1"/>
        <i x="436" s="1" nd="1"/>
        <i x="690" s="1" nd="1"/>
        <i x="958" s="1" nd="1"/>
        <i x="213" s="1" nd="1"/>
        <i x="455" s="1" nd="1"/>
        <i x="705" s="1" nd="1"/>
        <i x="971" s="1" nd="1"/>
        <i x="726" s="1" nd="1"/>
        <i x="987" s="1" nd="1"/>
        <i x="488" s="1" nd="1"/>
        <i x="515" s="1" nd="1"/>
        <i x="56" s="1" nd="1"/>
        <i x="310" s="1" nd="1"/>
        <i x="95" s="1" nd="1"/>
        <i x="134" s="1" nd="1"/>
        <i x="883" s="1" nd="1"/>
        <i x="163" s="1" nd="1"/>
        <i x="399" s="1" nd="1"/>
        <i x="431" s="1" nd="1"/>
        <i x="951" s="1" nd="1"/>
        <i x="446" s="1" nd="1"/>
        <i x="698" s="1" nd="1"/>
        <i x="967" s="1" nd="1"/>
        <i x="714" s="1" nd="1"/>
        <i x="234" s="1" nd="1"/>
        <i x="735" s="1" nd="1"/>
        <i x="497" s="1" nd="1"/>
        <i x="269" s="1" nd="1"/>
        <i x="50" s="1" nd="1"/>
        <i x="584" s="1" nd="1"/>
        <i x="112" s="1" nd="1"/>
        <i x="863" s="1" nd="1"/>
        <i x="894" s="1" nd="1"/>
        <i x="156" s="1" nd="1"/>
        <i x="389" s="1" nd="1"/>
        <i x="637" s="1" nd="1"/>
        <i x="422" s="1" nd="1"/>
        <i x="435" s="1" nd="1"/>
        <i x="211" s="1" nd="1"/>
        <i x="454" s="1" nd="1"/>
        <i x="704" s="1" nd="1"/>
        <i x="725" s="1" nd="1"/>
        <i x="246" s="1" nd="1"/>
        <i x="487" s="1" nd="1"/>
        <i x="755" s="1" nd="1"/>
        <i x="25" s="1" nd="1"/>
        <i x="266" s="1" nd="1"/>
        <i x="768" s="1" nd="1"/>
        <i x="803" s="1" nd="1"/>
        <i x="76" s="1" nd="1"/>
        <i x="309" s="1" nd="1"/>
        <i x="821" s="1" nd="1"/>
        <i x="94" s="1" nd="1"/>
        <i x="574" s="1" nd="1"/>
        <i x="341" s="1" nd="1"/>
        <i x="356" s="1" nd="1"/>
        <i x="366" s="1" nd="1"/>
        <i x="619" s="1" nd="1"/>
        <i x="882" s="1" nd="1"/>
        <i x="901" s="1" nd="1"/>
        <i x="398" s="1" nd="1"/>
        <i x="430" s="1" nd="1"/>
        <i x="445" s="1" nd="1"/>
        <i x="233" s="1" nd="1"/>
        <i x="478" s="1" nd="1"/>
        <i x="734" s="1" nd="1"/>
        <i x="496" s="1" nd="1"/>
        <i x="761" s="1" nd="1"/>
        <i x="31" s="1" nd="1"/>
        <i x="777" s="1" nd="1"/>
        <i x="48" s="1" nd="1"/>
        <i x="534" s="1" nd="1"/>
        <i x="810" s="1" nd="1"/>
        <i x="332" s="1" nd="1"/>
        <i x="583" s="1" nd="1"/>
        <i x="844" s="1" nd="1"/>
        <i x="862" s="1" nd="1"/>
        <i x="893" s="1" nd="1"/>
        <i x="155" s="1" nd="1"/>
        <i x="388" s="1" nd="1"/>
        <i x="636" s="1" nd="1"/>
        <i x="913" s="1" nd="1"/>
        <i x="168" s="1" nd="1"/>
        <i x="650" s="1" nd="1"/>
        <i x="184" s="1" nd="1"/>
        <i x="670" s="1" nd="1"/>
        <i x="196" s="1" nd="1"/>
        <i x="453" s="1" nd="1"/>
        <i x="471" s="1" nd="1"/>
        <i x="986" s="1" nd="1"/>
        <i x="256" s="1" nd="1"/>
        <i x="265" s="1" nd="1"/>
        <i x="294" s="1" nd="1"/>
        <i x="802" s="1" nd="1"/>
        <i x="74" s="1" nd="1"/>
        <i x="324" s="1" nd="1"/>
        <i x="593" s="1" nd="1"/>
        <i x="355" s="1" nd="1"/>
        <i x="133" s="1" nd="1"/>
        <i x="363" s="1" nd="1"/>
        <i x="618" s="1" nd="1"/>
        <i x="881" s="1" nd="1"/>
        <i x="658" s="1" nd="1"/>
        <i x="680" s="1" nd="1"/>
        <i x="949" s="1" nd="1"/>
        <i x="712" s="1" nd="1"/>
        <i x="5" s="1" nd="1"/>
        <i x="249" s="1" nd="1"/>
        <i x="521" s="1" nd="1"/>
        <i x="46" s="1" nd="1"/>
        <i x="300" s="1" nd="1"/>
        <i x="551" s="1" nd="1"/>
        <i x="566" s="1" nd="1"/>
        <i x="843" s="1" nd="1"/>
        <i x="349" s="1" nd="1"/>
        <i x="861" s="1" nd="1"/>
        <i x="371" s="1" nd="1"/>
        <i x="635" s="1" nd="1"/>
        <i x="407" s="1" nd="1"/>
        <i x="669" s="1" nd="1"/>
        <i x="434" s="1" nd="1"/>
        <i x="687" s="1" nd="1"/>
        <i x="229" s="1" nd="1"/>
        <i x="243" s="1" nd="1"/>
        <i x="502" s="1" nd="1"/>
        <i x="264" s="1" nd="1"/>
        <i x="514" s="1" nd="1"/>
        <i x="767" s="1" nd="1"/>
        <i x="527" s="1" nd="1"/>
        <i x="55" s="1" nd="1"/>
        <i x="73" s="1" nd="1"/>
        <i x="819" s="1" nd="1"/>
        <i x="573" s="1" nd="1"/>
        <i x="836" s="1" nd="1"/>
        <i x="105" s="1" nd="1"/>
        <i x="340" s="1" nd="1"/>
        <i x="147" s="1" nd="1"/>
        <i x="396" s="1" nd="1"/>
        <i x="180" s="1" nd="1"/>
        <i x="657" s="1" nd="1"/>
        <i x="679" s="1" nd="1"/>
        <i x="443" s="1" nd="1"/>
        <i x="966" s="1" nd="1"/>
        <i x="219" s="1" nd="1"/>
        <i x="460" s="1" nd="1"/>
        <i x="711" s="1" nd="1"/>
        <i x="19" s="1" nd="1"/>
        <i x="260" s="1" nd="1"/>
        <i x="45" s="1" nd="1"/>
        <i x="286" s="1" nd="1"/>
        <i x="794" s="1" nd="1"/>
        <i x="62" s="1" nd="1"/>
        <i x="550" s="1" nd="1"/>
        <i x="828" s="1" nd="1"/>
        <i x="330" s="1" nd="1"/>
        <i x="582" s="1" nd="1"/>
        <i x="110" s="1" nd="1"/>
        <i x="348" s="1" nd="1"/>
        <i x="879" s="1" nd="1"/>
        <i x="153" s="1" nd="1"/>
        <i x="387" s="1" nd="1"/>
        <i x="911" s="1" nd="1"/>
        <i x="647" s="1" nd="1"/>
        <i x="939" s="1" nd="1"/>
        <i x="194" s="1" nd="1"/>
        <i x="433" s="1" nd="1"/>
        <i x="209" s="1" nd="1"/>
        <i x="702" s="1" nd="1"/>
        <i x="723" s="1" nd="1"/>
        <i x="985" s="1" nd="1"/>
        <i x="741" s="1" nd="1"/>
        <i x="12" s="1" nd="1"/>
        <i x="263" s="1" nd="1"/>
        <i x="513" s="1" nd="1"/>
        <i x="526" s="1" nd="1"/>
        <i x="307" s="1" nd="1"/>
        <i x="92" s="1" nd="1"/>
        <i x="853" s="1" nd="1"/>
        <i x="131" s="1" nd="1"/>
        <i x="362" s="1" nd="1"/>
        <i x="616" s="1" nd="1"/>
        <i x="380" s="1" nd="1"/>
        <i x="629" s="1" nd="1"/>
        <i x="899" s="1" nd="1"/>
        <i x="178" s="1" nd="1"/>
        <i x="656" s="1" nd="1"/>
        <i x="678" s="1" nd="1"/>
        <i x="947" s="1" nd="1"/>
        <i x="710" s="1" nd="1"/>
        <i x="979" s="1" nd="1"/>
        <i x="477" s="1" nd="1"/>
        <i x="733" s="1" nd="1"/>
        <i x="3" s="1" nd="1"/>
        <i x="495" s="1" nd="1"/>
        <i x="752" s="1" nd="1"/>
        <i x="519" s="1" nd="1"/>
        <i x="774" s="1" nd="1"/>
        <i x="44" s="1" nd="1"/>
        <i x="284" s="1" nd="1"/>
        <i x="809" s="1" nd="1"/>
        <i x="565" s="1" nd="1"/>
        <i x="827" s="1" nd="1"/>
        <i x="860" s="1" nd="1"/>
        <i x="608" s="1" nd="1"/>
        <i x="878" s="1" nd="1"/>
        <i x="139" s="1" nd="1"/>
        <i x="370" s="1" nd="1"/>
        <i x="892" s="1" nd="1"/>
        <i x="633" s="1" nd="1"/>
        <i x="910" s="1" nd="1"/>
        <i x="166" s="1" nd="1"/>
        <i x="406" s="1" nd="1"/>
        <i x="183" s="1" nd="1"/>
        <i x="667" s="1" nd="1"/>
        <i x="228" s="1" nd="1"/>
        <i x="470" s="1" nd="1"/>
        <i x="720" s="1" nd="1"/>
        <i x="242" s="1" nd="1"/>
        <i x="740" s="1" nd="1"/>
        <i x="11" s="1" nd="1"/>
        <i x="280" s="1" nd="1"/>
        <i x="787" s="1" nd="1"/>
        <i x="54" s="1" nd="1"/>
        <i x="72" s="1" nd="1"/>
        <i x="305" s="1" nd="1"/>
        <i x="557" s="1" nd="1"/>
        <i x="817" s="1" nd="1"/>
        <i x="322" s="1" nd="1"/>
        <i x="835" s="1" nd="1"/>
        <i x="120" s="1" nd="1"/>
        <i x="871" s="1" nd="1"/>
        <i x="880" s="1" nd="1"/>
        <i x="378" s="1" nd="1"/>
        <i x="898" s="1" nd="1"/>
        <i x="921" s="1" nd="1"/>
        <i x="933" s="1" nd="1"/>
        <i x="429" s="1" nd="1"/>
        <i x="677" s="1" nd="1"/>
        <i x="202" s="1" nd="1"/>
        <i x="964" s="1" nd="1"/>
        <i x="732" s="1" nd="1"/>
        <i x="751" s="1" nd="1"/>
        <i x="17" s="1" nd="1"/>
        <i x="259" s="1" nd="1"/>
        <i x="773" s="1" nd="1"/>
        <i x="42" s="1" nd="1"/>
        <i x="532" s="1" nd="1"/>
        <i x="61" s="1" nd="1"/>
        <i x="549" s="1" nd="1"/>
        <i x="808" s="1" nd="1"/>
        <i x="81" s="1" nd="1"/>
        <i x="581" s="1" nd="1"/>
        <i x="138" s="1" nd="1"/>
        <i x="891" s="1" nd="1"/>
        <i x="386" s="1" nd="1"/>
        <i x="405" s="1" nd="1"/>
        <i x="646" s="1" nd="1"/>
        <i x="938" s="1" nd="1"/>
        <i x="684" s="1" nd="1"/>
        <i x="452" s="1" nd="1"/>
        <i x="227" s="1" nd="1"/>
        <i x="469" s="1" nd="1"/>
        <i x="984" s="1" nd="1"/>
        <i x="241" s="1" nd="1"/>
        <i x="254" s="1" nd="1"/>
        <i x="753" s="1" nd="1"/>
        <i x="786" s="1" nd="1"/>
        <i x="53" s="1" nd="1"/>
        <i x="798" s="1" nd="1"/>
        <i x="70" s="1" nd="1"/>
        <i x="556" s="1" nd="1"/>
        <i x="814" s="1" nd="1"/>
        <i x="90" s="1" nd="1"/>
        <i x="572" s="1" nd="1"/>
        <i x="834" s="1" nd="1"/>
        <i x="852" s="1" nd="1"/>
        <i x="353" s="1" nd="1"/>
        <i x="870" s="1" nd="1"/>
        <i x="130" s="1" nd="1"/>
        <i x="146" s="1" nd="1"/>
        <i x="897" s="1" nd="1"/>
        <i x="161" s="1" nd="1"/>
        <i x="394" s="1" nd="1"/>
        <i x="641" s="1" nd="1"/>
        <i x="920" s="1" nd="1"/>
        <i x="177" s="1" nd="1"/>
        <i x="655" s="1" nd="1"/>
        <i x="932" s="1" nd="1"/>
        <i x="428" s="1" nd="1"/>
        <i x="200" s="1" nd="1"/>
        <i x="442" s="1" nd="1"/>
        <i x="978" s="1" nd="1"/>
        <i x="475" s="1" nd="1"/>
        <i x="731" s="1" nd="1"/>
        <i x="1" s="1" nd="1"/>
        <i x="16" s="1" nd="1"/>
        <i x="258" s="1" nd="1"/>
        <i x="759" s="1" nd="1"/>
        <i x="29" s="1" nd="1"/>
        <i x="299" s="1" nd="1"/>
        <i x="313" s="1" nd="1"/>
        <i x="562" s="1" nd="1"/>
        <i x="109" s="1" nd="1"/>
        <i x="859" s="1" nd="1"/>
        <i x="606" s="1" nd="1"/>
        <i x="137" s="1" nd="1"/>
        <i x="623" s="1" nd="1"/>
        <i x="908" s="1" nd="1"/>
        <i x="927" s="1" nd="1"/>
        <i x="193" s="1" nd="1"/>
        <i x="700" s="1" nd="1"/>
        <i x="468" s="1" nd="1"/>
        <i x="486" s="1" nd="1"/>
        <i x="501" s="1" nd="1"/>
        <i x="512" s="1" nd="1"/>
        <i x="38" s="1" nd="1"/>
        <i x="525" s="1" nd="1"/>
        <i x="785" s="1" nd="1"/>
        <i x="69" s="1" nd="1"/>
        <i x="320" s="1" nd="1"/>
        <i x="338" s="1" nd="1"/>
        <i x="869" s="1" nd="1"/>
        <i x="129" s="1" nd="1"/>
        <i x="614" s="1" nd="1"/>
        <i x="145" s="1" nd="1"/>
        <i x="375" s="1" nd="1"/>
        <i x="896" s="1" nd="1"/>
        <i x="919" s="1" nd="1"/>
        <i x="176" s="1" nd="1"/>
        <i x="676" s="1" nd="1"/>
        <i x="750" s="1" nd="1"/>
        <i x="506" s="1" nd="1"/>
        <i x="792" s="1" nd="1"/>
        <i x="59" s="1" nd="1"/>
        <i x="80" s="1" nd="1"/>
        <i x="561" s="1" nd="1"/>
        <i x="367" s="1" nd="1"/>
        <i x="890" s="1" nd="1"/>
        <i x="152" s="1" nd="1"/>
        <i x="385" s="1" nd="1"/>
        <i x="404" s="1" nd="1"/>
        <i x="421" s="1" nd="1"/>
        <i x="207" s="1" nd="1"/>
        <i x="970" s="1" nd="1"/>
        <i x="226" s="1" nd="1"/>
        <i x="467" s="1" nd="1"/>
        <i x="719" s="1" nd="1"/>
        <i x="485" s="1" nd="1"/>
        <i x="252" s="1" nd="1"/>
        <i x="24" s="1" nd="1"/>
        <i x="764" s="1" nd="1"/>
        <i x="812" s="1" nd="1"/>
        <i x="318" s="1" nd="1"/>
        <i x="103" s="1" nd="1"/>
        <i x="592" s="1" nd="1"/>
        <i x="118" s="1" nd="1"/>
        <i x="868" s="1" nd="1"/>
        <i x="613" s="1" nd="1"/>
        <i x="640" s="1" nd="1"/>
        <i x="917" s="1" nd="1"/>
        <i x="441" s="1" nd="1"/>
        <i x="216" s="1" nd="1"/>
        <i x="458" s="1" nd="1"/>
        <i x="708" s="1" nd="1"/>
        <i x="976" s="1" nd="1"/>
        <i x="247" s="1" nd="1"/>
        <i x="493" s="1" nd="1"/>
        <i x="505" s="1" nd="1"/>
        <i x="758" s="1" nd="1"/>
        <i x="517" s="1" nd="1"/>
        <i x="548" s="1" nd="1"/>
        <i x="877" s="1" nd="1"/>
        <i x="384" s="1" nd="1"/>
        <i x="451" s="1" nd="1"/>
        <i x="225" s="1" nd="1"/>
        <i x="718" s="1" nd="1"/>
        <i x="484" s="1" nd="1"/>
        <i x="511" s="1" nd="1"/>
        <i x="37" s="1" nd="1"/>
        <i x="276" s="1" nd="1"/>
        <i x="783" s="1" nd="1"/>
        <i x="88" s="1" nd="1"/>
        <i x="570" s="1" nd="1"/>
        <i x="117" s="1" nd="1"/>
        <i x="352" s="1" nd="1"/>
        <i x="611" s="1" nd="1"/>
        <i x="945" s="1" nd="1"/>
        <i x="695" s="1" nd="1"/>
        <i x="974" s="1" nd="1"/>
        <i x="0" s="1" nd="1"/>
        <i x="492" s="1" nd="1"/>
        <i x="748" s="1" nd="1"/>
        <i x="15" s="1" nd="1"/>
        <i x="757" s="1" nd="1"/>
        <i x="771" s="1" nd="1"/>
        <i x="531" s="1" nd="1"/>
        <i x="790" s="1" nd="1"/>
        <i x="297" s="1" nd="1"/>
        <i x="547" s="1" nd="1"/>
        <i x="858" s="1" nd="1"/>
        <i x="875" s="1" nd="1"/>
        <i x="645" s="1" nd="1"/>
        <i x="664" s="1" nd="1"/>
        <i x="191" s="1" nd="1"/>
        <i x="682" s="1" nd="1"/>
        <i x="956" s="1" nd="1"/>
        <i x="205" s="1" nd="1"/>
        <i x="450" s="1" nd="1"/>
        <i x="224" s="1" nd="1"/>
        <i x="274" s="1" nd="1"/>
        <i x="781" s="1" nd="1"/>
        <i x="538" s="1" nd="1"/>
        <i x="336" s="1" nd="1"/>
        <i x="627" s="1" nd="1"/>
        <i x="639" s="1" nd="1"/>
        <i x="174" s="1" nd="1"/>
        <i x="674" s="1" nd="1"/>
        <i x="944" s="1" nd="1"/>
        <i x="707" s="1" nd="1"/>
        <i x="729" s="1" nd="1"/>
        <i x="237"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0" s="1" nd="1"/>
        <i x="8" s="1" nd="1"/>
        <i x="6" s="1" nd="1"/>
        <i x="2" s="1" nd="1"/>
        <i x="5" s="1" nd="1"/>
        <i x="9" s="1" nd="1"/>
        <i x="1" s="1" nd="1"/>
        <i x="3" s="1" nd="1"/>
        <i x="4" s="1" nd="1"/>
        <i x="7"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740">
        <i x="71" s="1" nd="1"/>
        <i x="299" s="1" nd="1"/>
        <i x="411" s="1" nd="1"/>
        <i x="280" s="1" nd="1"/>
        <i x="674" s="1" nd="1"/>
        <i x="248" s="1" nd="1"/>
        <i x="700" s="1" nd="1"/>
        <i x="738" s="1" nd="1"/>
        <i x="652" s="1" nd="1"/>
        <i x="661" s="1" nd="1"/>
        <i x="540" s="1" nd="1"/>
        <i x="271" s="1" nd="1"/>
        <i x="731" s="1" nd="1"/>
        <i x="14" s="1" nd="1"/>
        <i x="416" s="1" nd="1"/>
        <i x="712" s="1" nd="1"/>
        <i x="585" s="1" nd="1"/>
        <i x="596" s="1" nd="1"/>
        <i x="0" s="1" nd="1"/>
        <i x="485" s="1" nd="1"/>
        <i x="255" s="1" nd="1"/>
        <i x="600" s="1" nd="1"/>
        <i x="127" s="1" nd="1"/>
        <i x="649" s="1" nd="1"/>
        <i x="112" s="1" nd="1"/>
        <i x="171" s="1" nd="1"/>
        <i x="429" s="1" nd="1"/>
        <i x="541" s="1" nd="1"/>
        <i x="168" s="1" nd="1"/>
        <i x="142" s="1" nd="1"/>
        <i x="289" s="1" nd="1"/>
        <i x="602" s="1" nd="1"/>
        <i x="627" s="1" nd="1"/>
        <i x="38" s="1" nd="1"/>
        <i x="604" s="1" nd="1"/>
        <i x="190" s="1" nd="1"/>
        <i x="215" s="1" nd="1"/>
        <i x="395" s="1" nd="1"/>
        <i x="121" s="1" nd="1"/>
        <i x="339" s="1" nd="1"/>
        <i x="166" s="1" nd="1"/>
        <i x="81" s="1" nd="1"/>
        <i x="506" s="1" nd="1"/>
        <i x="470" s="1" nd="1"/>
        <i x="632" s="1" nd="1"/>
        <i x="150" s="1" nd="1"/>
        <i x="209" s="1" nd="1"/>
        <i x="394" s="1" nd="1"/>
        <i x="308" s="1" nd="1"/>
        <i x="290" s="1" nd="1"/>
        <i x="159" s="1" nd="1"/>
        <i x="75" s="1" nd="1"/>
        <i x="633" s="1" nd="1"/>
        <i x="530" s="1" nd="1"/>
        <i x="362" s="1" nd="1"/>
        <i x="98" s="1" nd="1"/>
        <i x="179" s="1" nd="1"/>
        <i x="438" s="1" nd="1"/>
        <i x="579" s="1" nd="1"/>
        <i x="167" s="1" nd="1"/>
        <i x="247" s="1" nd="1"/>
        <i x="208" s="1" nd="1"/>
        <i x="6" s="1" nd="1"/>
        <i x="263" s="1" nd="1"/>
        <i x="286" s="1" nd="1"/>
        <i x="684" s="1" nd="1"/>
        <i x="523" s="1" nd="1"/>
        <i x="644" s="1" nd="1"/>
        <i x="276" s="1" nd="1"/>
        <i x="63" s="1" nd="1"/>
        <i x="551" s="1" nd="1"/>
        <i x="570" s="1" nd="1"/>
        <i x="693" s="1" nd="1"/>
        <i x="86" s="1" nd="1"/>
        <i x="373" s="1" nd="1"/>
        <i x="30" s="1" nd="1"/>
        <i x="371" s="1" nd="1"/>
        <i x="664" s="1" nd="1"/>
        <i x="708" s="1" nd="1"/>
        <i x="706" s="1" nd="1"/>
        <i x="695" s="1" nd="1"/>
        <i x="110" s="1" nd="1"/>
        <i x="104" s="1" nd="1"/>
        <i x="327" s="1" nd="1"/>
        <i x="702" s="1" nd="1"/>
        <i x="139" s="1" nd="1"/>
        <i x="686" s="1" nd="1"/>
        <i x="481" s="1" nd="1"/>
        <i x="654" s="1" nd="1"/>
        <i x="194" s="1" nd="1"/>
        <i x="733" s="1" nd="1"/>
        <i x="431" s="1" nd="1"/>
        <i x="132" s="1" nd="1"/>
        <i x="72" s="1" nd="1"/>
        <i x="611" s="1" nd="1"/>
        <i x="191" s="1" nd="1"/>
        <i x="593" s="1" nd="1"/>
        <i x="349" s="1" nd="1"/>
        <i x="673" s="1" nd="1"/>
        <i x="12" s="1" nd="1"/>
        <i x="101" s="1" nd="1"/>
        <i x="603" s="1" nd="1"/>
        <i x="504" s="1" nd="1"/>
        <i x="355" s="1" nd="1"/>
        <i x="608" s="1" nd="1"/>
        <i x="561" s="1" nd="1"/>
        <i x="707" s="1" nd="1"/>
        <i x="181" s="1" nd="1"/>
        <i x="254" s="1" nd="1"/>
        <i x="342" s="1" nd="1"/>
        <i x="723" s="1" nd="1"/>
        <i x="317" s="1" nd="1"/>
        <i x="3" s="1" nd="1"/>
        <i x="480" s="1" nd="1"/>
        <i x="245" s="1" nd="1"/>
        <i x="227" s="1" nd="1"/>
        <i x="165" s="1" nd="1"/>
        <i x="736" s="1" nd="1"/>
        <i x="109" s="1" nd="1"/>
        <i x="116" s="1" nd="1"/>
        <i x="287" s="1" nd="1"/>
        <i x="281" s="1" nd="1"/>
        <i x="467" s="1" nd="1"/>
        <i x="464" s="1" nd="1"/>
        <i x="231" s="1" nd="1"/>
        <i x="623" s="1" nd="1"/>
        <i x="594" s="1" nd="1"/>
        <i x="329" s="1" nd="1"/>
        <i x="719" s="1" nd="1"/>
        <i x="99" s="1" nd="1"/>
        <i x="207" s="1" nd="1"/>
        <i x="326" s="1" nd="1"/>
        <i x="124" s="1" nd="1"/>
        <i x="582" s="1" nd="1"/>
        <i x="419" s="1" nd="1"/>
        <i x="427" s="1" nd="1"/>
        <i x="490" s="1" nd="1"/>
        <i x="7" s="1" nd="1"/>
        <i x="393" s="1" nd="1"/>
        <i x="225" s="1" nd="1"/>
        <i x="304" s="1" nd="1"/>
        <i x="542" s="1" nd="1"/>
        <i x="526" s="1" nd="1"/>
        <i x="361" s="1" nd="1"/>
        <i x="113" s="1" nd="1"/>
        <i x="689" s="1" nd="1"/>
        <i x="345" s="1" nd="1"/>
        <i x="637" s="1" nd="1"/>
        <i x="703" s="1" nd="1"/>
        <i x="252" s="1" nd="1"/>
        <i x="536" s="1" nd="1"/>
        <i x="288" s="1" nd="1"/>
        <i x="359" s="1" nd="1"/>
        <i x="149" s="1" nd="1"/>
        <i x="357" s="1" nd="1"/>
        <i x="128" s="1" nd="1"/>
        <i x="352" s="1" nd="1"/>
        <i x="473" s="1" nd="1"/>
        <i x="610" s="1" nd="1"/>
        <i x="187" s="1" nd="1"/>
        <i x="472" s="1" nd="1"/>
        <i x="193" s="1" nd="1"/>
        <i x="665" s="1" nd="1"/>
        <i x="564" s="1" nd="1"/>
        <i x="154" s="1" nd="1"/>
        <i x="663" s="1" nd="1"/>
        <i x="222" s="1" nd="1"/>
        <i x="392" s="1" nd="1"/>
        <i x="727" s="1" nd="1"/>
        <i x="131" s="1" nd="1"/>
        <i x="301" s="1" nd="1"/>
        <i x="91" s="1" nd="1"/>
        <i x="309" s="1" nd="1"/>
        <i x="380" s="1" nd="1"/>
        <i x="404" s="1" nd="1"/>
        <i x="656" s="1" nd="1"/>
        <i x="446" s="1" nd="1"/>
        <i x="634" s="1" nd="1"/>
        <i x="52" s="1" nd="1"/>
        <i x="324" s="1" nd="1"/>
        <i x="607" s="1" nd="1"/>
        <i x="189" s="1" nd="1"/>
        <i x="158" s="1" nd="1"/>
        <i x="284" s="1" nd="1"/>
        <i x="335" s="1" nd="1"/>
        <i x="435" s="1" nd="1"/>
        <i x="285" s="1" nd="1"/>
        <i x="60" s="1" nd="1"/>
        <i x="737" s="1" nd="1"/>
        <i x="107" s="1" nd="1"/>
        <i x="549" s="1" nd="1"/>
        <i x="198" s="1" nd="1"/>
        <i x="196" s="1" nd="1"/>
        <i x="699" s="1" nd="1"/>
        <i x="676" s="1" nd="1"/>
        <i x="353" s="1" nd="1"/>
        <i x="333" s="1" nd="1"/>
        <i x="22" s="1" nd="1"/>
        <i x="73" s="1" nd="1"/>
        <i x="123" s="1" nd="1"/>
        <i x="638" s="1" nd="1"/>
        <i x="307" s="1" nd="1"/>
        <i x="595" s="1" nd="1"/>
        <i x="256" s="1" nd="1"/>
        <i x="195" s="1" nd="1"/>
        <i x="396" s="1" nd="1"/>
        <i x="125" s="1" nd="1"/>
        <i x="720" s="1" nd="1"/>
        <i x="354" s="1" nd="1"/>
        <i x="170" s="1" nd="1"/>
        <i x="140" s="1" nd="1"/>
        <i x="628" s="1" nd="1"/>
        <i x="616" s="1" nd="1"/>
        <i x="291" s="1" nd="1"/>
        <i x="322" s="1" nd="1"/>
        <i x="696" s="1" nd="1"/>
        <i x="129" s="1" nd="1"/>
        <i x="148" s="1" nd="1"/>
        <i x="68" s="1" nd="1"/>
        <i x="584" s="1" nd="1"/>
        <i x="667" s="1" nd="1"/>
        <i x="230" s="1" nd="1"/>
        <i x="213" s="1" nd="1"/>
        <i x="347" s="1" nd="1"/>
        <i x="739" s="1" nd="1"/>
        <i x="622" s="1" nd="1"/>
        <i x="705" s="1" nd="1"/>
        <i x="351" s="1" nd="1"/>
        <i x="45" s="1" nd="1"/>
        <i x="152" s="1" nd="1"/>
        <i x="246" s="1" nd="1"/>
        <i x="311" s="1" nd="1"/>
        <i x="642" s="1" nd="1"/>
        <i x="518" s="1" nd="1"/>
        <i x="588" s="1" nd="1"/>
        <i x="575" s="1" nd="1"/>
        <i x="407" s="1" nd="1"/>
        <i x="672" s="1" nd="1"/>
        <i x="47" s="1" nd="1"/>
        <i x="681" s="1" nd="1"/>
        <i x="314" s="1" nd="1"/>
        <i x="331" s="1" nd="1"/>
        <i x="341" s="1" nd="1"/>
        <i x="257" s="1" nd="1"/>
        <i x="491" s="1" nd="1"/>
        <i x="477" s="1" nd="1"/>
        <i x="447" s="1" nd="1"/>
        <i x="37" s="1" nd="1"/>
        <i x="647" s="1" nd="1"/>
        <i x="670" s="1" nd="1"/>
        <i x="232" s="1" nd="1"/>
        <i x="482" s="1" nd="1"/>
        <i x="550" s="1" nd="1"/>
        <i x="96" s="1" nd="1"/>
        <i x="17" s="1" nd="1"/>
        <i x="78" s="1" nd="1"/>
        <i x="23" s="1" nd="1"/>
        <i x="726" s="1" nd="1"/>
        <i x="54" s="1" nd="1"/>
        <i x="569" s="1" nd="1"/>
        <i x="714" s="1" nd="1"/>
        <i x="84" s="1" nd="1"/>
        <i x="520" s="1" nd="1"/>
        <i x="29" s="1" nd="1"/>
        <i x="214" s="1" nd="1"/>
        <i x="4" s="1" nd="1"/>
        <i x="58" s="1" nd="1"/>
        <i x="228" s="1" nd="1"/>
        <i x="323" s="1" nd="1"/>
        <i x="417" s="1" nd="1"/>
        <i x="524" s="1" nd="1"/>
        <i x="49" s="1" nd="1"/>
        <i x="258" s="1" nd="1"/>
        <i x="572" s="1" nd="1"/>
        <i x="48" s="1" nd="1"/>
        <i x="513" s="1" nd="1"/>
        <i x="67" s="1" nd="1"/>
        <i x="259" s="1" nd="1"/>
        <i x="348" s="1" nd="1"/>
        <i x="479" s="1" nd="1"/>
        <i x="641" s="1" nd="1"/>
        <i x="655" s="1" nd="1"/>
        <i x="389" s="1" nd="1"/>
        <i x="203" s="1" nd="1"/>
        <i x="552" s="1" nd="1"/>
        <i x="25" s="1" nd="1"/>
        <i x="223" s="1" nd="1"/>
        <i x="612" s="1" nd="1"/>
        <i x="66" s="1" nd="1"/>
        <i x="466" s="1" nd="1"/>
        <i x="583" s="1" nd="1"/>
        <i x="586" s="1" nd="1"/>
        <i x="677" s="1" nd="1"/>
        <i x="315" s="1" nd="1"/>
        <i x="79" s="1" nd="1"/>
        <i x="591" s="1" nd="1"/>
        <i x="1" s="1" nd="1"/>
        <i x="537" s="1" nd="1"/>
        <i x="532" s="1" nd="1"/>
        <i x="545" s="1" nd="1"/>
        <i x="108" s="1" nd="1"/>
        <i x="278" s="1" nd="1"/>
        <i x="459" s="1" nd="1"/>
        <i x="62" s="1" nd="1"/>
        <i x="94" s="1" nd="1"/>
        <i x="546" s="1" nd="1"/>
        <i x="666" s="1" nd="1"/>
        <i x="344" s="1" nd="1"/>
        <i x="321" s="1" nd="1"/>
        <i x="577" s="1" nd="1"/>
        <i x="340" s="1" nd="1"/>
        <i x="57" s="1" nd="1"/>
        <i x="130" s="1" nd="1"/>
        <i x="553" s="1" nd="1"/>
        <i x="143" s="1" nd="1"/>
        <i x="138" s="1" nd="1"/>
        <i x="613" s="1" nd="1"/>
        <i x="580" s="1" nd="1"/>
        <i x="653" s="1" nd="1"/>
        <i x="77" s="1" nd="1"/>
        <i x="454" s="1" nd="1"/>
        <i x="188" s="1" nd="1"/>
        <i x="251" s="1" nd="1"/>
        <i x="43" s="1" nd="1"/>
        <i x="398" s="1" nd="1"/>
        <i x="363" s="1" nd="1"/>
        <i x="568" s="1" nd="1"/>
        <i x="122" s="1" nd="1"/>
        <i x="27" s="1" nd="1"/>
        <i x="535" s="1" nd="1"/>
        <i x="184" s="1" nd="1"/>
        <i x="15" s="1" nd="1"/>
        <i x="157" s="1" nd="1"/>
        <i x="210" s="1" nd="1"/>
        <i x="619" s="1" nd="1"/>
        <i x="199" s="1" nd="1"/>
        <i x="253" s="1" nd="1"/>
        <i x="625" s="1" nd="1"/>
        <i x="458" s="1" nd="1"/>
        <i x="717" s="1" nd="1"/>
        <i x="87" s="1" nd="1"/>
        <i x="69" s="1" nd="1"/>
        <i x="378" s="1" nd="1"/>
        <i x="635" s="1" nd="1"/>
        <i x="85" s="1" nd="1"/>
        <i x="224" s="1" nd="1"/>
        <i x="10" s="1" nd="1"/>
        <i x="687" s="1" nd="1"/>
        <i x="698" s="1" nd="1"/>
        <i x="59" s="1" nd="1"/>
        <i x="539" s="1" nd="1"/>
        <i x="204" s="1" nd="1"/>
        <i x="13" s="1" nd="1"/>
        <i x="527" s="1" nd="1"/>
        <i x="76" s="1" nd="1"/>
        <i x="422" s="1" nd="1"/>
        <i x="444" s="1" nd="1"/>
        <i x="93" s="1" nd="1"/>
        <i x="478" s="1" nd="1"/>
        <i x="273" s="1" nd="1"/>
        <i x="709" s="1" nd="1"/>
        <i x="65" s="1" nd="1"/>
        <i x="102" s="1" nd="1"/>
        <i x="292" s="1" nd="1"/>
        <i x="710" s="1" nd="1"/>
        <i x="19" s="1" nd="1"/>
        <i x="651" s="1" nd="1"/>
        <i x="474" s="1" nd="1"/>
        <i x="493" s="1" nd="1"/>
        <i x="376" s="1" nd="1"/>
        <i x="53" s="1" nd="1"/>
        <i x="82" s="1" nd="1"/>
        <i x="313" s="1" nd="1"/>
        <i x="100" s="1" nd="1"/>
        <i x="685" s="1" nd="1"/>
        <i x="675" s="1" nd="1"/>
        <i x="135" s="1" nd="1"/>
        <i x="624" s="1" nd="1"/>
        <i x="114" s="1" nd="1"/>
        <i x="581" s="1" nd="1"/>
        <i x="34" s="1" nd="1"/>
        <i x="592" s="1" nd="1"/>
        <i x="133" s="1" nd="1"/>
        <i x="330" s="1" nd="1"/>
        <i x="264" s="1" nd="1"/>
        <i x="16" s="1" nd="1"/>
        <i x="89" s="1" nd="1"/>
        <i x="680" s="1" nd="1"/>
        <i x="601" s="1" nd="1"/>
        <i x="413" s="1" nd="1"/>
        <i x="118" s="1" nd="1"/>
        <i x="668" s="1" nd="1"/>
        <i x="334" s="1" nd="1"/>
        <i x="721" s="1" nd="1"/>
        <i x="318" s="1" nd="1"/>
        <i x="531" s="1" nd="1"/>
        <i x="559" s="1" nd="1"/>
        <i x="408" s="1" nd="1"/>
        <i x="153" s="1" nd="1"/>
        <i x="682" s="1" nd="1"/>
        <i x="679" s="1" nd="1"/>
        <i x="554" s="1" nd="1"/>
        <i x="31" s="1" nd="1"/>
        <i x="382" s="1" nd="1"/>
        <i x="137" s="1" nd="1"/>
        <i x="691" s="1" nd="1"/>
        <i x="169" s="1" nd="1"/>
        <i x="20" s="1" nd="1"/>
        <i x="578" s="1" nd="1"/>
        <i x="688" s="1" nd="1"/>
        <i x="119" s="1" nd="1"/>
        <i x="701" s="1" nd="1"/>
        <i x="390" s="1" nd="1"/>
        <i x="178" s="1" nd="1"/>
        <i x="105" s="1" nd="1"/>
        <i x="704" s="1" nd="1"/>
        <i x="319" s="1" nd="1"/>
        <i x="534" s="1" nd="1"/>
        <i x="70" s="1" nd="1"/>
        <i x="312" s="1" nd="1"/>
        <i x="229" s="1" nd="1"/>
        <i x="295" s="1" nd="1"/>
        <i x="606" s="1" nd="1"/>
        <i x="83" s="1" nd="1"/>
        <i x="360" s="1" nd="1"/>
        <i x="92" s="1" nd="1"/>
        <i x="562" s="1" nd="1"/>
        <i x="144" s="1" nd="1"/>
        <i x="28" s="1" nd="1"/>
        <i x="597" s="1" nd="1"/>
        <i x="621" s="1" nd="1"/>
        <i x="615" s="1" nd="1"/>
        <i x="476" s="1" nd="1"/>
        <i x="598" s="1" nd="1"/>
        <i x="544" s="1" nd="1"/>
        <i x="521" s="1" nd="1"/>
        <i x="55" s="1" nd="1"/>
        <i x="41" s="1" nd="1"/>
        <i x="599" s="1" nd="1"/>
        <i x="356" s="1" nd="1"/>
        <i x="418" s="1" nd="1"/>
        <i x="103" s="1" nd="1"/>
        <i x="42" s="1" nd="1"/>
        <i x="332" s="1" nd="1"/>
        <i x="713" s="1" nd="1"/>
        <i x="239" s="1" nd="1"/>
        <i x="658" s="1" nd="1"/>
        <i x="529" s="1" nd="1"/>
        <i x="233" s="1" nd="1"/>
        <i x="711" s="1" nd="1"/>
        <i x="678" s="1" nd="1"/>
        <i x="648" s="1" nd="1"/>
        <i x="558" s="1" nd="1"/>
        <i x="36" s="1" nd="1"/>
        <i x="697" s="1" nd="1"/>
        <i x="211" s="1" nd="1"/>
        <i x="346" s="1" nd="1"/>
        <i x="626" s="1" nd="1"/>
        <i x="141" s="1" nd="1"/>
        <i x="274" s="1" nd="1"/>
        <i x="328" s="1" nd="1"/>
        <i x="379" s="1" nd="1"/>
        <i x="503" s="1" nd="1"/>
        <i x="528" s="1" nd="1"/>
        <i x="609" s="1" nd="1"/>
        <i x="21" s="1" nd="1"/>
        <i x="502" s="1" nd="1"/>
        <i x="533" s="1" nd="1"/>
        <i x="439" s="1" nd="1"/>
        <i x="515" s="1" nd="1"/>
        <i x="630" s="1" nd="1"/>
        <i x="74" s="1" nd="1"/>
        <i x="555" s="1" nd="1"/>
        <i x="618" s="1" nd="1"/>
        <i x="325" s="1" nd="1"/>
        <i x="151" s="1" nd="1"/>
        <i x="465" s="1" nd="1"/>
        <i x="566" s="1" nd="1"/>
        <i x="176" s="1" nd="1"/>
        <i x="275" s="1" nd="1"/>
        <i x="305" s="1" nd="1"/>
        <i x="50" s="1" nd="1"/>
        <i x="269" s="1" nd="1"/>
        <i x="64" s="1" nd="1"/>
        <i x="543" s="1" nd="1"/>
        <i x="510" s="1" nd="1"/>
        <i x="560" s="1" nd="1"/>
        <i x="182" s="1" nd="1"/>
        <i x="671" s="1" nd="1"/>
        <i x="567" s="1" nd="1"/>
        <i x="495" s="1" nd="1"/>
        <i x="500" s="1" nd="1"/>
        <i x="636" s="1" nd="1"/>
        <i x="174" s="1" nd="1"/>
        <i x="277" s="1" nd="1"/>
        <i x="437" s="1" nd="1"/>
        <i x="155" s="1" nd="1"/>
        <i x="338" s="1" nd="1"/>
        <i x="40" s="1" nd="1"/>
        <i x="548" s="1" nd="1"/>
        <i x="573" s="1" nd="1"/>
        <i x="316" s="1" nd="1"/>
        <i x="629" s="1" nd="1"/>
        <i x="202" s="1" nd="1"/>
        <i x="724" s="1" nd="1"/>
        <i x="483" s="1" nd="1"/>
        <i x="120" s="1" nd="1"/>
        <i x="97" s="1" nd="1"/>
        <i x="718" s="1" nd="1"/>
        <i x="302" s="1" nd="1"/>
        <i x="320" s="1" nd="1"/>
        <i x="306" s="1" nd="1"/>
        <i x="282" s="1" nd="1"/>
        <i x="690" s="1" nd="1"/>
        <i x="728" s="1" nd="1"/>
        <i x="243" s="1" nd="1"/>
        <i x="730" s="1" nd="1"/>
        <i x="374" s="1" nd="1"/>
        <i x="386" s="1" nd="1"/>
        <i x="522" s="1" nd="1"/>
        <i x="32" s="1" nd="1"/>
        <i x="61" s="1" nd="1"/>
        <i x="441" s="1" nd="1"/>
        <i x="8" s="1" nd="1"/>
        <i x="44" s="1" nd="1"/>
        <i x="620" s="1" nd="1"/>
        <i x="267" s="1" nd="1"/>
        <i x="734" s="1" nd="1"/>
        <i x="56" s="1" nd="1"/>
        <i x="614" s="1" nd="1"/>
        <i x="556" s="1" nd="1"/>
        <i x="51" s="1" nd="1"/>
        <i x="436" s="1" nd="1"/>
        <i x="399" s="1" nd="1"/>
        <i x="186" s="1" nd="1"/>
        <i x="226" s="1" nd="1"/>
        <i x="725" s="1" nd="1"/>
        <i x="643" s="1" nd="1"/>
        <i x="134" s="1" nd="1"/>
        <i x="145" s="1" nd="1"/>
        <i x="576" s="1" nd="1"/>
        <i x="106" s="1" nd="1"/>
        <i x="565" s="1" nd="1"/>
        <i x="571" s="1" nd="1"/>
        <i x="33" s="1" nd="1"/>
        <i x="310" s="1" nd="1"/>
        <i x="462" s="1" nd="1"/>
        <i x="9" s="1" nd="1"/>
        <i x="221" s="1" nd="1"/>
        <i x="631" s="1" nd="1"/>
        <i x="95" s="1" nd="1"/>
        <i x="146" s="1" nd="1"/>
        <i x="715" s="1" nd="1"/>
        <i x="722" s="1" nd="1"/>
        <i x="279" s="1" nd="1"/>
        <i x="525" s="1" nd="1"/>
        <i x="192" s="1" nd="1"/>
        <i x="574" s="1" nd="1"/>
        <i x="111" s="1" nd="1"/>
        <i x="645" s="1" nd="1"/>
        <i x="587" s="1" nd="1"/>
        <i x="268" s="1" nd="1"/>
        <i x="147" s="1" nd="1"/>
        <i x="732" s="1" nd="1"/>
        <i x="350" s="1" nd="1"/>
        <i x="39" s="1" nd="1"/>
        <i x="5" s="1" nd="1"/>
        <i x="26" s="1" nd="1"/>
        <i x="156" s="1" nd="1"/>
        <i x="659" s="1" nd="1"/>
        <i x="735" s="1" nd="1"/>
        <i x="589" s="1" nd="1"/>
        <i x="617" s="1" nd="1"/>
        <i x="88" s="1" nd="1"/>
        <i x="729" s="1" nd="1"/>
        <i x="261" s="1" nd="1"/>
        <i x="18" s="1" nd="1"/>
        <i x="640" s="1" nd="1"/>
        <i x="547" s="1" nd="1"/>
        <i x="692" s="1" nd="1"/>
        <i x="272" s="1" nd="1"/>
        <i x="336" s="1" nd="1"/>
        <i x="161" s="1" nd="1"/>
        <i x="343" s="1" nd="1"/>
        <i x="660" s="1" nd="1"/>
        <i x="657" s="1" nd="1"/>
        <i x="605" s="1" nd="1"/>
        <i x="414" s="1" nd="1"/>
        <i x="197" s="1" nd="1"/>
        <i x="639" s="1" nd="1"/>
        <i x="35" s="1" nd="1"/>
        <i x="508" s="1" nd="1"/>
        <i x="463" s="1" nd="1"/>
        <i x="80" s="1" nd="1"/>
        <i x="300" s="1" nd="1"/>
        <i x="90" s="1" nd="1"/>
        <i x="46" s="1" nd="1"/>
        <i x="694" s="1" nd="1"/>
        <i x="358" s="1" nd="1"/>
        <i x="337" s="1" nd="1"/>
        <i x="683" s="1" nd="1"/>
        <i x="212" s="1" nd="1"/>
        <i x="2" s="1" nd="1"/>
        <i x="126" s="1" nd="1"/>
        <i x="669" s="1" nd="1"/>
        <i x="201" s="1" nd="1"/>
        <i x="650" s="1" nd="1"/>
        <i x="24" s="1" nd="1"/>
        <i x="716" s="1" nd="1"/>
        <i x="220" s="1" nd="1"/>
        <i x="372" s="1" nd="1"/>
        <i x="538" s="1" nd="1"/>
        <i x="590" s="1" nd="1"/>
        <i x="136" s="1" nd="1"/>
        <i x="117" s="1" nd="1"/>
        <i x="563" s="1" nd="1"/>
        <i x="662" s="1" nd="1"/>
        <i x="557" s="1" nd="1"/>
        <i x="115" s="1" nd="1"/>
        <i x="646" s="1" nd="1"/>
        <i x="293" s="1" nd="1"/>
        <i x="249" s="1" nd="1"/>
        <i x="294" s="1" nd="1"/>
        <i x="260" s="1" nd="1"/>
        <i x="250" s="1" nd="1"/>
        <i x="262" s="1" nd="1"/>
        <i x="238" s="1" nd="1"/>
        <i x="296" s="1" nd="1"/>
        <i x="283" s="1" nd="1"/>
        <i x="303" s="1" nd="1"/>
        <i x="240" s="1" nd="1"/>
        <i x="297" s="1" nd="1"/>
        <i x="241" s="1" nd="1"/>
        <i x="298" s="1" nd="1"/>
        <i x="265" s="1" nd="1"/>
        <i x="242" s="1" nd="1"/>
        <i x="266" s="1" nd="1"/>
        <i x="244" s="1" nd="1"/>
        <i x="270" s="1" nd="1"/>
        <i x="11" s="1" nd="1"/>
        <i x="415" s="1" nd="1"/>
        <i x="375" s="1" nd="1"/>
        <i x="440" s="1" nd="1"/>
        <i x="442" s="1" nd="1"/>
        <i x="486" s="1" nd="1"/>
        <i x="445" s="1" nd="1"/>
        <i x="397" s="1" nd="1"/>
        <i x="487" s="1" nd="1"/>
        <i x="420" s="1" nd="1"/>
        <i x="488" s="1" nd="1"/>
        <i x="468" s="1" nd="1"/>
        <i x="421" s="1" nd="1"/>
        <i x="377" s="1" nd="1"/>
        <i x="489" s="1" nd="1"/>
        <i x="471" s="1" nd="1"/>
        <i x="449" s="1" nd="1"/>
        <i x="400" s="1" nd="1"/>
        <i x="423" s="1" nd="1"/>
        <i x="381" s="1" nd="1"/>
        <i x="505" s="1" nd="1"/>
        <i x="450" s="1" nd="1"/>
        <i x="424" s="1" nd="1"/>
        <i x="383" s="1" nd="1"/>
        <i x="507" s="1" nd="1"/>
        <i x="451" s="1" nd="1"/>
        <i x="425" s="1" nd="1"/>
        <i x="401" s="1" nd="1"/>
        <i x="364" s="1" nd="1"/>
        <i x="509" s="1" nd="1"/>
        <i x="492" s="1" nd="1"/>
        <i x="452" s="1" nd="1"/>
        <i x="426" s="1" nd="1"/>
        <i x="402" s="1" nd="1"/>
        <i x="365" s="1" nd="1"/>
        <i x="453" s="1" nd="1"/>
        <i x="428" s="1" nd="1"/>
        <i x="403" s="1" nd="1"/>
        <i x="384" s="1" nd="1"/>
        <i x="475" s="1" nd="1"/>
        <i x="430" s="1" nd="1"/>
        <i x="385" s="1" nd="1"/>
        <i x="494" s="1" nd="1"/>
        <i x="455" s="1" nd="1"/>
        <i x="405" s="1" nd="1"/>
        <i x="366" s="1" nd="1"/>
        <i x="511" s="1" nd="1"/>
        <i x="496" s="1" nd="1"/>
        <i x="456" s="1" nd="1"/>
        <i x="367" s="1" nd="1"/>
        <i x="512" s="1" nd="1"/>
        <i x="497" s="1" nd="1"/>
        <i x="457" s="1" nd="1"/>
        <i x="432" s="1" nd="1"/>
        <i x="406" s="1" nd="1"/>
        <i x="514" s="1" nd="1"/>
        <i x="498" s="1" nd="1"/>
        <i x="433" s="1" nd="1"/>
        <i x="387" s="1" nd="1"/>
        <i x="368" s="1" nd="1"/>
        <i x="499" s="1" nd="1"/>
        <i x="434" s="1" nd="1"/>
        <i x="409" s="1" nd="1"/>
        <i x="388" s="1" nd="1"/>
        <i x="369" s="1" nd="1"/>
        <i x="410" s="1" nd="1"/>
        <i x="370" s="1" nd="1"/>
        <i x="460" s="1" nd="1"/>
        <i x="516" s="1" nd="1"/>
        <i x="461" s="1" nd="1"/>
        <i x="412" s="1" nd="1"/>
        <i x="391" s="1" nd="1"/>
        <i x="501" s="1" nd="1"/>
        <i x="517" s="1" nd="1"/>
        <i x="519" s="1" nd="1"/>
        <i x="443" s="1" nd="1"/>
        <i x="448" s="1" nd="1"/>
        <i x="484" s="1" nd="1"/>
        <i x="469" s="1" nd="1"/>
        <i x="216" s="1" nd="1"/>
        <i x="217" s="1" nd="1"/>
        <i x="180" s="1" nd="1"/>
        <i x="172" s="1" nd="1"/>
        <i x="234" s="1" nd="1"/>
        <i x="218" s="1" nd="1"/>
        <i x="235" s="1" nd="1"/>
        <i x="205" s="1" nd="1"/>
        <i x="160" s="1" nd="1"/>
        <i x="236" s="1" nd="1"/>
        <i x="219" s="1" nd="1"/>
        <i x="183" s="1" nd="1"/>
        <i x="173" s="1" nd="1"/>
        <i x="162" s="1" nd="1"/>
        <i x="237" s="1" nd="1"/>
        <i x="206" s="1" nd="1"/>
        <i x="185" s="1" nd="1"/>
        <i x="163" s="1" nd="1"/>
        <i x="175" s="1" nd="1"/>
        <i x="164" s="1" nd="1"/>
        <i x="177" s="1" nd="1"/>
        <i x="200"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988">
        <i x="245" s="1" nd="1"/>
        <i x="724" s="1" nd="1"/>
        <i x="91" s="1" nd="1"/>
        <i x="314" s="1" nd="1"/>
        <i x="68" s="1" nd="1"/>
        <i x="298" s="1" nd="1"/>
        <i x="539" s="1" nd="1"/>
        <i x="791" s="1" nd="1"/>
        <i x="175" s="1" nd="1"/>
        <i x="744" s="1" nd="1"/>
        <i x="461" s="1" nd="1"/>
        <i x="97" s="1" nd="1"/>
        <i x="563" s="1" nd="1"/>
        <i x="815" s="1" nd="1"/>
        <i x="930" s="1" nd="1"/>
        <i x="393" s="1" nd="1"/>
        <i x="150" s="1" nd="1"/>
        <i x="621" s="1" nd="1"/>
        <i x="489" s="1" nd="1"/>
        <i x="864" s="1" nd="1"/>
        <i x="776" s="1" nd="1"/>
        <i x="912" s="1" nd="1"/>
        <i x="697" s="1" nd="1"/>
        <i x="369" s="1" nd="1"/>
        <i x="541" s="1" nd="1"/>
        <i x="347" s="1" nd="1"/>
        <i x="465" s="1" nd="1"/>
        <i x="591" s="1" nd="1"/>
        <i x="840" s="1" nd="1"/>
        <i x="936" s="1" nd="1"/>
        <i x="10" s="1" nd="1"/>
        <i x="626" s="1" nd="1"/>
        <i x="825" s="1" nd="1"/>
        <i x="856" s="1" nd="1"/>
        <i x="113" s="1" nd="1"/>
        <i x="400" s="1" nd="1"/>
        <i x="432" s="1" nd="1"/>
        <i x="498" s="1" nd="1"/>
        <i x="522" s="1" nd="1"/>
        <i x="805" s="1" nd="1"/>
        <i x="903" s="1" nd="1"/>
        <i x="99" s="1" nd="1"/>
        <i x="325" s="1" nd="1"/>
        <i x="358" s="1" nd="1"/>
        <i x="416" s="1" nd="1"/>
        <i x="689" s="1" nd="1"/>
        <i x="950" s="1" nd="1"/>
        <i x="980" s="1" nd="1"/>
        <i x="111" s="1" nd="1"/>
        <i x="169" s="1" nd="1"/>
        <i x="364" s="1" nd="1"/>
        <i x="703" s="1" nd="1"/>
        <i x="900" s="1" nd="1"/>
        <i x="4" s="1" nd="1"/>
        <i x="98" s="1" nd="1"/>
        <i x="210" s="1" nd="1"/>
        <i x="507" s="1" nd="1"/>
        <i x="721" s="1" nd="1"/>
        <i x="818" s="1" nd="1"/>
        <i x="922" s="1" nd="1"/>
        <i x="43" s="1" nd="1"/>
        <i x="278" s="1" nd="1"/>
        <i x="339" s="1" nd="1"/>
        <i x="395" s="1" nd="1"/>
        <i x="739" s="1" nd="1"/>
        <i x="963" s="1" nd="1"/>
        <i x="208" s="1" nd="1"/>
        <i x="238" s="1" nd="1"/>
        <i x="414" s="1" nd="1"/>
        <i x="560" s="1" nd="1"/>
        <i x="683" s="1" nd="1"/>
        <i x="784" s="1" nd="1"/>
        <i x="850" s="1" nd="1"/>
        <i x="915" s="1" nd="1"/>
        <i x="946" s="1" nd="1"/>
        <i x="975" s="1" nd="1"/>
        <i x="108" s="1" nd="1"/>
        <i x="275" s="1" nd="1"/>
        <i x="303" s="1" nd="1"/>
        <i x="763" s="1" nd="1"/>
        <i x="797" s="1" nd="1"/>
        <i x="106" s="1" nd="1"/>
        <i x="151" s="1" nd="1"/>
        <i x="272" s="1" nd="1"/>
        <i x="290" s="1" nd="1"/>
        <i x="360" s="1" nd="1"/>
        <i x="411" s="1" nd="1"/>
        <i x="427" s="1" nd="1"/>
        <i x="660" s="1" nd="1"/>
        <i x="737" s="1" nd="1"/>
        <i x="846" s="1" nd="1"/>
        <i x="960" s="1" nd="1"/>
        <i x="972" s="1" nd="1"/>
        <i x="13" s="1" nd="1"/>
        <i x="78" s="1" nd="1"/>
        <i x="220" s="1" nd="1"/>
        <i x="315" s="1" nd="1"/>
        <i x="350" s="1" nd="1"/>
        <i x="424" s="1" nd="1"/>
        <i x="503" s="1" nd="1"/>
        <i x="528" s="1" nd="1"/>
        <i x="659" s="1" nd="1"/>
        <i x="778" s="1" nd="1"/>
        <i x="121" s="1" nd="1"/>
        <i x="235" s="1" nd="1"/>
        <i x="250" s="1" nd="1"/>
        <i x="333" s="1" nd="1"/>
        <i x="408" s="1" nd="1"/>
        <i x="542" s="1" nd="1"/>
        <i x="681" s="1" nd="1"/>
        <i x="713" s="1" nd="1"/>
        <i x="830" s="1" nd="1"/>
        <i x="940" s="1" nd="1"/>
        <i x="39" s="1" nd="1"/>
        <i x="75" s="1" nd="1"/>
        <i x="268" s="1" nd="1"/>
        <i x="287" s="1" nd="1"/>
        <i x="331" s="1" nd="1"/>
        <i x="617" s="1" nd="1"/>
        <i x="760" s="1" nd="1"/>
        <i x="775" s="1" nd="1"/>
        <i x="829" s="1" nd="1"/>
        <i x="842" s="1" nd="1"/>
        <i x="93" s="1" nd="1"/>
        <i x="132" s="1" nd="1"/>
        <i x="162" s="1" nd="1"/>
        <i x="179" s="1" nd="1"/>
        <i x="203" s="1" nd="1"/>
        <i x="285" s="1" nd="1"/>
        <i x="329" s="1" nd="1"/>
        <i x="615" s="1" nd="1"/>
        <i x="696" s="1" nd="1"/>
        <i x="793" s="1" nd="1"/>
        <i x="909" s="1" nd="1"/>
        <i x="957" s="1" nd="1"/>
        <i x="71" s="1" nd="1"/>
        <i x="201" s="1" nd="1"/>
        <i x="218" s="1" nd="1"/>
        <i x="232" s="1" nd="1"/>
        <i x="248" s="1" nd="1"/>
        <i x="267" s="1" nd="1"/>
        <i x="328" s="1" nd="1"/>
        <i x="368" s="1" nd="1"/>
        <i x="571" s="1" nd="1"/>
        <i x="628" s="1" nd="1"/>
        <i x="709" s="1" nd="1"/>
        <i x="730" s="1" nd="1"/>
        <i x="772" s="1" nd="1"/>
        <i x="807" s="1" nd="1"/>
        <i x="907" s="1" nd="1"/>
        <i x="926" s="1" nd="1"/>
        <i x="89" s="1" nd="1"/>
        <i x="104" s="1" nd="1"/>
        <i x="119" s="1" nd="1"/>
        <i x="144" s="1" nd="1"/>
        <i x="187" s="1" nd="1"/>
        <i x="217" s="1" nd="1"/>
        <i x="327" s="1" nd="1"/>
        <i x="403" s="1" nd="1"/>
        <i x="466" s="1" nd="1"/>
        <i x="540" s="1" nd="1"/>
        <i x="604" s="1" nd="1"/>
        <i x="612" s="1" nd="1"/>
        <i x="675" s="1" nd="1"/>
        <i x="749" s="1" nd="1"/>
        <i x="806" s="1" nd="1"/>
        <i x="841" s="1" nd="1"/>
        <i x="876" s="1" nd="1"/>
        <i x="937" s="1" nd="1"/>
        <i x="969" s="1" nd="1"/>
        <i x="116" s="1" nd="1"/>
        <i x="199" s="1" nd="1"/>
        <i x="215" s="1" nd="1"/>
        <i x="483" s="1" nd="1"/>
        <i x="500" s="1" nd="1"/>
        <i x="102" s="1" nd="1"/>
        <i x="590" s="1" nd="1"/>
        <i x="115" s="1" nd="1"/>
        <i x="603" s="1" nd="1"/>
        <i x="143" s="1" nd="1"/>
        <i x="638" s="1" nd="1"/>
        <i x="654" s="1" nd="1"/>
        <i x="186" s="1" nd="1"/>
        <i x="673" s="1" nd="1"/>
        <i x="694" s="1" nd="1"/>
        <i x="401" s="1" nd="1"/>
        <i x="482" s="1" nd="1"/>
        <i x="499" s="1" nd="1"/>
        <i x="524" s="1" nd="1"/>
        <i x="536" s="1" nd="1"/>
        <i x="67" s="1" nd="1"/>
        <i x="555" s="1" nd="1"/>
        <i x="569" s="1" nd="1"/>
        <i x="588" s="1" nd="1"/>
        <i x="173" s="1" nd="1"/>
        <i x="653" s="1" nd="1"/>
        <i x="747" s="1" nd="1"/>
        <i x="346" s="1" nd="1"/>
        <i x="887" s="1" nd="1"/>
        <i x="953" s="1" nd="1"/>
        <i x="448" s="1" nd="1"/>
        <i x="968" s="1" nd="1"/>
        <i x="36" s="1" nd="1"/>
        <i x="553" s="1" nd="1"/>
        <i x="114" s="1" nd="1"/>
        <i x="601" s="1" nd="1"/>
        <i x="198" s="1" nd="1"/>
        <i x="214" s="1" nd="1"/>
        <i x="728" s="1" nd="1"/>
        <i x="282" s="1" nd="1"/>
        <i x="789" s="1" nd="1"/>
        <i x="905" s="1" nd="1"/>
        <i x="418" s="1" nd="1"/>
        <i x="447" s="1" nd="1"/>
        <i x="983" s="1" nd="1"/>
        <i x="481" s="1" nd="1"/>
        <i x="86" s="1" nd="1"/>
        <i x="600" s="1" nd="1"/>
        <i x="652" s="1" nd="1"/>
        <i x="727" s="1" nd="1"/>
        <i x="788" s="1" nd="1"/>
        <i x="296" s="1" nd="1"/>
        <i x="311" s="1" nd="1"/>
        <i x="823" s="1" nd="1"/>
        <i x="904" s="1" nd="1"/>
        <i x="8" s="1" nd="1"/>
        <i x="51" s="1" nd="1"/>
        <i x="552" s="1" nd="1"/>
        <i x="84" s="1" nd="1"/>
        <i x="599" s="1" nd="1"/>
        <i x="141" s="1" nd="1"/>
        <i x="171" s="1" nd="1"/>
        <i x="257" s="1" nd="1"/>
        <i x="769" s="1" nd="1"/>
        <i x="281" s="1" nd="1"/>
        <i x="981" s="1" nd="1"/>
        <i x="7" s="1" nd="1"/>
        <i x="509" s="1" nd="1"/>
        <i x="32" s="1" nd="1"/>
        <i x="64" s="1" nd="1"/>
        <i x="651" s="1" nd="1"/>
        <i x="212" s="1" nd="1"/>
        <i x="743" s="1" nd="1"/>
        <i x="756" s="1" nd="1"/>
        <i x="822" s="1" nd="1"/>
        <i x="838" s="1" nd="1"/>
        <i x="342" s="1" nd="1"/>
        <i x="854" s="1" nd="1"/>
        <i x="357" s="1" nd="1"/>
        <i x="462" s="1" nd="1"/>
        <i x="6" s="1" nd="1"/>
        <i x="49" s="1" nd="1"/>
        <i x="128" s="1" nd="1"/>
        <i x="140" s="1" nd="1"/>
        <i x="688" s="1" nd="1"/>
        <i x="820" s="1" nd="1"/>
        <i x="365" s="1" nd="1"/>
        <i x="397" s="1" nd="1"/>
        <i x="935" s="1" nd="1"/>
        <i x="444" s="1" nd="1"/>
        <i x="508" s="1" nd="1"/>
        <i x="30" s="1" nd="1"/>
        <i x="47" s="1" nd="1"/>
        <i x="598" s="1" nd="1"/>
        <i x="154" s="1" nd="1"/>
        <i x="649" s="1" nd="1"/>
        <i x="230" s="1" nd="1"/>
        <i x="244" s="1" nd="1"/>
        <i x="742" s="1" nd="1"/>
        <i x="255" s="1" nd="1"/>
        <i x="801" s="1" nd="1"/>
        <i x="308" s="1" nd="1"/>
        <i x="323" s="1" nd="1"/>
        <i x="837" s="1" nd="1"/>
        <i x="872" s="1" nd="1"/>
        <i x="381" s="1" nd="1"/>
        <i x="948" s="1" nd="1"/>
        <i x="533" s="1" nd="1"/>
        <i x="63" s="1" nd="1"/>
        <i x="127" s="1" nd="1"/>
        <i x="609" s="1" nd="1"/>
        <i x="624" s="1" nd="1"/>
        <i x="648" s="1" nd="1"/>
        <i x="668" s="1" nd="1"/>
        <i x="195" s="1" nd="1"/>
        <i x="754" s="1" nd="1"/>
        <i x="800" s="1" nd="1"/>
        <i x="924" s="1" nd="1"/>
        <i x="415" s="1" nd="1"/>
        <i x="934" s="1" nd="1"/>
        <i x="520" s="1" nd="1"/>
        <i x="82" s="1" nd="1"/>
        <i x="126" s="1" nd="1"/>
        <i x="634" s="1" nd="1"/>
        <i x="167" s="1" nd="1"/>
        <i x="686" s="1" nd="1"/>
        <i x="722" s="1" nd="1"/>
        <i x="293" s="1" nd="1"/>
        <i x="306" s="1" nd="1"/>
        <i x="354" s="1" nd="1"/>
        <i x="379" s="1" nd="1"/>
        <i x="923" s="1" nd="1"/>
        <i x="965" s="1" nd="1"/>
        <i x="476" s="1" nd="1"/>
        <i x="2" s="1" nd="1"/>
        <i x="18" s="1" nd="1"/>
        <i x="518" s="1" nd="1"/>
        <i x="564" s="1" nd="1"/>
        <i x="597" s="1" nd="1"/>
        <i x="607" s="1" nd="1"/>
        <i x="666" s="1" nd="1"/>
        <i x="685" s="1" nd="1"/>
        <i x="701" s="1" nd="1"/>
        <i x="766" s="1" nd="1"/>
        <i x="279" s="1" nd="1"/>
        <i x="799" s="1" nd="1"/>
        <i x="816" s="1" nd="1"/>
        <i x="377" s="1" nd="1"/>
        <i x="494" s="1" nd="1"/>
        <i x="60" s="1" nd="1"/>
        <i x="580" s="1" nd="1"/>
        <i x="632" s="1" nd="1"/>
        <i x="240" s="1" nd="1"/>
        <i x="253" s="1" nd="1"/>
        <i x="292" s="1" nd="1"/>
        <i x="321" s="1" nd="1"/>
        <i x="361" s="1" nd="1"/>
        <i x="376" s="1" nd="1"/>
        <i x="459" s="1" nd="1"/>
        <i x="977" s="1" nd="1"/>
        <i x="125" s="1" nd="1"/>
        <i x="136" s="1" nd="1"/>
        <i x="622" s="1" nd="1"/>
        <i x="239" s="1" nd="1"/>
        <i x="765" s="1" nd="1"/>
        <i x="277" s="1" nd="1"/>
        <i x="813" s="1" nd="1"/>
        <i x="319" s="1" nd="1"/>
        <i x="337" s="1" nd="1"/>
        <i x="918" s="1" nd="1"/>
        <i x="931" s="1" nd="1"/>
        <i x="962" s="1" nd="1"/>
        <i x="28" s="1" nd="1"/>
        <i x="579" s="1" nd="1"/>
        <i x="165" s="1" nd="1"/>
        <i x="262" s="1" nd="1"/>
        <i x="304" s="1" nd="1"/>
        <i x="317" s="1" nd="1"/>
        <i x="851" s="1" nd="1"/>
        <i x="916" s="1" nd="1"/>
        <i x="413" s="1" nd="1"/>
        <i x="440" s="1" nd="1"/>
        <i x="457" s="1" nd="1"/>
        <i x="474" s="1" nd="1"/>
        <i x="504" s="1" nd="1"/>
        <i x="41" s="1" nd="1"/>
        <i x="578" s="1" nd="1"/>
        <i x="124" s="1" nd="1"/>
        <i x="605" s="1" nd="1"/>
        <i x="182" s="1" nd="1"/>
        <i x="665" s="1" nd="1"/>
        <i x="192" s="1" nd="1"/>
        <i x="206" s="1" nd="1"/>
        <i x="782" s="1" nd="1"/>
        <i x="849" s="1" nd="1"/>
        <i x="867" s="1" nd="1"/>
        <i x="412" s="1" nd="1"/>
        <i x="14" s="1" nd="1"/>
        <i x="27" s="1" nd="1"/>
        <i x="40" s="1" nd="1"/>
        <i x="530" s="1" nd="1"/>
        <i x="546" s="1" nd="1"/>
        <i x="577" s="1" nd="1"/>
        <i x="107" s="1" nd="1"/>
        <i x="123" s="1" nd="1"/>
        <i x="644" s="1" nd="1"/>
        <i x="663" s="1" nd="1"/>
        <i x="717" s="1" nd="1"/>
        <i x="273" s="1" nd="1"/>
        <i x="291" s="1" nd="1"/>
        <i x="302" s="1" nd="1"/>
        <i x="848" s="1" nd="1"/>
        <i x="160" s="1" nd="1"/>
        <i x="439" s="1" nd="1"/>
        <i x="456" s="1" nd="1"/>
        <i x="529" s="1" nd="1"/>
        <i x="826" s="1" nd="1"/>
        <i x="576" s="1" nd="1"/>
        <i x="596" s="1" nd="1"/>
        <i x="857" s="1" nd="1"/>
        <i x="889" s="1" nd="1"/>
        <i x="383" s="1" nd="1"/>
        <i x="402" s="1" nd="1"/>
        <i x="662" s="1" nd="1"/>
        <i x="190" s="1" nd="1"/>
        <i x="955" s="1" nd="1"/>
        <i x="449" s="1" nd="1"/>
        <i x="223" s="1" nd="1"/>
        <i x="464" s="1" nd="1"/>
        <i x="236" s="1" nd="1"/>
        <i x="738" s="1" nd="1"/>
        <i x="9" s="1" nd="1"/>
        <i x="23" s="1" nd="1"/>
        <i x="510" s="1" nd="1"/>
        <i x="537" s="1" nd="1"/>
        <i x="796" s="1" nd="1"/>
        <i x="811" s="1" nd="1"/>
        <i x="833" s="1" nd="1"/>
        <i x="101" s="1" nd="1"/>
        <i x="589" s="1" nd="1"/>
        <i x="159" s="1" nd="1"/>
        <i x="392" s="1" nd="1"/>
        <i x="943" s="1" nd="1"/>
        <i x="438" s="1" nd="1"/>
        <i x="693" s="1" nd="1"/>
        <i x="973" s="1" nd="1"/>
        <i x="473" s="1" nd="1"/>
        <i x="283" s="1" nd="1"/>
        <i x="58" s="1" nd="1"/>
        <i x="79" s="1" nd="1"/>
        <i x="575" s="1" nd="1"/>
        <i x="839" s="1" nd="1"/>
        <i x="595" s="1" nd="1"/>
        <i x="888" s="1" nd="1"/>
        <i x="420" s="1" nd="1"/>
        <i x="661" s="1" nd="1"/>
        <i x="189" s="1" nd="1"/>
        <i x="954" s="1" nd="1"/>
        <i x="222" s="1" nd="1"/>
        <i x="716" s="1" nd="1"/>
        <i x="22" s="1" nd="1"/>
        <i x="523" s="1" nd="1"/>
        <i x="780" s="1" nd="1"/>
        <i x="289" s="1" nd="1"/>
        <i x="535" s="1" nd="1"/>
        <i x="66" s="1" nd="1"/>
        <i x="554" s="1" nd="1"/>
        <i x="316" s="1" nd="1"/>
        <i x="587" s="1" nd="1"/>
        <i x="847" s="1" nd="1"/>
        <i x="351" s="1" nd="1"/>
        <i x="602" s="1" nd="1"/>
        <i x="374" s="1" nd="1"/>
        <i x="625" s="1" nd="1"/>
        <i x="895" s="1" nd="1"/>
        <i x="172" s="1" nd="1"/>
        <i x="426" s="1" nd="1"/>
        <i x="672" s="1" nd="1"/>
        <i x="942" s="1" nd="1"/>
        <i x="692" s="1" nd="1"/>
        <i x="961" s="1" nd="1"/>
        <i x="491" s="1" nd="1"/>
        <i x="746" s="1" nd="1"/>
        <i x="545" s="1" nd="1"/>
        <i x="312" s="1" nd="1"/>
        <i x="559" s="1" nd="1"/>
        <i x="824" s="1" nd="1"/>
        <i x="326" s="1" nd="1"/>
        <i x="345" s="1" nd="1"/>
        <i x="874" s="1" nd="1"/>
        <i x="135" s="1" nd="1"/>
        <i x="886" s="1" nd="1"/>
        <i x="631" s="1" nd="1"/>
        <i x="906" s="1" nd="1"/>
        <i x="164" s="1" nd="1"/>
        <i x="643" s="1" nd="1"/>
        <i x="419" s="1" nd="1"/>
        <i x="952" s="1" nd="1"/>
        <i x="204" s="1" nd="1"/>
        <i x="221" s="1" nd="1"/>
        <i x="715" s="1" nd="1"/>
        <i x="21" s="1" nd="1"/>
        <i x="35" s="1" nd="1"/>
        <i x="795" s="1" nd="1"/>
        <i x="301" s="1" nd="1"/>
        <i x="87" s="1" nd="1"/>
        <i x="568" s="1" nd="1"/>
        <i x="832" s="1" nd="1"/>
        <i x="100" s="1" nd="1"/>
        <i x="335" s="1" nd="1"/>
        <i x="610" s="1" nd="1"/>
        <i x="373" s="1" nd="1"/>
        <i x="391" s="1" nd="1"/>
        <i x="929" s="1" nd="1"/>
        <i x="185" s="1" nd="1"/>
        <i x="425" s="1" nd="1"/>
        <i x="941" s="1" nd="1"/>
        <i x="437" s="1" nd="1"/>
        <i x="959" s="1" nd="1"/>
        <i x="472" s="1" nd="1"/>
        <i x="490" s="1" nd="1"/>
        <i x="745" s="1" nd="1"/>
        <i x="26" s="1" nd="1"/>
        <i x="544" s="1" nd="1"/>
        <i x="344" s="1" nd="1"/>
        <i x="855" s="1" nd="1"/>
        <i x="122" s="1" nd="1"/>
        <i x="873" s="1" nd="1"/>
        <i x="620" s="1" nd="1"/>
        <i x="885" s="1" nd="1"/>
        <i x="149" s="1" nd="1"/>
        <i x="417" s="1" nd="1"/>
        <i x="188" s="1" nd="1"/>
        <i x="480" s="1" nd="1"/>
        <i x="736" s="1" nd="1"/>
        <i x="762" s="1" nd="1"/>
        <i x="34" s="1" nd="1"/>
        <i x="271" s="1" nd="1"/>
        <i x="779" s="1" nd="1"/>
        <i x="52" s="1" nd="1"/>
        <i x="65" s="1" nd="1"/>
        <i x="85" s="1" nd="1"/>
        <i x="567" s="1" nd="1"/>
        <i x="831" s="1" nd="1"/>
        <i x="586" s="1" nd="1"/>
        <i x="866" s="1" nd="1"/>
        <i x="142" s="1" nd="1"/>
        <i x="372" s="1" nd="1"/>
        <i x="158" s="1" nd="1"/>
        <i x="390" s="1" nd="1"/>
        <i x="410" s="1" nd="1"/>
        <i x="928" s="1" nd="1"/>
        <i x="671" s="1" nd="1"/>
        <i x="691" s="1" nd="1"/>
        <i x="706" s="1" nd="1"/>
        <i x="231" s="1" nd="1"/>
        <i x="516" s="1" nd="1"/>
        <i x="770" s="1" nd="1"/>
        <i x="57" s="1" nd="1"/>
        <i x="295" s="1" nd="1"/>
        <i x="543" s="1" nd="1"/>
        <i x="804" s="1" nd="1"/>
        <i x="77" s="1" nd="1"/>
        <i x="558" s="1" nd="1"/>
        <i x="96" s="1" nd="1"/>
        <i x="343" s="1" nd="1"/>
        <i x="594" s="1" nd="1"/>
        <i x="884" s="1" nd="1"/>
        <i x="148" s="1" nd="1"/>
        <i x="382" s="1" nd="1"/>
        <i x="630" s="1" nd="1"/>
        <i x="902" s="1" nd="1"/>
        <i x="642" s="1" nd="1"/>
        <i x="925" s="1" nd="1"/>
        <i x="181" s="1" nd="1"/>
        <i x="699" s="1" nd="1"/>
        <i x="463" s="1" nd="1"/>
        <i x="982" s="1" nd="1"/>
        <i x="479" s="1" nd="1"/>
        <i x="251" s="1" nd="1"/>
        <i x="20" s="1" nd="1"/>
        <i x="261" s="1" nd="1"/>
        <i x="33" s="1" nd="1"/>
        <i x="270" s="1" nd="1"/>
        <i x="288" s="1" nd="1"/>
        <i x="83" s="1" nd="1"/>
        <i x="334" s="1" nd="1"/>
        <i x="585" s="1" nd="1"/>
        <i x="845" s="1" nd="1"/>
        <i x="865" s="1" nd="1"/>
        <i x="359" s="1" nd="1"/>
        <i x="157" s="1" nd="1"/>
        <i x="914" s="1" nd="1"/>
        <i x="170" s="1" nd="1"/>
        <i x="409" s="1" nd="1"/>
        <i x="423" s="1" nd="1"/>
        <i x="197" s="1" nd="1"/>
        <i x="436" s="1" nd="1"/>
        <i x="690" s="1" nd="1"/>
        <i x="958" s="1" nd="1"/>
        <i x="213" s="1" nd="1"/>
        <i x="455" s="1" nd="1"/>
        <i x="705" s="1" nd="1"/>
        <i x="971" s="1" nd="1"/>
        <i x="726" s="1" nd="1"/>
        <i x="987" s="1" nd="1"/>
        <i x="488" s="1" nd="1"/>
        <i x="515" s="1" nd="1"/>
        <i x="56" s="1" nd="1"/>
        <i x="310" s="1" nd="1"/>
        <i x="95" s="1" nd="1"/>
        <i x="134" s="1" nd="1"/>
        <i x="883" s="1" nd="1"/>
        <i x="163" s="1" nd="1"/>
        <i x="399" s="1" nd="1"/>
        <i x="431" s="1" nd="1"/>
        <i x="951" s="1" nd="1"/>
        <i x="446" s="1" nd="1"/>
        <i x="698" s="1" nd="1"/>
        <i x="967" s="1" nd="1"/>
        <i x="714" s="1" nd="1"/>
        <i x="234" s="1" nd="1"/>
        <i x="735" s="1" nd="1"/>
        <i x="497" s="1" nd="1"/>
        <i x="269" s="1" nd="1"/>
        <i x="50" s="1" nd="1"/>
        <i x="584" s="1" nd="1"/>
        <i x="112" s="1" nd="1"/>
        <i x="863" s="1" nd="1"/>
        <i x="894" s="1" nd="1"/>
        <i x="156" s="1" nd="1"/>
        <i x="389" s="1" nd="1"/>
        <i x="637" s="1" nd="1"/>
        <i x="422" s="1" nd="1"/>
        <i x="435" s="1" nd="1"/>
        <i x="211" s="1" nd="1"/>
        <i x="454" s="1" nd="1"/>
        <i x="704" s="1" nd="1"/>
        <i x="725" s="1" nd="1"/>
        <i x="246" s="1" nd="1"/>
        <i x="487" s="1" nd="1"/>
        <i x="755" s="1" nd="1"/>
        <i x="25" s="1" nd="1"/>
        <i x="266" s="1" nd="1"/>
        <i x="768" s="1" nd="1"/>
        <i x="803" s="1" nd="1"/>
        <i x="76" s="1" nd="1"/>
        <i x="309" s="1" nd="1"/>
        <i x="821" s="1" nd="1"/>
        <i x="94" s="1" nd="1"/>
        <i x="574" s="1" nd="1"/>
        <i x="341" s="1" nd="1"/>
        <i x="356" s="1" nd="1"/>
        <i x="366" s="1" nd="1"/>
        <i x="619" s="1" nd="1"/>
        <i x="882" s="1" nd="1"/>
        <i x="901" s="1" nd="1"/>
        <i x="398" s="1" nd="1"/>
        <i x="430" s="1" nd="1"/>
        <i x="445" s="1" nd="1"/>
        <i x="233" s="1" nd="1"/>
        <i x="478" s="1" nd="1"/>
        <i x="734" s="1" nd="1"/>
        <i x="496" s="1" nd="1"/>
        <i x="761" s="1" nd="1"/>
        <i x="31" s="1" nd="1"/>
        <i x="777" s="1" nd="1"/>
        <i x="48" s="1" nd="1"/>
        <i x="534" s="1" nd="1"/>
        <i x="810" s="1" nd="1"/>
        <i x="332" s="1" nd="1"/>
        <i x="583" s="1" nd="1"/>
        <i x="844" s="1" nd="1"/>
        <i x="862" s="1" nd="1"/>
        <i x="893" s="1" nd="1"/>
        <i x="155" s="1" nd="1"/>
        <i x="388" s="1" nd="1"/>
        <i x="636" s="1" nd="1"/>
        <i x="913" s="1" nd="1"/>
        <i x="168" s="1" nd="1"/>
        <i x="650" s="1" nd="1"/>
        <i x="184" s="1" nd="1"/>
        <i x="670" s="1" nd="1"/>
        <i x="196" s="1" nd="1"/>
        <i x="453" s="1" nd="1"/>
        <i x="471" s="1" nd="1"/>
        <i x="986" s="1" nd="1"/>
        <i x="256" s="1" nd="1"/>
        <i x="265" s="1" nd="1"/>
        <i x="294" s="1" nd="1"/>
        <i x="802" s="1" nd="1"/>
        <i x="74" s="1" nd="1"/>
        <i x="324" s="1" nd="1"/>
        <i x="593" s="1" nd="1"/>
        <i x="355" s="1" nd="1"/>
        <i x="133" s="1" nd="1"/>
        <i x="363" s="1" nd="1"/>
        <i x="618" s="1" nd="1"/>
        <i x="881" s="1" nd="1"/>
        <i x="658" s="1" nd="1"/>
        <i x="680" s="1" nd="1"/>
        <i x="949" s="1" nd="1"/>
        <i x="712" s="1" nd="1"/>
        <i x="5" s="1" nd="1"/>
        <i x="249" s="1" nd="1"/>
        <i x="521" s="1" nd="1"/>
        <i x="46" s="1" nd="1"/>
        <i x="300" s="1" nd="1"/>
        <i x="551" s="1" nd="1"/>
        <i x="566" s="1" nd="1"/>
        <i x="843" s="1" nd="1"/>
        <i x="349" s="1" nd="1"/>
        <i x="861" s="1" nd="1"/>
        <i x="371" s="1" nd="1"/>
        <i x="635" s="1" nd="1"/>
        <i x="407" s="1" nd="1"/>
        <i x="669" s="1" nd="1"/>
        <i x="434" s="1" nd="1"/>
        <i x="687" s="1" nd="1"/>
        <i x="229" s="1" nd="1"/>
        <i x="243" s="1" nd="1"/>
        <i x="502" s="1" nd="1"/>
        <i x="264" s="1" nd="1"/>
        <i x="514" s="1" nd="1"/>
        <i x="767" s="1" nd="1"/>
        <i x="527" s="1" nd="1"/>
        <i x="55" s="1" nd="1"/>
        <i x="73" s="1" nd="1"/>
        <i x="819" s="1" nd="1"/>
        <i x="573" s="1" nd="1"/>
        <i x="836" s="1" nd="1"/>
        <i x="105" s="1" nd="1"/>
        <i x="340" s="1" nd="1"/>
        <i x="147" s="1" nd="1"/>
        <i x="396" s="1" nd="1"/>
        <i x="180" s="1" nd="1"/>
        <i x="657" s="1" nd="1"/>
        <i x="679" s="1" nd="1"/>
        <i x="443" s="1" nd="1"/>
        <i x="966" s="1" nd="1"/>
        <i x="219" s="1" nd="1"/>
        <i x="460" s="1" nd="1"/>
        <i x="711" s="1" nd="1"/>
        <i x="19" s="1" nd="1"/>
        <i x="260" s="1" nd="1"/>
        <i x="45" s="1" nd="1"/>
        <i x="286" s="1" nd="1"/>
        <i x="794" s="1" nd="1"/>
        <i x="62" s="1" nd="1"/>
        <i x="550" s="1" nd="1"/>
        <i x="828" s="1" nd="1"/>
        <i x="330" s="1" nd="1"/>
        <i x="582" s="1" nd="1"/>
        <i x="110" s="1" nd="1"/>
        <i x="348" s="1" nd="1"/>
        <i x="879" s="1" nd="1"/>
        <i x="153" s="1" nd="1"/>
        <i x="387" s="1" nd="1"/>
        <i x="911" s="1" nd="1"/>
        <i x="647" s="1" nd="1"/>
        <i x="939" s="1" nd="1"/>
        <i x="194" s="1" nd="1"/>
        <i x="433" s="1" nd="1"/>
        <i x="209" s="1" nd="1"/>
        <i x="702" s="1" nd="1"/>
        <i x="723" s="1" nd="1"/>
        <i x="985" s="1" nd="1"/>
        <i x="741" s="1" nd="1"/>
        <i x="12" s="1" nd="1"/>
        <i x="263" s="1" nd="1"/>
        <i x="513" s="1" nd="1"/>
        <i x="526" s="1" nd="1"/>
        <i x="307" s="1" nd="1"/>
        <i x="92" s="1" nd="1"/>
        <i x="853" s="1" nd="1"/>
        <i x="131" s="1" nd="1"/>
        <i x="362" s="1" nd="1"/>
        <i x="616" s="1" nd="1"/>
        <i x="380" s="1" nd="1"/>
        <i x="629" s="1" nd="1"/>
        <i x="899" s="1" nd="1"/>
        <i x="178" s="1" nd="1"/>
        <i x="656" s="1" nd="1"/>
        <i x="678" s="1" nd="1"/>
        <i x="947" s="1" nd="1"/>
        <i x="710" s="1" nd="1"/>
        <i x="979" s="1" nd="1"/>
        <i x="477" s="1" nd="1"/>
        <i x="733" s="1" nd="1"/>
        <i x="3" s="1" nd="1"/>
        <i x="495" s="1" nd="1"/>
        <i x="752" s="1" nd="1"/>
        <i x="519" s="1" nd="1"/>
        <i x="774" s="1" nd="1"/>
        <i x="44" s="1" nd="1"/>
        <i x="284" s="1" nd="1"/>
        <i x="809" s="1" nd="1"/>
        <i x="565" s="1" nd="1"/>
        <i x="827" s="1" nd="1"/>
        <i x="860" s="1" nd="1"/>
        <i x="608" s="1" nd="1"/>
        <i x="878" s="1" nd="1"/>
        <i x="139" s="1" nd="1"/>
        <i x="370" s="1" nd="1"/>
        <i x="892" s="1" nd="1"/>
        <i x="633" s="1" nd="1"/>
        <i x="910" s="1" nd="1"/>
        <i x="166" s="1" nd="1"/>
        <i x="406" s="1" nd="1"/>
        <i x="183" s="1" nd="1"/>
        <i x="667" s="1" nd="1"/>
        <i x="228" s="1" nd="1"/>
        <i x="470" s="1" nd="1"/>
        <i x="720" s="1" nd="1"/>
        <i x="242" s="1" nd="1"/>
        <i x="740" s="1" nd="1"/>
        <i x="11" s="1" nd="1"/>
        <i x="280" s="1" nd="1"/>
        <i x="787" s="1" nd="1"/>
        <i x="54" s="1" nd="1"/>
        <i x="72" s="1" nd="1"/>
        <i x="305" s="1" nd="1"/>
        <i x="557" s="1" nd="1"/>
        <i x="817" s="1" nd="1"/>
        <i x="322" s="1" nd="1"/>
        <i x="835" s="1" nd="1"/>
        <i x="120" s="1" nd="1"/>
        <i x="871" s="1" nd="1"/>
        <i x="880" s="1" nd="1"/>
        <i x="378" s="1" nd="1"/>
        <i x="898" s="1" nd="1"/>
        <i x="921" s="1" nd="1"/>
        <i x="933" s="1" nd="1"/>
        <i x="429" s="1" nd="1"/>
        <i x="677" s="1" nd="1"/>
        <i x="202" s="1" nd="1"/>
        <i x="964" s="1" nd="1"/>
        <i x="732" s="1" nd="1"/>
        <i x="751" s="1" nd="1"/>
        <i x="17" s="1" nd="1"/>
        <i x="259" s="1" nd="1"/>
        <i x="773" s="1" nd="1"/>
        <i x="42" s="1" nd="1"/>
        <i x="532" s="1" nd="1"/>
        <i x="61" s="1" nd="1"/>
        <i x="549" s="1" nd="1"/>
        <i x="808" s="1" nd="1"/>
        <i x="81" s="1" nd="1"/>
        <i x="581" s="1" nd="1"/>
        <i x="138" s="1" nd="1"/>
        <i x="891" s="1" nd="1"/>
        <i x="386" s="1" nd="1"/>
        <i x="405" s="1" nd="1"/>
        <i x="646" s="1" nd="1"/>
        <i x="938" s="1" nd="1"/>
        <i x="684" s="1" nd="1"/>
        <i x="452" s="1" nd="1"/>
        <i x="227" s="1" nd="1"/>
        <i x="469" s="1" nd="1"/>
        <i x="984" s="1" nd="1"/>
        <i x="241" s="1" nd="1"/>
        <i x="254" s="1" nd="1"/>
        <i x="753" s="1" nd="1"/>
        <i x="786" s="1" nd="1"/>
        <i x="53" s="1" nd="1"/>
        <i x="798" s="1" nd="1"/>
        <i x="70" s="1" nd="1"/>
        <i x="556" s="1" nd="1"/>
        <i x="814" s="1" nd="1"/>
        <i x="90" s="1" nd="1"/>
        <i x="572" s="1" nd="1"/>
        <i x="834" s="1" nd="1"/>
        <i x="852" s="1" nd="1"/>
        <i x="353" s="1" nd="1"/>
        <i x="870" s="1" nd="1"/>
        <i x="130" s="1" nd="1"/>
        <i x="146" s="1" nd="1"/>
        <i x="897" s="1" nd="1"/>
        <i x="161" s="1" nd="1"/>
        <i x="394" s="1" nd="1"/>
        <i x="641" s="1" nd="1"/>
        <i x="920" s="1" nd="1"/>
        <i x="177" s="1" nd="1"/>
        <i x="655" s="1" nd="1"/>
        <i x="932" s="1" nd="1"/>
        <i x="428" s="1" nd="1"/>
        <i x="200" s="1" nd="1"/>
        <i x="442" s="1" nd="1"/>
        <i x="978" s="1" nd="1"/>
        <i x="475" s="1" nd="1"/>
        <i x="731" s="1" nd="1"/>
        <i x="1" s="1" nd="1"/>
        <i x="16" s="1" nd="1"/>
        <i x="258" s="1" nd="1"/>
        <i x="759" s="1" nd="1"/>
        <i x="29" s="1" nd="1"/>
        <i x="299" s="1" nd="1"/>
        <i x="313" s="1" nd="1"/>
        <i x="562" s="1" nd="1"/>
        <i x="109" s="1" nd="1"/>
        <i x="859" s="1" nd="1"/>
        <i x="606" s="1" nd="1"/>
        <i x="137" s="1" nd="1"/>
        <i x="623" s="1" nd="1"/>
        <i x="908" s="1" nd="1"/>
        <i x="927" s="1" nd="1"/>
        <i x="193" s="1" nd="1"/>
        <i x="700" s="1" nd="1"/>
        <i x="468" s="1" nd="1"/>
        <i x="486" s="1" nd="1"/>
        <i x="501" s="1" nd="1"/>
        <i x="512" s="1" nd="1"/>
        <i x="38" s="1" nd="1"/>
        <i x="525" s="1" nd="1"/>
        <i x="785" s="1" nd="1"/>
        <i x="69" s="1" nd="1"/>
        <i x="320" s="1" nd="1"/>
        <i x="338" s="1" nd="1"/>
        <i x="869" s="1" nd="1"/>
        <i x="129" s="1" nd="1"/>
        <i x="614" s="1" nd="1"/>
        <i x="145" s="1" nd="1"/>
        <i x="375" s="1" nd="1"/>
        <i x="896" s="1" nd="1"/>
        <i x="919" s="1" nd="1"/>
        <i x="176" s="1" nd="1"/>
        <i x="676" s="1" nd="1"/>
        <i x="750" s="1" nd="1"/>
        <i x="506" s="1" nd="1"/>
        <i x="792" s="1" nd="1"/>
        <i x="59" s="1" nd="1"/>
        <i x="80" s="1" nd="1"/>
        <i x="561" s="1" nd="1"/>
        <i x="367" s="1" nd="1"/>
        <i x="890" s="1" nd="1"/>
        <i x="152" s="1" nd="1"/>
        <i x="385" s="1" nd="1"/>
        <i x="404" s="1" nd="1"/>
        <i x="421" s="1" nd="1"/>
        <i x="207" s="1" nd="1"/>
        <i x="970" s="1" nd="1"/>
        <i x="226" s="1" nd="1"/>
        <i x="467" s="1" nd="1"/>
        <i x="719" s="1" nd="1"/>
        <i x="485" s="1" nd="1"/>
        <i x="252" s="1" nd="1"/>
        <i x="24" s="1" nd="1"/>
        <i x="764" s="1" nd="1"/>
        <i x="812" s="1" nd="1"/>
        <i x="318" s="1" nd="1"/>
        <i x="103" s="1" nd="1"/>
        <i x="592" s="1" nd="1"/>
        <i x="118" s="1" nd="1"/>
        <i x="868" s="1" nd="1"/>
        <i x="613" s="1" nd="1"/>
        <i x="640" s="1" nd="1"/>
        <i x="917" s="1" nd="1"/>
        <i x="441" s="1" nd="1"/>
        <i x="216" s="1" nd="1"/>
        <i x="458" s="1" nd="1"/>
        <i x="708" s="1" nd="1"/>
        <i x="976" s="1" nd="1"/>
        <i x="247" s="1" nd="1"/>
        <i x="493" s="1" nd="1"/>
        <i x="505" s="1" nd="1"/>
        <i x="758" s="1" nd="1"/>
        <i x="517" s="1" nd="1"/>
        <i x="548" s="1" nd="1"/>
        <i x="877" s="1" nd="1"/>
        <i x="384" s="1" nd="1"/>
        <i x="451" s="1" nd="1"/>
        <i x="225" s="1" nd="1"/>
        <i x="718" s="1" nd="1"/>
        <i x="484" s="1" nd="1"/>
        <i x="511" s="1" nd="1"/>
        <i x="37" s="1" nd="1"/>
        <i x="276" s="1" nd="1"/>
        <i x="783" s="1" nd="1"/>
        <i x="88" s="1" nd="1"/>
        <i x="570" s="1" nd="1"/>
        <i x="117" s="1" nd="1"/>
        <i x="352" s="1" nd="1"/>
        <i x="611" s="1" nd="1"/>
        <i x="945" s="1" nd="1"/>
        <i x="695" s="1" nd="1"/>
        <i x="974" s="1" nd="1"/>
        <i x="0" s="1" nd="1"/>
        <i x="492" s="1" nd="1"/>
        <i x="748" s="1" nd="1"/>
        <i x="15" s="1" nd="1"/>
        <i x="757" s="1" nd="1"/>
        <i x="771" s="1" nd="1"/>
        <i x="531" s="1" nd="1"/>
        <i x="790" s="1" nd="1"/>
        <i x="297" s="1" nd="1"/>
        <i x="547" s="1" nd="1"/>
        <i x="858" s="1" nd="1"/>
        <i x="875" s="1" nd="1"/>
        <i x="645" s="1" nd="1"/>
        <i x="664" s="1" nd="1"/>
        <i x="191" s="1" nd="1"/>
        <i x="682" s="1" nd="1"/>
        <i x="956" s="1" nd="1"/>
        <i x="205" s="1" nd="1"/>
        <i x="450" s="1" nd="1"/>
        <i x="224" s="1" nd="1"/>
        <i x="274" s="1" nd="1"/>
        <i x="781" s="1" nd="1"/>
        <i x="538" s="1" nd="1"/>
        <i x="336" s="1" nd="1"/>
        <i x="627" s="1" nd="1"/>
        <i x="639" s="1" nd="1"/>
        <i x="174" s="1" nd="1"/>
        <i x="674" s="1" nd="1"/>
        <i x="944" s="1" nd="1"/>
        <i x="707" s="1" nd="1"/>
        <i x="729" s="1" nd="1"/>
        <i x="237"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s="1" nd="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0" s="1" nd="1"/>
        <i x="4" s="1" nd="1"/>
        <i x="3" s="1" nd="1"/>
        <i x="1" s="1" nd="1"/>
        <i x="2" s="1" nd="1"/>
        <i x="5"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s="1" nd="1"/>
        <i x="1"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0" s="1" nd="1"/>
        <i x="4" s="1" nd="1"/>
        <i x="3" s="1" nd="1"/>
        <i x="1" s="1" nd="1"/>
        <i x="2" s="1" nd="1"/>
        <i x="5"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32" name="PivotTable1"/>
  </pivotTables>
  <data>
    <tabular pivotCacheId="7">
      <items count="402">
        <i x="167" s="1" nd="1"/>
        <i x="227" s="1" nd="1"/>
        <i x="124" s="1" nd="1"/>
        <i x="248" s="1" nd="1"/>
        <i x="308" s="1" nd="1"/>
        <i x="176" s="1" nd="1"/>
        <i x="64" s="1" nd="1"/>
        <i x="187" s="1" nd="1"/>
        <i x="287" s="1" nd="1"/>
        <i x="279" s="1" nd="1"/>
        <i x="49" s="1" nd="1"/>
        <i x="129" s="1" nd="1"/>
        <i x="182" s="1" nd="1"/>
        <i x="208" s="1" nd="1"/>
        <i x="256" s="1" nd="1"/>
        <i x="304" s="1" nd="1"/>
        <i x="350" s="1" nd="1"/>
        <i x="236" s="1" nd="1"/>
        <i x="97" s="1" nd="1"/>
        <i x="138" s="1" nd="1"/>
        <i x="90" s="1" nd="1"/>
        <i x="104" s="1" nd="1"/>
        <i x="252" s="1" nd="1"/>
        <i x="24" s="1" nd="1"/>
        <i x="151" s="1" nd="1"/>
        <i x="56" s="1" nd="1"/>
        <i x="117" s="1" nd="1"/>
        <i x="309" s="1" nd="1"/>
        <i x="368" s="1" nd="1"/>
        <i x="65" s="1" nd="1"/>
        <i x="300" s="1" nd="1"/>
        <i x="121" s="1" nd="1"/>
        <i x="263" s="1" nd="1"/>
        <i x="313" s="1" nd="1"/>
        <i x="155" s="1" nd="1"/>
        <i x="388" s="1" nd="1"/>
        <i x="351" s="1" nd="1"/>
        <i x="260" s="1" nd="1"/>
        <i x="112" s="1" nd="1"/>
        <i x="125" s="1" nd="1"/>
        <i x="45" s="1" nd="1"/>
        <i x="135" s="1" nd="1"/>
        <i x="212" s="1" nd="1"/>
        <i x="357" s="1" nd="1"/>
        <i x="99" s="1" nd="1"/>
        <i x="324" s="1" nd="1"/>
        <i x="230" s="1" nd="1"/>
        <i x="40" s="1" nd="1"/>
        <i x="52" s="1" nd="1"/>
        <i x="107" s="1" nd="1"/>
        <i x="119" s="1" nd="1"/>
        <i x="174" s="1" nd="1"/>
        <i x="393" s="1" nd="1"/>
        <i x="28" s="1" nd="1"/>
        <i x="75" s="1" nd="1"/>
        <i x="336" s="1" nd="1"/>
        <i x="27" s="1" nd="1"/>
        <i x="74" s="1" nd="1"/>
        <i x="83" s="1" nd="1"/>
        <i x="140" s="1" nd="1"/>
        <i x="18" s="1" nd="1"/>
        <i x="365" s="1" nd="1"/>
        <i x="379" s="1" nd="1"/>
        <i x="50" s="1" nd="1"/>
        <i x="80" s="1" nd="1"/>
        <i x="321" s="1" nd="1"/>
        <i x="343" s="1" nd="1"/>
        <i x="17" s="1" nd="1"/>
        <i x="25" s="1" nd="1"/>
        <i x="226" s="1" nd="1"/>
        <i x="93" s="1" nd="1"/>
        <i x="385" s="1" nd="1"/>
        <i x="400" s="1" nd="1"/>
        <i x="37" s="1" nd="1"/>
        <i x="133" s="1" nd="1"/>
        <i x="173" s="1" nd="1"/>
        <i x="109" s="1" nd="1"/>
        <i x="114" s="1" nd="1"/>
        <i x="147" s="1" nd="1"/>
        <i x="172" s="1" nd="1"/>
        <i x="181" s="1" nd="1"/>
        <i x="192" s="1" nd="1"/>
        <i x="199" s="1" nd="1"/>
        <i x="242" s="1" nd="1"/>
        <i x="78" s="1" nd="1"/>
        <i x="378" s="1" nd="1"/>
        <i x="156" s="1" nd="1"/>
        <i x="198" s="1" nd="1"/>
        <i x="224" s="1" nd="1"/>
        <i x="42" s="1" nd="1"/>
        <i x="318" s="1" nd="1"/>
        <i x="377" s="1" nd="1"/>
        <i x="191" s="1" nd="1"/>
        <i x="118" s="1" nd="1"/>
        <i x="36" s="1" nd="1"/>
        <i x="246" s="1" nd="1"/>
        <i x="102" s="1" nd="1"/>
        <i x="48" s="1" nd="1"/>
        <i x="66" s="1" nd="1"/>
        <i x="273" s="1" nd="1"/>
        <i x="295" s="1" nd="1"/>
        <i x="301" s="1" nd="1"/>
        <i x="362" s="1" nd="1"/>
        <i x="375" s="1" nd="1"/>
        <i x="190" s="1" nd="1"/>
        <i x="12" s="1" nd="1"/>
        <i x="35" s="1" nd="1"/>
        <i x="47" s="1" nd="1"/>
        <i x="251" s="1" nd="1"/>
        <i x="361" s="1" nd="1"/>
        <i x="312" s="1" nd="1"/>
        <i x="374" s="1" nd="1"/>
        <i x="4" s="1" nd="1"/>
        <i x="23" s="1" nd="1"/>
        <i x="215" s="1" nd="1"/>
        <i x="373" s="1" nd="1"/>
        <i x="1" s="1" nd="1"/>
        <i x="204" s="1" nd="1"/>
        <i x="22" s="1" nd="1"/>
        <i x="196" s="1" nd="1"/>
        <i x="95" s="1" nd="1"/>
        <i x="315" s="1" nd="1"/>
        <i x="383" s="1" nd="1"/>
        <i x="11" s="1" nd="1"/>
        <i x="220" s="1" nd="1"/>
        <i x="55" s="1" nd="1"/>
        <i x="255" s="1" nd="1"/>
        <i x="326" s="1" nd="1"/>
        <i x="353" s="1" nd="1"/>
        <i x="21" s="1" nd="1"/>
        <i x="77" s="1" nd="1"/>
        <i x="94" s="1" nd="1"/>
        <i x="272" s="1" nd="1"/>
        <i x="277" s="1" nd="1"/>
        <i x="307" s="1" nd="1"/>
        <i x="314" s="1" nd="1"/>
        <i x="340" s="1" nd="1"/>
        <i x="254" s="1" nd="1"/>
        <i x="82" s="1" nd="1"/>
        <i x="166" s="1" nd="1"/>
        <i x="271" s="1" nd="1"/>
        <i x="177" s="1" nd="1"/>
        <i x="286" s="1" nd="1"/>
        <i x="9" s="1" nd="1"/>
        <i x="214" s="1" nd="1"/>
        <i x="322" s="1" nd="1"/>
        <i x="395" s="1" nd="1"/>
        <i x="139" s="1" nd="1"/>
        <i x="149" s="1" nd="1"/>
        <i x="352" s="1" nd="1"/>
        <i x="262" s="1" nd="1"/>
        <i x="168" s="1" nd="1"/>
        <i x="108" s="1" nd="1"/>
        <i x="282" s="1" nd="1"/>
        <i x="291" s="1" nd="1"/>
        <i x="14" s="1" nd="1"/>
        <i x="160" s="1" nd="1"/>
        <i x="81" s="1" nd="1"/>
        <i x="170" s="1" nd="1"/>
        <i x="285" s="1" nd="1"/>
        <i x="41" s="1" nd="1"/>
        <i x="54" s="1" nd="1"/>
        <i x="392" s="1" nd="1"/>
        <i x="116" s="1" nd="1"/>
        <i x="243" s="1" nd="1"/>
        <i x="253" s="1" nd="1"/>
        <i x="382" s="1" nd="1"/>
        <i x="397" s="1" nd="1"/>
        <i x="148" s="1" nd="1"/>
        <i x="387" s="1" nd="1"/>
        <i x="7" s="1" nd="1"/>
        <i x="200" s="1" nd="1"/>
        <i x="209" s="1" nd="1"/>
        <i x="26" s="1" nd="1"/>
        <i x="347" s="1" nd="1"/>
        <i x="159" s="1" nd="1"/>
        <i x="106" s="1" nd="1"/>
        <i x="396" s="1" nd="1"/>
        <i x="284" s="1" nd="1"/>
        <i x="203" s="1" nd="1"/>
        <i x="228" s="1" nd="1"/>
        <i x="334" s="1" nd="1"/>
        <i x="261" s="1" nd="1"/>
        <i x="386" s="1" nd="1"/>
        <i x="281" s="1" nd="1"/>
        <i x="120" s="1" nd="1"/>
        <i x="346" s="1" nd="1"/>
        <i x="360" s="1" nd="1"/>
        <i x="339" s="1" nd="1"/>
        <i x="79" s="1" nd="1"/>
        <i x="163" s="1" nd="1"/>
        <i x="265" s="1" nd="1"/>
        <i x="276" s="1" nd="1"/>
        <i x="278" s="1" nd="1"/>
        <i x="183" s="1" nd="1"/>
        <i x="16" s="1" nd="1"/>
        <i x="288" s="1" nd="1"/>
        <i x="320" s="1" nd="1"/>
        <i x="329" s="1" nd="1"/>
        <i x="233" s="1" nd="1"/>
        <i x="46" s="1" nd="1"/>
        <i x="76" s="1" nd="1"/>
        <i x="88" s="1" nd="1"/>
        <i x="384" s="1" nd="1"/>
        <i x="126" s="1" nd="1"/>
        <i x="332" s="1" nd="1"/>
        <i x="345" s="1" nd="1"/>
        <i x="381" s="1" nd="1"/>
        <i x="202" s="1" nd="1"/>
        <i x="328" s="1" nd="1"/>
        <i x="132" s="1" nd="1"/>
        <i x="239" s="1" nd="1"/>
        <i x="349" s="1" nd="1"/>
        <i x="6" s="1" nd="1"/>
        <i x="299" s="1" nd="1"/>
        <i x="207" s="1" nd="1"/>
        <i x="43" s="1" nd="1"/>
        <i x="142" s="1" nd="1"/>
        <i x="98" s="1" nd="1"/>
        <i x="154" s="1" nd="1"/>
        <i x="275" s="1" nd="1"/>
        <i x="269" s="1" nd="1"/>
        <i x="290" s="1" nd="1"/>
        <i x="297" s="1" nd="1"/>
        <i x="15" s="1" nd="1"/>
        <i x="303" s="1" nd="1"/>
        <i x="20" s="1" nd="1"/>
        <i x="123" s="1" nd="1"/>
        <i x="72" s="1" nd="1"/>
        <i x="165" s="1" nd="1"/>
        <i x="391" s="1" nd="1"/>
        <i x="13" s="1" nd="1"/>
        <i x="115" s="1" nd="1"/>
        <i x="180" s="1" nd="1"/>
        <i x="225" s="1" nd="1"/>
        <i x="231" s="1" nd="1"/>
        <i x="235" s="1" nd="1"/>
        <i x="241" s="1" nd="1"/>
        <i x="311" s="1" nd="1"/>
        <i x="344" s="1" nd="1"/>
        <i x="359" s="1" nd="1"/>
        <i x="92" s="1" nd="1"/>
        <i x="274" s="1" nd="1"/>
        <i x="105" s="1" nd="1"/>
        <i x="175" s="1" nd="1"/>
        <i x="113" s="1" nd="1"/>
        <i x="319" s="1" nd="1"/>
        <i x="34" s="1" nd="1"/>
        <i x="232" s="1" nd="1"/>
        <i x="44" s="1" nd="1"/>
        <i x="342" s="1" nd="1"/>
        <i x="53" s="1" nd="1"/>
        <i x="244" s="1" nd="1"/>
        <i x="71" s="1" nd="1"/>
        <i x="131" s="1" nd="1"/>
        <i x="157" s="1" nd="1"/>
        <i x="87" s="1" nd="1"/>
        <i x="216" s="1" nd="1"/>
        <i x="223" s="1" nd="1"/>
        <i x="58" s="1" nd="1"/>
        <i x="358" s="1" nd="1"/>
        <i x="91" s="1" nd="1"/>
        <i x="270" s="1" nd="1"/>
        <i x="268" s="1" nd="1"/>
        <i x="289" s="1" nd="1"/>
        <i x="8" s="1" nd="1"/>
        <i x="296" s="1" nd="1"/>
        <i x="302" s="1" nd="1"/>
        <i x="317" s="1" nd="1"/>
        <i x="238" s="1" nd="1"/>
        <i x="146" s="1" nd="1"/>
        <i x="70" s="1" nd="1"/>
        <i x="162" s="1" nd="1"/>
        <i x="371" s="1" nd="1"/>
        <i x="143" s="1" nd="1"/>
        <i x="399" s="1" nd="1"/>
        <i x="5" s="1" nd="1"/>
        <i x="2" s="1" nd="1"/>
        <i x="32" s="1" nd="1"/>
        <i x="222" s="1" nd="1"/>
        <i x="325" s="1" nd="1"/>
        <i x="331" s="1" nd="1"/>
        <i x="234" s="1" nd="1"/>
        <i x="338" s="1" nd="1"/>
        <i x="247" s="1" nd="1"/>
        <i x="356" s="1" nd="1"/>
        <i x="103" s="1" nd="1"/>
        <i x="195" s="1" nd="1"/>
        <i x="327" s="1" nd="1"/>
        <i x="341" s="1" nd="1"/>
        <i x="145" s="1" nd="1"/>
        <i x="152" s="1" nd="1"/>
        <i x="250" s="1" nd="1"/>
        <i x="354" s="1" nd="1"/>
        <i x="69" s="1" nd="1"/>
        <i x="364" s="1" nd="1"/>
        <i x="164" s="1" nd="1"/>
        <i x="266" s="1" nd="1"/>
        <i x="376" s="1" nd="1"/>
        <i x="390" s="1" nd="1"/>
        <i x="111" s="1" nd="1"/>
        <i x="206" s="1" nd="1"/>
        <i x="0" s="1" nd="1"/>
        <i x="31" s="1" nd="1"/>
        <i x="330" s="1" nd="1"/>
        <i x="141" s="1" nd="1"/>
        <i x="213" s="1" nd="1"/>
        <i x="96" s="1" nd="1"/>
        <i x="19" s="1" nd="1"/>
        <i x="122" s="1" nd="1"/>
        <i x="29" s="1" nd="1"/>
        <i x="219" s="1" nd="1"/>
        <i x="193" s="1" nd="1"/>
        <i x="210" s="1" nd="1"/>
        <i x="237" s="1" nd="1"/>
        <i x="63" s="1" nd="1"/>
        <i x="249" s="1" nd="1"/>
        <i x="363" s="1" nd="1"/>
        <i x="259" s="1" nd="1"/>
        <i x="370" s="1" nd="1"/>
        <i x="86" s="1" nd="1"/>
        <i x="280" s="1" nd="1"/>
        <i x="84" s="1" nd="1"/>
        <i x="221" s="1" nd="1"/>
        <i x="229" s="1" nd="1"/>
        <i x="337" s="1" nd="1"/>
        <i x="57" s="1" nd="1"/>
        <i x="153" s="1" nd="1"/>
        <i x="73" s="1" nd="1"/>
        <i x="158" s="1" nd="1"/>
        <i x="89" s="1" nd="1"/>
        <i x="380" s="1" nd="1"/>
        <i x="169" s="1" nd="1"/>
        <i x="101" s="1" nd="1"/>
        <i x="194" s="1" nd="1"/>
        <i x="294" s="1" nd="1"/>
        <i x="211" s="1" nd="1"/>
        <i x="316" s="1" nd="1"/>
        <i x="33" s="1" nd="1"/>
        <i x="292" s="1" nd="1"/>
        <i x="137" s="1" nd="1"/>
        <i x="51" s="1" nd="1"/>
        <i x="144" s="1" nd="1"/>
        <i x="348" s="1" nd="1"/>
        <i x="62" s="1" nd="1"/>
        <i x="258" s="1" nd="1"/>
        <i x="85" s="1" nd="1"/>
        <i x="67" s="1" nd="1"/>
        <i x="389" s="1" nd="1"/>
        <i x="179" s="1" nd="1"/>
        <i x="110" s="1" nd="1"/>
        <i x="185" s="1" nd="1"/>
        <i x="189" s="1" nd="1"/>
        <i x="197" s="1" nd="1"/>
        <i x="298" s="1" nd="1"/>
        <i x="306" s="1" nd="1"/>
        <i x="310" s="1" nd="1"/>
        <i x="323" s="1" nd="1"/>
        <i x="130" s="1" nd="1"/>
        <i x="366" s="1" nd="1"/>
        <i x="245" s="1" nd="1"/>
        <i x="394" s="1" nd="1"/>
        <i x="401" s="1" nd="1"/>
        <i x="293" s="1" nd="1"/>
        <i x="128" s="1" nd="1"/>
        <i x="39" s="1" nd="1"/>
        <i x="150" s="1" nd="1"/>
        <i x="3" s="1" nd="1"/>
        <i x="188" s="1" nd="1"/>
        <i x="205" s="1" nd="1"/>
        <i x="305" s="1" nd="1"/>
        <i x="398" s="1" nd="1"/>
        <i x="30" s="1" nd="1"/>
        <i x="240" s="1" nd="1"/>
        <i x="267" s="1" nd="1"/>
        <i x="283" s="1" nd="1"/>
        <i x="186" s="1" nd="1"/>
        <i x="127" s="1" nd="1"/>
        <i x="136" s="1" nd="1"/>
        <i x="61" s="1" nd="1"/>
        <i x="369" s="1" nd="1"/>
        <i x="171" s="1" nd="1"/>
        <i x="178" s="1" nd="1"/>
        <i x="355" s="1" nd="1"/>
        <i x="100" s="1" nd="1"/>
        <i x="218" s="1" nd="1"/>
        <i x="60" s="1" nd="1"/>
        <i x="68" s="1" nd="1"/>
        <i x="161" s="1" nd="1"/>
        <i x="367" s="1" nd="1"/>
        <i x="184" s="1" nd="1"/>
        <i x="134" s="1" nd="1"/>
        <i x="335" s="1" nd="1"/>
        <i x="264" s="1" nd="1"/>
        <i x="372" s="1" nd="1"/>
        <i x="201" s="1" nd="1"/>
        <i x="217" s="1" nd="1"/>
        <i x="38" s="1" nd="1"/>
        <i x="333" s="1" nd="1"/>
        <i x="59" s="1" nd="1"/>
        <i x="257" s="1" nd="1"/>
        <i x="10"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32" name="PivotTable1"/>
  </pivotTables>
  <data>
    <tabular pivotCacheId="7">
      <items count="10">
        <i x="0" s="1" nd="1"/>
        <i x="8" s="1" nd="1"/>
        <i x="6" s="1" nd="1"/>
        <i x="2" s="1" nd="1"/>
        <i x="5" s="1" nd="1"/>
        <i x="9" s="1" nd="1"/>
        <i x="1" s="1" nd="1"/>
        <i x="3" s="1" nd="1"/>
        <i x="4" s="1" nd="1"/>
        <i x="7"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32" name="PivotTable1"/>
  </pivotTables>
  <data>
    <tabular pivotCacheId="7">
      <items count="740">
        <i x="71" s="1" nd="1"/>
        <i x="299" s="1" nd="1"/>
        <i x="411" s="1" nd="1"/>
        <i x="280" s="1" nd="1"/>
        <i x="674" s="1" nd="1"/>
        <i x="248" s="1" nd="1"/>
        <i x="700" s="1" nd="1"/>
        <i x="738" s="1" nd="1"/>
        <i x="652" s="1" nd="1"/>
        <i x="661" s="1" nd="1"/>
        <i x="540" s="1" nd="1"/>
        <i x="271" s="1" nd="1"/>
        <i x="731" s="1" nd="1"/>
        <i x="14" s="1" nd="1"/>
        <i x="416" s="1" nd="1"/>
        <i x="712" s="1" nd="1"/>
        <i x="585" s="1" nd="1"/>
        <i x="596" s="1" nd="1"/>
        <i x="0" s="1" nd="1"/>
        <i x="485" s="1" nd="1"/>
        <i x="255" s="1" nd="1"/>
        <i x="600" s="1" nd="1"/>
        <i x="127" s="1" nd="1"/>
        <i x="649" s="1" nd="1"/>
        <i x="112" s="1" nd="1"/>
        <i x="171" s="1" nd="1"/>
        <i x="429" s="1" nd="1"/>
        <i x="541" s="1" nd="1"/>
        <i x="168" s="1" nd="1"/>
        <i x="142" s="1" nd="1"/>
        <i x="289" s="1" nd="1"/>
        <i x="602" s="1" nd="1"/>
        <i x="627" s="1" nd="1"/>
        <i x="38" s="1" nd="1"/>
        <i x="604" s="1" nd="1"/>
        <i x="190" s="1" nd="1"/>
        <i x="215" s="1" nd="1"/>
        <i x="395" s="1" nd="1"/>
        <i x="121" s="1" nd="1"/>
        <i x="339" s="1" nd="1"/>
        <i x="166" s="1" nd="1"/>
        <i x="81" s="1" nd="1"/>
        <i x="506" s="1" nd="1"/>
        <i x="470" s="1" nd="1"/>
        <i x="632" s="1" nd="1"/>
        <i x="150" s="1" nd="1"/>
        <i x="209" s="1" nd="1"/>
        <i x="394" s="1" nd="1"/>
        <i x="308" s="1" nd="1"/>
        <i x="290" s="1" nd="1"/>
        <i x="159" s="1" nd="1"/>
        <i x="75" s="1" nd="1"/>
        <i x="633" s="1" nd="1"/>
        <i x="530" s="1" nd="1"/>
        <i x="362" s="1" nd="1"/>
        <i x="98" s="1" nd="1"/>
        <i x="179" s="1" nd="1"/>
        <i x="438" s="1" nd="1"/>
        <i x="579" s="1" nd="1"/>
        <i x="167" s="1" nd="1"/>
        <i x="247" s="1" nd="1"/>
        <i x="208" s="1" nd="1"/>
        <i x="6" s="1" nd="1"/>
        <i x="263" s="1" nd="1"/>
        <i x="286" s="1" nd="1"/>
        <i x="684" s="1" nd="1"/>
        <i x="523" s="1" nd="1"/>
        <i x="644" s="1" nd="1"/>
        <i x="276" s="1" nd="1"/>
        <i x="63" s="1" nd="1"/>
        <i x="551" s="1" nd="1"/>
        <i x="570" s="1" nd="1"/>
        <i x="693" s="1" nd="1"/>
        <i x="86" s="1" nd="1"/>
        <i x="373" s="1" nd="1"/>
        <i x="30" s="1" nd="1"/>
        <i x="371" s="1" nd="1"/>
        <i x="664" s="1" nd="1"/>
        <i x="708" s="1" nd="1"/>
        <i x="706" s="1" nd="1"/>
        <i x="695" s="1" nd="1"/>
        <i x="110" s="1" nd="1"/>
        <i x="104" s="1" nd="1"/>
        <i x="327" s="1" nd="1"/>
        <i x="702" s="1" nd="1"/>
        <i x="139" s="1" nd="1"/>
        <i x="686" s="1" nd="1"/>
        <i x="481" s="1" nd="1"/>
        <i x="654" s="1" nd="1"/>
        <i x="194" s="1" nd="1"/>
        <i x="733" s="1" nd="1"/>
        <i x="431" s="1" nd="1"/>
        <i x="132" s="1" nd="1"/>
        <i x="72" s="1" nd="1"/>
        <i x="611" s="1" nd="1"/>
        <i x="191" s="1" nd="1"/>
        <i x="593" s="1" nd="1"/>
        <i x="349" s="1" nd="1"/>
        <i x="673" s="1" nd="1"/>
        <i x="12" s="1" nd="1"/>
        <i x="101" s="1" nd="1"/>
        <i x="603" s="1" nd="1"/>
        <i x="504" s="1" nd="1"/>
        <i x="355" s="1" nd="1"/>
        <i x="608" s="1" nd="1"/>
        <i x="561" s="1" nd="1"/>
        <i x="707" s="1" nd="1"/>
        <i x="181" s="1" nd="1"/>
        <i x="254" s="1" nd="1"/>
        <i x="342" s="1" nd="1"/>
        <i x="723" s="1" nd="1"/>
        <i x="317" s="1" nd="1"/>
        <i x="3" s="1" nd="1"/>
        <i x="480" s="1" nd="1"/>
        <i x="245" s="1" nd="1"/>
        <i x="227" s="1" nd="1"/>
        <i x="165" s="1" nd="1"/>
        <i x="736" s="1" nd="1"/>
        <i x="109" s="1" nd="1"/>
        <i x="116" s="1" nd="1"/>
        <i x="287" s="1" nd="1"/>
        <i x="281" s="1" nd="1"/>
        <i x="467" s="1" nd="1"/>
        <i x="464" s="1" nd="1"/>
        <i x="231" s="1" nd="1"/>
        <i x="623" s="1" nd="1"/>
        <i x="594" s="1" nd="1"/>
        <i x="329" s="1" nd="1"/>
        <i x="719" s="1" nd="1"/>
        <i x="99" s="1" nd="1"/>
        <i x="207" s="1" nd="1"/>
        <i x="326" s="1" nd="1"/>
        <i x="124" s="1" nd="1"/>
        <i x="582" s="1" nd="1"/>
        <i x="419" s="1" nd="1"/>
        <i x="427" s="1" nd="1"/>
        <i x="490" s="1" nd="1"/>
        <i x="7" s="1" nd="1"/>
        <i x="393" s="1" nd="1"/>
        <i x="225" s="1" nd="1"/>
        <i x="304" s="1" nd="1"/>
        <i x="542" s="1" nd="1"/>
        <i x="526" s="1" nd="1"/>
        <i x="361" s="1" nd="1"/>
        <i x="113" s="1" nd="1"/>
        <i x="689" s="1" nd="1"/>
        <i x="345" s="1" nd="1"/>
        <i x="637" s="1" nd="1"/>
        <i x="703" s="1" nd="1"/>
        <i x="252" s="1" nd="1"/>
        <i x="536" s="1" nd="1"/>
        <i x="288" s="1" nd="1"/>
        <i x="359" s="1" nd="1"/>
        <i x="149" s="1" nd="1"/>
        <i x="357" s="1" nd="1"/>
        <i x="128" s="1" nd="1"/>
        <i x="352" s="1" nd="1"/>
        <i x="473" s="1" nd="1"/>
        <i x="610" s="1" nd="1"/>
        <i x="187" s="1" nd="1"/>
        <i x="472" s="1" nd="1"/>
        <i x="193" s="1" nd="1"/>
        <i x="665" s="1" nd="1"/>
        <i x="564" s="1" nd="1"/>
        <i x="154" s="1" nd="1"/>
        <i x="663" s="1" nd="1"/>
        <i x="222" s="1" nd="1"/>
        <i x="392" s="1" nd="1"/>
        <i x="727" s="1" nd="1"/>
        <i x="131" s="1" nd="1"/>
        <i x="301" s="1" nd="1"/>
        <i x="91" s="1" nd="1"/>
        <i x="309" s="1" nd="1"/>
        <i x="380" s="1" nd="1"/>
        <i x="404" s="1" nd="1"/>
        <i x="656" s="1" nd="1"/>
        <i x="446" s="1" nd="1"/>
        <i x="634" s="1" nd="1"/>
        <i x="52" s="1" nd="1"/>
        <i x="324" s="1" nd="1"/>
        <i x="607" s="1" nd="1"/>
        <i x="189" s="1" nd="1"/>
        <i x="158" s="1" nd="1"/>
        <i x="284" s="1" nd="1"/>
        <i x="335" s="1" nd="1"/>
        <i x="435" s="1" nd="1"/>
        <i x="285" s="1" nd="1"/>
        <i x="60" s="1" nd="1"/>
        <i x="737" s="1" nd="1"/>
        <i x="107" s="1" nd="1"/>
        <i x="549" s="1" nd="1"/>
        <i x="198" s="1" nd="1"/>
        <i x="196" s="1" nd="1"/>
        <i x="699" s="1" nd="1"/>
        <i x="676" s="1" nd="1"/>
        <i x="353" s="1" nd="1"/>
        <i x="333" s="1" nd="1"/>
        <i x="22" s="1" nd="1"/>
        <i x="73" s="1" nd="1"/>
        <i x="123" s="1" nd="1"/>
        <i x="638" s="1" nd="1"/>
        <i x="307" s="1" nd="1"/>
        <i x="595" s="1" nd="1"/>
        <i x="256" s="1" nd="1"/>
        <i x="195" s="1" nd="1"/>
        <i x="396" s="1" nd="1"/>
        <i x="125" s="1" nd="1"/>
        <i x="720" s="1" nd="1"/>
        <i x="354" s="1" nd="1"/>
        <i x="170" s="1" nd="1"/>
        <i x="140" s="1" nd="1"/>
        <i x="628" s="1" nd="1"/>
        <i x="616" s="1" nd="1"/>
        <i x="291" s="1" nd="1"/>
        <i x="322" s="1" nd="1"/>
        <i x="696" s="1" nd="1"/>
        <i x="129" s="1" nd="1"/>
        <i x="148" s="1" nd="1"/>
        <i x="68" s="1" nd="1"/>
        <i x="584" s="1" nd="1"/>
        <i x="667" s="1" nd="1"/>
        <i x="230" s="1" nd="1"/>
        <i x="213" s="1" nd="1"/>
        <i x="347" s="1" nd="1"/>
        <i x="739" s="1" nd="1"/>
        <i x="622" s="1" nd="1"/>
        <i x="705" s="1" nd="1"/>
        <i x="351" s="1" nd="1"/>
        <i x="45" s="1" nd="1"/>
        <i x="152" s="1" nd="1"/>
        <i x="246" s="1" nd="1"/>
        <i x="311" s="1" nd="1"/>
        <i x="642" s="1" nd="1"/>
        <i x="518" s="1" nd="1"/>
        <i x="588" s="1" nd="1"/>
        <i x="575" s="1" nd="1"/>
        <i x="407" s="1" nd="1"/>
        <i x="672" s="1" nd="1"/>
        <i x="47" s="1" nd="1"/>
        <i x="681" s="1" nd="1"/>
        <i x="314" s="1" nd="1"/>
        <i x="331" s="1" nd="1"/>
        <i x="341" s="1" nd="1"/>
        <i x="257" s="1" nd="1"/>
        <i x="491" s="1" nd="1"/>
        <i x="477" s="1" nd="1"/>
        <i x="447" s="1" nd="1"/>
        <i x="37" s="1" nd="1"/>
        <i x="647" s="1" nd="1"/>
        <i x="670" s="1" nd="1"/>
        <i x="232" s="1" nd="1"/>
        <i x="482" s="1" nd="1"/>
        <i x="550" s="1" nd="1"/>
        <i x="96" s="1" nd="1"/>
        <i x="17" s="1" nd="1"/>
        <i x="78" s="1" nd="1"/>
        <i x="23" s="1" nd="1"/>
        <i x="726" s="1" nd="1"/>
        <i x="54" s="1" nd="1"/>
        <i x="569" s="1" nd="1"/>
        <i x="714" s="1" nd="1"/>
        <i x="84" s="1" nd="1"/>
        <i x="520" s="1" nd="1"/>
        <i x="29" s="1" nd="1"/>
        <i x="214" s="1" nd="1"/>
        <i x="4" s="1" nd="1"/>
        <i x="58" s="1" nd="1"/>
        <i x="228" s="1" nd="1"/>
        <i x="323" s="1" nd="1"/>
        <i x="417" s="1" nd="1"/>
        <i x="524" s="1" nd="1"/>
        <i x="49" s="1" nd="1"/>
        <i x="258" s="1" nd="1"/>
        <i x="572" s="1" nd="1"/>
        <i x="48" s="1" nd="1"/>
        <i x="513" s="1" nd="1"/>
        <i x="67" s="1" nd="1"/>
        <i x="259" s="1" nd="1"/>
        <i x="348" s="1" nd="1"/>
        <i x="479" s="1" nd="1"/>
        <i x="641" s="1" nd="1"/>
        <i x="655" s="1" nd="1"/>
        <i x="389" s="1" nd="1"/>
        <i x="203" s="1" nd="1"/>
        <i x="552" s="1" nd="1"/>
        <i x="25" s="1" nd="1"/>
        <i x="223" s="1" nd="1"/>
        <i x="612" s="1" nd="1"/>
        <i x="66" s="1" nd="1"/>
        <i x="466" s="1" nd="1"/>
        <i x="583" s="1" nd="1"/>
        <i x="586" s="1" nd="1"/>
        <i x="677" s="1" nd="1"/>
        <i x="315" s="1" nd="1"/>
        <i x="79" s="1" nd="1"/>
        <i x="591" s="1" nd="1"/>
        <i x="1" s="1" nd="1"/>
        <i x="537" s="1" nd="1"/>
        <i x="532" s="1" nd="1"/>
        <i x="545" s="1" nd="1"/>
        <i x="108" s="1" nd="1"/>
        <i x="278" s="1" nd="1"/>
        <i x="459" s="1" nd="1"/>
        <i x="62" s="1" nd="1"/>
        <i x="94" s="1" nd="1"/>
        <i x="546" s="1" nd="1"/>
        <i x="666" s="1" nd="1"/>
        <i x="344" s="1" nd="1"/>
        <i x="321" s="1" nd="1"/>
        <i x="577" s="1" nd="1"/>
        <i x="340" s="1" nd="1"/>
        <i x="57" s="1" nd="1"/>
        <i x="130" s="1" nd="1"/>
        <i x="553" s="1" nd="1"/>
        <i x="143" s="1" nd="1"/>
        <i x="138" s="1" nd="1"/>
        <i x="613" s="1" nd="1"/>
        <i x="580" s="1" nd="1"/>
        <i x="653" s="1" nd="1"/>
        <i x="77" s="1" nd="1"/>
        <i x="454" s="1" nd="1"/>
        <i x="188" s="1" nd="1"/>
        <i x="251" s="1" nd="1"/>
        <i x="43" s="1" nd="1"/>
        <i x="398" s="1" nd="1"/>
        <i x="363" s="1" nd="1"/>
        <i x="568" s="1" nd="1"/>
        <i x="122" s="1" nd="1"/>
        <i x="27" s="1" nd="1"/>
        <i x="535" s="1" nd="1"/>
        <i x="184" s="1" nd="1"/>
        <i x="15" s="1" nd="1"/>
        <i x="157" s="1" nd="1"/>
        <i x="210" s="1" nd="1"/>
        <i x="619" s="1" nd="1"/>
        <i x="199" s="1" nd="1"/>
        <i x="253" s="1" nd="1"/>
        <i x="625" s="1" nd="1"/>
        <i x="458" s="1" nd="1"/>
        <i x="717" s="1" nd="1"/>
        <i x="87" s="1" nd="1"/>
        <i x="69" s="1" nd="1"/>
        <i x="378" s="1" nd="1"/>
        <i x="635" s="1" nd="1"/>
        <i x="85" s="1" nd="1"/>
        <i x="224" s="1" nd="1"/>
        <i x="10" s="1" nd="1"/>
        <i x="687" s="1" nd="1"/>
        <i x="698" s="1" nd="1"/>
        <i x="59" s="1" nd="1"/>
        <i x="539" s="1" nd="1"/>
        <i x="204" s="1" nd="1"/>
        <i x="13" s="1" nd="1"/>
        <i x="527" s="1" nd="1"/>
        <i x="76" s="1" nd="1"/>
        <i x="422" s="1" nd="1"/>
        <i x="444" s="1" nd="1"/>
        <i x="93" s="1" nd="1"/>
        <i x="478" s="1" nd="1"/>
        <i x="273" s="1" nd="1"/>
        <i x="709" s="1" nd="1"/>
        <i x="65" s="1" nd="1"/>
        <i x="102" s="1" nd="1"/>
        <i x="292" s="1" nd="1"/>
        <i x="710" s="1" nd="1"/>
        <i x="19" s="1" nd="1"/>
        <i x="651" s="1" nd="1"/>
        <i x="474" s="1" nd="1"/>
        <i x="493" s="1" nd="1"/>
        <i x="376" s="1" nd="1"/>
        <i x="53" s="1" nd="1"/>
        <i x="82" s="1" nd="1"/>
        <i x="313" s="1" nd="1"/>
        <i x="100" s="1" nd="1"/>
        <i x="685" s="1" nd="1"/>
        <i x="675" s="1" nd="1"/>
        <i x="135" s="1" nd="1"/>
        <i x="624" s="1" nd="1"/>
        <i x="114" s="1" nd="1"/>
        <i x="581" s="1" nd="1"/>
        <i x="34" s="1" nd="1"/>
        <i x="592" s="1" nd="1"/>
        <i x="133" s="1" nd="1"/>
        <i x="330" s="1" nd="1"/>
        <i x="264" s="1" nd="1"/>
        <i x="16" s="1" nd="1"/>
        <i x="89" s="1" nd="1"/>
        <i x="680" s="1" nd="1"/>
        <i x="601" s="1" nd="1"/>
        <i x="413" s="1" nd="1"/>
        <i x="118" s="1" nd="1"/>
        <i x="668" s="1" nd="1"/>
        <i x="334" s="1" nd="1"/>
        <i x="721" s="1" nd="1"/>
        <i x="318" s="1" nd="1"/>
        <i x="531" s="1" nd="1"/>
        <i x="559" s="1" nd="1"/>
        <i x="408" s="1" nd="1"/>
        <i x="153" s="1" nd="1"/>
        <i x="682" s="1" nd="1"/>
        <i x="679" s="1" nd="1"/>
        <i x="554" s="1" nd="1"/>
        <i x="31" s="1" nd="1"/>
        <i x="382" s="1" nd="1"/>
        <i x="137" s="1" nd="1"/>
        <i x="691" s="1" nd="1"/>
        <i x="169" s="1" nd="1"/>
        <i x="20" s="1" nd="1"/>
        <i x="578" s="1" nd="1"/>
        <i x="688" s="1" nd="1"/>
        <i x="119" s="1" nd="1"/>
        <i x="701" s="1" nd="1"/>
        <i x="390" s="1" nd="1"/>
        <i x="178" s="1" nd="1"/>
        <i x="105" s="1" nd="1"/>
        <i x="704" s="1" nd="1"/>
        <i x="319" s="1" nd="1"/>
        <i x="534" s="1" nd="1"/>
        <i x="70" s="1" nd="1"/>
        <i x="312" s="1" nd="1"/>
        <i x="229" s="1" nd="1"/>
        <i x="295" s="1" nd="1"/>
        <i x="606" s="1" nd="1"/>
        <i x="83" s="1" nd="1"/>
        <i x="360" s="1" nd="1"/>
        <i x="92" s="1" nd="1"/>
        <i x="562" s="1" nd="1"/>
        <i x="144" s="1" nd="1"/>
        <i x="28" s="1" nd="1"/>
        <i x="597" s="1" nd="1"/>
        <i x="621" s="1" nd="1"/>
        <i x="615" s="1" nd="1"/>
        <i x="476" s="1" nd="1"/>
        <i x="598" s="1" nd="1"/>
        <i x="544" s="1" nd="1"/>
        <i x="521" s="1" nd="1"/>
        <i x="55" s="1" nd="1"/>
        <i x="41" s="1" nd="1"/>
        <i x="599" s="1" nd="1"/>
        <i x="356" s="1" nd="1"/>
        <i x="418" s="1" nd="1"/>
        <i x="103" s="1" nd="1"/>
        <i x="42" s="1" nd="1"/>
        <i x="332" s="1" nd="1"/>
        <i x="713" s="1" nd="1"/>
        <i x="239" s="1" nd="1"/>
        <i x="658" s="1" nd="1"/>
        <i x="529" s="1" nd="1"/>
        <i x="233" s="1" nd="1"/>
        <i x="711" s="1" nd="1"/>
        <i x="678" s="1" nd="1"/>
        <i x="648" s="1" nd="1"/>
        <i x="558" s="1" nd="1"/>
        <i x="36" s="1" nd="1"/>
        <i x="697" s="1" nd="1"/>
        <i x="211" s="1" nd="1"/>
        <i x="346" s="1" nd="1"/>
        <i x="626" s="1" nd="1"/>
        <i x="141" s="1" nd="1"/>
        <i x="274" s="1" nd="1"/>
        <i x="328" s="1" nd="1"/>
        <i x="379" s="1" nd="1"/>
        <i x="503" s="1" nd="1"/>
        <i x="528" s="1" nd="1"/>
        <i x="609" s="1" nd="1"/>
        <i x="21" s="1" nd="1"/>
        <i x="502" s="1" nd="1"/>
        <i x="533" s="1" nd="1"/>
        <i x="439" s="1" nd="1"/>
        <i x="515" s="1" nd="1"/>
        <i x="630" s="1" nd="1"/>
        <i x="74" s="1" nd="1"/>
        <i x="555" s="1" nd="1"/>
        <i x="618" s="1" nd="1"/>
        <i x="325" s="1" nd="1"/>
        <i x="151" s="1" nd="1"/>
        <i x="465" s="1" nd="1"/>
        <i x="566" s="1" nd="1"/>
        <i x="176" s="1" nd="1"/>
        <i x="275" s="1" nd="1"/>
        <i x="305" s="1" nd="1"/>
        <i x="50" s="1" nd="1"/>
        <i x="269" s="1" nd="1"/>
        <i x="64" s="1" nd="1"/>
        <i x="543" s="1" nd="1"/>
        <i x="510" s="1" nd="1"/>
        <i x="560" s="1" nd="1"/>
        <i x="182" s="1" nd="1"/>
        <i x="671" s="1" nd="1"/>
        <i x="567" s="1" nd="1"/>
        <i x="495" s="1" nd="1"/>
        <i x="500" s="1" nd="1"/>
        <i x="636" s="1" nd="1"/>
        <i x="174" s="1" nd="1"/>
        <i x="277" s="1" nd="1"/>
        <i x="437" s="1" nd="1"/>
        <i x="155" s="1" nd="1"/>
        <i x="338" s="1" nd="1"/>
        <i x="40" s="1" nd="1"/>
        <i x="548" s="1" nd="1"/>
        <i x="573" s="1" nd="1"/>
        <i x="316" s="1" nd="1"/>
        <i x="629" s="1" nd="1"/>
        <i x="202" s="1" nd="1"/>
        <i x="724" s="1" nd="1"/>
        <i x="483" s="1" nd="1"/>
        <i x="120" s="1" nd="1"/>
        <i x="97" s="1" nd="1"/>
        <i x="718" s="1" nd="1"/>
        <i x="302" s="1" nd="1"/>
        <i x="320" s="1" nd="1"/>
        <i x="306" s="1" nd="1"/>
        <i x="282" s="1" nd="1"/>
        <i x="690" s="1" nd="1"/>
        <i x="728" s="1" nd="1"/>
        <i x="243" s="1" nd="1"/>
        <i x="730" s="1" nd="1"/>
        <i x="374" s="1" nd="1"/>
        <i x="386" s="1" nd="1"/>
        <i x="522" s="1" nd="1"/>
        <i x="32" s="1" nd="1"/>
        <i x="61" s="1" nd="1"/>
        <i x="441" s="1" nd="1"/>
        <i x="8" s="1" nd="1"/>
        <i x="44" s="1" nd="1"/>
        <i x="620" s="1" nd="1"/>
        <i x="267" s="1" nd="1"/>
        <i x="734" s="1" nd="1"/>
        <i x="56" s="1" nd="1"/>
        <i x="614" s="1" nd="1"/>
        <i x="556" s="1" nd="1"/>
        <i x="51" s="1" nd="1"/>
        <i x="436" s="1" nd="1"/>
        <i x="399" s="1" nd="1"/>
        <i x="186" s="1" nd="1"/>
        <i x="226" s="1" nd="1"/>
        <i x="725" s="1" nd="1"/>
        <i x="643" s="1" nd="1"/>
        <i x="134" s="1" nd="1"/>
        <i x="145" s="1" nd="1"/>
        <i x="576" s="1" nd="1"/>
        <i x="106" s="1" nd="1"/>
        <i x="565" s="1" nd="1"/>
        <i x="571" s="1" nd="1"/>
        <i x="33" s="1" nd="1"/>
        <i x="310" s="1" nd="1"/>
        <i x="462" s="1" nd="1"/>
        <i x="9" s="1" nd="1"/>
        <i x="221" s="1" nd="1"/>
        <i x="631" s="1" nd="1"/>
        <i x="95" s="1" nd="1"/>
        <i x="146" s="1" nd="1"/>
        <i x="715" s="1" nd="1"/>
        <i x="722" s="1" nd="1"/>
        <i x="279" s="1" nd="1"/>
        <i x="525" s="1" nd="1"/>
        <i x="192" s="1" nd="1"/>
        <i x="574" s="1" nd="1"/>
        <i x="111" s="1" nd="1"/>
        <i x="645" s="1" nd="1"/>
        <i x="587" s="1" nd="1"/>
        <i x="268" s="1" nd="1"/>
        <i x="147" s="1" nd="1"/>
        <i x="732" s="1" nd="1"/>
        <i x="350" s="1" nd="1"/>
        <i x="39" s="1" nd="1"/>
        <i x="5" s="1" nd="1"/>
        <i x="26" s="1" nd="1"/>
        <i x="156" s="1" nd="1"/>
        <i x="659" s="1" nd="1"/>
        <i x="735" s="1" nd="1"/>
        <i x="589" s="1" nd="1"/>
        <i x="617" s="1" nd="1"/>
        <i x="88" s="1" nd="1"/>
        <i x="729" s="1" nd="1"/>
        <i x="261" s="1" nd="1"/>
        <i x="18" s="1" nd="1"/>
        <i x="640" s="1" nd="1"/>
        <i x="547" s="1" nd="1"/>
        <i x="692" s="1" nd="1"/>
        <i x="272" s="1" nd="1"/>
        <i x="336" s="1" nd="1"/>
        <i x="161" s="1" nd="1"/>
        <i x="343" s="1" nd="1"/>
        <i x="660" s="1" nd="1"/>
        <i x="657" s="1" nd="1"/>
        <i x="605" s="1" nd="1"/>
        <i x="414" s="1" nd="1"/>
        <i x="197" s="1" nd="1"/>
        <i x="639" s="1" nd="1"/>
        <i x="35" s="1" nd="1"/>
        <i x="508" s="1" nd="1"/>
        <i x="463" s="1" nd="1"/>
        <i x="80" s="1" nd="1"/>
        <i x="300" s="1" nd="1"/>
        <i x="90" s="1" nd="1"/>
        <i x="46" s="1" nd="1"/>
        <i x="694" s="1" nd="1"/>
        <i x="358" s="1" nd="1"/>
        <i x="337" s="1" nd="1"/>
        <i x="683" s="1" nd="1"/>
        <i x="212" s="1" nd="1"/>
        <i x="2" s="1" nd="1"/>
        <i x="126" s="1" nd="1"/>
        <i x="669" s="1" nd="1"/>
        <i x="201" s="1" nd="1"/>
        <i x="650" s="1" nd="1"/>
        <i x="24" s="1" nd="1"/>
        <i x="716" s="1" nd="1"/>
        <i x="220" s="1" nd="1"/>
        <i x="372" s="1" nd="1"/>
        <i x="538" s="1" nd="1"/>
        <i x="590" s="1" nd="1"/>
        <i x="136" s="1" nd="1"/>
        <i x="117" s="1" nd="1"/>
        <i x="563" s="1" nd="1"/>
        <i x="662" s="1" nd="1"/>
        <i x="557" s="1" nd="1"/>
        <i x="115" s="1" nd="1"/>
        <i x="646" s="1" nd="1"/>
        <i x="293" s="1" nd="1"/>
        <i x="249" s="1" nd="1"/>
        <i x="294" s="1" nd="1"/>
        <i x="260" s="1" nd="1"/>
        <i x="250" s="1" nd="1"/>
        <i x="262" s="1" nd="1"/>
        <i x="238" s="1" nd="1"/>
        <i x="296" s="1" nd="1"/>
        <i x="283" s="1" nd="1"/>
        <i x="303" s="1" nd="1"/>
        <i x="240" s="1" nd="1"/>
        <i x="297" s="1" nd="1"/>
        <i x="241" s="1" nd="1"/>
        <i x="298" s="1" nd="1"/>
        <i x="265" s="1" nd="1"/>
        <i x="242" s="1" nd="1"/>
        <i x="266" s="1" nd="1"/>
        <i x="244" s="1" nd="1"/>
        <i x="270" s="1" nd="1"/>
        <i x="11" s="1" nd="1"/>
        <i x="415" s="1" nd="1"/>
        <i x="375" s="1" nd="1"/>
        <i x="440" s="1" nd="1"/>
        <i x="442" s="1" nd="1"/>
        <i x="486" s="1" nd="1"/>
        <i x="445" s="1" nd="1"/>
        <i x="397" s="1" nd="1"/>
        <i x="487" s="1" nd="1"/>
        <i x="420" s="1" nd="1"/>
        <i x="488" s="1" nd="1"/>
        <i x="468" s="1" nd="1"/>
        <i x="421" s="1" nd="1"/>
        <i x="377" s="1" nd="1"/>
        <i x="489" s="1" nd="1"/>
        <i x="471" s="1" nd="1"/>
        <i x="449" s="1" nd="1"/>
        <i x="400" s="1" nd="1"/>
        <i x="423" s="1" nd="1"/>
        <i x="381" s="1" nd="1"/>
        <i x="505" s="1" nd="1"/>
        <i x="450" s="1" nd="1"/>
        <i x="424" s="1" nd="1"/>
        <i x="383" s="1" nd="1"/>
        <i x="507" s="1" nd="1"/>
        <i x="451" s="1" nd="1"/>
        <i x="425" s="1" nd="1"/>
        <i x="401" s="1" nd="1"/>
        <i x="364" s="1" nd="1"/>
        <i x="509" s="1" nd="1"/>
        <i x="492" s="1" nd="1"/>
        <i x="452" s="1" nd="1"/>
        <i x="426" s="1" nd="1"/>
        <i x="402" s="1" nd="1"/>
        <i x="365" s="1" nd="1"/>
        <i x="453" s="1" nd="1"/>
        <i x="428" s="1" nd="1"/>
        <i x="403" s="1" nd="1"/>
        <i x="384" s="1" nd="1"/>
        <i x="475" s="1" nd="1"/>
        <i x="430" s="1" nd="1"/>
        <i x="385" s="1" nd="1"/>
        <i x="494" s="1" nd="1"/>
        <i x="455" s="1" nd="1"/>
        <i x="405" s="1" nd="1"/>
        <i x="366" s="1" nd="1"/>
        <i x="511" s="1" nd="1"/>
        <i x="496" s="1" nd="1"/>
        <i x="456" s="1" nd="1"/>
        <i x="367" s="1" nd="1"/>
        <i x="512" s="1" nd="1"/>
        <i x="497" s="1" nd="1"/>
        <i x="457" s="1" nd="1"/>
        <i x="432" s="1" nd="1"/>
        <i x="406" s="1" nd="1"/>
        <i x="514" s="1" nd="1"/>
        <i x="498" s="1" nd="1"/>
        <i x="433" s="1" nd="1"/>
        <i x="387" s="1" nd="1"/>
        <i x="368" s="1" nd="1"/>
        <i x="499" s="1" nd="1"/>
        <i x="434" s="1" nd="1"/>
        <i x="409" s="1" nd="1"/>
        <i x="388" s="1" nd="1"/>
        <i x="369" s="1" nd="1"/>
        <i x="410" s="1" nd="1"/>
        <i x="370" s="1" nd="1"/>
        <i x="460" s="1" nd="1"/>
        <i x="516" s="1" nd="1"/>
        <i x="461" s="1" nd="1"/>
        <i x="412" s="1" nd="1"/>
        <i x="391" s="1" nd="1"/>
        <i x="501" s="1" nd="1"/>
        <i x="517" s="1" nd="1"/>
        <i x="519" s="1" nd="1"/>
        <i x="443" s="1" nd="1"/>
        <i x="448" s="1" nd="1"/>
        <i x="484" s="1" nd="1"/>
        <i x="469" s="1" nd="1"/>
        <i x="216" s="1" nd="1"/>
        <i x="217" s="1" nd="1"/>
        <i x="180" s="1" nd="1"/>
        <i x="172" s="1" nd="1"/>
        <i x="234" s="1" nd="1"/>
        <i x="218" s="1" nd="1"/>
        <i x="235" s="1" nd="1"/>
        <i x="205" s="1" nd="1"/>
        <i x="160" s="1" nd="1"/>
        <i x="236" s="1" nd="1"/>
        <i x="219" s="1" nd="1"/>
        <i x="183" s="1" nd="1"/>
        <i x="173" s="1" nd="1"/>
        <i x="162" s="1" nd="1"/>
        <i x="237" s="1" nd="1"/>
        <i x="206" s="1" nd="1"/>
        <i x="185" s="1" nd="1"/>
        <i x="163" s="1" nd="1"/>
        <i x="175" s="1" nd="1"/>
        <i x="164" s="1" nd="1"/>
        <i x="177" s="1" nd="1"/>
        <i x="200"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32" name="PivotTable1"/>
  </pivotTables>
  <data>
    <tabular pivotCacheId="7">
      <items count="988">
        <i x="245" s="1" nd="1"/>
        <i x="724" s="1" nd="1"/>
        <i x="91" s="1" nd="1"/>
        <i x="314" s="1" nd="1"/>
        <i x="68" s="1" nd="1"/>
        <i x="298" s="1" nd="1"/>
        <i x="539" s="1" nd="1"/>
        <i x="791" s="1" nd="1"/>
        <i x="175" s="1" nd="1"/>
        <i x="744" s="1" nd="1"/>
        <i x="461" s="1" nd="1"/>
        <i x="97" s="1" nd="1"/>
        <i x="563" s="1" nd="1"/>
        <i x="815" s="1" nd="1"/>
        <i x="930" s="1" nd="1"/>
        <i x="393" s="1" nd="1"/>
        <i x="150" s="1" nd="1"/>
        <i x="621" s="1" nd="1"/>
        <i x="489" s="1" nd="1"/>
        <i x="864" s="1" nd="1"/>
        <i x="776" s="1" nd="1"/>
        <i x="912" s="1" nd="1"/>
        <i x="697" s="1" nd="1"/>
        <i x="369" s="1" nd="1"/>
        <i x="541" s="1" nd="1"/>
        <i x="347" s="1" nd="1"/>
        <i x="465" s="1" nd="1"/>
        <i x="591" s="1" nd="1"/>
        <i x="840" s="1" nd="1"/>
        <i x="936" s="1" nd="1"/>
        <i x="10" s="1" nd="1"/>
        <i x="626" s="1" nd="1"/>
        <i x="825" s="1" nd="1"/>
        <i x="856" s="1" nd="1"/>
        <i x="113" s="1" nd="1"/>
        <i x="400" s="1" nd="1"/>
        <i x="432" s="1" nd="1"/>
        <i x="498" s="1" nd="1"/>
        <i x="522" s="1" nd="1"/>
        <i x="805" s="1" nd="1"/>
        <i x="903" s="1" nd="1"/>
        <i x="99" s="1" nd="1"/>
        <i x="325" s="1" nd="1"/>
        <i x="358" s="1" nd="1"/>
        <i x="416" s="1" nd="1"/>
        <i x="689" s="1" nd="1"/>
        <i x="950" s="1" nd="1"/>
        <i x="980" s="1" nd="1"/>
        <i x="111" s="1" nd="1"/>
        <i x="169" s="1" nd="1"/>
        <i x="364" s="1" nd="1"/>
        <i x="703" s="1" nd="1"/>
        <i x="900" s="1" nd="1"/>
        <i x="4" s="1" nd="1"/>
        <i x="98" s="1" nd="1"/>
        <i x="210" s="1" nd="1"/>
        <i x="507" s="1" nd="1"/>
        <i x="721" s="1" nd="1"/>
        <i x="818" s="1" nd="1"/>
        <i x="922" s="1" nd="1"/>
        <i x="43" s="1" nd="1"/>
        <i x="278" s="1" nd="1"/>
        <i x="339" s="1" nd="1"/>
        <i x="395" s="1" nd="1"/>
        <i x="739" s="1" nd="1"/>
        <i x="963" s="1" nd="1"/>
        <i x="208" s="1" nd="1"/>
        <i x="238" s="1" nd="1"/>
        <i x="414" s="1" nd="1"/>
        <i x="560" s="1" nd="1"/>
        <i x="683" s="1" nd="1"/>
        <i x="784" s="1" nd="1"/>
        <i x="850" s="1" nd="1"/>
        <i x="915" s="1" nd="1"/>
        <i x="946" s="1" nd="1"/>
        <i x="975" s="1" nd="1"/>
        <i x="108" s="1" nd="1"/>
        <i x="275" s="1" nd="1"/>
        <i x="303" s="1" nd="1"/>
        <i x="763" s="1" nd="1"/>
        <i x="797" s="1" nd="1"/>
        <i x="106" s="1" nd="1"/>
        <i x="151" s="1" nd="1"/>
        <i x="272" s="1" nd="1"/>
        <i x="290" s="1" nd="1"/>
        <i x="360" s="1" nd="1"/>
        <i x="411" s="1" nd="1"/>
        <i x="427" s="1" nd="1"/>
        <i x="660" s="1" nd="1"/>
        <i x="737" s="1" nd="1"/>
        <i x="846" s="1" nd="1"/>
        <i x="960" s="1" nd="1"/>
        <i x="972" s="1" nd="1"/>
        <i x="13" s="1" nd="1"/>
        <i x="78" s="1" nd="1"/>
        <i x="220" s="1" nd="1"/>
        <i x="315" s="1" nd="1"/>
        <i x="350" s="1" nd="1"/>
        <i x="424" s="1" nd="1"/>
        <i x="503" s="1" nd="1"/>
        <i x="528" s="1" nd="1"/>
        <i x="659" s="1" nd="1"/>
        <i x="778" s="1" nd="1"/>
        <i x="121" s="1" nd="1"/>
        <i x="235" s="1" nd="1"/>
        <i x="250" s="1" nd="1"/>
        <i x="333" s="1" nd="1"/>
        <i x="408" s="1" nd="1"/>
        <i x="542" s="1" nd="1"/>
        <i x="681" s="1" nd="1"/>
        <i x="713" s="1" nd="1"/>
        <i x="830" s="1" nd="1"/>
        <i x="940" s="1" nd="1"/>
        <i x="39" s="1" nd="1"/>
        <i x="75" s="1" nd="1"/>
        <i x="268" s="1" nd="1"/>
        <i x="287" s="1" nd="1"/>
        <i x="331" s="1" nd="1"/>
        <i x="617" s="1" nd="1"/>
        <i x="760" s="1" nd="1"/>
        <i x="775" s="1" nd="1"/>
        <i x="829" s="1" nd="1"/>
        <i x="842" s="1" nd="1"/>
        <i x="93" s="1" nd="1"/>
        <i x="132" s="1" nd="1"/>
        <i x="162" s="1" nd="1"/>
        <i x="179" s="1" nd="1"/>
        <i x="203" s="1" nd="1"/>
        <i x="285" s="1" nd="1"/>
        <i x="329" s="1" nd="1"/>
        <i x="615" s="1" nd="1"/>
        <i x="696" s="1" nd="1"/>
        <i x="793" s="1" nd="1"/>
        <i x="909" s="1" nd="1"/>
        <i x="957" s="1" nd="1"/>
        <i x="71" s="1" nd="1"/>
        <i x="201" s="1" nd="1"/>
        <i x="218" s="1" nd="1"/>
        <i x="232" s="1" nd="1"/>
        <i x="248" s="1" nd="1"/>
        <i x="267" s="1" nd="1"/>
        <i x="328" s="1" nd="1"/>
        <i x="368" s="1" nd="1"/>
        <i x="571" s="1" nd="1"/>
        <i x="628" s="1" nd="1"/>
        <i x="709" s="1" nd="1"/>
        <i x="730" s="1" nd="1"/>
        <i x="772" s="1" nd="1"/>
        <i x="807" s="1" nd="1"/>
        <i x="907" s="1" nd="1"/>
        <i x="926" s="1" nd="1"/>
        <i x="89" s="1" nd="1"/>
        <i x="104" s="1" nd="1"/>
        <i x="119" s="1" nd="1"/>
        <i x="144" s="1" nd="1"/>
        <i x="187" s="1" nd="1"/>
        <i x="217" s="1" nd="1"/>
        <i x="327" s="1" nd="1"/>
        <i x="403" s="1" nd="1"/>
        <i x="466" s="1" nd="1"/>
        <i x="540" s="1" nd="1"/>
        <i x="604" s="1" nd="1"/>
        <i x="612" s="1" nd="1"/>
        <i x="675" s="1" nd="1"/>
        <i x="749" s="1" nd="1"/>
        <i x="806" s="1" nd="1"/>
        <i x="841" s="1" nd="1"/>
        <i x="876" s="1" nd="1"/>
        <i x="937" s="1" nd="1"/>
        <i x="969" s="1" nd="1"/>
        <i x="116" s="1" nd="1"/>
        <i x="199" s="1" nd="1"/>
        <i x="215" s="1" nd="1"/>
        <i x="483" s="1" nd="1"/>
        <i x="500" s="1" nd="1"/>
        <i x="102" s="1" nd="1"/>
        <i x="590" s="1" nd="1"/>
        <i x="115" s="1" nd="1"/>
        <i x="603" s="1" nd="1"/>
        <i x="143" s="1" nd="1"/>
        <i x="638" s="1" nd="1"/>
        <i x="654" s="1" nd="1"/>
        <i x="186" s="1" nd="1"/>
        <i x="673" s="1" nd="1"/>
        <i x="694" s="1" nd="1"/>
        <i x="401" s="1" nd="1"/>
        <i x="482" s="1" nd="1"/>
        <i x="499" s="1" nd="1"/>
        <i x="524" s="1" nd="1"/>
        <i x="536" s="1" nd="1"/>
        <i x="67" s="1" nd="1"/>
        <i x="555" s="1" nd="1"/>
        <i x="569" s="1" nd="1"/>
        <i x="588" s="1" nd="1"/>
        <i x="173" s="1" nd="1"/>
        <i x="653" s="1" nd="1"/>
        <i x="747" s="1" nd="1"/>
        <i x="346" s="1" nd="1"/>
        <i x="887" s="1" nd="1"/>
        <i x="953" s="1" nd="1"/>
        <i x="448" s="1" nd="1"/>
        <i x="968" s="1" nd="1"/>
        <i x="36" s="1" nd="1"/>
        <i x="553" s="1" nd="1"/>
        <i x="114" s="1" nd="1"/>
        <i x="601" s="1" nd="1"/>
        <i x="198" s="1" nd="1"/>
        <i x="214" s="1" nd="1"/>
        <i x="728" s="1" nd="1"/>
        <i x="282" s="1" nd="1"/>
        <i x="789" s="1" nd="1"/>
        <i x="905" s="1" nd="1"/>
        <i x="418" s="1" nd="1"/>
        <i x="447" s="1" nd="1"/>
        <i x="983" s="1" nd="1"/>
        <i x="481" s="1" nd="1"/>
        <i x="86" s="1" nd="1"/>
        <i x="600" s="1" nd="1"/>
        <i x="652" s="1" nd="1"/>
        <i x="727" s="1" nd="1"/>
        <i x="788" s="1" nd="1"/>
        <i x="296" s="1" nd="1"/>
        <i x="311" s="1" nd="1"/>
        <i x="823" s="1" nd="1"/>
        <i x="904" s="1" nd="1"/>
        <i x="8" s="1" nd="1"/>
        <i x="51" s="1" nd="1"/>
        <i x="552" s="1" nd="1"/>
        <i x="84" s="1" nd="1"/>
        <i x="599" s="1" nd="1"/>
        <i x="141" s="1" nd="1"/>
        <i x="171" s="1" nd="1"/>
        <i x="257" s="1" nd="1"/>
        <i x="769" s="1" nd="1"/>
        <i x="281" s="1" nd="1"/>
        <i x="981" s="1" nd="1"/>
        <i x="7" s="1" nd="1"/>
        <i x="509" s="1" nd="1"/>
        <i x="32" s="1" nd="1"/>
        <i x="64" s="1" nd="1"/>
        <i x="651" s="1" nd="1"/>
        <i x="212" s="1" nd="1"/>
        <i x="743" s="1" nd="1"/>
        <i x="756" s="1" nd="1"/>
        <i x="822" s="1" nd="1"/>
        <i x="838" s="1" nd="1"/>
        <i x="342" s="1" nd="1"/>
        <i x="854" s="1" nd="1"/>
        <i x="357" s="1" nd="1"/>
        <i x="462" s="1" nd="1"/>
        <i x="6" s="1" nd="1"/>
        <i x="49" s="1" nd="1"/>
        <i x="128" s="1" nd="1"/>
        <i x="140" s="1" nd="1"/>
        <i x="688" s="1" nd="1"/>
        <i x="820" s="1" nd="1"/>
        <i x="365" s="1" nd="1"/>
        <i x="397" s="1" nd="1"/>
        <i x="935" s="1" nd="1"/>
        <i x="444" s="1" nd="1"/>
        <i x="508" s="1" nd="1"/>
        <i x="30" s="1" nd="1"/>
        <i x="47" s="1" nd="1"/>
        <i x="598" s="1" nd="1"/>
        <i x="154" s="1" nd="1"/>
        <i x="649" s="1" nd="1"/>
        <i x="230" s="1" nd="1"/>
        <i x="244" s="1" nd="1"/>
        <i x="742" s="1" nd="1"/>
        <i x="255" s="1" nd="1"/>
        <i x="801" s="1" nd="1"/>
        <i x="308" s="1" nd="1"/>
        <i x="323" s="1" nd="1"/>
        <i x="837" s="1" nd="1"/>
        <i x="872" s="1" nd="1"/>
        <i x="381" s="1" nd="1"/>
        <i x="948" s="1" nd="1"/>
        <i x="533" s="1" nd="1"/>
        <i x="63" s="1" nd="1"/>
        <i x="127" s="1" nd="1"/>
        <i x="609" s="1" nd="1"/>
        <i x="624" s="1" nd="1"/>
        <i x="648" s="1" nd="1"/>
        <i x="668" s="1" nd="1"/>
        <i x="195" s="1" nd="1"/>
        <i x="754" s="1" nd="1"/>
        <i x="800" s="1" nd="1"/>
        <i x="924" s="1" nd="1"/>
        <i x="415" s="1" nd="1"/>
        <i x="934" s="1" nd="1"/>
        <i x="520" s="1" nd="1"/>
        <i x="82" s="1" nd="1"/>
        <i x="126" s="1" nd="1"/>
        <i x="634" s="1" nd="1"/>
        <i x="167" s="1" nd="1"/>
        <i x="686" s="1" nd="1"/>
        <i x="722" s="1" nd="1"/>
        <i x="293" s="1" nd="1"/>
        <i x="306" s="1" nd="1"/>
        <i x="354" s="1" nd="1"/>
        <i x="379" s="1" nd="1"/>
        <i x="923" s="1" nd="1"/>
        <i x="965" s="1" nd="1"/>
        <i x="476" s="1" nd="1"/>
        <i x="2" s="1" nd="1"/>
        <i x="18" s="1" nd="1"/>
        <i x="518" s="1" nd="1"/>
        <i x="564" s="1" nd="1"/>
        <i x="597" s="1" nd="1"/>
        <i x="607" s="1" nd="1"/>
        <i x="666" s="1" nd="1"/>
        <i x="685" s="1" nd="1"/>
        <i x="701" s="1" nd="1"/>
        <i x="766" s="1" nd="1"/>
        <i x="279" s="1" nd="1"/>
        <i x="799" s="1" nd="1"/>
        <i x="816" s="1" nd="1"/>
        <i x="377" s="1" nd="1"/>
        <i x="494" s="1" nd="1"/>
        <i x="60" s="1" nd="1"/>
        <i x="580" s="1" nd="1"/>
        <i x="632" s="1" nd="1"/>
        <i x="240" s="1" nd="1"/>
        <i x="253" s="1" nd="1"/>
        <i x="292" s="1" nd="1"/>
        <i x="321" s="1" nd="1"/>
        <i x="361" s="1" nd="1"/>
        <i x="376" s="1" nd="1"/>
        <i x="459" s="1" nd="1"/>
        <i x="977" s="1" nd="1"/>
        <i x="125" s="1" nd="1"/>
        <i x="136" s="1" nd="1"/>
        <i x="622" s="1" nd="1"/>
        <i x="239" s="1" nd="1"/>
        <i x="765" s="1" nd="1"/>
        <i x="277" s="1" nd="1"/>
        <i x="813" s="1" nd="1"/>
        <i x="319" s="1" nd="1"/>
        <i x="337" s="1" nd="1"/>
        <i x="918" s="1" nd="1"/>
        <i x="931" s="1" nd="1"/>
        <i x="962" s="1" nd="1"/>
        <i x="28" s="1" nd="1"/>
        <i x="579" s="1" nd="1"/>
        <i x="165" s="1" nd="1"/>
        <i x="262" s="1" nd="1"/>
        <i x="304" s="1" nd="1"/>
        <i x="317" s="1" nd="1"/>
        <i x="851" s="1" nd="1"/>
        <i x="916" s="1" nd="1"/>
        <i x="413" s="1" nd="1"/>
        <i x="440" s="1" nd="1"/>
        <i x="457" s="1" nd="1"/>
        <i x="474" s="1" nd="1"/>
        <i x="504" s="1" nd="1"/>
        <i x="41" s="1" nd="1"/>
        <i x="578" s="1" nd="1"/>
        <i x="124" s="1" nd="1"/>
        <i x="605" s="1" nd="1"/>
        <i x="182" s="1" nd="1"/>
        <i x="665" s="1" nd="1"/>
        <i x="192" s="1" nd="1"/>
        <i x="206" s="1" nd="1"/>
        <i x="782" s="1" nd="1"/>
        <i x="849" s="1" nd="1"/>
        <i x="867" s="1" nd="1"/>
        <i x="412" s="1" nd="1"/>
        <i x="14" s="1" nd="1"/>
        <i x="27" s="1" nd="1"/>
        <i x="40" s="1" nd="1"/>
        <i x="530" s="1" nd="1"/>
        <i x="546" s="1" nd="1"/>
        <i x="577" s="1" nd="1"/>
        <i x="107" s="1" nd="1"/>
        <i x="123" s="1" nd="1"/>
        <i x="644" s="1" nd="1"/>
        <i x="663" s="1" nd="1"/>
        <i x="717" s="1" nd="1"/>
        <i x="273" s="1" nd="1"/>
        <i x="291" s="1" nd="1"/>
        <i x="302" s="1" nd="1"/>
        <i x="848" s="1" nd="1"/>
        <i x="160" s="1" nd="1"/>
        <i x="439" s="1" nd="1"/>
        <i x="456" s="1" nd="1"/>
        <i x="529" s="1" nd="1"/>
        <i x="826" s="1" nd="1"/>
        <i x="576" s="1" nd="1"/>
        <i x="596" s="1" nd="1"/>
        <i x="857" s="1" nd="1"/>
        <i x="889" s="1" nd="1"/>
        <i x="383" s="1" nd="1"/>
        <i x="402" s="1" nd="1"/>
        <i x="662" s="1" nd="1"/>
        <i x="190" s="1" nd="1"/>
        <i x="955" s="1" nd="1"/>
        <i x="449" s="1" nd="1"/>
        <i x="223" s="1" nd="1"/>
        <i x="464" s="1" nd="1"/>
        <i x="236" s="1" nd="1"/>
        <i x="738" s="1" nd="1"/>
        <i x="9" s="1" nd="1"/>
        <i x="23" s="1" nd="1"/>
        <i x="510" s="1" nd="1"/>
        <i x="537" s="1" nd="1"/>
        <i x="796" s="1" nd="1"/>
        <i x="811" s="1" nd="1"/>
        <i x="833" s="1" nd="1"/>
        <i x="101" s="1" nd="1"/>
        <i x="589" s="1" nd="1"/>
        <i x="159" s="1" nd="1"/>
        <i x="392" s="1" nd="1"/>
        <i x="943" s="1" nd="1"/>
        <i x="438" s="1" nd="1"/>
        <i x="693" s="1" nd="1"/>
        <i x="973" s="1" nd="1"/>
        <i x="473" s="1" nd="1"/>
        <i x="283" s="1" nd="1"/>
        <i x="58" s="1" nd="1"/>
        <i x="79" s="1" nd="1"/>
        <i x="575" s="1" nd="1"/>
        <i x="839" s="1" nd="1"/>
        <i x="595" s="1" nd="1"/>
        <i x="888" s="1" nd="1"/>
        <i x="420" s="1" nd="1"/>
        <i x="661" s="1" nd="1"/>
        <i x="189" s="1" nd="1"/>
        <i x="954" s="1" nd="1"/>
        <i x="222" s="1" nd="1"/>
        <i x="716" s="1" nd="1"/>
        <i x="22" s="1" nd="1"/>
        <i x="523" s="1" nd="1"/>
        <i x="780" s="1" nd="1"/>
        <i x="289" s="1" nd="1"/>
        <i x="535" s="1" nd="1"/>
        <i x="66" s="1" nd="1"/>
        <i x="554" s="1" nd="1"/>
        <i x="316" s="1" nd="1"/>
        <i x="587" s="1" nd="1"/>
        <i x="847" s="1" nd="1"/>
        <i x="351" s="1" nd="1"/>
        <i x="602" s="1" nd="1"/>
        <i x="374" s="1" nd="1"/>
        <i x="625" s="1" nd="1"/>
        <i x="895" s="1" nd="1"/>
        <i x="172" s="1" nd="1"/>
        <i x="426" s="1" nd="1"/>
        <i x="672" s="1" nd="1"/>
        <i x="942" s="1" nd="1"/>
        <i x="692" s="1" nd="1"/>
        <i x="961" s="1" nd="1"/>
        <i x="491" s="1" nd="1"/>
        <i x="746" s="1" nd="1"/>
        <i x="545" s="1" nd="1"/>
        <i x="312" s="1" nd="1"/>
        <i x="559" s="1" nd="1"/>
        <i x="824" s="1" nd="1"/>
        <i x="326" s="1" nd="1"/>
        <i x="345" s="1" nd="1"/>
        <i x="874" s="1" nd="1"/>
        <i x="135" s="1" nd="1"/>
        <i x="886" s="1" nd="1"/>
        <i x="631" s="1" nd="1"/>
        <i x="906" s="1" nd="1"/>
        <i x="164" s="1" nd="1"/>
        <i x="643" s="1" nd="1"/>
        <i x="419" s="1" nd="1"/>
        <i x="952" s="1" nd="1"/>
        <i x="204" s="1" nd="1"/>
        <i x="221" s="1" nd="1"/>
        <i x="715" s="1" nd="1"/>
        <i x="21" s="1" nd="1"/>
        <i x="35" s="1" nd="1"/>
        <i x="795" s="1" nd="1"/>
        <i x="301" s="1" nd="1"/>
        <i x="87" s="1" nd="1"/>
        <i x="568" s="1" nd="1"/>
        <i x="832" s="1" nd="1"/>
        <i x="100" s="1" nd="1"/>
        <i x="335" s="1" nd="1"/>
        <i x="610" s="1" nd="1"/>
        <i x="373" s="1" nd="1"/>
        <i x="391" s="1" nd="1"/>
        <i x="929" s="1" nd="1"/>
        <i x="185" s="1" nd="1"/>
        <i x="425" s="1" nd="1"/>
        <i x="941" s="1" nd="1"/>
        <i x="437" s="1" nd="1"/>
        <i x="959" s="1" nd="1"/>
        <i x="472" s="1" nd="1"/>
        <i x="490" s="1" nd="1"/>
        <i x="745" s="1" nd="1"/>
        <i x="26" s="1" nd="1"/>
        <i x="544" s="1" nd="1"/>
        <i x="344" s="1" nd="1"/>
        <i x="855" s="1" nd="1"/>
        <i x="122" s="1" nd="1"/>
        <i x="873" s="1" nd="1"/>
        <i x="620" s="1" nd="1"/>
        <i x="885" s="1" nd="1"/>
        <i x="149" s="1" nd="1"/>
        <i x="417" s="1" nd="1"/>
        <i x="188" s="1" nd="1"/>
        <i x="480" s="1" nd="1"/>
        <i x="736" s="1" nd="1"/>
        <i x="762" s="1" nd="1"/>
        <i x="34" s="1" nd="1"/>
        <i x="271" s="1" nd="1"/>
        <i x="779" s="1" nd="1"/>
        <i x="52" s="1" nd="1"/>
        <i x="65" s="1" nd="1"/>
        <i x="85" s="1" nd="1"/>
        <i x="567" s="1" nd="1"/>
        <i x="831" s="1" nd="1"/>
        <i x="586" s="1" nd="1"/>
        <i x="866" s="1" nd="1"/>
        <i x="142" s="1" nd="1"/>
        <i x="372" s="1" nd="1"/>
        <i x="158" s="1" nd="1"/>
        <i x="390" s="1" nd="1"/>
        <i x="410" s="1" nd="1"/>
        <i x="928" s="1" nd="1"/>
        <i x="671" s="1" nd="1"/>
        <i x="691" s="1" nd="1"/>
        <i x="706" s="1" nd="1"/>
        <i x="231" s="1" nd="1"/>
        <i x="516" s="1" nd="1"/>
        <i x="770" s="1" nd="1"/>
        <i x="57" s="1" nd="1"/>
        <i x="295" s="1" nd="1"/>
        <i x="543" s="1" nd="1"/>
        <i x="804" s="1" nd="1"/>
        <i x="77" s="1" nd="1"/>
        <i x="558" s="1" nd="1"/>
        <i x="96" s="1" nd="1"/>
        <i x="343" s="1" nd="1"/>
        <i x="594" s="1" nd="1"/>
        <i x="884" s="1" nd="1"/>
        <i x="148" s="1" nd="1"/>
        <i x="382" s="1" nd="1"/>
        <i x="630" s="1" nd="1"/>
        <i x="902" s="1" nd="1"/>
        <i x="642" s="1" nd="1"/>
        <i x="925" s="1" nd="1"/>
        <i x="181" s="1" nd="1"/>
        <i x="699" s="1" nd="1"/>
        <i x="463" s="1" nd="1"/>
        <i x="982" s="1" nd="1"/>
        <i x="479" s="1" nd="1"/>
        <i x="251" s="1" nd="1"/>
        <i x="20" s="1" nd="1"/>
        <i x="261" s="1" nd="1"/>
        <i x="33" s="1" nd="1"/>
        <i x="270" s="1" nd="1"/>
        <i x="288" s="1" nd="1"/>
        <i x="83" s="1" nd="1"/>
        <i x="334" s="1" nd="1"/>
        <i x="585" s="1" nd="1"/>
        <i x="845" s="1" nd="1"/>
        <i x="865" s="1" nd="1"/>
        <i x="359" s="1" nd="1"/>
        <i x="157" s="1" nd="1"/>
        <i x="914" s="1" nd="1"/>
        <i x="170" s="1" nd="1"/>
        <i x="409" s="1" nd="1"/>
        <i x="423" s="1" nd="1"/>
        <i x="197" s="1" nd="1"/>
        <i x="436" s="1" nd="1"/>
        <i x="690" s="1" nd="1"/>
        <i x="958" s="1" nd="1"/>
        <i x="213" s="1" nd="1"/>
        <i x="455" s="1" nd="1"/>
        <i x="705" s="1" nd="1"/>
        <i x="971" s="1" nd="1"/>
        <i x="726" s="1" nd="1"/>
        <i x="987" s="1" nd="1"/>
        <i x="488" s="1" nd="1"/>
        <i x="515" s="1" nd="1"/>
        <i x="56" s="1" nd="1"/>
        <i x="310" s="1" nd="1"/>
        <i x="95" s="1" nd="1"/>
        <i x="134" s="1" nd="1"/>
        <i x="883" s="1" nd="1"/>
        <i x="163" s="1" nd="1"/>
        <i x="399" s="1" nd="1"/>
        <i x="431" s="1" nd="1"/>
        <i x="951" s="1" nd="1"/>
        <i x="446" s="1" nd="1"/>
        <i x="698" s="1" nd="1"/>
        <i x="967" s="1" nd="1"/>
        <i x="714" s="1" nd="1"/>
        <i x="234" s="1" nd="1"/>
        <i x="735" s="1" nd="1"/>
        <i x="497" s="1" nd="1"/>
        <i x="269" s="1" nd="1"/>
        <i x="50" s="1" nd="1"/>
        <i x="584" s="1" nd="1"/>
        <i x="112" s="1" nd="1"/>
        <i x="863" s="1" nd="1"/>
        <i x="894" s="1" nd="1"/>
        <i x="156" s="1" nd="1"/>
        <i x="389" s="1" nd="1"/>
        <i x="637" s="1" nd="1"/>
        <i x="422" s="1" nd="1"/>
        <i x="435" s="1" nd="1"/>
        <i x="211" s="1" nd="1"/>
        <i x="454" s="1" nd="1"/>
        <i x="704" s="1" nd="1"/>
        <i x="725" s="1" nd="1"/>
        <i x="246" s="1" nd="1"/>
        <i x="487" s="1" nd="1"/>
        <i x="755" s="1" nd="1"/>
        <i x="25" s="1" nd="1"/>
        <i x="266" s="1" nd="1"/>
        <i x="768" s="1" nd="1"/>
        <i x="803" s="1" nd="1"/>
        <i x="76" s="1" nd="1"/>
        <i x="309" s="1" nd="1"/>
        <i x="821" s="1" nd="1"/>
        <i x="94" s="1" nd="1"/>
        <i x="574" s="1" nd="1"/>
        <i x="341" s="1" nd="1"/>
        <i x="356" s="1" nd="1"/>
        <i x="366" s="1" nd="1"/>
        <i x="619" s="1" nd="1"/>
        <i x="882" s="1" nd="1"/>
        <i x="901" s="1" nd="1"/>
        <i x="398" s="1" nd="1"/>
        <i x="430" s="1" nd="1"/>
        <i x="445" s="1" nd="1"/>
        <i x="233" s="1" nd="1"/>
        <i x="478" s="1" nd="1"/>
        <i x="734" s="1" nd="1"/>
        <i x="496" s="1" nd="1"/>
        <i x="761" s="1" nd="1"/>
        <i x="31" s="1" nd="1"/>
        <i x="777" s="1" nd="1"/>
        <i x="48" s="1" nd="1"/>
        <i x="534" s="1" nd="1"/>
        <i x="810" s="1" nd="1"/>
        <i x="332" s="1" nd="1"/>
        <i x="583" s="1" nd="1"/>
        <i x="844" s="1" nd="1"/>
        <i x="862" s="1" nd="1"/>
        <i x="893" s="1" nd="1"/>
        <i x="155" s="1" nd="1"/>
        <i x="388" s="1" nd="1"/>
        <i x="636" s="1" nd="1"/>
        <i x="913" s="1" nd="1"/>
        <i x="168" s="1" nd="1"/>
        <i x="650" s="1" nd="1"/>
        <i x="184" s="1" nd="1"/>
        <i x="670" s="1" nd="1"/>
        <i x="196" s="1" nd="1"/>
        <i x="453" s="1" nd="1"/>
        <i x="471" s="1" nd="1"/>
        <i x="986" s="1" nd="1"/>
        <i x="256" s="1" nd="1"/>
        <i x="265" s="1" nd="1"/>
        <i x="294" s="1" nd="1"/>
        <i x="802" s="1" nd="1"/>
        <i x="74" s="1" nd="1"/>
        <i x="324" s="1" nd="1"/>
        <i x="593" s="1" nd="1"/>
        <i x="355" s="1" nd="1"/>
        <i x="133" s="1" nd="1"/>
        <i x="363" s="1" nd="1"/>
        <i x="618" s="1" nd="1"/>
        <i x="881" s="1" nd="1"/>
        <i x="658" s="1" nd="1"/>
        <i x="680" s="1" nd="1"/>
        <i x="949" s="1" nd="1"/>
        <i x="712" s="1" nd="1"/>
        <i x="5" s="1" nd="1"/>
        <i x="249" s="1" nd="1"/>
        <i x="521" s="1" nd="1"/>
        <i x="46" s="1" nd="1"/>
        <i x="300" s="1" nd="1"/>
        <i x="551" s="1" nd="1"/>
        <i x="566" s="1" nd="1"/>
        <i x="843" s="1" nd="1"/>
        <i x="349" s="1" nd="1"/>
        <i x="861" s="1" nd="1"/>
        <i x="371" s="1" nd="1"/>
        <i x="635" s="1" nd="1"/>
        <i x="407" s="1" nd="1"/>
        <i x="669" s="1" nd="1"/>
        <i x="434" s="1" nd="1"/>
        <i x="687" s="1" nd="1"/>
        <i x="229" s="1" nd="1"/>
        <i x="243" s="1" nd="1"/>
        <i x="502" s="1" nd="1"/>
        <i x="264" s="1" nd="1"/>
        <i x="514" s="1" nd="1"/>
        <i x="767" s="1" nd="1"/>
        <i x="527" s="1" nd="1"/>
        <i x="55" s="1" nd="1"/>
        <i x="73" s="1" nd="1"/>
        <i x="819" s="1" nd="1"/>
        <i x="573" s="1" nd="1"/>
        <i x="836" s="1" nd="1"/>
        <i x="105" s="1" nd="1"/>
        <i x="340" s="1" nd="1"/>
        <i x="147" s="1" nd="1"/>
        <i x="396" s="1" nd="1"/>
        <i x="180" s="1" nd="1"/>
        <i x="657" s="1" nd="1"/>
        <i x="679" s="1" nd="1"/>
        <i x="443" s="1" nd="1"/>
        <i x="966" s="1" nd="1"/>
        <i x="219" s="1" nd="1"/>
        <i x="460" s="1" nd="1"/>
        <i x="711" s="1" nd="1"/>
        <i x="19" s="1" nd="1"/>
        <i x="260" s="1" nd="1"/>
        <i x="45" s="1" nd="1"/>
        <i x="286" s="1" nd="1"/>
        <i x="794" s="1" nd="1"/>
        <i x="62" s="1" nd="1"/>
        <i x="550" s="1" nd="1"/>
        <i x="828" s="1" nd="1"/>
        <i x="330" s="1" nd="1"/>
        <i x="582" s="1" nd="1"/>
        <i x="110" s="1" nd="1"/>
        <i x="348" s="1" nd="1"/>
        <i x="879" s="1" nd="1"/>
        <i x="153" s="1" nd="1"/>
        <i x="387" s="1" nd="1"/>
        <i x="911" s="1" nd="1"/>
        <i x="647" s="1" nd="1"/>
        <i x="939" s="1" nd="1"/>
        <i x="194" s="1" nd="1"/>
        <i x="433" s="1" nd="1"/>
        <i x="209" s="1" nd="1"/>
        <i x="702" s="1" nd="1"/>
        <i x="723" s="1" nd="1"/>
        <i x="985" s="1" nd="1"/>
        <i x="741" s="1" nd="1"/>
        <i x="12" s="1" nd="1"/>
        <i x="263" s="1" nd="1"/>
        <i x="513" s="1" nd="1"/>
        <i x="526" s="1" nd="1"/>
        <i x="307" s="1" nd="1"/>
        <i x="92" s="1" nd="1"/>
        <i x="853" s="1" nd="1"/>
        <i x="131" s="1" nd="1"/>
        <i x="362" s="1" nd="1"/>
        <i x="616" s="1" nd="1"/>
        <i x="380" s="1" nd="1"/>
        <i x="629" s="1" nd="1"/>
        <i x="899" s="1" nd="1"/>
        <i x="178" s="1" nd="1"/>
        <i x="656" s="1" nd="1"/>
        <i x="678" s="1" nd="1"/>
        <i x="947" s="1" nd="1"/>
        <i x="710" s="1" nd="1"/>
        <i x="979" s="1" nd="1"/>
        <i x="477" s="1" nd="1"/>
        <i x="733" s="1" nd="1"/>
        <i x="3" s="1" nd="1"/>
        <i x="495" s="1" nd="1"/>
        <i x="752" s="1" nd="1"/>
        <i x="519" s="1" nd="1"/>
        <i x="774" s="1" nd="1"/>
        <i x="44" s="1" nd="1"/>
        <i x="284" s="1" nd="1"/>
        <i x="809" s="1" nd="1"/>
        <i x="565" s="1" nd="1"/>
        <i x="827" s="1" nd="1"/>
        <i x="860" s="1" nd="1"/>
        <i x="608" s="1" nd="1"/>
        <i x="878" s="1" nd="1"/>
        <i x="139" s="1" nd="1"/>
        <i x="370" s="1" nd="1"/>
        <i x="892" s="1" nd="1"/>
        <i x="633" s="1" nd="1"/>
        <i x="910" s="1" nd="1"/>
        <i x="166" s="1" nd="1"/>
        <i x="406" s="1" nd="1"/>
        <i x="183" s="1" nd="1"/>
        <i x="667" s="1" nd="1"/>
        <i x="228" s="1" nd="1"/>
        <i x="470" s="1" nd="1"/>
        <i x="720" s="1" nd="1"/>
        <i x="242" s="1" nd="1"/>
        <i x="740" s="1" nd="1"/>
        <i x="11" s="1" nd="1"/>
        <i x="280" s="1" nd="1"/>
        <i x="787" s="1" nd="1"/>
        <i x="54" s="1" nd="1"/>
        <i x="72" s="1" nd="1"/>
        <i x="305" s="1" nd="1"/>
        <i x="557" s="1" nd="1"/>
        <i x="817" s="1" nd="1"/>
        <i x="322" s="1" nd="1"/>
        <i x="835" s="1" nd="1"/>
        <i x="120" s="1" nd="1"/>
        <i x="871" s="1" nd="1"/>
        <i x="880" s="1" nd="1"/>
        <i x="378" s="1" nd="1"/>
        <i x="898" s="1" nd="1"/>
        <i x="921" s="1" nd="1"/>
        <i x="933" s="1" nd="1"/>
        <i x="429" s="1" nd="1"/>
        <i x="677" s="1" nd="1"/>
        <i x="202" s="1" nd="1"/>
        <i x="964" s="1" nd="1"/>
        <i x="732" s="1" nd="1"/>
        <i x="751" s="1" nd="1"/>
        <i x="17" s="1" nd="1"/>
        <i x="259" s="1" nd="1"/>
        <i x="773" s="1" nd="1"/>
        <i x="42" s="1" nd="1"/>
        <i x="532" s="1" nd="1"/>
        <i x="61" s="1" nd="1"/>
        <i x="549" s="1" nd="1"/>
        <i x="808" s="1" nd="1"/>
        <i x="81" s="1" nd="1"/>
        <i x="581" s="1" nd="1"/>
        <i x="138" s="1" nd="1"/>
        <i x="891" s="1" nd="1"/>
        <i x="386" s="1" nd="1"/>
        <i x="405" s="1" nd="1"/>
        <i x="646" s="1" nd="1"/>
        <i x="938" s="1" nd="1"/>
        <i x="684" s="1" nd="1"/>
        <i x="452" s="1" nd="1"/>
        <i x="227" s="1" nd="1"/>
        <i x="469" s="1" nd="1"/>
        <i x="984" s="1" nd="1"/>
        <i x="241" s="1" nd="1"/>
        <i x="254" s="1" nd="1"/>
        <i x="753" s="1" nd="1"/>
        <i x="786" s="1" nd="1"/>
        <i x="53" s="1" nd="1"/>
        <i x="798" s="1" nd="1"/>
        <i x="70" s="1" nd="1"/>
        <i x="556" s="1" nd="1"/>
        <i x="814" s="1" nd="1"/>
        <i x="90" s="1" nd="1"/>
        <i x="572" s="1" nd="1"/>
        <i x="834" s="1" nd="1"/>
        <i x="852" s="1" nd="1"/>
        <i x="353" s="1" nd="1"/>
        <i x="870" s="1" nd="1"/>
        <i x="130" s="1" nd="1"/>
        <i x="146" s="1" nd="1"/>
        <i x="897" s="1" nd="1"/>
        <i x="161" s="1" nd="1"/>
        <i x="394" s="1" nd="1"/>
        <i x="641" s="1" nd="1"/>
        <i x="920" s="1" nd="1"/>
        <i x="177" s="1" nd="1"/>
        <i x="655" s="1" nd="1"/>
        <i x="932" s="1" nd="1"/>
        <i x="428" s="1" nd="1"/>
        <i x="200" s="1" nd="1"/>
        <i x="442" s="1" nd="1"/>
        <i x="978" s="1" nd="1"/>
        <i x="475" s="1" nd="1"/>
        <i x="731" s="1" nd="1"/>
        <i x="1" s="1" nd="1"/>
        <i x="16" s="1" nd="1"/>
        <i x="258" s="1" nd="1"/>
        <i x="759" s="1" nd="1"/>
        <i x="29" s="1" nd="1"/>
        <i x="299" s="1" nd="1"/>
        <i x="313" s="1" nd="1"/>
        <i x="562" s="1" nd="1"/>
        <i x="109" s="1" nd="1"/>
        <i x="859" s="1" nd="1"/>
        <i x="606" s="1" nd="1"/>
        <i x="137" s="1" nd="1"/>
        <i x="623" s="1" nd="1"/>
        <i x="908" s="1" nd="1"/>
        <i x="927" s="1" nd="1"/>
        <i x="193" s="1" nd="1"/>
        <i x="700" s="1" nd="1"/>
        <i x="468" s="1" nd="1"/>
        <i x="486" s="1" nd="1"/>
        <i x="501" s="1" nd="1"/>
        <i x="512" s="1" nd="1"/>
        <i x="38" s="1" nd="1"/>
        <i x="525" s="1" nd="1"/>
        <i x="785" s="1" nd="1"/>
        <i x="69" s="1" nd="1"/>
        <i x="320" s="1" nd="1"/>
        <i x="338" s="1" nd="1"/>
        <i x="869" s="1" nd="1"/>
        <i x="129" s="1" nd="1"/>
        <i x="614" s="1" nd="1"/>
        <i x="145" s="1" nd="1"/>
        <i x="375" s="1" nd="1"/>
        <i x="896" s="1" nd="1"/>
        <i x="919" s="1" nd="1"/>
        <i x="176" s="1" nd="1"/>
        <i x="676" s="1" nd="1"/>
        <i x="750" s="1" nd="1"/>
        <i x="506" s="1" nd="1"/>
        <i x="792" s="1" nd="1"/>
        <i x="59" s="1" nd="1"/>
        <i x="80" s="1" nd="1"/>
        <i x="561" s="1" nd="1"/>
        <i x="367" s="1" nd="1"/>
        <i x="890" s="1" nd="1"/>
        <i x="152" s="1" nd="1"/>
        <i x="385" s="1" nd="1"/>
        <i x="404" s="1" nd="1"/>
        <i x="421" s="1" nd="1"/>
        <i x="207" s="1" nd="1"/>
        <i x="970" s="1" nd="1"/>
        <i x="226" s="1" nd="1"/>
        <i x="467" s="1" nd="1"/>
        <i x="719" s="1" nd="1"/>
        <i x="485" s="1" nd="1"/>
        <i x="252" s="1" nd="1"/>
        <i x="24" s="1" nd="1"/>
        <i x="764" s="1" nd="1"/>
        <i x="812" s="1" nd="1"/>
        <i x="318" s="1" nd="1"/>
        <i x="103" s="1" nd="1"/>
        <i x="592" s="1" nd="1"/>
        <i x="118" s="1" nd="1"/>
        <i x="868" s="1" nd="1"/>
        <i x="613" s="1" nd="1"/>
        <i x="640" s="1" nd="1"/>
        <i x="917" s="1" nd="1"/>
        <i x="441" s="1" nd="1"/>
        <i x="216" s="1" nd="1"/>
        <i x="458" s="1" nd="1"/>
        <i x="708" s="1" nd="1"/>
        <i x="976" s="1" nd="1"/>
        <i x="247" s="1" nd="1"/>
        <i x="493" s="1" nd="1"/>
        <i x="505" s="1" nd="1"/>
        <i x="758" s="1" nd="1"/>
        <i x="517" s="1" nd="1"/>
        <i x="548" s="1" nd="1"/>
        <i x="877" s="1" nd="1"/>
        <i x="384" s="1" nd="1"/>
        <i x="451" s="1" nd="1"/>
        <i x="225" s="1" nd="1"/>
        <i x="718" s="1" nd="1"/>
        <i x="484" s="1" nd="1"/>
        <i x="511" s="1" nd="1"/>
        <i x="37" s="1" nd="1"/>
        <i x="276" s="1" nd="1"/>
        <i x="783" s="1" nd="1"/>
        <i x="88" s="1" nd="1"/>
        <i x="570" s="1" nd="1"/>
        <i x="117" s="1" nd="1"/>
        <i x="352" s="1" nd="1"/>
        <i x="611" s="1" nd="1"/>
        <i x="945" s="1" nd="1"/>
        <i x="695" s="1" nd="1"/>
        <i x="974" s="1" nd="1"/>
        <i x="0" s="1" nd="1"/>
        <i x="492" s="1" nd="1"/>
        <i x="748" s="1" nd="1"/>
        <i x="15" s="1" nd="1"/>
        <i x="757" s="1" nd="1"/>
        <i x="771" s="1" nd="1"/>
        <i x="531" s="1" nd="1"/>
        <i x="790" s="1" nd="1"/>
        <i x="297" s="1" nd="1"/>
        <i x="547" s="1" nd="1"/>
        <i x="858" s="1" nd="1"/>
        <i x="875" s="1" nd="1"/>
        <i x="645" s="1" nd="1"/>
        <i x="664" s="1" nd="1"/>
        <i x="191" s="1" nd="1"/>
        <i x="682" s="1" nd="1"/>
        <i x="956" s="1" nd="1"/>
        <i x="205" s="1" nd="1"/>
        <i x="450" s="1" nd="1"/>
        <i x="224" s="1" nd="1"/>
        <i x="274" s="1" nd="1"/>
        <i x="781" s="1" nd="1"/>
        <i x="538" s="1" nd="1"/>
        <i x="336" s="1" nd="1"/>
        <i x="627" s="1" nd="1"/>
        <i x="639" s="1" nd="1"/>
        <i x="174" s="1" nd="1"/>
        <i x="674" s="1" nd="1"/>
        <i x="944" s="1" nd="1"/>
        <i x="707" s="1" nd="1"/>
        <i x="729" s="1" nd="1"/>
        <i x="237"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32" name="PivotTable1"/>
  </pivotTables>
  <data>
    <tabular pivotCacheId="7">
      <items count="148">
        <i x="0" s="1" nd="1"/>
        <i x="23" s="1" nd="1"/>
        <i x="102" s="1" nd="1"/>
        <i x="90" s="1" nd="1"/>
        <i x="59" s="1" nd="1"/>
        <i x="27" s="1" nd="1"/>
        <i x="51" s="1" nd="1"/>
        <i x="15" s="1" nd="1"/>
        <i x="13" s="1" nd="1"/>
        <i x="3" s="1" nd="1"/>
        <i x="139" s="1" nd="1"/>
        <i x="11" s="1" nd="1"/>
        <i x="147" s="1" nd="1"/>
        <i x="66" s="1" nd="1"/>
        <i x="129" s="1" nd="1"/>
        <i x="119" s="1" nd="1"/>
        <i x="40" s="1" nd="1"/>
        <i x="35" s="1" nd="1"/>
        <i x="32" s="1" nd="1"/>
        <i x="48" s="1" nd="1"/>
        <i x="72" s="1" nd="1"/>
        <i x="144" s="1" nd="1"/>
        <i x="120" s="1" nd="1"/>
        <i x="131" s="1" nd="1"/>
        <i x="49" s="1" nd="1"/>
        <i x="19" s="1" nd="1"/>
        <i x="46" s="1" nd="1"/>
        <i x="121" s="1" nd="1"/>
        <i x="26" s="1" nd="1"/>
        <i x="118" s="1" nd="1"/>
        <i x="94" s="1" nd="1"/>
        <i x="76" s="1" nd="1"/>
        <i x="86" s="1" nd="1"/>
        <i x="77" s="1" nd="1"/>
        <i x="132" s="1" nd="1"/>
        <i x="109" s="1" nd="1"/>
        <i x="21" s="1" nd="1"/>
        <i x="58" s="1" nd="1"/>
        <i x="134" s="1" nd="1"/>
        <i x="88" s="1" nd="1"/>
        <i x="25" s="1" nd="1"/>
        <i x="30" s="1" nd="1"/>
        <i x="133" s="1" nd="1"/>
        <i x="41" s="1" nd="1"/>
        <i x="38" s="1" nd="1"/>
        <i x="103" s="1" nd="1"/>
        <i x="105" s="1" nd="1"/>
        <i x="128" s="1" nd="1"/>
        <i x="122" s="1" nd="1"/>
        <i x="101" s="1" nd="1"/>
        <i x="5" s="1" nd="1"/>
        <i x="83" s="1" nd="1"/>
        <i x="79" s="1" nd="1"/>
        <i x="54" s="1" nd="1"/>
        <i x="78" s="1" nd="1"/>
        <i x="4" s="1" nd="1"/>
        <i x="52" s="1" nd="1"/>
        <i x="82" s="1" nd="1"/>
        <i x="31" s="1" nd="1"/>
        <i x="137" s="1" nd="1"/>
        <i x="100" s="1" nd="1"/>
        <i x="69" s="1" nd="1"/>
        <i x="71" s="1" nd="1"/>
        <i x="20" s="1" nd="1"/>
        <i x="106" s="1" nd="1"/>
        <i x="2" s="1" nd="1"/>
        <i x="126" s="1" nd="1"/>
        <i x="89" s="1" nd="1"/>
        <i x="73" s="1" nd="1"/>
        <i x="113" s="1" nd="1"/>
        <i x="125" s="1" nd="1"/>
        <i x="43" s="1" nd="1"/>
        <i x="68" s="1" nd="1"/>
        <i x="123" s="1" nd="1"/>
        <i x="135" s="1" nd="1"/>
        <i x="17" s="1" nd="1"/>
        <i x="130" s="1" nd="1"/>
        <i x="127" s="1" nd="1"/>
        <i x="28" s="1" nd="1"/>
        <i x="99" s="1" nd="1"/>
        <i x="70" s="1" nd="1"/>
        <i x="110" s="1" nd="1"/>
        <i x="60" s="1" nd="1"/>
        <i x="92" s="1" nd="1"/>
        <i x="36" s="1" nd="1"/>
        <i x="53" s="1" nd="1"/>
        <i x="1" s="1" nd="1"/>
        <i x="107" s="1" nd="1"/>
        <i x="12" s="1" nd="1"/>
        <i x="33" s="1" nd="1"/>
        <i x="141" s="1" nd="1"/>
        <i x="116" s="1" nd="1"/>
        <i x="42" s="1" nd="1"/>
        <i x="39" s="1" nd="1"/>
        <i x="91" s="1" nd="1"/>
        <i x="29" s="1" nd="1"/>
        <i x="140" s="1" nd="1"/>
        <i x="95" s="1" nd="1"/>
        <i x="37" s="1" nd="1"/>
        <i x="63" s="1" nd="1"/>
        <i x="108" s="1" nd="1"/>
        <i x="9" s="1" nd="1"/>
        <i x="61" s="1" nd="1"/>
        <i x="67" s="1" nd="1"/>
        <i x="14" s="1" nd="1"/>
        <i x="45" s="1" nd="1"/>
        <i x="136" s="1" nd="1"/>
        <i x="65" s="1" nd="1"/>
        <i x="145" s="1" nd="1"/>
        <i x="81" s="1" nd="1"/>
        <i x="138" s="1" nd="1"/>
        <i x="6" s="1" nd="1"/>
        <i x="74" s="1" nd="1"/>
        <i x="96" s="1" nd="1"/>
        <i x="124" s="1" nd="1"/>
        <i x="34" s="1" nd="1"/>
        <i x="85" s="1" nd="1"/>
        <i x="146" s="1" nd="1"/>
        <i x="50" s="1" nd="1"/>
        <i x="104" s="1" nd="1"/>
        <i x="10" s="1" nd="1"/>
        <i x="64" s="1" nd="1"/>
        <i x="62" s="1" nd="1"/>
        <i x="44" s="1" nd="1"/>
        <i x="84" s="1" nd="1"/>
        <i x="7" s="1" nd="1"/>
        <i x="114" s="1" nd="1"/>
        <i x="115" s="1" nd="1"/>
        <i x="98" s="1" nd="1"/>
        <i x="112" s="1" nd="1"/>
        <i x="16" s="1" nd="1"/>
        <i x="87" s="1" nd="1"/>
        <i x="117" s="1" nd="1"/>
        <i x="93" s="1" nd="1"/>
        <i x="55" s="1" nd="1"/>
        <i x="111" s="1" nd="1"/>
        <i x="47" s="1" nd="1"/>
        <i x="24" s="1" nd="1"/>
        <i x="75" s="1" nd="1"/>
        <i x="57" s="1" nd="1"/>
        <i x="56" s="1" nd="1"/>
        <i x="8" s="1" nd="1"/>
        <i x="97" s="1" nd="1"/>
        <i x="143" s="1" nd="1"/>
        <i x="80" s="1" nd="1"/>
        <i x="142" s="1" nd="1"/>
        <i x="18" s="1" nd="1"/>
        <i x="22"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32" name="PivotTable1"/>
  </pivotTables>
  <data>
    <tabular pivotCacheId="7">
      <items count="6">
        <i x="0" s="1" nd="1"/>
        <i x="4" s="1" nd="1"/>
        <i x="3" s="1" nd="1"/>
        <i x="1" s="1" nd="1"/>
        <i x="2" s="1" nd="1"/>
        <i x="5"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32" name="PivotTable1"/>
  </pivotTables>
  <data>
    <tabular pivotCacheId="7">
      <items count="2">
        <i x="0" s="1" nd="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CORE0USECONTEXT1" sourceName="CORE0USECONTEXT">
  <pivotTables>
    <pivotTable tabId="31" name="PivotTable1"/>
  </pivotTables>
  <data>
    <tabular pivotCacheId="8">
      <items count="2">
        <i x="1"/>
        <i x="0" s="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SEQUENCEID" sourceName="SEQUENCEID">
  <pivotTables>
    <pivotTable tabId="29" name="PivotTable1"/>
  </pivotTables>
  <data>
    <tabular pivotCacheId="7">
      <items count="49">
        <i x="0" s="1" nd="1"/>
        <i x="26" s="1" nd="1"/>
        <i x="11" s="1" nd="1"/>
        <i x="28" s="1" nd="1"/>
        <i x="46" s="1" nd="1"/>
        <i x="5" s="1" nd="1"/>
        <i x="13" s="1" nd="1"/>
        <i x="19" s="1" nd="1"/>
        <i x="29" s="1" nd="1"/>
        <i x="34" s="1" nd="1"/>
        <i x="39" s="1" nd="1"/>
        <i x="43" s="1" nd="1"/>
        <i x="47" s="1" nd="1"/>
        <i x="2" s="1" nd="1"/>
        <i x="6" s="1" nd="1"/>
        <i x="9" s="1" nd="1"/>
        <i x="14" s="1" nd="1"/>
        <i x="16" s="1" nd="1"/>
        <i x="17" s="1" nd="1"/>
        <i x="18" s="1" nd="1"/>
        <i x="20" s="1" nd="1"/>
        <i x="22" s="1" nd="1"/>
        <i x="24" s="1" nd="1"/>
        <i x="27" s="1" nd="1"/>
        <i x="31" s="1" nd="1"/>
        <i x="33" s="1" nd="1"/>
        <i x="36" s="1" nd="1"/>
        <i x="38" s="1" nd="1"/>
        <i x="41" s="1" nd="1"/>
        <i x="42" s="1" nd="1"/>
        <i x="44" s="1" nd="1"/>
        <i x="45" s="1" nd="1"/>
        <i x="48" s="1" nd="1"/>
        <i x="21" s="1" nd="1"/>
        <i x="1" s="1" nd="1"/>
        <i x="23" s="1" nd="1"/>
        <i x="3" s="1" nd="1"/>
        <i x="25" s="1" nd="1"/>
        <i x="4" s="1" nd="1"/>
        <i x="30" s="1" nd="1"/>
        <i x="7" s="1" nd="1"/>
        <i x="32" s="1" nd="1"/>
        <i x="8" s="1" nd="1"/>
        <i x="35" s="1" nd="1"/>
        <i x="10" s="1" nd="1"/>
        <i x="37" s="1" nd="1"/>
        <i x="12" s="1" nd="1"/>
        <i x="40" s="1" nd="1"/>
        <i x="15"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SEQUENCEID1" sourceName="SEQUENCEID">
  <pivotTables>
    <pivotTable tabId="28" name="PivotTable1"/>
  </pivotTables>
  <data>
    <tabular pivotCacheId="7">
      <items count="49">
        <i x="0" s="1" nd="1"/>
        <i x="26" s="1" nd="1"/>
        <i x="11" s="1" nd="1"/>
        <i x="28" s="1" nd="1"/>
        <i x="46" s="1" nd="1"/>
        <i x="5" s="1" nd="1"/>
        <i x="13" s="1" nd="1"/>
        <i x="19" s="1" nd="1"/>
        <i x="29" s="1" nd="1"/>
        <i x="34" s="1" nd="1"/>
        <i x="39" s="1" nd="1"/>
        <i x="43" s="1" nd="1"/>
        <i x="47" s="1" nd="1"/>
        <i x="2" s="1" nd="1"/>
        <i x="6" s="1" nd="1"/>
        <i x="9" s="1" nd="1"/>
        <i x="14" s="1" nd="1"/>
        <i x="16" s="1" nd="1"/>
        <i x="17" s="1" nd="1"/>
        <i x="18" s="1" nd="1"/>
        <i x="20" s="1" nd="1"/>
        <i x="22" s="1" nd="1"/>
        <i x="24" s="1" nd="1"/>
        <i x="27" s="1" nd="1"/>
        <i x="31" s="1" nd="1"/>
        <i x="33" s="1" nd="1"/>
        <i x="36" s="1" nd="1"/>
        <i x="38" s="1" nd="1"/>
        <i x="41" s="1" nd="1"/>
        <i x="42" s="1" nd="1"/>
        <i x="44" s="1" nd="1"/>
        <i x="45" s="1" nd="1"/>
        <i x="48" s="1" nd="1"/>
        <i x="21" s="1" nd="1"/>
        <i x="1" s="1" nd="1"/>
        <i x="23" s="1" nd="1"/>
        <i x="3" s="1" nd="1"/>
        <i x="25" s="1" nd="1"/>
        <i x="4" s="1" nd="1"/>
        <i x="30" s="1" nd="1"/>
        <i x="7" s="1" nd="1"/>
        <i x="32" s="1" nd="1"/>
        <i x="8" s="1" nd="1"/>
        <i x="35" s="1" nd="1"/>
        <i x="10" s="1" nd="1"/>
        <i x="37" s="1" nd="1"/>
        <i x="12" s="1" nd="1"/>
        <i x="40" s="1" nd="1"/>
        <i x="15"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402">
        <i x="167" s="1" nd="1"/>
        <i x="227" s="1" nd="1"/>
        <i x="124" s="1" nd="1"/>
        <i x="248" s="1" nd="1"/>
        <i x="308" s="1" nd="1"/>
        <i x="176" s="1" nd="1"/>
        <i x="64" s="1" nd="1"/>
        <i x="187" s="1" nd="1"/>
        <i x="287" s="1" nd="1"/>
        <i x="279" s="1" nd="1"/>
        <i x="49" s="1" nd="1"/>
        <i x="129" s="1" nd="1"/>
        <i x="182" s="1" nd="1"/>
        <i x="208" s="1" nd="1"/>
        <i x="256" s="1" nd="1"/>
        <i x="304" s="1" nd="1"/>
        <i x="350" s="1" nd="1"/>
        <i x="236" s="1" nd="1"/>
        <i x="97" s="1" nd="1"/>
        <i x="138" s="1" nd="1"/>
        <i x="90" s="1" nd="1"/>
        <i x="104" s="1" nd="1"/>
        <i x="252" s="1" nd="1"/>
        <i x="24" s="1" nd="1"/>
        <i x="151" s="1" nd="1"/>
        <i x="56" s="1" nd="1"/>
        <i x="117" s="1" nd="1"/>
        <i x="309" s="1" nd="1"/>
        <i x="368" s="1" nd="1"/>
        <i x="65" s="1" nd="1"/>
        <i x="300" s="1" nd="1"/>
        <i x="121" s="1" nd="1"/>
        <i x="263" s="1" nd="1"/>
        <i x="313" s="1" nd="1"/>
        <i x="155" s="1" nd="1"/>
        <i x="388" s="1" nd="1"/>
        <i x="351" s="1" nd="1"/>
        <i x="260" s="1" nd="1"/>
        <i x="112" s="1" nd="1"/>
        <i x="125" s="1" nd="1"/>
        <i x="45" s="1" nd="1"/>
        <i x="135" s="1" nd="1"/>
        <i x="212" s="1" nd="1"/>
        <i x="357" s="1" nd="1"/>
        <i x="99" s="1" nd="1"/>
        <i x="324" s="1" nd="1"/>
        <i x="230" s="1" nd="1"/>
        <i x="40" s="1" nd="1"/>
        <i x="52" s="1" nd="1"/>
        <i x="107" s="1" nd="1"/>
        <i x="119" s="1" nd="1"/>
        <i x="174" s="1" nd="1"/>
        <i x="393" s="1" nd="1"/>
        <i x="28" s="1" nd="1"/>
        <i x="75" s="1" nd="1"/>
        <i x="336" s="1" nd="1"/>
        <i x="27" s="1" nd="1"/>
        <i x="74" s="1" nd="1"/>
        <i x="83" s="1" nd="1"/>
        <i x="140" s="1" nd="1"/>
        <i x="18" s="1" nd="1"/>
        <i x="365" s="1" nd="1"/>
        <i x="379" s="1" nd="1"/>
        <i x="50" s="1" nd="1"/>
        <i x="80" s="1" nd="1"/>
        <i x="321" s="1" nd="1"/>
        <i x="343" s="1" nd="1"/>
        <i x="17" s="1" nd="1"/>
        <i x="25" s="1" nd="1"/>
        <i x="226" s="1" nd="1"/>
        <i x="93" s="1" nd="1"/>
        <i x="385" s="1" nd="1"/>
        <i x="400" s="1" nd="1"/>
        <i x="37" s="1" nd="1"/>
        <i x="133" s="1" nd="1"/>
        <i x="173" s="1" nd="1"/>
        <i x="109" s="1" nd="1"/>
        <i x="114" s="1" nd="1"/>
        <i x="147" s="1" nd="1"/>
        <i x="172" s="1" nd="1"/>
        <i x="181" s="1" nd="1"/>
        <i x="192" s="1" nd="1"/>
        <i x="199" s="1" nd="1"/>
        <i x="242" s="1" nd="1"/>
        <i x="78" s="1" nd="1"/>
        <i x="378" s="1" nd="1"/>
        <i x="156" s="1" nd="1"/>
        <i x="198" s="1" nd="1"/>
        <i x="224" s="1" nd="1"/>
        <i x="42" s="1" nd="1"/>
        <i x="318" s="1" nd="1"/>
        <i x="377" s="1" nd="1"/>
        <i x="191" s="1" nd="1"/>
        <i x="118" s="1" nd="1"/>
        <i x="36" s="1" nd="1"/>
        <i x="246" s="1" nd="1"/>
        <i x="102" s="1" nd="1"/>
        <i x="48" s="1" nd="1"/>
        <i x="66" s="1" nd="1"/>
        <i x="273" s="1" nd="1"/>
        <i x="295" s="1" nd="1"/>
        <i x="301" s="1" nd="1"/>
        <i x="362" s="1" nd="1"/>
        <i x="375" s="1" nd="1"/>
        <i x="190" s="1" nd="1"/>
        <i x="12" s="1" nd="1"/>
        <i x="35" s="1" nd="1"/>
        <i x="47" s="1" nd="1"/>
        <i x="251" s="1" nd="1"/>
        <i x="361" s="1" nd="1"/>
        <i x="312" s="1" nd="1"/>
        <i x="374" s="1" nd="1"/>
        <i x="4" s="1" nd="1"/>
        <i x="23" s="1" nd="1"/>
        <i x="215" s="1" nd="1"/>
        <i x="373" s="1" nd="1"/>
        <i x="1" s="1" nd="1"/>
        <i x="204" s="1" nd="1"/>
        <i x="22" s="1" nd="1"/>
        <i x="196" s="1" nd="1"/>
        <i x="95" s="1" nd="1"/>
        <i x="315" s="1" nd="1"/>
        <i x="383" s="1" nd="1"/>
        <i x="11" s="1" nd="1"/>
        <i x="220" s="1" nd="1"/>
        <i x="55" s="1" nd="1"/>
        <i x="255" s="1" nd="1"/>
        <i x="326" s="1" nd="1"/>
        <i x="353" s="1" nd="1"/>
        <i x="21" s="1" nd="1"/>
        <i x="77" s="1" nd="1"/>
        <i x="94" s="1" nd="1"/>
        <i x="272" s="1" nd="1"/>
        <i x="277" s="1" nd="1"/>
        <i x="307" s="1" nd="1"/>
        <i x="314" s="1" nd="1"/>
        <i x="340" s="1" nd="1"/>
        <i x="254" s="1" nd="1"/>
        <i x="82" s="1" nd="1"/>
        <i x="166" s="1" nd="1"/>
        <i x="271" s="1" nd="1"/>
        <i x="177" s="1" nd="1"/>
        <i x="286" s="1" nd="1"/>
        <i x="9" s="1" nd="1"/>
        <i x="214" s="1" nd="1"/>
        <i x="322" s="1" nd="1"/>
        <i x="395" s="1" nd="1"/>
        <i x="139" s="1" nd="1"/>
        <i x="149" s="1" nd="1"/>
        <i x="352" s="1" nd="1"/>
        <i x="262" s="1" nd="1"/>
        <i x="168" s="1" nd="1"/>
        <i x="108" s="1" nd="1"/>
        <i x="282" s="1" nd="1"/>
        <i x="291" s="1" nd="1"/>
        <i x="14" s="1" nd="1"/>
        <i x="160" s="1" nd="1"/>
        <i x="81" s="1" nd="1"/>
        <i x="170" s="1" nd="1"/>
        <i x="285" s="1" nd="1"/>
        <i x="41" s="1" nd="1"/>
        <i x="54" s="1" nd="1"/>
        <i x="392" s="1" nd="1"/>
        <i x="116" s="1" nd="1"/>
        <i x="243" s="1" nd="1"/>
        <i x="253" s="1" nd="1"/>
        <i x="382" s="1" nd="1"/>
        <i x="397" s="1" nd="1"/>
        <i x="148" s="1" nd="1"/>
        <i x="387" s="1" nd="1"/>
        <i x="7" s="1" nd="1"/>
        <i x="200" s="1" nd="1"/>
        <i x="209" s="1" nd="1"/>
        <i x="26" s="1" nd="1"/>
        <i x="347" s="1" nd="1"/>
        <i x="159" s="1" nd="1"/>
        <i x="106" s="1" nd="1"/>
        <i x="396" s="1" nd="1"/>
        <i x="284" s="1" nd="1"/>
        <i x="203" s="1" nd="1"/>
        <i x="228" s="1" nd="1"/>
        <i x="334" s="1" nd="1"/>
        <i x="261" s="1" nd="1"/>
        <i x="386" s="1" nd="1"/>
        <i x="281" s="1" nd="1"/>
        <i x="120" s="1" nd="1"/>
        <i x="346" s="1" nd="1"/>
        <i x="360" s="1" nd="1"/>
        <i x="339" s="1" nd="1"/>
        <i x="79" s="1" nd="1"/>
        <i x="163" s="1" nd="1"/>
        <i x="265" s="1" nd="1"/>
        <i x="276" s="1" nd="1"/>
        <i x="278" s="1" nd="1"/>
        <i x="183" s="1" nd="1"/>
        <i x="16" s="1" nd="1"/>
        <i x="288" s="1" nd="1"/>
        <i x="320" s="1" nd="1"/>
        <i x="329" s="1" nd="1"/>
        <i x="233" s="1" nd="1"/>
        <i x="46" s="1" nd="1"/>
        <i x="76" s="1" nd="1"/>
        <i x="88" s="1" nd="1"/>
        <i x="384" s="1" nd="1"/>
        <i x="126" s="1" nd="1"/>
        <i x="332" s="1" nd="1"/>
        <i x="345" s="1" nd="1"/>
        <i x="381" s="1" nd="1"/>
        <i x="202" s="1" nd="1"/>
        <i x="328" s="1" nd="1"/>
        <i x="132" s="1" nd="1"/>
        <i x="239" s="1" nd="1"/>
        <i x="349" s="1" nd="1"/>
        <i x="6" s="1" nd="1"/>
        <i x="299" s="1" nd="1"/>
        <i x="207" s="1" nd="1"/>
        <i x="43" s="1" nd="1"/>
        <i x="142" s="1" nd="1"/>
        <i x="98" s="1" nd="1"/>
        <i x="154" s="1" nd="1"/>
        <i x="275" s="1" nd="1"/>
        <i x="269" s="1" nd="1"/>
        <i x="290" s="1" nd="1"/>
        <i x="297" s="1" nd="1"/>
        <i x="15" s="1" nd="1"/>
        <i x="303" s="1" nd="1"/>
        <i x="20" s="1" nd="1"/>
        <i x="123" s="1" nd="1"/>
        <i x="72" s="1" nd="1"/>
        <i x="165" s="1" nd="1"/>
        <i x="391" s="1" nd="1"/>
        <i x="13" s="1" nd="1"/>
        <i x="115" s="1" nd="1"/>
        <i x="180" s="1" nd="1"/>
        <i x="225" s="1" nd="1"/>
        <i x="231" s="1" nd="1"/>
        <i x="235" s="1" nd="1"/>
        <i x="241" s="1" nd="1"/>
        <i x="311" s="1" nd="1"/>
        <i x="344" s="1" nd="1"/>
        <i x="359" s="1" nd="1"/>
        <i x="92" s="1" nd="1"/>
        <i x="274" s="1" nd="1"/>
        <i x="105" s="1" nd="1"/>
        <i x="175" s="1" nd="1"/>
        <i x="113" s="1" nd="1"/>
        <i x="319" s="1" nd="1"/>
        <i x="34" s="1" nd="1"/>
        <i x="232" s="1" nd="1"/>
        <i x="44" s="1" nd="1"/>
        <i x="342" s="1" nd="1"/>
        <i x="53" s="1" nd="1"/>
        <i x="244" s="1" nd="1"/>
        <i x="71" s="1" nd="1"/>
        <i x="131" s="1" nd="1"/>
        <i x="157" s="1" nd="1"/>
        <i x="87" s="1" nd="1"/>
        <i x="216" s="1" nd="1"/>
        <i x="223" s="1" nd="1"/>
        <i x="58" s="1" nd="1"/>
        <i x="358" s="1" nd="1"/>
        <i x="91" s="1" nd="1"/>
        <i x="270" s="1" nd="1"/>
        <i x="268" s="1" nd="1"/>
        <i x="289" s="1" nd="1"/>
        <i x="8" s="1" nd="1"/>
        <i x="296" s="1" nd="1"/>
        <i x="302" s="1" nd="1"/>
        <i x="317" s="1" nd="1"/>
        <i x="238" s="1" nd="1"/>
        <i x="146" s="1" nd="1"/>
        <i x="70" s="1" nd="1"/>
        <i x="162" s="1" nd="1"/>
        <i x="371" s="1" nd="1"/>
        <i x="143" s="1" nd="1"/>
        <i x="399" s="1" nd="1"/>
        <i x="5" s="1" nd="1"/>
        <i x="2" s="1" nd="1"/>
        <i x="32" s="1" nd="1"/>
        <i x="222" s="1" nd="1"/>
        <i x="325" s="1" nd="1"/>
        <i x="331" s="1" nd="1"/>
        <i x="234" s="1" nd="1"/>
        <i x="338" s="1" nd="1"/>
        <i x="247" s="1" nd="1"/>
        <i x="356" s="1" nd="1"/>
        <i x="103" s="1" nd="1"/>
        <i x="195" s="1" nd="1"/>
        <i x="327" s="1" nd="1"/>
        <i x="341" s="1" nd="1"/>
        <i x="145" s="1" nd="1"/>
        <i x="152" s="1" nd="1"/>
        <i x="250" s="1" nd="1"/>
        <i x="354" s="1" nd="1"/>
        <i x="69" s="1" nd="1"/>
        <i x="364" s="1" nd="1"/>
        <i x="164" s="1" nd="1"/>
        <i x="266" s="1" nd="1"/>
        <i x="376" s="1" nd="1"/>
        <i x="390" s="1" nd="1"/>
        <i x="111" s="1" nd="1"/>
        <i x="206" s="1" nd="1"/>
        <i x="0" s="1" nd="1"/>
        <i x="31" s="1" nd="1"/>
        <i x="330" s="1" nd="1"/>
        <i x="141" s="1" nd="1"/>
        <i x="213" s="1" nd="1"/>
        <i x="96" s="1" nd="1"/>
        <i x="19" s="1" nd="1"/>
        <i x="122" s="1" nd="1"/>
        <i x="29" s="1" nd="1"/>
        <i x="219" s="1" nd="1"/>
        <i x="193" s="1" nd="1"/>
        <i x="210" s="1" nd="1"/>
        <i x="237" s="1" nd="1"/>
        <i x="63" s="1" nd="1"/>
        <i x="249" s="1" nd="1"/>
        <i x="363" s="1" nd="1"/>
        <i x="259" s="1" nd="1"/>
        <i x="370" s="1" nd="1"/>
        <i x="86" s="1" nd="1"/>
        <i x="280" s="1" nd="1"/>
        <i x="84" s="1" nd="1"/>
        <i x="221" s="1" nd="1"/>
        <i x="229" s="1" nd="1"/>
        <i x="337" s="1" nd="1"/>
        <i x="57" s="1" nd="1"/>
        <i x="153" s="1" nd="1"/>
        <i x="73" s="1" nd="1"/>
        <i x="158" s="1" nd="1"/>
        <i x="89" s="1" nd="1"/>
        <i x="380" s="1" nd="1"/>
        <i x="169" s="1" nd="1"/>
        <i x="101" s="1" nd="1"/>
        <i x="194" s="1" nd="1"/>
        <i x="294" s="1" nd="1"/>
        <i x="211" s="1" nd="1"/>
        <i x="316" s="1" nd="1"/>
        <i x="33" s="1" nd="1"/>
        <i x="292" s="1" nd="1"/>
        <i x="137" s="1" nd="1"/>
        <i x="51" s="1" nd="1"/>
        <i x="144" s="1" nd="1"/>
        <i x="348" s="1" nd="1"/>
        <i x="62" s="1" nd="1"/>
        <i x="258" s="1" nd="1"/>
        <i x="85" s="1" nd="1"/>
        <i x="67" s="1" nd="1"/>
        <i x="389" s="1" nd="1"/>
        <i x="179" s="1" nd="1"/>
        <i x="110" s="1" nd="1"/>
        <i x="185" s="1" nd="1"/>
        <i x="189" s="1" nd="1"/>
        <i x="197" s="1" nd="1"/>
        <i x="298" s="1" nd="1"/>
        <i x="306" s="1" nd="1"/>
        <i x="310" s="1" nd="1"/>
        <i x="323" s="1" nd="1"/>
        <i x="130" s="1" nd="1"/>
        <i x="366" s="1" nd="1"/>
        <i x="245" s="1" nd="1"/>
        <i x="394" s="1" nd="1"/>
        <i x="401" s="1" nd="1"/>
        <i x="293" s="1" nd="1"/>
        <i x="128" s="1" nd="1"/>
        <i x="39" s="1" nd="1"/>
        <i x="150" s="1" nd="1"/>
        <i x="3" s="1" nd="1"/>
        <i x="188" s="1" nd="1"/>
        <i x="205" s="1" nd="1"/>
        <i x="305" s="1" nd="1"/>
        <i x="398" s="1" nd="1"/>
        <i x="30" s="1" nd="1"/>
        <i x="240" s="1" nd="1"/>
        <i x="267" s="1" nd="1"/>
        <i x="283" s="1" nd="1"/>
        <i x="186" s="1" nd="1"/>
        <i x="127" s="1" nd="1"/>
        <i x="136" s="1" nd="1"/>
        <i x="61" s="1" nd="1"/>
        <i x="369" s="1" nd="1"/>
        <i x="171" s="1" nd="1"/>
        <i x="178" s="1" nd="1"/>
        <i x="355" s="1" nd="1"/>
        <i x="100" s="1" nd="1"/>
        <i x="218" s="1" nd="1"/>
        <i x="60" s="1" nd="1"/>
        <i x="68" s="1" nd="1"/>
        <i x="161" s="1" nd="1"/>
        <i x="367" s="1" nd="1"/>
        <i x="184" s="1" nd="1"/>
        <i x="134" s="1" nd="1"/>
        <i x="335" s="1" nd="1"/>
        <i x="264" s="1" nd="1"/>
        <i x="372" s="1" nd="1"/>
        <i x="201" s="1" nd="1"/>
        <i x="217" s="1" nd="1"/>
        <i x="38" s="1" nd="1"/>
        <i x="333" s="1" nd="1"/>
        <i x="59" s="1" nd="1"/>
        <i x="257" s="1" nd="1"/>
        <i x="10"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NETPROCESSID2" sourceName="NETPROCESSID">
  <pivotTables>
    <pivotTable tabId="29" name="PivotTable1"/>
  </pivotTables>
  <data>
    <tabular pivotCacheId="7">
      <items count="148">
        <i x="0" s="1" nd="1"/>
        <i x="23" s="1" nd="1"/>
        <i x="102" s="1" nd="1"/>
        <i x="90" s="1" nd="1"/>
        <i x="59" s="1" nd="1"/>
        <i x="27" s="1" nd="1"/>
        <i x="51" s="1" nd="1"/>
        <i x="15" s="1" nd="1"/>
        <i x="13" s="1" nd="1"/>
        <i x="3" s="1" nd="1"/>
        <i x="139" s="1" nd="1"/>
        <i x="11" s="1" nd="1"/>
        <i x="147" s="1" nd="1"/>
        <i x="66" s="1" nd="1"/>
        <i x="129" s="1" nd="1"/>
        <i x="119" s="1" nd="1"/>
        <i x="40" s="1" nd="1"/>
        <i x="35" s="1" nd="1"/>
        <i x="32" s="1" nd="1"/>
        <i x="48" s="1" nd="1"/>
        <i x="72" s="1" nd="1"/>
        <i x="144" s="1" nd="1"/>
        <i x="120" s="1" nd="1"/>
        <i x="131" s="1" nd="1"/>
        <i x="49" s="1" nd="1"/>
        <i x="19" s="1" nd="1"/>
        <i x="46" s="1" nd="1"/>
        <i x="121" s="1" nd="1"/>
        <i x="26" s="1" nd="1"/>
        <i x="118" s="1" nd="1"/>
        <i x="94" s="1" nd="1"/>
        <i x="76" s="1" nd="1"/>
        <i x="86" s="1" nd="1"/>
        <i x="77" s="1" nd="1"/>
        <i x="132" s="1" nd="1"/>
        <i x="109" s="1" nd="1"/>
        <i x="21" s="1" nd="1"/>
        <i x="58" s="1" nd="1"/>
        <i x="134" s="1" nd="1"/>
        <i x="88" s="1" nd="1"/>
        <i x="25" s="1" nd="1"/>
        <i x="30" s="1" nd="1"/>
        <i x="133" s="1" nd="1"/>
        <i x="41" s="1" nd="1"/>
        <i x="38" s="1" nd="1"/>
        <i x="103" s="1" nd="1"/>
        <i x="105" s="1" nd="1"/>
        <i x="128" s="1" nd="1"/>
        <i x="122" s="1" nd="1"/>
        <i x="101" s="1" nd="1"/>
        <i x="5" s="1" nd="1"/>
        <i x="83" s="1" nd="1"/>
        <i x="79" s="1" nd="1"/>
        <i x="54" s="1" nd="1"/>
        <i x="78" s="1" nd="1"/>
        <i x="4" s="1" nd="1"/>
        <i x="52" s="1" nd="1"/>
        <i x="82" s="1" nd="1"/>
        <i x="31" s="1" nd="1"/>
        <i x="137" s="1" nd="1"/>
        <i x="100" s="1" nd="1"/>
        <i x="69" s="1" nd="1"/>
        <i x="71" s="1" nd="1"/>
        <i x="20" s="1" nd="1"/>
        <i x="106" s="1" nd="1"/>
        <i x="2" s="1" nd="1"/>
        <i x="126" s="1" nd="1"/>
        <i x="89" s="1" nd="1"/>
        <i x="73" s="1" nd="1"/>
        <i x="113" s="1" nd="1"/>
        <i x="125" s="1" nd="1"/>
        <i x="43" s="1" nd="1"/>
        <i x="68" s="1" nd="1"/>
        <i x="123" s="1" nd="1"/>
        <i x="135" s="1" nd="1"/>
        <i x="17" s="1" nd="1"/>
        <i x="130" s="1" nd="1"/>
        <i x="127" s="1" nd="1"/>
        <i x="28" s="1" nd="1"/>
        <i x="99" s="1" nd="1"/>
        <i x="70" s="1" nd="1"/>
        <i x="110" s="1" nd="1"/>
        <i x="60" s="1" nd="1"/>
        <i x="92" s="1" nd="1"/>
        <i x="36" s="1" nd="1"/>
        <i x="53" s="1" nd="1"/>
        <i x="1" s="1" nd="1"/>
        <i x="107" s="1" nd="1"/>
        <i x="12" s="1" nd="1"/>
        <i x="33" s="1" nd="1"/>
        <i x="141" s="1" nd="1"/>
        <i x="116" s="1" nd="1"/>
        <i x="42" s="1" nd="1"/>
        <i x="39" s="1" nd="1"/>
        <i x="91" s="1" nd="1"/>
        <i x="29" s="1" nd="1"/>
        <i x="140" s="1" nd="1"/>
        <i x="95" s="1" nd="1"/>
        <i x="37" s="1" nd="1"/>
        <i x="63" s="1" nd="1"/>
        <i x="108" s="1" nd="1"/>
        <i x="9" s="1" nd="1"/>
        <i x="61" s="1" nd="1"/>
        <i x="67" s="1" nd="1"/>
        <i x="14" s="1" nd="1"/>
        <i x="45" s="1" nd="1"/>
        <i x="136" s="1" nd="1"/>
        <i x="65" s="1" nd="1"/>
        <i x="145" s="1" nd="1"/>
        <i x="81" s="1" nd="1"/>
        <i x="138" s="1" nd="1"/>
        <i x="6" s="1" nd="1"/>
        <i x="74" s="1" nd="1"/>
        <i x="96" s="1" nd="1"/>
        <i x="124" s="1" nd="1"/>
        <i x="34" s="1" nd="1"/>
        <i x="85" s="1" nd="1"/>
        <i x="146" s="1" nd="1"/>
        <i x="50" s="1" nd="1"/>
        <i x="104" s="1" nd="1"/>
        <i x="10" s="1" nd="1"/>
        <i x="64" s="1" nd="1"/>
        <i x="62" s="1" nd="1"/>
        <i x="44" s="1" nd="1"/>
        <i x="84" s="1" nd="1"/>
        <i x="7" s="1" nd="1"/>
        <i x="114" s="1" nd="1"/>
        <i x="115" s="1" nd="1"/>
        <i x="98" s="1" nd="1"/>
        <i x="112" s="1" nd="1"/>
        <i x="16" s="1" nd="1"/>
        <i x="87" s="1" nd="1"/>
        <i x="117" s="1" nd="1"/>
        <i x="93" s="1" nd="1"/>
        <i x="55" s="1" nd="1"/>
        <i x="111" s="1" nd="1"/>
        <i x="47" s="1" nd="1"/>
        <i x="24" s="1" nd="1"/>
        <i x="75" s="1" nd="1"/>
        <i x="57" s="1" nd="1"/>
        <i x="56" s="1" nd="1"/>
        <i x="8" s="1" nd="1"/>
        <i x="97" s="1" nd="1"/>
        <i x="143" s="1" nd="1"/>
        <i x="80" s="1" nd="1"/>
        <i x="142" s="1" nd="1"/>
        <i x="18" s="1" nd="1"/>
        <i x="22"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PROCESSID112" sourceName="PROCESSID">
  <pivotTables>
    <pivotTable tabId="37" name="PivotTable1"/>
  </pivotTables>
  <data>
    <tabular pivotCacheId="7">
      <items count="402">
        <i x="167" s="1" nd="1"/>
        <i x="227" s="1" nd="1"/>
        <i x="124" s="1" nd="1"/>
        <i x="248" s="1" nd="1"/>
        <i x="308" s="1" nd="1"/>
        <i x="176" s="1" nd="1"/>
        <i x="64" s="1" nd="1"/>
        <i x="187" s="1" nd="1"/>
        <i x="287" s="1" nd="1"/>
        <i x="279" s="1" nd="1"/>
        <i x="49" s="1" nd="1"/>
        <i x="129" s="1" nd="1"/>
        <i x="182" s="1" nd="1"/>
        <i x="208" s="1" nd="1"/>
        <i x="256" s="1" nd="1"/>
        <i x="304" s="1" nd="1"/>
        <i x="350" s="1" nd="1"/>
        <i x="236" s="1" nd="1"/>
        <i x="97" s="1" nd="1"/>
        <i x="138" s="1" nd="1"/>
        <i x="90" s="1" nd="1"/>
        <i x="104" s="1" nd="1"/>
        <i x="252" s="1" nd="1"/>
        <i x="24" s="1" nd="1"/>
        <i x="151" s="1" nd="1"/>
        <i x="56" s="1" nd="1"/>
        <i x="117" s="1" nd="1"/>
        <i x="309" s="1" nd="1"/>
        <i x="368" s="1" nd="1"/>
        <i x="65" s="1" nd="1"/>
        <i x="300" s="1" nd="1"/>
        <i x="121" s="1" nd="1"/>
        <i x="263" s="1" nd="1"/>
        <i x="313" s="1" nd="1"/>
        <i x="155" s="1" nd="1"/>
        <i x="388" s="1" nd="1"/>
        <i x="351" s="1" nd="1"/>
        <i x="260" s="1" nd="1"/>
        <i x="112" s="1" nd="1"/>
        <i x="125" s="1" nd="1"/>
        <i x="45" s="1" nd="1"/>
        <i x="135" s="1" nd="1"/>
        <i x="212" s="1" nd="1"/>
        <i x="357" s="1" nd="1"/>
        <i x="99" s="1" nd="1"/>
        <i x="324" s="1" nd="1"/>
        <i x="230" s="1" nd="1"/>
        <i x="40" s="1" nd="1"/>
        <i x="52" s="1" nd="1"/>
        <i x="107" s="1" nd="1"/>
        <i x="119" s="1" nd="1"/>
        <i x="174" s="1" nd="1"/>
        <i x="393" s="1" nd="1"/>
        <i x="28" s="1" nd="1"/>
        <i x="75" s="1" nd="1"/>
        <i x="336" s="1" nd="1"/>
        <i x="27" s="1" nd="1"/>
        <i x="74" s="1" nd="1"/>
        <i x="83" s="1" nd="1"/>
        <i x="140" s="1" nd="1"/>
        <i x="18" s="1" nd="1"/>
        <i x="365" s="1" nd="1"/>
        <i x="379" s="1" nd="1"/>
        <i x="50" s="1" nd="1"/>
        <i x="80" s="1" nd="1"/>
        <i x="321" s="1" nd="1"/>
        <i x="343" s="1" nd="1"/>
        <i x="17" s="1" nd="1"/>
        <i x="25" s="1" nd="1"/>
        <i x="226" s="1" nd="1"/>
        <i x="93" s="1" nd="1"/>
        <i x="385" s="1" nd="1"/>
        <i x="400" s="1" nd="1"/>
        <i x="37" s="1" nd="1"/>
        <i x="133" s="1" nd="1"/>
        <i x="173" s="1" nd="1"/>
        <i x="109" s="1" nd="1"/>
        <i x="114" s="1" nd="1"/>
        <i x="147" s="1" nd="1"/>
        <i x="172" s="1" nd="1"/>
        <i x="181" s="1" nd="1"/>
        <i x="192" s="1" nd="1"/>
        <i x="199" s="1" nd="1"/>
        <i x="242" s="1" nd="1"/>
        <i x="78" s="1" nd="1"/>
        <i x="378" s="1" nd="1"/>
        <i x="156" s="1" nd="1"/>
        <i x="198" s="1" nd="1"/>
        <i x="224" s="1" nd="1"/>
        <i x="42" s="1" nd="1"/>
        <i x="318" s="1" nd="1"/>
        <i x="377" s="1" nd="1"/>
        <i x="191" s="1" nd="1"/>
        <i x="118" s="1" nd="1"/>
        <i x="36" s="1" nd="1"/>
        <i x="246" s="1" nd="1"/>
        <i x="102" s="1" nd="1"/>
        <i x="48" s="1" nd="1"/>
        <i x="66" s="1" nd="1"/>
        <i x="273" s="1" nd="1"/>
        <i x="295" s="1" nd="1"/>
        <i x="301" s="1" nd="1"/>
        <i x="362" s="1" nd="1"/>
        <i x="375" s="1" nd="1"/>
        <i x="190" s="1" nd="1"/>
        <i x="12" s="1" nd="1"/>
        <i x="35" s="1" nd="1"/>
        <i x="47" s="1" nd="1"/>
        <i x="251" s="1" nd="1"/>
        <i x="361" s="1" nd="1"/>
        <i x="312" s="1" nd="1"/>
        <i x="374" s="1" nd="1"/>
        <i x="4" s="1" nd="1"/>
        <i x="23" s="1" nd="1"/>
        <i x="215" s="1" nd="1"/>
        <i x="373" s="1" nd="1"/>
        <i x="1" s="1" nd="1"/>
        <i x="204" s="1" nd="1"/>
        <i x="22" s="1" nd="1"/>
        <i x="196" s="1" nd="1"/>
        <i x="95" s="1" nd="1"/>
        <i x="315" s="1" nd="1"/>
        <i x="383" s="1" nd="1"/>
        <i x="11" s="1" nd="1"/>
        <i x="220" s="1" nd="1"/>
        <i x="55" s="1" nd="1"/>
        <i x="255" s="1" nd="1"/>
        <i x="326" s="1" nd="1"/>
        <i x="353" s="1" nd="1"/>
        <i x="21" s="1" nd="1"/>
        <i x="77" s="1" nd="1"/>
        <i x="94" s="1" nd="1"/>
        <i x="272" s="1" nd="1"/>
        <i x="277" s="1" nd="1"/>
        <i x="307" s="1" nd="1"/>
        <i x="314" s="1" nd="1"/>
        <i x="340" s="1" nd="1"/>
        <i x="254" s="1" nd="1"/>
        <i x="82" s="1" nd="1"/>
        <i x="166" s="1" nd="1"/>
        <i x="271" s="1" nd="1"/>
        <i x="177" s="1" nd="1"/>
        <i x="286" s="1" nd="1"/>
        <i x="9" s="1" nd="1"/>
        <i x="214" s="1" nd="1"/>
        <i x="322" s="1" nd="1"/>
        <i x="395" s="1" nd="1"/>
        <i x="139" s="1" nd="1"/>
        <i x="149" s="1" nd="1"/>
        <i x="352" s="1" nd="1"/>
        <i x="262" s="1" nd="1"/>
        <i x="168" s="1" nd="1"/>
        <i x="108" s="1" nd="1"/>
        <i x="282" s="1" nd="1"/>
        <i x="291" s="1" nd="1"/>
        <i x="14" s="1" nd="1"/>
        <i x="160" s="1" nd="1"/>
        <i x="81" s="1" nd="1"/>
        <i x="170" s="1" nd="1"/>
        <i x="285" s="1" nd="1"/>
        <i x="41" s="1" nd="1"/>
        <i x="54" s="1" nd="1"/>
        <i x="392" s="1" nd="1"/>
        <i x="116" s="1" nd="1"/>
        <i x="243" s="1" nd="1"/>
        <i x="253" s="1" nd="1"/>
        <i x="382" s="1" nd="1"/>
        <i x="397" s="1" nd="1"/>
        <i x="148" s="1" nd="1"/>
        <i x="387" s="1" nd="1"/>
        <i x="7" s="1" nd="1"/>
        <i x="200" s="1" nd="1"/>
        <i x="209" s="1" nd="1"/>
        <i x="26" s="1" nd="1"/>
        <i x="347" s="1" nd="1"/>
        <i x="159" s="1" nd="1"/>
        <i x="106" s="1" nd="1"/>
        <i x="396" s="1" nd="1"/>
        <i x="284" s="1" nd="1"/>
        <i x="203" s="1" nd="1"/>
        <i x="228" s="1" nd="1"/>
        <i x="334" s="1" nd="1"/>
        <i x="261" s="1" nd="1"/>
        <i x="386" s="1" nd="1"/>
        <i x="281" s="1" nd="1"/>
        <i x="120" s="1" nd="1"/>
        <i x="346" s="1" nd="1"/>
        <i x="360" s="1" nd="1"/>
        <i x="339" s="1" nd="1"/>
        <i x="79" s="1" nd="1"/>
        <i x="163" s="1" nd="1"/>
        <i x="265" s="1" nd="1"/>
        <i x="276" s="1" nd="1"/>
        <i x="278" s="1" nd="1"/>
        <i x="183" s="1" nd="1"/>
        <i x="16" s="1" nd="1"/>
        <i x="288" s="1" nd="1"/>
        <i x="320" s="1" nd="1"/>
        <i x="329" s="1" nd="1"/>
        <i x="233" s="1" nd="1"/>
        <i x="46" s="1" nd="1"/>
        <i x="76" s="1" nd="1"/>
        <i x="88" s="1" nd="1"/>
        <i x="384" s="1" nd="1"/>
        <i x="126" s="1" nd="1"/>
        <i x="332" s="1" nd="1"/>
        <i x="345" s="1" nd="1"/>
        <i x="381" s="1" nd="1"/>
        <i x="202" s="1" nd="1"/>
        <i x="328" s="1" nd="1"/>
        <i x="132" s="1" nd="1"/>
        <i x="239" s="1" nd="1"/>
        <i x="349" s="1" nd="1"/>
        <i x="6" s="1" nd="1"/>
        <i x="299" s="1" nd="1"/>
        <i x="207" s="1" nd="1"/>
        <i x="43" s="1" nd="1"/>
        <i x="142" s="1" nd="1"/>
        <i x="98" s="1" nd="1"/>
        <i x="154" s="1" nd="1"/>
        <i x="275" s="1" nd="1"/>
        <i x="269" s="1" nd="1"/>
        <i x="290" s="1" nd="1"/>
        <i x="297" s="1" nd="1"/>
        <i x="15" s="1" nd="1"/>
        <i x="303" s="1" nd="1"/>
        <i x="20" s="1" nd="1"/>
        <i x="123" s="1" nd="1"/>
        <i x="72" s="1" nd="1"/>
        <i x="165" s="1" nd="1"/>
        <i x="391" s="1" nd="1"/>
        <i x="13" s="1" nd="1"/>
        <i x="115" s="1" nd="1"/>
        <i x="180" s="1" nd="1"/>
        <i x="225" s="1" nd="1"/>
        <i x="231" s="1" nd="1"/>
        <i x="235" s="1" nd="1"/>
        <i x="241" s="1" nd="1"/>
        <i x="311" s="1" nd="1"/>
        <i x="344" s="1" nd="1"/>
        <i x="359" s="1" nd="1"/>
        <i x="92" s="1" nd="1"/>
        <i x="274" s="1" nd="1"/>
        <i x="105" s="1" nd="1"/>
        <i x="175" s="1" nd="1"/>
        <i x="113" s="1" nd="1"/>
        <i x="319" s="1" nd="1"/>
        <i x="34" s="1" nd="1"/>
        <i x="232" s="1" nd="1"/>
        <i x="44" s="1" nd="1"/>
        <i x="342" s="1" nd="1"/>
        <i x="53" s="1" nd="1"/>
        <i x="244" s="1" nd="1"/>
        <i x="71" s="1" nd="1"/>
        <i x="131" s="1" nd="1"/>
        <i x="157" s="1" nd="1"/>
        <i x="87" s="1" nd="1"/>
        <i x="216" s="1" nd="1"/>
        <i x="223" s="1" nd="1"/>
        <i x="58" s="1" nd="1"/>
        <i x="358" s="1" nd="1"/>
        <i x="91" s="1" nd="1"/>
        <i x="270" s="1" nd="1"/>
        <i x="268" s="1" nd="1"/>
        <i x="289" s="1" nd="1"/>
        <i x="8" s="1" nd="1"/>
        <i x="296" s="1" nd="1"/>
        <i x="302" s="1" nd="1"/>
        <i x="317" s="1" nd="1"/>
        <i x="238" s="1" nd="1"/>
        <i x="146" s="1" nd="1"/>
        <i x="70" s="1" nd="1"/>
        <i x="162" s="1" nd="1"/>
        <i x="371" s="1" nd="1"/>
        <i x="143" s="1" nd="1"/>
        <i x="399" s="1" nd="1"/>
        <i x="5" s="1" nd="1"/>
        <i x="2" s="1" nd="1"/>
        <i x="32" s="1" nd="1"/>
        <i x="222" s="1" nd="1"/>
        <i x="325" s="1" nd="1"/>
        <i x="331" s="1" nd="1"/>
        <i x="234" s="1" nd="1"/>
        <i x="338" s="1" nd="1"/>
        <i x="247" s="1" nd="1"/>
        <i x="356" s="1" nd="1"/>
        <i x="103" s="1" nd="1"/>
        <i x="195" s="1" nd="1"/>
        <i x="327" s="1" nd="1"/>
        <i x="341" s="1" nd="1"/>
        <i x="145" s="1" nd="1"/>
        <i x="152" s="1" nd="1"/>
        <i x="250" s="1" nd="1"/>
        <i x="354" s="1" nd="1"/>
        <i x="69" s="1" nd="1"/>
        <i x="364" s="1" nd="1"/>
        <i x="164" s="1" nd="1"/>
        <i x="266" s="1" nd="1"/>
        <i x="376" s="1" nd="1"/>
        <i x="390" s="1" nd="1"/>
        <i x="111" s="1" nd="1"/>
        <i x="206" s="1" nd="1"/>
        <i x="0" s="1" nd="1"/>
        <i x="31" s="1" nd="1"/>
        <i x="330" s="1" nd="1"/>
        <i x="141" s="1" nd="1"/>
        <i x="213" s="1" nd="1"/>
        <i x="96" s="1" nd="1"/>
        <i x="19" s="1" nd="1"/>
        <i x="122" s="1" nd="1"/>
        <i x="29" s="1" nd="1"/>
        <i x="219" s="1" nd="1"/>
        <i x="193" s="1" nd="1"/>
        <i x="210" s="1" nd="1"/>
        <i x="237" s="1" nd="1"/>
        <i x="63" s="1" nd="1"/>
        <i x="249" s="1" nd="1"/>
        <i x="363" s="1" nd="1"/>
        <i x="259" s="1" nd="1"/>
        <i x="370" s="1" nd="1"/>
        <i x="86" s="1" nd="1"/>
        <i x="280" s="1" nd="1"/>
        <i x="84" s="1" nd="1"/>
        <i x="221" s="1" nd="1"/>
        <i x="229" s="1" nd="1"/>
        <i x="337" s="1" nd="1"/>
        <i x="57" s="1" nd="1"/>
        <i x="153" s="1" nd="1"/>
        <i x="73" s="1" nd="1"/>
        <i x="158" s="1" nd="1"/>
        <i x="89" s="1" nd="1"/>
        <i x="380" s="1" nd="1"/>
        <i x="169" s="1" nd="1"/>
        <i x="101" s="1" nd="1"/>
        <i x="194" s="1" nd="1"/>
        <i x="294" s="1" nd="1"/>
        <i x="211" s="1" nd="1"/>
        <i x="316" s="1" nd="1"/>
        <i x="33" s="1" nd="1"/>
        <i x="292" s="1" nd="1"/>
        <i x="137" s="1" nd="1"/>
        <i x="51" s="1" nd="1"/>
        <i x="144" s="1" nd="1"/>
        <i x="348" s="1" nd="1"/>
        <i x="62" s="1" nd="1"/>
        <i x="258" s="1" nd="1"/>
        <i x="85" s="1" nd="1"/>
        <i x="67" s="1" nd="1"/>
        <i x="389" s="1" nd="1"/>
        <i x="179" s="1" nd="1"/>
        <i x="110" s="1" nd="1"/>
        <i x="185" s="1" nd="1"/>
        <i x="189" s="1" nd="1"/>
        <i x="197" s="1" nd="1"/>
        <i x="298" s="1" nd="1"/>
        <i x="306" s="1" nd="1"/>
        <i x="310" s="1" nd="1"/>
        <i x="323" s="1" nd="1"/>
        <i x="130" s="1" nd="1"/>
        <i x="366" s="1" nd="1"/>
        <i x="245" s="1" nd="1"/>
        <i x="394" s="1" nd="1"/>
        <i x="401" s="1" nd="1"/>
        <i x="293" s="1" nd="1"/>
        <i x="128" s="1" nd="1"/>
        <i x="39" s="1" nd="1"/>
        <i x="150" s="1" nd="1"/>
        <i x="3" s="1" nd="1"/>
        <i x="188" s="1" nd="1"/>
        <i x="205" s="1" nd="1"/>
        <i x="305" s="1" nd="1"/>
        <i x="398" s="1" nd="1"/>
        <i x="30" s="1" nd="1"/>
        <i x="240" s="1" nd="1"/>
        <i x="267" s="1" nd="1"/>
        <i x="283" s="1" nd="1"/>
        <i x="186" s="1" nd="1"/>
        <i x="127" s="1" nd="1"/>
        <i x="136" s="1" nd="1"/>
        <i x="61" s="1" nd="1"/>
        <i x="369" s="1" nd="1"/>
        <i x="171" s="1" nd="1"/>
        <i x="178" s="1" nd="1"/>
        <i x="355" s="1" nd="1"/>
        <i x="100" s="1" nd="1"/>
        <i x="218" s="1" nd="1"/>
        <i x="60" s="1" nd="1"/>
        <i x="68" s="1" nd="1"/>
        <i x="161" s="1" nd="1"/>
        <i x="367" s="1" nd="1"/>
        <i x="184" s="1" nd="1"/>
        <i x="134" s="1" nd="1"/>
        <i x="335" s="1" nd="1"/>
        <i x="264" s="1" nd="1"/>
        <i x="372" s="1" nd="1"/>
        <i x="201" s="1" nd="1"/>
        <i x="217" s="1" nd="1"/>
        <i x="38" s="1" nd="1"/>
        <i x="333" s="1" nd="1"/>
        <i x="59" s="1" nd="1"/>
        <i x="257" s="1" nd="1"/>
        <i x="10"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FEATURE12" sourceName="FEATURE">
  <pivotTables>
    <pivotTable tabId="37" name="PivotTable1"/>
  </pivotTables>
  <data>
    <tabular pivotCacheId="7">
      <items count="10">
        <i x="0" s="1" nd="1"/>
        <i x="8" s="1" nd="1"/>
        <i x="6" s="1" nd="1"/>
        <i x="2" s="1" nd="1"/>
        <i x="5" s="1" nd="1"/>
        <i x="9" s="1" nd="1"/>
        <i x="1" s="1" nd="1"/>
        <i x="3" s="1" nd="1"/>
        <i x="4" s="1" nd="1"/>
        <i x="7" s="1" nd="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MSER12" sourceName="MSER">
  <pivotTables>
    <pivotTable tabId="37" name="PivotTable1"/>
  </pivotTables>
  <data>
    <tabular pivotCacheId="7">
      <items count="740">
        <i x="71" s="1" nd="1"/>
        <i x="299" s="1" nd="1"/>
        <i x="411" s="1" nd="1"/>
        <i x="280" s="1" nd="1"/>
        <i x="674" s="1" nd="1"/>
        <i x="248" s="1" nd="1"/>
        <i x="700" s="1" nd="1"/>
        <i x="738" s="1" nd="1"/>
        <i x="652" s="1" nd="1"/>
        <i x="661" s="1" nd="1"/>
        <i x="540" s="1" nd="1"/>
        <i x="271" s="1" nd="1"/>
        <i x="731" s="1" nd="1"/>
        <i x="14" s="1" nd="1"/>
        <i x="416" s="1" nd="1"/>
        <i x="712" s="1" nd="1"/>
        <i x="585" s="1" nd="1"/>
        <i x="596" s="1" nd="1"/>
        <i x="0" s="1" nd="1"/>
        <i x="485" s="1" nd="1"/>
        <i x="255" s="1" nd="1"/>
        <i x="600" s="1" nd="1"/>
        <i x="127" s="1" nd="1"/>
        <i x="649" s="1" nd="1"/>
        <i x="112" s="1" nd="1"/>
        <i x="171" s="1" nd="1"/>
        <i x="429" s="1" nd="1"/>
        <i x="541" s="1" nd="1"/>
        <i x="168" s="1" nd="1"/>
        <i x="142" s="1" nd="1"/>
        <i x="289" s="1" nd="1"/>
        <i x="602" s="1" nd="1"/>
        <i x="627" s="1" nd="1"/>
        <i x="38" s="1" nd="1"/>
        <i x="604" s="1" nd="1"/>
        <i x="190" s="1" nd="1"/>
        <i x="215" s="1" nd="1"/>
        <i x="395" s="1" nd="1"/>
        <i x="121" s="1" nd="1"/>
        <i x="339" s="1" nd="1"/>
        <i x="166" s="1" nd="1"/>
        <i x="81" s="1" nd="1"/>
        <i x="506" s="1" nd="1"/>
        <i x="470" s="1" nd="1"/>
        <i x="632" s="1" nd="1"/>
        <i x="150" s="1" nd="1"/>
        <i x="209" s="1" nd="1"/>
        <i x="394" s="1" nd="1"/>
        <i x="308" s="1" nd="1"/>
        <i x="290" s="1" nd="1"/>
        <i x="159" s="1" nd="1"/>
        <i x="75" s="1" nd="1"/>
        <i x="633" s="1" nd="1"/>
        <i x="530" s="1" nd="1"/>
        <i x="362" s="1" nd="1"/>
        <i x="98" s="1" nd="1"/>
        <i x="179" s="1" nd="1"/>
        <i x="438" s="1" nd="1"/>
        <i x="579" s="1" nd="1"/>
        <i x="167" s="1" nd="1"/>
        <i x="247" s="1" nd="1"/>
        <i x="208" s="1" nd="1"/>
        <i x="6" s="1" nd="1"/>
        <i x="263" s="1" nd="1"/>
        <i x="286" s="1" nd="1"/>
        <i x="684" s="1" nd="1"/>
        <i x="523" s="1" nd="1"/>
        <i x="644" s="1" nd="1"/>
        <i x="276" s="1" nd="1"/>
        <i x="63" s="1" nd="1"/>
        <i x="551" s="1" nd="1"/>
        <i x="570" s="1" nd="1"/>
        <i x="693" s="1" nd="1"/>
        <i x="86" s="1" nd="1"/>
        <i x="373" s="1" nd="1"/>
        <i x="30" s="1" nd="1"/>
        <i x="371" s="1" nd="1"/>
        <i x="664" s="1" nd="1"/>
        <i x="708" s="1" nd="1"/>
        <i x="706" s="1" nd="1"/>
        <i x="695" s="1" nd="1"/>
        <i x="110" s="1" nd="1"/>
        <i x="104" s="1" nd="1"/>
        <i x="327" s="1" nd="1"/>
        <i x="702" s="1" nd="1"/>
        <i x="139" s="1" nd="1"/>
        <i x="686" s="1" nd="1"/>
        <i x="481" s="1" nd="1"/>
        <i x="654" s="1" nd="1"/>
        <i x="194" s="1" nd="1"/>
        <i x="733" s="1" nd="1"/>
        <i x="431" s="1" nd="1"/>
        <i x="132" s="1" nd="1"/>
        <i x="72" s="1" nd="1"/>
        <i x="611" s="1" nd="1"/>
        <i x="191" s="1" nd="1"/>
        <i x="593" s="1" nd="1"/>
        <i x="349" s="1" nd="1"/>
        <i x="673" s="1" nd="1"/>
        <i x="12" s="1" nd="1"/>
        <i x="101" s="1" nd="1"/>
        <i x="603" s="1" nd="1"/>
        <i x="504" s="1" nd="1"/>
        <i x="355" s="1" nd="1"/>
        <i x="608" s="1" nd="1"/>
        <i x="561" s="1" nd="1"/>
        <i x="707" s="1" nd="1"/>
        <i x="181" s="1" nd="1"/>
        <i x="254" s="1" nd="1"/>
        <i x="342" s="1" nd="1"/>
        <i x="723" s="1" nd="1"/>
        <i x="317" s="1" nd="1"/>
        <i x="3" s="1" nd="1"/>
        <i x="480" s="1" nd="1"/>
        <i x="245" s="1" nd="1"/>
        <i x="227" s="1" nd="1"/>
        <i x="165" s="1" nd="1"/>
        <i x="736" s="1" nd="1"/>
        <i x="109" s="1" nd="1"/>
        <i x="116" s="1" nd="1"/>
        <i x="287" s="1" nd="1"/>
        <i x="281" s="1" nd="1"/>
        <i x="467" s="1" nd="1"/>
        <i x="464" s="1" nd="1"/>
        <i x="231" s="1" nd="1"/>
        <i x="623" s="1" nd="1"/>
        <i x="594" s="1" nd="1"/>
        <i x="329" s="1" nd="1"/>
        <i x="719" s="1" nd="1"/>
        <i x="99" s="1" nd="1"/>
        <i x="207" s="1" nd="1"/>
        <i x="326" s="1" nd="1"/>
        <i x="124" s="1" nd="1"/>
        <i x="582" s="1" nd="1"/>
        <i x="419" s="1" nd="1"/>
        <i x="427" s="1" nd="1"/>
        <i x="490" s="1" nd="1"/>
        <i x="7" s="1" nd="1"/>
        <i x="393" s="1" nd="1"/>
        <i x="225" s="1" nd="1"/>
        <i x="304" s="1" nd="1"/>
        <i x="542" s="1" nd="1"/>
        <i x="526" s="1" nd="1"/>
        <i x="361" s="1" nd="1"/>
        <i x="113" s="1" nd="1"/>
        <i x="689" s="1" nd="1"/>
        <i x="345" s="1" nd="1"/>
        <i x="637" s="1" nd="1"/>
        <i x="703" s="1" nd="1"/>
        <i x="252" s="1" nd="1"/>
        <i x="536" s="1" nd="1"/>
        <i x="288" s="1" nd="1"/>
        <i x="359" s="1" nd="1"/>
        <i x="149" s="1" nd="1"/>
        <i x="357" s="1" nd="1"/>
        <i x="128" s="1" nd="1"/>
        <i x="352" s="1" nd="1"/>
        <i x="473" s="1" nd="1"/>
        <i x="610" s="1" nd="1"/>
        <i x="187" s="1" nd="1"/>
        <i x="472" s="1" nd="1"/>
        <i x="193" s="1" nd="1"/>
        <i x="665" s="1" nd="1"/>
        <i x="564" s="1" nd="1"/>
        <i x="154" s="1" nd="1"/>
        <i x="663" s="1" nd="1"/>
        <i x="222" s="1" nd="1"/>
        <i x="392" s="1" nd="1"/>
        <i x="727" s="1" nd="1"/>
        <i x="131" s="1" nd="1"/>
        <i x="301" s="1" nd="1"/>
        <i x="91" s="1" nd="1"/>
        <i x="309" s="1" nd="1"/>
        <i x="380" s="1" nd="1"/>
        <i x="404" s="1" nd="1"/>
        <i x="656" s="1" nd="1"/>
        <i x="446" s="1" nd="1"/>
        <i x="634" s="1" nd="1"/>
        <i x="52" s="1" nd="1"/>
        <i x="324" s="1" nd="1"/>
        <i x="607" s="1" nd="1"/>
        <i x="189" s="1" nd="1"/>
        <i x="158" s="1" nd="1"/>
        <i x="284" s="1" nd="1"/>
        <i x="335" s="1" nd="1"/>
        <i x="435" s="1" nd="1"/>
        <i x="285" s="1" nd="1"/>
        <i x="60" s="1" nd="1"/>
        <i x="737" s="1" nd="1"/>
        <i x="107" s="1" nd="1"/>
        <i x="549" s="1" nd="1"/>
        <i x="198" s="1" nd="1"/>
        <i x="196" s="1" nd="1"/>
        <i x="699" s="1" nd="1"/>
        <i x="676" s="1" nd="1"/>
        <i x="353" s="1" nd="1"/>
        <i x="333" s="1" nd="1"/>
        <i x="22" s="1" nd="1"/>
        <i x="73" s="1" nd="1"/>
        <i x="123" s="1" nd="1"/>
        <i x="638" s="1" nd="1"/>
        <i x="307" s="1" nd="1"/>
        <i x="595" s="1" nd="1"/>
        <i x="256" s="1" nd="1"/>
        <i x="195" s="1" nd="1"/>
        <i x="396" s="1" nd="1"/>
        <i x="125" s="1" nd="1"/>
        <i x="720" s="1" nd="1"/>
        <i x="354" s="1" nd="1"/>
        <i x="170" s="1" nd="1"/>
        <i x="140" s="1" nd="1"/>
        <i x="628" s="1" nd="1"/>
        <i x="616" s="1" nd="1"/>
        <i x="291" s="1" nd="1"/>
        <i x="322" s="1" nd="1"/>
        <i x="696" s="1" nd="1"/>
        <i x="129" s="1" nd="1"/>
        <i x="148" s="1" nd="1"/>
        <i x="68" s="1" nd="1"/>
        <i x="584" s="1" nd="1"/>
        <i x="667" s="1" nd="1"/>
        <i x="230" s="1" nd="1"/>
        <i x="213" s="1" nd="1"/>
        <i x="347" s="1" nd="1"/>
        <i x="739" s="1" nd="1"/>
        <i x="622" s="1" nd="1"/>
        <i x="705" s="1" nd="1"/>
        <i x="351" s="1" nd="1"/>
        <i x="45" s="1" nd="1"/>
        <i x="152" s="1" nd="1"/>
        <i x="246" s="1" nd="1"/>
        <i x="311" s="1" nd="1"/>
        <i x="642" s="1" nd="1"/>
        <i x="518" s="1" nd="1"/>
        <i x="588" s="1" nd="1"/>
        <i x="575" s="1" nd="1"/>
        <i x="407" s="1" nd="1"/>
        <i x="672" s="1" nd="1"/>
        <i x="47" s="1" nd="1"/>
        <i x="681" s="1" nd="1"/>
        <i x="314" s="1" nd="1"/>
        <i x="331" s="1" nd="1"/>
        <i x="341" s="1" nd="1"/>
        <i x="257" s="1" nd="1"/>
        <i x="491" s="1" nd="1"/>
        <i x="477" s="1" nd="1"/>
        <i x="447" s="1" nd="1"/>
        <i x="37" s="1" nd="1"/>
        <i x="647" s="1" nd="1"/>
        <i x="670" s="1" nd="1"/>
        <i x="232" s="1" nd="1"/>
        <i x="482" s="1" nd="1"/>
        <i x="550" s="1" nd="1"/>
        <i x="96" s="1" nd="1"/>
        <i x="17" s="1" nd="1"/>
        <i x="78" s="1" nd="1"/>
        <i x="23" s="1" nd="1"/>
        <i x="726" s="1" nd="1"/>
        <i x="54" s="1" nd="1"/>
        <i x="569" s="1" nd="1"/>
        <i x="714" s="1" nd="1"/>
        <i x="84" s="1" nd="1"/>
        <i x="520" s="1" nd="1"/>
        <i x="29" s="1" nd="1"/>
        <i x="214" s="1" nd="1"/>
        <i x="4" s="1" nd="1"/>
        <i x="58" s="1" nd="1"/>
        <i x="228" s="1" nd="1"/>
        <i x="323" s="1" nd="1"/>
        <i x="417" s="1" nd="1"/>
        <i x="524" s="1" nd="1"/>
        <i x="49" s="1" nd="1"/>
        <i x="258" s="1" nd="1"/>
        <i x="572" s="1" nd="1"/>
        <i x="48" s="1" nd="1"/>
        <i x="513" s="1" nd="1"/>
        <i x="67" s="1" nd="1"/>
        <i x="259" s="1" nd="1"/>
        <i x="348" s="1" nd="1"/>
        <i x="479" s="1" nd="1"/>
        <i x="641" s="1" nd="1"/>
        <i x="655" s="1" nd="1"/>
        <i x="389" s="1" nd="1"/>
        <i x="203" s="1" nd="1"/>
        <i x="552" s="1" nd="1"/>
        <i x="25" s="1" nd="1"/>
        <i x="223" s="1" nd="1"/>
        <i x="612" s="1" nd="1"/>
        <i x="66" s="1" nd="1"/>
        <i x="466" s="1" nd="1"/>
        <i x="583" s="1" nd="1"/>
        <i x="586" s="1" nd="1"/>
        <i x="677" s="1" nd="1"/>
        <i x="315" s="1" nd="1"/>
        <i x="79" s="1" nd="1"/>
        <i x="591" s="1" nd="1"/>
        <i x="1" s="1" nd="1"/>
        <i x="537" s="1" nd="1"/>
        <i x="532" s="1" nd="1"/>
        <i x="545" s="1" nd="1"/>
        <i x="108" s="1" nd="1"/>
        <i x="278" s="1" nd="1"/>
        <i x="459" s="1" nd="1"/>
        <i x="62" s="1" nd="1"/>
        <i x="94" s="1" nd="1"/>
        <i x="546" s="1" nd="1"/>
        <i x="666" s="1" nd="1"/>
        <i x="344" s="1" nd="1"/>
        <i x="321" s="1" nd="1"/>
        <i x="577" s="1" nd="1"/>
        <i x="340" s="1" nd="1"/>
        <i x="57" s="1" nd="1"/>
        <i x="130" s="1" nd="1"/>
        <i x="553" s="1" nd="1"/>
        <i x="143" s="1" nd="1"/>
        <i x="138" s="1" nd="1"/>
        <i x="613" s="1" nd="1"/>
        <i x="580" s="1" nd="1"/>
        <i x="653" s="1" nd="1"/>
        <i x="77" s="1" nd="1"/>
        <i x="454" s="1" nd="1"/>
        <i x="188" s="1" nd="1"/>
        <i x="251" s="1" nd="1"/>
        <i x="43" s="1" nd="1"/>
        <i x="398" s="1" nd="1"/>
        <i x="363" s="1" nd="1"/>
        <i x="568" s="1" nd="1"/>
        <i x="122" s="1" nd="1"/>
        <i x="27" s="1" nd="1"/>
        <i x="535" s="1" nd="1"/>
        <i x="184" s="1" nd="1"/>
        <i x="15" s="1" nd="1"/>
        <i x="157" s="1" nd="1"/>
        <i x="210" s="1" nd="1"/>
        <i x="619" s="1" nd="1"/>
        <i x="199" s="1" nd="1"/>
        <i x="253" s="1" nd="1"/>
        <i x="625" s="1" nd="1"/>
        <i x="458" s="1" nd="1"/>
        <i x="717" s="1" nd="1"/>
        <i x="87" s="1" nd="1"/>
        <i x="69" s="1" nd="1"/>
        <i x="378" s="1" nd="1"/>
        <i x="635" s="1" nd="1"/>
        <i x="85" s="1" nd="1"/>
        <i x="224" s="1" nd="1"/>
        <i x="10" s="1" nd="1"/>
        <i x="687" s="1" nd="1"/>
        <i x="698" s="1" nd="1"/>
        <i x="59" s="1" nd="1"/>
        <i x="539" s="1" nd="1"/>
        <i x="204" s="1" nd="1"/>
        <i x="13" s="1" nd="1"/>
        <i x="527" s="1" nd="1"/>
        <i x="76" s="1" nd="1"/>
        <i x="422" s="1" nd="1"/>
        <i x="444" s="1" nd="1"/>
        <i x="93" s="1" nd="1"/>
        <i x="478" s="1" nd="1"/>
        <i x="273" s="1" nd="1"/>
        <i x="709" s="1" nd="1"/>
        <i x="65" s="1" nd="1"/>
        <i x="102" s="1" nd="1"/>
        <i x="292" s="1" nd="1"/>
        <i x="710" s="1" nd="1"/>
        <i x="19" s="1" nd="1"/>
        <i x="651" s="1" nd="1"/>
        <i x="474" s="1" nd="1"/>
        <i x="493" s="1" nd="1"/>
        <i x="376" s="1" nd="1"/>
        <i x="53" s="1" nd="1"/>
        <i x="82" s="1" nd="1"/>
        <i x="313" s="1" nd="1"/>
        <i x="100" s="1" nd="1"/>
        <i x="685" s="1" nd="1"/>
        <i x="675" s="1" nd="1"/>
        <i x="135" s="1" nd="1"/>
        <i x="624" s="1" nd="1"/>
        <i x="114" s="1" nd="1"/>
        <i x="581" s="1" nd="1"/>
        <i x="34" s="1" nd="1"/>
        <i x="592" s="1" nd="1"/>
        <i x="133" s="1" nd="1"/>
        <i x="330" s="1" nd="1"/>
        <i x="264" s="1" nd="1"/>
        <i x="16" s="1" nd="1"/>
        <i x="89" s="1" nd="1"/>
        <i x="680" s="1" nd="1"/>
        <i x="601" s="1" nd="1"/>
        <i x="413" s="1" nd="1"/>
        <i x="118" s="1" nd="1"/>
        <i x="668" s="1" nd="1"/>
        <i x="334" s="1" nd="1"/>
        <i x="721" s="1" nd="1"/>
        <i x="318" s="1" nd="1"/>
        <i x="531" s="1" nd="1"/>
        <i x="559" s="1" nd="1"/>
        <i x="408" s="1" nd="1"/>
        <i x="153" s="1" nd="1"/>
        <i x="682" s="1" nd="1"/>
        <i x="679" s="1" nd="1"/>
        <i x="554" s="1" nd="1"/>
        <i x="31" s="1" nd="1"/>
        <i x="382" s="1" nd="1"/>
        <i x="137" s="1" nd="1"/>
        <i x="691" s="1" nd="1"/>
        <i x="169" s="1" nd="1"/>
        <i x="20" s="1" nd="1"/>
        <i x="578" s="1" nd="1"/>
        <i x="688" s="1" nd="1"/>
        <i x="119" s="1" nd="1"/>
        <i x="701" s="1" nd="1"/>
        <i x="390" s="1" nd="1"/>
        <i x="178" s="1" nd="1"/>
        <i x="105" s="1" nd="1"/>
        <i x="704" s="1" nd="1"/>
        <i x="319" s="1" nd="1"/>
        <i x="534" s="1" nd="1"/>
        <i x="70" s="1" nd="1"/>
        <i x="312" s="1" nd="1"/>
        <i x="229" s="1" nd="1"/>
        <i x="295" s="1" nd="1"/>
        <i x="606" s="1" nd="1"/>
        <i x="83" s="1" nd="1"/>
        <i x="360" s="1" nd="1"/>
        <i x="92" s="1" nd="1"/>
        <i x="562" s="1" nd="1"/>
        <i x="144" s="1" nd="1"/>
        <i x="28" s="1" nd="1"/>
        <i x="597" s="1" nd="1"/>
        <i x="621" s="1" nd="1"/>
        <i x="615" s="1" nd="1"/>
        <i x="476" s="1" nd="1"/>
        <i x="598" s="1" nd="1"/>
        <i x="544" s="1" nd="1"/>
        <i x="521" s="1" nd="1"/>
        <i x="55" s="1" nd="1"/>
        <i x="41" s="1" nd="1"/>
        <i x="599" s="1" nd="1"/>
        <i x="356" s="1" nd="1"/>
        <i x="418" s="1" nd="1"/>
        <i x="103" s="1" nd="1"/>
        <i x="42" s="1" nd="1"/>
        <i x="332" s="1" nd="1"/>
        <i x="713" s="1" nd="1"/>
        <i x="239" s="1" nd="1"/>
        <i x="658" s="1" nd="1"/>
        <i x="529" s="1" nd="1"/>
        <i x="233" s="1" nd="1"/>
        <i x="711" s="1" nd="1"/>
        <i x="678" s="1" nd="1"/>
        <i x="648" s="1" nd="1"/>
        <i x="558" s="1" nd="1"/>
        <i x="36" s="1" nd="1"/>
        <i x="697" s="1" nd="1"/>
        <i x="211" s="1" nd="1"/>
        <i x="346" s="1" nd="1"/>
        <i x="626" s="1" nd="1"/>
        <i x="141" s="1" nd="1"/>
        <i x="274" s="1" nd="1"/>
        <i x="328" s="1" nd="1"/>
        <i x="379" s="1" nd="1"/>
        <i x="503" s="1" nd="1"/>
        <i x="528" s="1" nd="1"/>
        <i x="609" s="1" nd="1"/>
        <i x="21" s="1" nd="1"/>
        <i x="502" s="1" nd="1"/>
        <i x="533" s="1" nd="1"/>
        <i x="439" s="1" nd="1"/>
        <i x="515" s="1" nd="1"/>
        <i x="630" s="1" nd="1"/>
        <i x="74" s="1" nd="1"/>
        <i x="555" s="1" nd="1"/>
        <i x="618" s="1" nd="1"/>
        <i x="325" s="1" nd="1"/>
        <i x="151" s="1" nd="1"/>
        <i x="465" s="1" nd="1"/>
        <i x="566" s="1" nd="1"/>
        <i x="176" s="1" nd="1"/>
        <i x="275" s="1" nd="1"/>
        <i x="305" s="1" nd="1"/>
        <i x="50" s="1" nd="1"/>
        <i x="269" s="1" nd="1"/>
        <i x="64" s="1" nd="1"/>
        <i x="543" s="1" nd="1"/>
        <i x="510" s="1" nd="1"/>
        <i x="560" s="1" nd="1"/>
        <i x="182" s="1" nd="1"/>
        <i x="671" s="1" nd="1"/>
        <i x="567" s="1" nd="1"/>
        <i x="495" s="1" nd="1"/>
        <i x="500" s="1" nd="1"/>
        <i x="636" s="1" nd="1"/>
        <i x="174" s="1" nd="1"/>
        <i x="277" s="1" nd="1"/>
        <i x="437" s="1" nd="1"/>
        <i x="155" s="1" nd="1"/>
        <i x="338" s="1" nd="1"/>
        <i x="40" s="1" nd="1"/>
        <i x="548" s="1" nd="1"/>
        <i x="573" s="1" nd="1"/>
        <i x="316" s="1" nd="1"/>
        <i x="629" s="1" nd="1"/>
        <i x="202" s="1" nd="1"/>
        <i x="724" s="1" nd="1"/>
        <i x="483" s="1" nd="1"/>
        <i x="120" s="1" nd="1"/>
        <i x="97" s="1" nd="1"/>
        <i x="718" s="1" nd="1"/>
        <i x="302" s="1" nd="1"/>
        <i x="320" s="1" nd="1"/>
        <i x="306" s="1" nd="1"/>
        <i x="282" s="1" nd="1"/>
        <i x="690" s="1" nd="1"/>
        <i x="728" s="1" nd="1"/>
        <i x="243" s="1" nd="1"/>
        <i x="730" s="1" nd="1"/>
        <i x="374" s="1" nd="1"/>
        <i x="386" s="1" nd="1"/>
        <i x="522" s="1" nd="1"/>
        <i x="32" s="1" nd="1"/>
        <i x="61" s="1" nd="1"/>
        <i x="441" s="1" nd="1"/>
        <i x="8" s="1" nd="1"/>
        <i x="44" s="1" nd="1"/>
        <i x="620" s="1" nd="1"/>
        <i x="267" s="1" nd="1"/>
        <i x="734" s="1" nd="1"/>
        <i x="56" s="1" nd="1"/>
        <i x="614" s="1" nd="1"/>
        <i x="556" s="1" nd="1"/>
        <i x="51" s="1" nd="1"/>
        <i x="436" s="1" nd="1"/>
        <i x="399" s="1" nd="1"/>
        <i x="186" s="1" nd="1"/>
        <i x="226" s="1" nd="1"/>
        <i x="725" s="1" nd="1"/>
        <i x="643" s="1" nd="1"/>
        <i x="134" s="1" nd="1"/>
        <i x="145" s="1" nd="1"/>
        <i x="576" s="1" nd="1"/>
        <i x="106" s="1" nd="1"/>
        <i x="565" s="1" nd="1"/>
        <i x="571" s="1" nd="1"/>
        <i x="33" s="1" nd="1"/>
        <i x="310" s="1" nd="1"/>
        <i x="462" s="1" nd="1"/>
        <i x="9" s="1" nd="1"/>
        <i x="221" s="1" nd="1"/>
        <i x="631" s="1" nd="1"/>
        <i x="95" s="1" nd="1"/>
        <i x="146" s="1" nd="1"/>
        <i x="715" s="1" nd="1"/>
        <i x="722" s="1" nd="1"/>
        <i x="279" s="1" nd="1"/>
        <i x="525" s="1" nd="1"/>
        <i x="192" s="1" nd="1"/>
        <i x="574" s="1" nd="1"/>
        <i x="111" s="1" nd="1"/>
        <i x="645" s="1" nd="1"/>
        <i x="587" s="1" nd="1"/>
        <i x="268" s="1" nd="1"/>
        <i x="147" s="1" nd="1"/>
        <i x="732" s="1" nd="1"/>
        <i x="350" s="1" nd="1"/>
        <i x="39" s="1" nd="1"/>
        <i x="5" s="1" nd="1"/>
        <i x="26" s="1" nd="1"/>
        <i x="156" s="1" nd="1"/>
        <i x="659" s="1" nd="1"/>
        <i x="735" s="1" nd="1"/>
        <i x="589" s="1" nd="1"/>
        <i x="617" s="1" nd="1"/>
        <i x="88" s="1" nd="1"/>
        <i x="729" s="1" nd="1"/>
        <i x="261" s="1" nd="1"/>
        <i x="18" s="1" nd="1"/>
        <i x="640" s="1" nd="1"/>
        <i x="547" s="1" nd="1"/>
        <i x="692" s="1" nd="1"/>
        <i x="272" s="1" nd="1"/>
        <i x="336" s="1" nd="1"/>
        <i x="161" s="1" nd="1"/>
        <i x="343" s="1" nd="1"/>
        <i x="660" s="1" nd="1"/>
        <i x="657" s="1" nd="1"/>
        <i x="605" s="1" nd="1"/>
        <i x="414" s="1" nd="1"/>
        <i x="197" s="1" nd="1"/>
        <i x="639" s="1" nd="1"/>
        <i x="35" s="1" nd="1"/>
        <i x="508" s="1" nd="1"/>
        <i x="463" s="1" nd="1"/>
        <i x="80" s="1" nd="1"/>
        <i x="300" s="1" nd="1"/>
        <i x="90" s="1" nd="1"/>
        <i x="46" s="1" nd="1"/>
        <i x="694" s="1" nd="1"/>
        <i x="358" s="1" nd="1"/>
        <i x="337" s="1" nd="1"/>
        <i x="683" s="1" nd="1"/>
        <i x="212" s="1" nd="1"/>
        <i x="2" s="1" nd="1"/>
        <i x="126" s="1" nd="1"/>
        <i x="669" s="1" nd="1"/>
        <i x="201" s="1" nd="1"/>
        <i x="650" s="1" nd="1"/>
        <i x="24" s="1" nd="1"/>
        <i x="716" s="1" nd="1"/>
        <i x="220" s="1" nd="1"/>
        <i x="372" s="1" nd="1"/>
        <i x="538" s="1" nd="1"/>
        <i x="590" s="1" nd="1"/>
        <i x="136" s="1" nd="1"/>
        <i x="117" s="1" nd="1"/>
        <i x="563" s="1" nd="1"/>
        <i x="662" s="1" nd="1"/>
        <i x="557" s="1" nd="1"/>
        <i x="115" s="1" nd="1"/>
        <i x="646" s="1" nd="1"/>
        <i x="293" s="1" nd="1"/>
        <i x="249" s="1" nd="1"/>
        <i x="294" s="1" nd="1"/>
        <i x="260" s="1" nd="1"/>
        <i x="250" s="1" nd="1"/>
        <i x="262" s="1" nd="1"/>
        <i x="238" s="1" nd="1"/>
        <i x="296" s="1" nd="1"/>
        <i x="283" s="1" nd="1"/>
        <i x="303" s="1" nd="1"/>
        <i x="240" s="1" nd="1"/>
        <i x="297" s="1" nd="1"/>
        <i x="241" s="1" nd="1"/>
        <i x="298" s="1" nd="1"/>
        <i x="265" s="1" nd="1"/>
        <i x="242" s="1" nd="1"/>
        <i x="266" s="1" nd="1"/>
        <i x="244" s="1" nd="1"/>
        <i x="270" s="1" nd="1"/>
        <i x="11" s="1" nd="1"/>
        <i x="415" s="1" nd="1"/>
        <i x="375" s="1" nd="1"/>
        <i x="440" s="1" nd="1"/>
        <i x="442" s="1" nd="1"/>
        <i x="486" s="1" nd="1"/>
        <i x="445" s="1" nd="1"/>
        <i x="397" s="1" nd="1"/>
        <i x="487" s="1" nd="1"/>
        <i x="420" s="1" nd="1"/>
        <i x="488" s="1" nd="1"/>
        <i x="468" s="1" nd="1"/>
        <i x="421" s="1" nd="1"/>
        <i x="377" s="1" nd="1"/>
        <i x="489" s="1" nd="1"/>
        <i x="471" s="1" nd="1"/>
        <i x="449" s="1" nd="1"/>
        <i x="400" s="1" nd="1"/>
        <i x="423" s="1" nd="1"/>
        <i x="381" s="1" nd="1"/>
        <i x="505" s="1" nd="1"/>
        <i x="450" s="1" nd="1"/>
        <i x="424" s="1" nd="1"/>
        <i x="383" s="1" nd="1"/>
        <i x="507" s="1" nd="1"/>
        <i x="451" s="1" nd="1"/>
        <i x="425" s="1" nd="1"/>
        <i x="401" s="1" nd="1"/>
        <i x="364" s="1" nd="1"/>
        <i x="509" s="1" nd="1"/>
        <i x="492" s="1" nd="1"/>
        <i x="452" s="1" nd="1"/>
        <i x="426" s="1" nd="1"/>
        <i x="402" s="1" nd="1"/>
        <i x="365" s="1" nd="1"/>
        <i x="453" s="1" nd="1"/>
        <i x="428" s="1" nd="1"/>
        <i x="403" s="1" nd="1"/>
        <i x="384" s="1" nd="1"/>
        <i x="475" s="1" nd="1"/>
        <i x="430" s="1" nd="1"/>
        <i x="385" s="1" nd="1"/>
        <i x="494" s="1" nd="1"/>
        <i x="455" s="1" nd="1"/>
        <i x="405" s="1" nd="1"/>
        <i x="366" s="1" nd="1"/>
        <i x="511" s="1" nd="1"/>
        <i x="496" s="1" nd="1"/>
        <i x="456" s="1" nd="1"/>
        <i x="367" s="1" nd="1"/>
        <i x="512" s="1" nd="1"/>
        <i x="497" s="1" nd="1"/>
        <i x="457" s="1" nd="1"/>
        <i x="432" s="1" nd="1"/>
        <i x="406" s="1" nd="1"/>
        <i x="514" s="1" nd="1"/>
        <i x="498" s="1" nd="1"/>
        <i x="433" s="1" nd="1"/>
        <i x="387" s="1" nd="1"/>
        <i x="368" s="1" nd="1"/>
        <i x="499" s="1" nd="1"/>
        <i x="434" s="1" nd="1"/>
        <i x="409" s="1" nd="1"/>
        <i x="388" s="1" nd="1"/>
        <i x="369" s="1" nd="1"/>
        <i x="410" s="1" nd="1"/>
        <i x="370" s="1" nd="1"/>
        <i x="460" s="1" nd="1"/>
        <i x="516" s="1" nd="1"/>
        <i x="461" s="1" nd="1"/>
        <i x="412" s="1" nd="1"/>
        <i x="391" s="1" nd="1"/>
        <i x="501" s="1" nd="1"/>
        <i x="517" s="1" nd="1"/>
        <i x="519" s="1" nd="1"/>
        <i x="443" s="1" nd="1"/>
        <i x="448" s="1" nd="1"/>
        <i x="484" s="1" nd="1"/>
        <i x="469" s="1" nd="1"/>
        <i x="216" s="1" nd="1"/>
        <i x="217" s="1" nd="1"/>
        <i x="180" s="1" nd="1"/>
        <i x="172" s="1" nd="1"/>
        <i x="234" s="1" nd="1"/>
        <i x="218" s="1" nd="1"/>
        <i x="235" s="1" nd="1"/>
        <i x="205" s="1" nd="1"/>
        <i x="160" s="1" nd="1"/>
        <i x="236" s="1" nd="1"/>
        <i x="219" s="1" nd="1"/>
        <i x="183" s="1" nd="1"/>
        <i x="173" s="1" nd="1"/>
        <i x="162" s="1" nd="1"/>
        <i x="237" s="1" nd="1"/>
        <i x="206" s="1" nd="1"/>
        <i x="185" s="1" nd="1"/>
        <i x="163" s="1" nd="1"/>
        <i x="175" s="1" nd="1"/>
        <i x="164" s="1" nd="1"/>
        <i x="177" s="1" nd="1"/>
        <i x="200" s="1" nd="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THREADID12" sourceName="THREADID">
  <pivotTables>
    <pivotTable tabId="37" name="PivotTable1"/>
  </pivotTables>
  <data>
    <tabular pivotCacheId="7">
      <items count="988">
        <i x="245" s="1" nd="1"/>
        <i x="724" s="1" nd="1"/>
        <i x="91" s="1" nd="1"/>
        <i x="314" s="1" nd="1"/>
        <i x="68" s="1" nd="1"/>
        <i x="298" s="1" nd="1"/>
        <i x="539" s="1" nd="1"/>
        <i x="791" s="1" nd="1"/>
        <i x="175" s="1" nd="1"/>
        <i x="744" s="1" nd="1"/>
        <i x="461" s="1" nd="1"/>
        <i x="97" s="1" nd="1"/>
        <i x="563" s="1" nd="1"/>
        <i x="815" s="1" nd="1"/>
        <i x="930" s="1" nd="1"/>
        <i x="393" s="1" nd="1"/>
        <i x="150" s="1" nd="1"/>
        <i x="621" s="1" nd="1"/>
        <i x="489" s="1" nd="1"/>
        <i x="864" s="1" nd="1"/>
        <i x="776" s="1" nd="1"/>
        <i x="912" s="1" nd="1"/>
        <i x="697" s="1" nd="1"/>
        <i x="369" s="1" nd="1"/>
        <i x="541" s="1" nd="1"/>
        <i x="347" s="1" nd="1"/>
        <i x="465" s="1" nd="1"/>
        <i x="591" s="1" nd="1"/>
        <i x="840" s="1" nd="1"/>
        <i x="936" s="1" nd="1"/>
        <i x="10" s="1" nd="1"/>
        <i x="626" s="1" nd="1"/>
        <i x="825" s="1" nd="1"/>
        <i x="856" s="1" nd="1"/>
        <i x="113" s="1" nd="1"/>
        <i x="400" s="1" nd="1"/>
        <i x="432" s="1" nd="1"/>
        <i x="498" s="1" nd="1"/>
        <i x="522" s="1" nd="1"/>
        <i x="805" s="1" nd="1"/>
        <i x="903" s="1" nd="1"/>
        <i x="99" s="1" nd="1"/>
        <i x="325" s="1" nd="1"/>
        <i x="358" s="1" nd="1"/>
        <i x="416" s="1" nd="1"/>
        <i x="689" s="1" nd="1"/>
        <i x="950" s="1" nd="1"/>
        <i x="980" s="1" nd="1"/>
        <i x="111" s="1" nd="1"/>
        <i x="169" s="1" nd="1"/>
        <i x="364" s="1" nd="1"/>
        <i x="703" s="1" nd="1"/>
        <i x="900" s="1" nd="1"/>
        <i x="4" s="1" nd="1"/>
        <i x="98" s="1" nd="1"/>
        <i x="210" s="1" nd="1"/>
        <i x="507" s="1" nd="1"/>
        <i x="721" s="1" nd="1"/>
        <i x="818" s="1" nd="1"/>
        <i x="922" s="1" nd="1"/>
        <i x="43" s="1" nd="1"/>
        <i x="278" s="1" nd="1"/>
        <i x="339" s="1" nd="1"/>
        <i x="395" s="1" nd="1"/>
        <i x="739" s="1" nd="1"/>
        <i x="963" s="1" nd="1"/>
        <i x="208" s="1" nd="1"/>
        <i x="238" s="1" nd="1"/>
        <i x="414" s="1" nd="1"/>
        <i x="560" s="1" nd="1"/>
        <i x="683" s="1" nd="1"/>
        <i x="784" s="1" nd="1"/>
        <i x="850" s="1" nd="1"/>
        <i x="915" s="1" nd="1"/>
        <i x="946" s="1" nd="1"/>
        <i x="975" s="1" nd="1"/>
        <i x="108" s="1" nd="1"/>
        <i x="275" s="1" nd="1"/>
        <i x="303" s="1" nd="1"/>
        <i x="763" s="1" nd="1"/>
        <i x="797" s="1" nd="1"/>
        <i x="106" s="1" nd="1"/>
        <i x="151" s="1" nd="1"/>
        <i x="272" s="1" nd="1"/>
        <i x="290" s="1" nd="1"/>
        <i x="360" s="1" nd="1"/>
        <i x="411" s="1" nd="1"/>
        <i x="427" s="1" nd="1"/>
        <i x="660" s="1" nd="1"/>
        <i x="737" s="1" nd="1"/>
        <i x="846" s="1" nd="1"/>
        <i x="960" s="1" nd="1"/>
        <i x="972" s="1" nd="1"/>
        <i x="13" s="1" nd="1"/>
        <i x="78" s="1" nd="1"/>
        <i x="220" s="1" nd="1"/>
        <i x="315" s="1" nd="1"/>
        <i x="350" s="1" nd="1"/>
        <i x="424" s="1" nd="1"/>
        <i x="503" s="1" nd="1"/>
        <i x="528" s="1" nd="1"/>
        <i x="659" s="1" nd="1"/>
        <i x="778" s="1" nd="1"/>
        <i x="121" s="1" nd="1"/>
        <i x="235" s="1" nd="1"/>
        <i x="250" s="1" nd="1"/>
        <i x="333" s="1" nd="1"/>
        <i x="408" s="1" nd="1"/>
        <i x="542" s="1" nd="1"/>
        <i x="681" s="1" nd="1"/>
        <i x="713" s="1" nd="1"/>
        <i x="830" s="1" nd="1"/>
        <i x="940" s="1" nd="1"/>
        <i x="39" s="1" nd="1"/>
        <i x="75" s="1" nd="1"/>
        <i x="268" s="1" nd="1"/>
        <i x="287" s="1" nd="1"/>
        <i x="331" s="1" nd="1"/>
        <i x="617" s="1" nd="1"/>
        <i x="760" s="1" nd="1"/>
        <i x="775" s="1" nd="1"/>
        <i x="829" s="1" nd="1"/>
        <i x="842" s="1" nd="1"/>
        <i x="93" s="1" nd="1"/>
        <i x="132" s="1" nd="1"/>
        <i x="162" s="1" nd="1"/>
        <i x="179" s="1" nd="1"/>
        <i x="203" s="1" nd="1"/>
        <i x="285" s="1" nd="1"/>
        <i x="329" s="1" nd="1"/>
        <i x="615" s="1" nd="1"/>
        <i x="696" s="1" nd="1"/>
        <i x="793" s="1" nd="1"/>
        <i x="909" s="1" nd="1"/>
        <i x="957" s="1" nd="1"/>
        <i x="71" s="1" nd="1"/>
        <i x="201" s="1" nd="1"/>
        <i x="218" s="1" nd="1"/>
        <i x="232" s="1" nd="1"/>
        <i x="248" s="1" nd="1"/>
        <i x="267" s="1" nd="1"/>
        <i x="328" s="1" nd="1"/>
        <i x="368" s="1" nd="1"/>
        <i x="571" s="1" nd="1"/>
        <i x="628" s="1" nd="1"/>
        <i x="709" s="1" nd="1"/>
        <i x="730" s="1" nd="1"/>
        <i x="772" s="1" nd="1"/>
        <i x="807" s="1" nd="1"/>
        <i x="907" s="1" nd="1"/>
        <i x="926" s="1" nd="1"/>
        <i x="89" s="1" nd="1"/>
        <i x="104" s="1" nd="1"/>
        <i x="119" s="1" nd="1"/>
        <i x="144" s="1" nd="1"/>
        <i x="187" s="1" nd="1"/>
        <i x="217" s="1" nd="1"/>
        <i x="327" s="1" nd="1"/>
        <i x="403" s="1" nd="1"/>
        <i x="466" s="1" nd="1"/>
        <i x="540" s="1" nd="1"/>
        <i x="604" s="1" nd="1"/>
        <i x="612" s="1" nd="1"/>
        <i x="675" s="1" nd="1"/>
        <i x="749" s="1" nd="1"/>
        <i x="806" s="1" nd="1"/>
        <i x="841" s="1" nd="1"/>
        <i x="876" s="1" nd="1"/>
        <i x="937" s="1" nd="1"/>
        <i x="969" s="1" nd="1"/>
        <i x="116" s="1" nd="1"/>
        <i x="199" s="1" nd="1"/>
        <i x="215" s="1" nd="1"/>
        <i x="483" s="1" nd="1"/>
        <i x="500" s="1" nd="1"/>
        <i x="102" s="1" nd="1"/>
        <i x="590" s="1" nd="1"/>
        <i x="115" s="1" nd="1"/>
        <i x="603" s="1" nd="1"/>
        <i x="143" s="1" nd="1"/>
        <i x="638" s="1" nd="1"/>
        <i x="654" s="1" nd="1"/>
        <i x="186" s="1" nd="1"/>
        <i x="673" s="1" nd="1"/>
        <i x="694" s="1" nd="1"/>
        <i x="401" s="1" nd="1"/>
        <i x="482" s="1" nd="1"/>
        <i x="499" s="1" nd="1"/>
        <i x="524" s="1" nd="1"/>
        <i x="536" s="1" nd="1"/>
        <i x="67" s="1" nd="1"/>
        <i x="555" s="1" nd="1"/>
        <i x="569" s="1" nd="1"/>
        <i x="588" s="1" nd="1"/>
        <i x="173" s="1" nd="1"/>
        <i x="653" s="1" nd="1"/>
        <i x="747" s="1" nd="1"/>
        <i x="346" s="1" nd="1"/>
        <i x="887" s="1" nd="1"/>
        <i x="953" s="1" nd="1"/>
        <i x="448" s="1" nd="1"/>
        <i x="968" s="1" nd="1"/>
        <i x="36" s="1" nd="1"/>
        <i x="553" s="1" nd="1"/>
        <i x="114" s="1" nd="1"/>
        <i x="601" s="1" nd="1"/>
        <i x="198" s="1" nd="1"/>
        <i x="214" s="1" nd="1"/>
        <i x="728" s="1" nd="1"/>
        <i x="282" s="1" nd="1"/>
        <i x="789" s="1" nd="1"/>
        <i x="905" s="1" nd="1"/>
        <i x="418" s="1" nd="1"/>
        <i x="447" s="1" nd="1"/>
        <i x="983" s="1" nd="1"/>
        <i x="481" s="1" nd="1"/>
        <i x="86" s="1" nd="1"/>
        <i x="600" s="1" nd="1"/>
        <i x="652" s="1" nd="1"/>
        <i x="727" s="1" nd="1"/>
        <i x="788" s="1" nd="1"/>
        <i x="296" s="1" nd="1"/>
        <i x="311" s="1" nd="1"/>
        <i x="823" s="1" nd="1"/>
        <i x="904" s="1" nd="1"/>
        <i x="8" s="1" nd="1"/>
        <i x="51" s="1" nd="1"/>
        <i x="552" s="1" nd="1"/>
        <i x="84" s="1" nd="1"/>
        <i x="599" s="1" nd="1"/>
        <i x="141" s="1" nd="1"/>
        <i x="171" s="1" nd="1"/>
        <i x="257" s="1" nd="1"/>
        <i x="769" s="1" nd="1"/>
        <i x="281" s="1" nd="1"/>
        <i x="981" s="1" nd="1"/>
        <i x="7" s="1" nd="1"/>
        <i x="509" s="1" nd="1"/>
        <i x="32" s="1" nd="1"/>
        <i x="64" s="1" nd="1"/>
        <i x="651" s="1" nd="1"/>
        <i x="212" s="1" nd="1"/>
        <i x="743" s="1" nd="1"/>
        <i x="756" s="1" nd="1"/>
        <i x="822" s="1" nd="1"/>
        <i x="838" s="1" nd="1"/>
        <i x="342" s="1" nd="1"/>
        <i x="854" s="1" nd="1"/>
        <i x="357" s="1" nd="1"/>
        <i x="462" s="1" nd="1"/>
        <i x="6" s="1" nd="1"/>
        <i x="49" s="1" nd="1"/>
        <i x="128" s="1" nd="1"/>
        <i x="140" s="1" nd="1"/>
        <i x="688" s="1" nd="1"/>
        <i x="820" s="1" nd="1"/>
        <i x="365" s="1" nd="1"/>
        <i x="397" s="1" nd="1"/>
        <i x="935" s="1" nd="1"/>
        <i x="444" s="1" nd="1"/>
        <i x="508" s="1" nd="1"/>
        <i x="30" s="1" nd="1"/>
        <i x="47" s="1" nd="1"/>
        <i x="598" s="1" nd="1"/>
        <i x="154" s="1" nd="1"/>
        <i x="649" s="1" nd="1"/>
        <i x="230" s="1" nd="1"/>
        <i x="244" s="1" nd="1"/>
        <i x="742" s="1" nd="1"/>
        <i x="255" s="1" nd="1"/>
        <i x="801" s="1" nd="1"/>
        <i x="308" s="1" nd="1"/>
        <i x="323" s="1" nd="1"/>
        <i x="837" s="1" nd="1"/>
        <i x="872" s="1" nd="1"/>
        <i x="381" s="1" nd="1"/>
        <i x="948" s="1" nd="1"/>
        <i x="533" s="1" nd="1"/>
        <i x="63" s="1" nd="1"/>
        <i x="127" s="1" nd="1"/>
        <i x="609" s="1" nd="1"/>
        <i x="624" s="1" nd="1"/>
        <i x="648" s="1" nd="1"/>
        <i x="668" s="1" nd="1"/>
        <i x="195" s="1" nd="1"/>
        <i x="754" s="1" nd="1"/>
        <i x="800" s="1" nd="1"/>
        <i x="924" s="1" nd="1"/>
        <i x="415" s="1" nd="1"/>
        <i x="934" s="1" nd="1"/>
        <i x="520" s="1" nd="1"/>
        <i x="82" s="1" nd="1"/>
        <i x="126" s="1" nd="1"/>
        <i x="634" s="1" nd="1"/>
        <i x="167" s="1" nd="1"/>
        <i x="686" s="1" nd="1"/>
        <i x="722" s="1" nd="1"/>
        <i x="293" s="1" nd="1"/>
        <i x="306" s="1" nd="1"/>
        <i x="354" s="1" nd="1"/>
        <i x="379" s="1" nd="1"/>
        <i x="923" s="1" nd="1"/>
        <i x="965" s="1" nd="1"/>
        <i x="476" s="1" nd="1"/>
        <i x="2" s="1" nd="1"/>
        <i x="18" s="1" nd="1"/>
        <i x="518" s="1" nd="1"/>
        <i x="564" s="1" nd="1"/>
        <i x="597" s="1" nd="1"/>
        <i x="607" s="1" nd="1"/>
        <i x="666" s="1" nd="1"/>
        <i x="685" s="1" nd="1"/>
        <i x="701" s="1" nd="1"/>
        <i x="766" s="1" nd="1"/>
        <i x="279" s="1" nd="1"/>
        <i x="799" s="1" nd="1"/>
        <i x="816" s="1" nd="1"/>
        <i x="377" s="1" nd="1"/>
        <i x="494" s="1" nd="1"/>
        <i x="60" s="1" nd="1"/>
        <i x="580" s="1" nd="1"/>
        <i x="632" s="1" nd="1"/>
        <i x="240" s="1" nd="1"/>
        <i x="253" s="1" nd="1"/>
        <i x="292" s="1" nd="1"/>
        <i x="321" s="1" nd="1"/>
        <i x="361" s="1" nd="1"/>
        <i x="376" s="1" nd="1"/>
        <i x="459" s="1" nd="1"/>
        <i x="977" s="1" nd="1"/>
        <i x="125" s="1" nd="1"/>
        <i x="136" s="1" nd="1"/>
        <i x="622" s="1" nd="1"/>
        <i x="239" s="1" nd="1"/>
        <i x="765" s="1" nd="1"/>
        <i x="277" s="1" nd="1"/>
        <i x="813" s="1" nd="1"/>
        <i x="319" s="1" nd="1"/>
        <i x="337" s="1" nd="1"/>
        <i x="918" s="1" nd="1"/>
        <i x="931" s="1" nd="1"/>
        <i x="962" s="1" nd="1"/>
        <i x="28" s="1" nd="1"/>
        <i x="579" s="1" nd="1"/>
        <i x="165" s="1" nd="1"/>
        <i x="262" s="1" nd="1"/>
        <i x="304" s="1" nd="1"/>
        <i x="317" s="1" nd="1"/>
        <i x="851" s="1" nd="1"/>
        <i x="916" s="1" nd="1"/>
        <i x="413" s="1" nd="1"/>
        <i x="440" s="1" nd="1"/>
        <i x="457" s="1" nd="1"/>
        <i x="474" s="1" nd="1"/>
        <i x="504" s="1" nd="1"/>
        <i x="41" s="1" nd="1"/>
        <i x="578" s="1" nd="1"/>
        <i x="124" s="1" nd="1"/>
        <i x="605" s="1" nd="1"/>
        <i x="182" s="1" nd="1"/>
        <i x="665" s="1" nd="1"/>
        <i x="192" s="1" nd="1"/>
        <i x="206" s="1" nd="1"/>
        <i x="782" s="1" nd="1"/>
        <i x="849" s="1" nd="1"/>
        <i x="867" s="1" nd="1"/>
        <i x="412" s="1" nd="1"/>
        <i x="14" s="1" nd="1"/>
        <i x="27" s="1" nd="1"/>
        <i x="40" s="1" nd="1"/>
        <i x="530" s="1" nd="1"/>
        <i x="546" s="1" nd="1"/>
        <i x="577" s="1" nd="1"/>
        <i x="107" s="1" nd="1"/>
        <i x="123" s="1" nd="1"/>
        <i x="644" s="1" nd="1"/>
        <i x="663" s="1" nd="1"/>
        <i x="717" s="1" nd="1"/>
        <i x="273" s="1" nd="1"/>
        <i x="291" s="1" nd="1"/>
        <i x="302" s="1" nd="1"/>
        <i x="848" s="1" nd="1"/>
        <i x="160" s="1" nd="1"/>
        <i x="439" s="1" nd="1"/>
        <i x="456" s="1" nd="1"/>
        <i x="529" s="1" nd="1"/>
        <i x="826" s="1" nd="1"/>
        <i x="576" s="1" nd="1"/>
        <i x="596" s="1" nd="1"/>
        <i x="857" s="1" nd="1"/>
        <i x="889" s="1" nd="1"/>
        <i x="383" s="1" nd="1"/>
        <i x="402" s="1" nd="1"/>
        <i x="662" s="1" nd="1"/>
        <i x="190" s="1" nd="1"/>
        <i x="955" s="1" nd="1"/>
        <i x="449" s="1" nd="1"/>
        <i x="223" s="1" nd="1"/>
        <i x="464" s="1" nd="1"/>
        <i x="236" s="1" nd="1"/>
        <i x="738" s="1" nd="1"/>
        <i x="9" s="1" nd="1"/>
        <i x="23" s="1" nd="1"/>
        <i x="510" s="1" nd="1"/>
        <i x="537" s="1" nd="1"/>
        <i x="796" s="1" nd="1"/>
        <i x="811" s="1" nd="1"/>
        <i x="833" s="1" nd="1"/>
        <i x="101" s="1" nd="1"/>
        <i x="589" s="1" nd="1"/>
        <i x="159" s="1" nd="1"/>
        <i x="392" s="1" nd="1"/>
        <i x="943" s="1" nd="1"/>
        <i x="438" s="1" nd="1"/>
        <i x="693" s="1" nd="1"/>
        <i x="973" s="1" nd="1"/>
        <i x="473" s="1" nd="1"/>
        <i x="283" s="1" nd="1"/>
        <i x="58" s="1" nd="1"/>
        <i x="79" s="1" nd="1"/>
        <i x="575" s="1" nd="1"/>
        <i x="839" s="1" nd="1"/>
        <i x="595" s="1" nd="1"/>
        <i x="888" s="1" nd="1"/>
        <i x="420" s="1" nd="1"/>
        <i x="661" s="1" nd="1"/>
        <i x="189" s="1" nd="1"/>
        <i x="954" s="1" nd="1"/>
        <i x="222" s="1" nd="1"/>
        <i x="716" s="1" nd="1"/>
        <i x="22" s="1" nd="1"/>
        <i x="523" s="1" nd="1"/>
        <i x="780" s="1" nd="1"/>
        <i x="289" s="1" nd="1"/>
        <i x="535" s="1" nd="1"/>
        <i x="66" s="1" nd="1"/>
        <i x="554" s="1" nd="1"/>
        <i x="316" s="1" nd="1"/>
        <i x="587" s="1" nd="1"/>
        <i x="847" s="1" nd="1"/>
        <i x="351" s="1" nd="1"/>
        <i x="602" s="1" nd="1"/>
        <i x="374" s="1" nd="1"/>
        <i x="625" s="1" nd="1"/>
        <i x="895" s="1" nd="1"/>
        <i x="172" s="1" nd="1"/>
        <i x="426" s="1" nd="1"/>
        <i x="672" s="1" nd="1"/>
        <i x="942" s="1" nd="1"/>
        <i x="692" s="1" nd="1"/>
        <i x="961" s="1" nd="1"/>
        <i x="491" s="1" nd="1"/>
        <i x="746" s="1" nd="1"/>
        <i x="545" s="1" nd="1"/>
        <i x="312" s="1" nd="1"/>
        <i x="559" s="1" nd="1"/>
        <i x="824" s="1" nd="1"/>
        <i x="326" s="1" nd="1"/>
        <i x="345" s="1" nd="1"/>
        <i x="874" s="1" nd="1"/>
        <i x="135" s="1" nd="1"/>
        <i x="886" s="1" nd="1"/>
        <i x="631" s="1" nd="1"/>
        <i x="906" s="1" nd="1"/>
        <i x="164" s="1" nd="1"/>
        <i x="643" s="1" nd="1"/>
        <i x="419" s="1" nd="1"/>
        <i x="952" s="1" nd="1"/>
        <i x="204" s="1" nd="1"/>
        <i x="221" s="1" nd="1"/>
        <i x="715" s="1" nd="1"/>
        <i x="21" s="1" nd="1"/>
        <i x="35" s="1" nd="1"/>
        <i x="795" s="1" nd="1"/>
        <i x="301" s="1" nd="1"/>
        <i x="87" s="1" nd="1"/>
        <i x="568" s="1" nd="1"/>
        <i x="832" s="1" nd="1"/>
        <i x="100" s="1" nd="1"/>
        <i x="335" s="1" nd="1"/>
        <i x="610" s="1" nd="1"/>
        <i x="373" s="1" nd="1"/>
        <i x="391" s="1" nd="1"/>
        <i x="929" s="1" nd="1"/>
        <i x="185" s="1" nd="1"/>
        <i x="425" s="1" nd="1"/>
        <i x="941" s="1" nd="1"/>
        <i x="437" s="1" nd="1"/>
        <i x="959" s="1" nd="1"/>
        <i x="472" s="1" nd="1"/>
        <i x="490" s="1" nd="1"/>
        <i x="745" s="1" nd="1"/>
        <i x="26" s="1" nd="1"/>
        <i x="544" s="1" nd="1"/>
        <i x="344" s="1" nd="1"/>
        <i x="855" s="1" nd="1"/>
        <i x="122" s="1" nd="1"/>
        <i x="873" s="1" nd="1"/>
        <i x="620" s="1" nd="1"/>
        <i x="885" s="1" nd="1"/>
        <i x="149" s="1" nd="1"/>
        <i x="417" s="1" nd="1"/>
        <i x="188" s="1" nd="1"/>
        <i x="480" s="1" nd="1"/>
        <i x="736" s="1" nd="1"/>
        <i x="762" s="1" nd="1"/>
        <i x="34" s="1" nd="1"/>
        <i x="271" s="1" nd="1"/>
        <i x="779" s="1" nd="1"/>
        <i x="52" s="1" nd="1"/>
        <i x="65" s="1" nd="1"/>
        <i x="85" s="1" nd="1"/>
        <i x="567" s="1" nd="1"/>
        <i x="831" s="1" nd="1"/>
        <i x="586" s="1" nd="1"/>
        <i x="866" s="1" nd="1"/>
        <i x="142" s="1" nd="1"/>
        <i x="372" s="1" nd="1"/>
        <i x="158" s="1" nd="1"/>
        <i x="390" s="1" nd="1"/>
        <i x="410" s="1" nd="1"/>
        <i x="928" s="1" nd="1"/>
        <i x="671" s="1" nd="1"/>
        <i x="691" s="1" nd="1"/>
        <i x="706" s="1" nd="1"/>
        <i x="231" s="1" nd="1"/>
        <i x="516" s="1" nd="1"/>
        <i x="770" s="1" nd="1"/>
        <i x="57" s="1" nd="1"/>
        <i x="295" s="1" nd="1"/>
        <i x="543" s="1" nd="1"/>
        <i x="804" s="1" nd="1"/>
        <i x="77" s="1" nd="1"/>
        <i x="558" s="1" nd="1"/>
        <i x="96" s="1" nd="1"/>
        <i x="343" s="1" nd="1"/>
        <i x="594" s="1" nd="1"/>
        <i x="884" s="1" nd="1"/>
        <i x="148" s="1" nd="1"/>
        <i x="382" s="1" nd="1"/>
        <i x="630" s="1" nd="1"/>
        <i x="902" s="1" nd="1"/>
        <i x="642" s="1" nd="1"/>
        <i x="925" s="1" nd="1"/>
        <i x="181" s="1" nd="1"/>
        <i x="699" s="1" nd="1"/>
        <i x="463" s="1" nd="1"/>
        <i x="982" s="1" nd="1"/>
        <i x="479" s="1" nd="1"/>
        <i x="251" s="1" nd="1"/>
        <i x="20" s="1" nd="1"/>
        <i x="261" s="1" nd="1"/>
        <i x="33" s="1" nd="1"/>
        <i x="270" s="1" nd="1"/>
        <i x="288" s="1" nd="1"/>
        <i x="83" s="1" nd="1"/>
        <i x="334" s="1" nd="1"/>
        <i x="585" s="1" nd="1"/>
        <i x="845" s="1" nd="1"/>
        <i x="865" s="1" nd="1"/>
        <i x="359" s="1" nd="1"/>
        <i x="157" s="1" nd="1"/>
        <i x="914" s="1" nd="1"/>
        <i x="170" s="1" nd="1"/>
        <i x="409" s="1" nd="1"/>
        <i x="423" s="1" nd="1"/>
        <i x="197" s="1" nd="1"/>
        <i x="436" s="1" nd="1"/>
        <i x="690" s="1" nd="1"/>
        <i x="958" s="1" nd="1"/>
        <i x="213" s="1" nd="1"/>
        <i x="455" s="1" nd="1"/>
        <i x="705" s="1" nd="1"/>
        <i x="971" s="1" nd="1"/>
        <i x="726" s="1" nd="1"/>
        <i x="987" s="1" nd="1"/>
        <i x="488" s="1" nd="1"/>
        <i x="515" s="1" nd="1"/>
        <i x="56" s="1" nd="1"/>
        <i x="310" s="1" nd="1"/>
        <i x="95" s="1" nd="1"/>
        <i x="134" s="1" nd="1"/>
        <i x="883" s="1" nd="1"/>
        <i x="163" s="1" nd="1"/>
        <i x="399" s="1" nd="1"/>
        <i x="431" s="1" nd="1"/>
        <i x="951" s="1" nd="1"/>
        <i x="446" s="1" nd="1"/>
        <i x="698" s="1" nd="1"/>
        <i x="967" s="1" nd="1"/>
        <i x="714" s="1" nd="1"/>
        <i x="234" s="1" nd="1"/>
        <i x="735" s="1" nd="1"/>
        <i x="497" s="1" nd="1"/>
        <i x="269" s="1" nd="1"/>
        <i x="50" s="1" nd="1"/>
        <i x="584" s="1" nd="1"/>
        <i x="112" s="1" nd="1"/>
        <i x="863" s="1" nd="1"/>
        <i x="894" s="1" nd="1"/>
        <i x="156" s="1" nd="1"/>
        <i x="389" s="1" nd="1"/>
        <i x="637" s="1" nd="1"/>
        <i x="422" s="1" nd="1"/>
        <i x="435" s="1" nd="1"/>
        <i x="211" s="1" nd="1"/>
        <i x="454" s="1" nd="1"/>
        <i x="704" s="1" nd="1"/>
        <i x="725" s="1" nd="1"/>
        <i x="246" s="1" nd="1"/>
        <i x="487" s="1" nd="1"/>
        <i x="755" s="1" nd="1"/>
        <i x="25" s="1" nd="1"/>
        <i x="266" s="1" nd="1"/>
        <i x="768" s="1" nd="1"/>
        <i x="803" s="1" nd="1"/>
        <i x="76" s="1" nd="1"/>
        <i x="309" s="1" nd="1"/>
        <i x="821" s="1" nd="1"/>
        <i x="94" s="1" nd="1"/>
        <i x="574" s="1" nd="1"/>
        <i x="341" s="1" nd="1"/>
        <i x="356" s="1" nd="1"/>
        <i x="366" s="1" nd="1"/>
        <i x="619" s="1" nd="1"/>
        <i x="882" s="1" nd="1"/>
        <i x="901" s="1" nd="1"/>
        <i x="398" s="1" nd="1"/>
        <i x="430" s="1" nd="1"/>
        <i x="445" s="1" nd="1"/>
        <i x="233" s="1" nd="1"/>
        <i x="478" s="1" nd="1"/>
        <i x="734" s="1" nd="1"/>
        <i x="496" s="1" nd="1"/>
        <i x="761" s="1" nd="1"/>
        <i x="31" s="1" nd="1"/>
        <i x="777" s="1" nd="1"/>
        <i x="48" s="1" nd="1"/>
        <i x="534" s="1" nd="1"/>
        <i x="810" s="1" nd="1"/>
        <i x="332" s="1" nd="1"/>
        <i x="583" s="1" nd="1"/>
        <i x="844" s="1" nd="1"/>
        <i x="862" s="1" nd="1"/>
        <i x="893" s="1" nd="1"/>
        <i x="155" s="1" nd="1"/>
        <i x="388" s="1" nd="1"/>
        <i x="636" s="1" nd="1"/>
        <i x="913" s="1" nd="1"/>
        <i x="168" s="1" nd="1"/>
        <i x="650" s="1" nd="1"/>
        <i x="184" s="1" nd="1"/>
        <i x="670" s="1" nd="1"/>
        <i x="196" s="1" nd="1"/>
        <i x="453" s="1" nd="1"/>
        <i x="471" s="1" nd="1"/>
        <i x="986" s="1" nd="1"/>
        <i x="256" s="1" nd="1"/>
        <i x="265" s="1" nd="1"/>
        <i x="294" s="1" nd="1"/>
        <i x="802" s="1" nd="1"/>
        <i x="74" s="1" nd="1"/>
        <i x="324" s="1" nd="1"/>
        <i x="593" s="1" nd="1"/>
        <i x="355" s="1" nd="1"/>
        <i x="133" s="1" nd="1"/>
        <i x="363" s="1" nd="1"/>
        <i x="618" s="1" nd="1"/>
        <i x="881" s="1" nd="1"/>
        <i x="658" s="1" nd="1"/>
        <i x="680" s="1" nd="1"/>
        <i x="949" s="1" nd="1"/>
        <i x="712" s="1" nd="1"/>
        <i x="5" s="1" nd="1"/>
        <i x="249" s="1" nd="1"/>
        <i x="521" s="1" nd="1"/>
        <i x="46" s="1" nd="1"/>
        <i x="300" s="1" nd="1"/>
        <i x="551" s="1" nd="1"/>
        <i x="566" s="1" nd="1"/>
        <i x="843" s="1" nd="1"/>
        <i x="349" s="1" nd="1"/>
        <i x="861" s="1" nd="1"/>
        <i x="371" s="1" nd="1"/>
        <i x="635" s="1" nd="1"/>
        <i x="407" s="1" nd="1"/>
        <i x="669" s="1" nd="1"/>
        <i x="434" s="1" nd="1"/>
        <i x="687" s="1" nd="1"/>
        <i x="229" s="1" nd="1"/>
        <i x="243" s="1" nd="1"/>
        <i x="502" s="1" nd="1"/>
        <i x="264" s="1" nd="1"/>
        <i x="514" s="1" nd="1"/>
        <i x="767" s="1" nd="1"/>
        <i x="527" s="1" nd="1"/>
        <i x="55" s="1" nd="1"/>
        <i x="73" s="1" nd="1"/>
        <i x="819" s="1" nd="1"/>
        <i x="573" s="1" nd="1"/>
        <i x="836" s="1" nd="1"/>
        <i x="105" s="1" nd="1"/>
        <i x="340" s="1" nd="1"/>
        <i x="147" s="1" nd="1"/>
        <i x="396" s="1" nd="1"/>
        <i x="180" s="1" nd="1"/>
        <i x="657" s="1" nd="1"/>
        <i x="679" s="1" nd="1"/>
        <i x="443" s="1" nd="1"/>
        <i x="966" s="1" nd="1"/>
        <i x="219" s="1" nd="1"/>
        <i x="460" s="1" nd="1"/>
        <i x="711" s="1" nd="1"/>
        <i x="19" s="1" nd="1"/>
        <i x="260" s="1" nd="1"/>
        <i x="45" s="1" nd="1"/>
        <i x="286" s="1" nd="1"/>
        <i x="794" s="1" nd="1"/>
        <i x="62" s="1" nd="1"/>
        <i x="550" s="1" nd="1"/>
        <i x="828" s="1" nd="1"/>
        <i x="330" s="1" nd="1"/>
        <i x="582" s="1" nd="1"/>
        <i x="110" s="1" nd="1"/>
        <i x="348" s="1" nd="1"/>
        <i x="879" s="1" nd="1"/>
        <i x="153" s="1" nd="1"/>
        <i x="387" s="1" nd="1"/>
        <i x="911" s="1" nd="1"/>
        <i x="647" s="1" nd="1"/>
        <i x="939" s="1" nd="1"/>
        <i x="194" s="1" nd="1"/>
        <i x="433" s="1" nd="1"/>
        <i x="209" s="1" nd="1"/>
        <i x="702" s="1" nd="1"/>
        <i x="723" s="1" nd="1"/>
        <i x="985" s="1" nd="1"/>
        <i x="741" s="1" nd="1"/>
        <i x="12" s="1" nd="1"/>
        <i x="263" s="1" nd="1"/>
        <i x="513" s="1" nd="1"/>
        <i x="526" s="1" nd="1"/>
        <i x="307" s="1" nd="1"/>
        <i x="92" s="1" nd="1"/>
        <i x="853" s="1" nd="1"/>
        <i x="131" s="1" nd="1"/>
        <i x="362" s="1" nd="1"/>
        <i x="616" s="1" nd="1"/>
        <i x="380" s="1" nd="1"/>
        <i x="629" s="1" nd="1"/>
        <i x="899" s="1" nd="1"/>
        <i x="178" s="1" nd="1"/>
        <i x="656" s="1" nd="1"/>
        <i x="678" s="1" nd="1"/>
        <i x="947" s="1" nd="1"/>
        <i x="710" s="1" nd="1"/>
        <i x="979" s="1" nd="1"/>
        <i x="477" s="1" nd="1"/>
        <i x="733" s="1" nd="1"/>
        <i x="3" s="1" nd="1"/>
        <i x="495" s="1" nd="1"/>
        <i x="752" s="1" nd="1"/>
        <i x="519" s="1" nd="1"/>
        <i x="774" s="1" nd="1"/>
        <i x="44" s="1" nd="1"/>
        <i x="284" s="1" nd="1"/>
        <i x="809" s="1" nd="1"/>
        <i x="565" s="1" nd="1"/>
        <i x="827" s="1" nd="1"/>
        <i x="860" s="1" nd="1"/>
        <i x="608" s="1" nd="1"/>
        <i x="878" s="1" nd="1"/>
        <i x="139" s="1" nd="1"/>
        <i x="370" s="1" nd="1"/>
        <i x="892" s="1" nd="1"/>
        <i x="633" s="1" nd="1"/>
        <i x="910" s="1" nd="1"/>
        <i x="166" s="1" nd="1"/>
        <i x="406" s="1" nd="1"/>
        <i x="183" s="1" nd="1"/>
        <i x="667" s="1" nd="1"/>
        <i x="228" s="1" nd="1"/>
        <i x="470" s="1" nd="1"/>
        <i x="720" s="1" nd="1"/>
        <i x="242" s="1" nd="1"/>
        <i x="740" s="1" nd="1"/>
        <i x="11" s="1" nd="1"/>
        <i x="280" s="1" nd="1"/>
        <i x="787" s="1" nd="1"/>
        <i x="54" s="1" nd="1"/>
        <i x="72" s="1" nd="1"/>
        <i x="305" s="1" nd="1"/>
        <i x="557" s="1" nd="1"/>
        <i x="817" s="1" nd="1"/>
        <i x="322" s="1" nd="1"/>
        <i x="835" s="1" nd="1"/>
        <i x="120" s="1" nd="1"/>
        <i x="871" s="1" nd="1"/>
        <i x="880" s="1" nd="1"/>
        <i x="378" s="1" nd="1"/>
        <i x="898" s="1" nd="1"/>
        <i x="921" s="1" nd="1"/>
        <i x="933" s="1" nd="1"/>
        <i x="429" s="1" nd="1"/>
        <i x="677" s="1" nd="1"/>
        <i x="202" s="1" nd="1"/>
        <i x="964" s="1" nd="1"/>
        <i x="732" s="1" nd="1"/>
        <i x="751" s="1" nd="1"/>
        <i x="17" s="1" nd="1"/>
        <i x="259" s="1" nd="1"/>
        <i x="773" s="1" nd="1"/>
        <i x="42" s="1" nd="1"/>
        <i x="532" s="1" nd="1"/>
        <i x="61" s="1" nd="1"/>
        <i x="549" s="1" nd="1"/>
        <i x="808" s="1" nd="1"/>
        <i x="81" s="1" nd="1"/>
        <i x="581" s="1" nd="1"/>
        <i x="138" s="1" nd="1"/>
        <i x="891" s="1" nd="1"/>
        <i x="386" s="1" nd="1"/>
        <i x="405" s="1" nd="1"/>
        <i x="646" s="1" nd="1"/>
        <i x="938" s="1" nd="1"/>
        <i x="684" s="1" nd="1"/>
        <i x="452" s="1" nd="1"/>
        <i x="227" s="1" nd="1"/>
        <i x="469" s="1" nd="1"/>
        <i x="984" s="1" nd="1"/>
        <i x="241" s="1" nd="1"/>
        <i x="254" s="1" nd="1"/>
        <i x="753" s="1" nd="1"/>
        <i x="786" s="1" nd="1"/>
        <i x="53" s="1" nd="1"/>
        <i x="798" s="1" nd="1"/>
        <i x="70" s="1" nd="1"/>
        <i x="556" s="1" nd="1"/>
        <i x="814" s="1" nd="1"/>
        <i x="90" s="1" nd="1"/>
        <i x="572" s="1" nd="1"/>
        <i x="834" s="1" nd="1"/>
        <i x="852" s="1" nd="1"/>
        <i x="353" s="1" nd="1"/>
        <i x="870" s="1" nd="1"/>
        <i x="130" s="1" nd="1"/>
        <i x="146" s="1" nd="1"/>
        <i x="897" s="1" nd="1"/>
        <i x="161" s="1" nd="1"/>
        <i x="394" s="1" nd="1"/>
        <i x="641" s="1" nd="1"/>
        <i x="920" s="1" nd="1"/>
        <i x="177" s="1" nd="1"/>
        <i x="655" s="1" nd="1"/>
        <i x="932" s="1" nd="1"/>
        <i x="428" s="1" nd="1"/>
        <i x="200" s="1" nd="1"/>
        <i x="442" s="1" nd="1"/>
        <i x="978" s="1" nd="1"/>
        <i x="475" s="1" nd="1"/>
        <i x="731" s="1" nd="1"/>
        <i x="1" s="1" nd="1"/>
        <i x="16" s="1" nd="1"/>
        <i x="258" s="1" nd="1"/>
        <i x="759" s="1" nd="1"/>
        <i x="29" s="1" nd="1"/>
        <i x="299" s="1" nd="1"/>
        <i x="313" s="1" nd="1"/>
        <i x="562" s="1" nd="1"/>
        <i x="109" s="1" nd="1"/>
        <i x="859" s="1" nd="1"/>
        <i x="606" s="1" nd="1"/>
        <i x="137" s="1" nd="1"/>
        <i x="623" s="1" nd="1"/>
        <i x="908" s="1" nd="1"/>
        <i x="927" s="1" nd="1"/>
        <i x="193" s="1" nd="1"/>
        <i x="700" s="1" nd="1"/>
        <i x="468" s="1" nd="1"/>
        <i x="486" s="1" nd="1"/>
        <i x="501" s="1" nd="1"/>
        <i x="512" s="1" nd="1"/>
        <i x="38" s="1" nd="1"/>
        <i x="525" s="1" nd="1"/>
        <i x="785" s="1" nd="1"/>
        <i x="69" s="1" nd="1"/>
        <i x="320" s="1" nd="1"/>
        <i x="338" s="1" nd="1"/>
        <i x="869" s="1" nd="1"/>
        <i x="129" s="1" nd="1"/>
        <i x="614" s="1" nd="1"/>
        <i x="145" s="1" nd="1"/>
        <i x="375" s="1" nd="1"/>
        <i x="896" s="1" nd="1"/>
        <i x="919" s="1" nd="1"/>
        <i x="176" s="1" nd="1"/>
        <i x="676" s="1" nd="1"/>
        <i x="750" s="1" nd="1"/>
        <i x="506" s="1" nd="1"/>
        <i x="792" s="1" nd="1"/>
        <i x="59" s="1" nd="1"/>
        <i x="80" s="1" nd="1"/>
        <i x="561" s="1" nd="1"/>
        <i x="367" s="1" nd="1"/>
        <i x="890" s="1" nd="1"/>
        <i x="152" s="1" nd="1"/>
        <i x="385" s="1" nd="1"/>
        <i x="404" s="1" nd="1"/>
        <i x="421" s="1" nd="1"/>
        <i x="207" s="1" nd="1"/>
        <i x="970" s="1" nd="1"/>
        <i x="226" s="1" nd="1"/>
        <i x="467" s="1" nd="1"/>
        <i x="719" s="1" nd="1"/>
        <i x="485" s="1" nd="1"/>
        <i x="252" s="1" nd="1"/>
        <i x="24" s="1" nd="1"/>
        <i x="764" s="1" nd="1"/>
        <i x="812" s="1" nd="1"/>
        <i x="318" s="1" nd="1"/>
        <i x="103" s="1" nd="1"/>
        <i x="592" s="1" nd="1"/>
        <i x="118" s="1" nd="1"/>
        <i x="868" s="1" nd="1"/>
        <i x="613" s="1" nd="1"/>
        <i x="640" s="1" nd="1"/>
        <i x="917" s="1" nd="1"/>
        <i x="441" s="1" nd="1"/>
        <i x="216" s="1" nd="1"/>
        <i x="458" s="1" nd="1"/>
        <i x="708" s="1" nd="1"/>
        <i x="976" s="1" nd="1"/>
        <i x="247" s="1" nd="1"/>
        <i x="493" s="1" nd="1"/>
        <i x="505" s="1" nd="1"/>
        <i x="758" s="1" nd="1"/>
        <i x="517" s="1" nd="1"/>
        <i x="548" s="1" nd="1"/>
        <i x="877" s="1" nd="1"/>
        <i x="384" s="1" nd="1"/>
        <i x="451" s="1" nd="1"/>
        <i x="225" s="1" nd="1"/>
        <i x="718" s="1" nd="1"/>
        <i x="484" s="1" nd="1"/>
        <i x="511" s="1" nd="1"/>
        <i x="37" s="1" nd="1"/>
        <i x="276" s="1" nd="1"/>
        <i x="783" s="1" nd="1"/>
        <i x="88" s="1" nd="1"/>
        <i x="570" s="1" nd="1"/>
        <i x="117" s="1" nd="1"/>
        <i x="352" s="1" nd="1"/>
        <i x="611" s="1" nd="1"/>
        <i x="945" s="1" nd="1"/>
        <i x="695" s="1" nd="1"/>
        <i x="974" s="1" nd="1"/>
        <i x="0" s="1" nd="1"/>
        <i x="492" s="1" nd="1"/>
        <i x="748" s="1" nd="1"/>
        <i x="15" s="1" nd="1"/>
        <i x="757" s="1" nd="1"/>
        <i x="771" s="1" nd="1"/>
        <i x="531" s="1" nd="1"/>
        <i x="790" s="1" nd="1"/>
        <i x="297" s="1" nd="1"/>
        <i x="547" s="1" nd="1"/>
        <i x="858" s="1" nd="1"/>
        <i x="875" s="1" nd="1"/>
        <i x="645" s="1" nd="1"/>
        <i x="664" s="1" nd="1"/>
        <i x="191" s="1" nd="1"/>
        <i x="682" s="1" nd="1"/>
        <i x="956" s="1" nd="1"/>
        <i x="205" s="1" nd="1"/>
        <i x="450" s="1" nd="1"/>
        <i x="224" s="1" nd="1"/>
        <i x="274" s="1" nd="1"/>
        <i x="781" s="1" nd="1"/>
        <i x="538" s="1" nd="1"/>
        <i x="336" s="1" nd="1"/>
        <i x="627" s="1" nd="1"/>
        <i x="639" s="1" nd="1"/>
        <i x="174" s="1" nd="1"/>
        <i x="674" s="1" nd="1"/>
        <i x="944" s="1" nd="1"/>
        <i x="707" s="1" nd="1"/>
        <i x="729" s="1" nd="1"/>
        <i x="237" s="1" nd="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LAYER11" sourceName="LAYER">
  <pivotTables>
    <pivotTable tabId="37" name="PivotTable1"/>
  </pivotTables>
  <data>
    <tabular pivotCacheId="7">
      <items count="2">
        <i x="0" s="1" nd="1"/>
        <i x="1" s="1" nd="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COREID11" sourceName="COREID">
  <pivotTables>
    <pivotTable tabId="37" name="PivotTable1"/>
  </pivotTables>
  <data>
    <tabular pivotCacheId="7">
      <items count="6">
        <i x="0" s="1" nd="1"/>
        <i x="4" s="1" nd="1"/>
        <i x="3" s="1" nd="1"/>
        <i x="1" s="1" nd="1"/>
        <i x="2" s="1" nd="1"/>
        <i x="5" s="1" nd="1"/>
      </items>
    </tabular>
  </data>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mc:Ignorable="x" name="Slicer_SEQUENCEID11" sourceName="SEQUENCEID">
  <pivotTables>
    <pivotTable tabId="37" name="PivotTable1"/>
  </pivotTables>
  <data>
    <tabular pivotCacheId="7">
      <items count="49">
        <i x="0" s="1" nd="1"/>
        <i x="26" s="1" nd="1"/>
        <i x="11" s="1" nd="1"/>
        <i x="28" s="1" nd="1"/>
        <i x="46" s="1" nd="1"/>
        <i x="5" s="1" nd="1"/>
        <i x="13" s="1" nd="1"/>
        <i x="19" s="1" nd="1"/>
        <i x="29" s="1" nd="1"/>
        <i x="34" s="1" nd="1"/>
        <i x="39" s="1" nd="1"/>
        <i x="43" s="1" nd="1"/>
        <i x="47" s="1" nd="1"/>
        <i x="2" s="1" nd="1"/>
        <i x="6" s="1" nd="1"/>
        <i x="9" s="1" nd="1"/>
        <i x="14" s="1" nd="1"/>
        <i x="16" s="1" nd="1"/>
        <i x="17" s="1" nd="1"/>
        <i x="18" s="1" nd="1"/>
        <i x="20" s="1" nd="1"/>
        <i x="22" s="1" nd="1"/>
        <i x="24" s="1" nd="1"/>
        <i x="27" s="1" nd="1"/>
        <i x="31" s="1" nd="1"/>
        <i x="33" s="1" nd="1"/>
        <i x="36" s="1" nd="1"/>
        <i x="38" s="1" nd="1"/>
        <i x="41" s="1" nd="1"/>
        <i x="42" s="1" nd="1"/>
        <i x="44" s="1" nd="1"/>
        <i x="45" s="1" nd="1"/>
        <i x="48" s="1" nd="1"/>
        <i x="21" s="1" nd="1"/>
        <i x="1" s="1" nd="1"/>
        <i x="23" s="1" nd="1"/>
        <i x="3" s="1" nd="1"/>
        <i x="25" s="1" nd="1"/>
        <i x="4" s="1" nd="1"/>
        <i x="30" s="1" nd="1"/>
        <i x="7" s="1" nd="1"/>
        <i x="32" s="1" nd="1"/>
        <i x="8" s="1" nd="1"/>
        <i x="35" s="1" nd="1"/>
        <i x="10" s="1" nd="1"/>
        <i x="37" s="1" nd="1"/>
        <i x="12" s="1" nd="1"/>
        <i x="40" s="1" nd="1"/>
        <i x="15" s="1" nd="1"/>
      </items>
    </tabular>
  </data>
</slicerCacheDefinition>
</file>

<file path=xl/slicerCaches/slicerCache40.xml><?xml version="1.0" encoding="utf-8"?>
<slicerCacheDefinition xmlns="http://schemas.microsoft.com/office/spreadsheetml/2009/9/main" xmlns:mc="http://schemas.openxmlformats.org/markup-compatibility/2006" xmlns:x="http://schemas.openxmlformats.org/spreadsheetml/2006/main" mc:Ignorable="x" name="Slicer_WTLEVEL" sourceName="WTLEVEL">
  <pivotTables>
    <pivotTable tabId="29" name="PivotTable1"/>
  </pivotTables>
  <data>
    <tabular pivotCacheId="7">
      <items count="6">
        <i x="2" s="1" nd="1"/>
        <i x="0" s="1" nd="1"/>
        <i x="5" s="1" nd="1"/>
        <i x="4" s="1" nd="1"/>
        <i x="1" s="1" nd="1"/>
        <i x="3" s="1" nd="1"/>
      </items>
    </tabular>
  </data>
</slicerCacheDefinition>
</file>

<file path=xl/slicerCaches/slicerCache41.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8" name="PivotTable1"/>
  </pivotTables>
  <data>
    <tabular pivotCacheId="9">
      <items count="4">
        <i x="0" s="1"/>
        <i x="1"/>
        <i x="2" nd="1"/>
        <i x="3" nd="1"/>
      </items>
    </tabular>
  </data>
</slicerCacheDefinition>
</file>

<file path=xl/slicerCaches/slicerCache42.xml><?xml version="1.0" encoding="utf-8"?>
<slicerCacheDefinition xmlns="http://schemas.microsoft.com/office/spreadsheetml/2009/9/main" xmlns:mc="http://schemas.openxmlformats.org/markup-compatibility/2006" xmlns:x="http://schemas.openxmlformats.org/spreadsheetml/2006/main" mc:Ignorable="x" name="Slicer_SEQUENCEID2" sourceName="SEQUENCEID">
  <pivotTables>
    <pivotTable tabId="38" name="PivotTable1"/>
  </pivotTables>
  <data>
    <tabular pivotCacheId="9">
      <items count="25">
        <i x="0" s="1"/>
        <i x="15" s="1" nd="1"/>
        <i x="5" s="1" nd="1"/>
        <i x="17" s="1" nd="1"/>
        <i x="23" s="1" nd="1"/>
        <i x="2" s="1" nd="1"/>
        <i x="6" s="1" nd="1"/>
        <i x="11" s="1" nd="1"/>
        <i x="18" s="1" nd="1"/>
        <i x="20" s="1" nd="1"/>
        <i x="21" s="1" nd="1"/>
        <i x="22" s="1" nd="1"/>
        <i x="24" s="1" nd="1"/>
        <i x="1" s="1" nd="1"/>
        <i x="3" s="1" nd="1"/>
        <i x="4" s="1" nd="1"/>
        <i x="7" s="1" nd="1"/>
        <i x="8" s="1" nd="1"/>
        <i x="9" s="1" nd="1"/>
        <i x="10" s="1" nd="1"/>
        <i x="12" s="1" nd="1"/>
        <i x="13" s="1" nd="1"/>
        <i x="14" s="1" nd="1"/>
        <i x="16" s="1" nd="1"/>
        <i x="19" s="1" nd="1"/>
      </items>
    </tabular>
  </data>
</slicerCacheDefinition>
</file>

<file path=xl/slicerCaches/slicerCache4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8" name="PivotTable1"/>
  </pivotTables>
  <data>
    <tabular pivotCacheId="9">
      <items count="87">
        <i x="10"/>
        <i x="16"/>
        <i x="13"/>
        <i x="9"/>
        <i x="5"/>
        <i x="12"/>
        <i x="15"/>
        <i x="6"/>
        <i x="14"/>
        <i x="2"/>
        <i x="0"/>
        <i x="1"/>
        <i x="4"/>
        <i x="7"/>
        <i x="17" s="1"/>
        <i x="3"/>
        <i x="8"/>
        <i x="11"/>
        <i x="27" nd="1"/>
        <i x="50" nd="1"/>
        <i x="35" nd="1"/>
        <i x="18" nd="1"/>
        <i x="46" nd="1"/>
        <i x="72" nd="1"/>
        <i x="79" nd="1"/>
        <i x="49" nd="1"/>
        <i x="67" nd="1"/>
        <i x="32" nd="1"/>
        <i x="59" nd="1"/>
        <i x="23" nd="1"/>
        <i x="80" nd="1"/>
        <i x="77" nd="1"/>
        <i x="73" nd="1"/>
        <i x="21" nd="1"/>
        <i x="33" nd="1"/>
        <i x="22" nd="1"/>
        <i x="56" nd="1"/>
        <i x="60" nd="1"/>
        <i x="30" nd="1"/>
        <i x="57" nd="1"/>
        <i x="45" nd="1"/>
        <i x="24" nd="1"/>
        <i x="54" nd="1"/>
        <i x="74" nd="1"/>
        <i x="75" nd="1"/>
        <i x="28" nd="1"/>
        <i x="40" nd="1"/>
        <i x="63" nd="1"/>
        <i x="83" nd="1"/>
        <i x="31" nd="1"/>
        <i x="69" nd="1"/>
        <i x="34" nd="1"/>
        <i x="55" nd="1"/>
        <i x="66" nd="1"/>
        <i x="70" nd="1"/>
        <i x="44" nd="1"/>
        <i x="39" nd="1"/>
        <i x="41" nd="1"/>
        <i x="48" nd="1"/>
        <i x="61" nd="1"/>
        <i x="84" nd="1"/>
        <i x="36" nd="1"/>
        <i x="19" nd="1"/>
        <i x="25" nd="1"/>
        <i x="51" nd="1"/>
        <i x="85" nd="1"/>
        <i x="47" nd="1"/>
        <i x="42" nd="1"/>
        <i x="29" nd="1"/>
        <i x="43" nd="1"/>
        <i x="64" nd="1"/>
        <i x="81" nd="1"/>
        <i x="20" nd="1"/>
        <i x="52" nd="1"/>
        <i x="65" nd="1"/>
        <i x="62" nd="1"/>
        <i x="58" nd="1"/>
        <i x="82" nd="1"/>
        <i x="53" nd="1"/>
        <i x="38" nd="1"/>
        <i x="76" nd="1"/>
        <i x="86" nd="1"/>
        <i x="26" nd="1"/>
        <i x="78" nd="1"/>
        <i x="37" nd="1"/>
        <i x="68" nd="1"/>
        <i x="7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6" cache="Slicer_PROCESSID112" caption="PROCESSID" rowHeight="241300"/>
  <slicer name="FEATURE 4" cache="Slicer_FEATURE12" caption="FEATURE" rowHeight="241300"/>
  <slicer name="MSER 4" cache="Slicer_MSER12" caption="MSER" rowHeight="241300"/>
  <slicer name="THREADID 4" cache="Slicer_THREADID12" caption="THREADID" rowHeight="241300"/>
  <slicer name="LAYER 4" cache="Slicer_LAYER11" caption="LAYER" rowHeight="241300"/>
  <slicer name="COREID 4" cache="Slicer_COREID11" caption="COREID" rowHeight="241300"/>
  <slicer name="SEQUENCEID 2" cache="Slicer_SEQUENCEID11" caption="SEQUENCEID" rowHeight="241300"/>
  <slicer name="WTLEVEL 1" cache="Slicer_WTLEVEL" caption="WTLEVEL"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 name="SEQUENCEID 1" cache="Slicer_SEQUENCEID1" caption="SEQUENCE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 name="SEQUENCEID" cache="Slicer_SEQUENCEID" caption="SEQUENCEID" rowHeight="241300"/>
  <slicer name="PROCESSID 3" cache="Slicer_PROCESSID111" caption="PROCESSID" rowHeight="241300"/>
  <slicer name="NETPROCESSID 2" cache="Slicer_NETPROCESSID2" caption="NETPROCESSID" rowHeight="241300"/>
  <slicer name="WTLEVEL" cache="Slicer_WTLEVEL" caption="WTLEVEL"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FEATURE" cache="Slicer_FEATURE" caption="FEATURE" rowHeight="241300"/>
  <slicer name="SEQUENCEID 3" cache="Slicer_SEQUENCEID2" caption="SEQUENCEID" startItem="18" rowHeight="241300"/>
  <slicer name="PROCESSID 1" cache="Slicer_PROCESSID1" caption="PROCESSID" startItem="8"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s>
</file>

<file path=xl/slicers/slicer7.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9.xml><?xml version="1.0" encoding="utf-8"?>
<slicers xmlns="http://schemas.microsoft.com/office/spreadsheetml/2009/9/main" xmlns:mc="http://schemas.openxmlformats.org/markup-compatibility/2006" xmlns:x="http://schemas.openxmlformats.org/spreadsheetml/2006/main" mc:Ignorable="x">
  <slicer name="CORE0USECONTEXT 1" cache="Slicer_CORE0USECONTEXT1" caption="CORE0USECONTEXT" rowHeight="234950"/>
</slicers>
</file>

<file path=xl/slicers/slicer10.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J137" tableType="queryTable" totalsRowShown="0">
  <autoFilter ref="A1:J137"/>
  <sortState ref="A2:J137">
    <sortCondition descending="1" ref="F2:F175"/>
    <sortCondition ref="E2:E175"/>
  </sortState>
  <tableColumns count="10">
    <tableColumn id="5" uniqueName="5" name="SIMULATIONID" queryTableFieldId="13" dataDxfId="6"/>
    <tableColumn id="1" uniqueName="1" name="PROCESSID" queryTableFieldId="1"/>
    <tableColumn id="12" uniqueName="12" name="NETPROCESSID" queryTableFieldId="29" dataDxfId="5"/>
    <tableColumn id="2" uniqueName="2" name="CLIENTNAME" queryTableFieldId="2"/>
    <tableColumn id="4" uniqueName="4" name="SEQUENCEID" queryTableFieldId="34" dataDxfId="4"/>
    <tableColumn id="3" uniqueName="3" name="CLIENTSTART" queryTableFieldId="3" dataDxfId="3"/>
    <tableColumn id="7" uniqueName="7" name="DOTRAINING" queryTableFieldId="7"/>
    <tableColumn id="6" uniqueName="6" name="SIMULATIONSTARTTRAIN" queryTableFieldId="10" dataDxfId="2"/>
    <tableColumn id="10" uniqueName="10" name="SIMULATIONSTARTINFER" queryTableFieldId="11" dataDxfId="1"/>
    <tableColumn id="9" uniqueName="9" name="Duration" queryTableFieldId="33" dataDxfId="0"/>
  </tableColumns>
  <tableStyleInfo name="TableStyleMedium2" showFirstColumn="0" showLastColumn="0" showRowStripes="1" showColumnStripes="0"/>
</table>
</file>

<file path=xl/tables/table2.xml><?xml version="1.0" encoding="utf-8"?>
<table xmlns="http://schemas.openxmlformats.org/spreadsheetml/2006/main" id="3" name="Table_ExternalData_1" displayName="Table_ExternalData_1" ref="A3:E92" tableType="queryTable" totalsRowShown="0">
  <autoFilter ref="A3:E92">
    <filterColumn colId="0">
      <filters>
        <filter val="engineCfg"/>
        <filter val="trainCfg"/>
      </filters>
    </filterColumn>
    <filterColumn colId="1">
      <customFilters>
        <customFilter operator="notEqual" val="*Persistor*"/>
      </customFilters>
    </filterColumn>
  </autoFilter>
  <sortState ref="A4:E92">
    <sortCondition ref="A2:A90"/>
    <sortCondition ref="B2:B90"/>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ables/table3.xml><?xml version="1.0" encoding="utf-8"?>
<table xmlns="http://schemas.openxmlformats.org/spreadsheetml/2006/main" id="4" name="Table_Query_from_Algo5" displayName="Table_Query_from_Algo5" ref="A1:O36" tableType="queryTable" totalsRowShown="0">
  <autoFilter ref="A1:O36">
    <filterColumn colId="0">
      <filters>
        <filter val="12292"/>
      </filters>
    </filterColumn>
  </autoFilter>
  <tableColumns count="15">
    <tableColumn id="1" uniqueName="1" name="PROCESSID" queryTableFieldId="1"/>
    <tableColumn id="2" uniqueName="2" name="HISTORYLEN" queryTableFieldId="2"/>
    <tableColumn id="3" uniqueName="3" name="TOPOLOGY" queryTableFieldId="3"/>
    <tableColumn id="4" uniqueName="4" name="MAXEPOCHS" queryTableFieldId="4"/>
    <tableColumn id="5" uniqueName="5" name="MAXK" queryTableFieldId="5"/>
    <tableColumn id="6" uniqueName="6" name="SAMPLELEN" queryTableFieldId="6"/>
    <tableColumn id="7" uniqueName="7" name="DATE0" queryTableFieldId="7"/>
    <tableColumn id="8" uniqueName="8" name="SYMBOL0" queryTableFieldId="8"/>
    <tableColumn id="9" uniqueName="9" name="SYMBOL1" queryTableFieldId="9"/>
    <tableColumn id="10" uniqueName="10" name="SYMBOL2" queryTableFieldId="10"/>
    <tableColumn id="11" uniqueName="11" name="TIMEFRAME" queryTableFieldId="11"/>
    <tableColumn id="12" uniqueName="12" name="DATATRANSFORMATION" queryTableFieldId="12"/>
    <tableColumn id="13" uniqueName="13" name="CORE0USECONTEXT" queryTableFieldId="13"/>
    <tableColumn id="14" uniqueName="14" name="TIMESERIESCOUNT" queryTableFieldId="14"/>
    <tableColumn id="15" uniqueName="15" name="CORE0USEBIAS" queryTableFieldId="15"/>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5.xml"/><Relationship Id="rId4" Type="http://schemas.microsoft.com/office/2007/relationships/slicer" Target="../slicers/slicer5.xml"/></Relationships>
</file>

<file path=xl/worksheets/_rels/sheet7.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5.bin"/><Relationship Id="rId1" Type="http://schemas.openxmlformats.org/officeDocument/2006/relationships/pivotTable" Target="../pivotTables/pivotTable7.xml"/><Relationship Id="rId4" Type="http://schemas.microsoft.com/office/2007/relationships/slicer" Target="../slicers/slicer7.xml"/></Relationships>
</file>

<file path=xl/worksheets/_rels/sheet9.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4.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8.xml"/><Relationship Id="rId1" Type="http://schemas.openxmlformats.org/officeDocument/2006/relationships/pivotTable" Target="../pivotTables/pivotTable9.xml"/></Relationships>
</file>

<file path=xl/worksheets/_rels/sheet15.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9.xml"/><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3" Type="http://schemas.microsoft.com/office/2007/relationships/slicer" Target="../slicers/slicer10.xml"/><Relationship Id="rId2" Type="http://schemas.openxmlformats.org/officeDocument/2006/relationships/drawing" Target="../drawings/drawing10.xml"/><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election activeCell="B5" sqref="B5"/>
    </sheetView>
  </sheetViews>
  <sheetFormatPr defaultRowHeight="14.4" x14ac:dyDescent="0.3"/>
  <cols>
    <col min="1" max="1" width="10.5546875" bestFit="1" customWidth="1"/>
    <col min="7" max="7" width="11.44140625" bestFit="1" customWidth="1"/>
    <col min="8" max="8" width="10.88671875" bestFit="1" customWidth="1"/>
  </cols>
  <sheetData>
    <row r="1" spans="1:8" x14ac:dyDescent="0.3">
      <c r="A1" t="s">
        <v>286</v>
      </c>
      <c r="B1" s="29">
        <v>10</v>
      </c>
    </row>
    <row r="2" spans="1:8" x14ac:dyDescent="0.3">
      <c r="A2" t="s">
        <v>285</v>
      </c>
      <c r="B2" s="29">
        <v>3</v>
      </c>
    </row>
    <row r="3" spans="1:8" x14ac:dyDescent="0.3">
      <c r="A3" t="s">
        <v>284</v>
      </c>
      <c r="B3" s="29">
        <v>4</v>
      </c>
    </row>
    <row r="4" spans="1:8" x14ac:dyDescent="0.3">
      <c r="A4" t="s">
        <v>283</v>
      </c>
      <c r="B4" s="29">
        <v>20</v>
      </c>
    </row>
    <row r="5" spans="1:8" x14ac:dyDescent="0.3">
      <c r="A5" t="s">
        <v>282</v>
      </c>
      <c r="B5" s="29" t="b">
        <v>1</v>
      </c>
    </row>
    <row r="6" spans="1:8" x14ac:dyDescent="0.3">
      <c r="A6" t="s">
        <v>281</v>
      </c>
      <c r="B6" s="29" t="b">
        <v>1</v>
      </c>
      <c r="F6" s="5" t="s">
        <v>280</v>
      </c>
      <c r="G6" s="30">
        <f>SUM(G8:G15)</f>
        <v>3123</v>
      </c>
      <c r="H6" s="30">
        <f>SUM(H8:H15)</f>
        <v>2167362</v>
      </c>
    </row>
    <row r="7" spans="1:8" x14ac:dyDescent="0.3">
      <c r="C7" t="s">
        <v>279</v>
      </c>
      <c r="E7" t="s">
        <v>278</v>
      </c>
      <c r="F7" t="s">
        <v>277</v>
      </c>
      <c r="G7" s="30" t="s">
        <v>276</v>
      </c>
      <c r="H7" s="30" t="s">
        <v>275</v>
      </c>
    </row>
    <row r="8" spans="1:8" x14ac:dyDescent="0.3">
      <c r="A8" t="s">
        <v>274</v>
      </c>
      <c r="B8">
        <f>COUNT(C8:C24)+2</f>
        <v>3</v>
      </c>
      <c r="C8" s="29">
        <v>1</v>
      </c>
      <c r="E8">
        <v>0</v>
      </c>
      <c r="F8">
        <f>+B1*B3*B4+IF(B6,1,0)</f>
        <v>801</v>
      </c>
      <c r="G8" s="28">
        <f t="shared" ref="G8:G14" si="0">F8+IF($B$5,G9,0)</f>
        <v>1842</v>
      </c>
      <c r="H8" s="28"/>
    </row>
    <row r="9" spans="1:8" x14ac:dyDescent="0.3">
      <c r="A9" t="s">
        <v>273</v>
      </c>
      <c r="B9">
        <f>B2*B3*B4</f>
        <v>240</v>
      </c>
      <c r="C9" s="29"/>
      <c r="E9">
        <v>1</v>
      </c>
      <c r="F9">
        <f t="shared" ref="F9:F15" si="1">IF(E9&gt;($B$8-1),0,IF(C8&gt;0,F8*C8,$B$9))</f>
        <v>801</v>
      </c>
      <c r="G9" s="28">
        <f t="shared" si="0"/>
        <v>1041</v>
      </c>
      <c r="H9" s="28">
        <f t="shared" ref="H9:H15" si="2">+G9*G8</f>
        <v>1917522</v>
      </c>
    </row>
    <row r="10" spans="1:8" x14ac:dyDescent="0.3">
      <c r="C10" s="29"/>
      <c r="E10">
        <v>2</v>
      </c>
      <c r="F10">
        <f t="shared" si="1"/>
        <v>240</v>
      </c>
      <c r="G10" s="28">
        <f t="shared" si="0"/>
        <v>240</v>
      </c>
      <c r="H10" s="28">
        <f t="shared" si="2"/>
        <v>249840</v>
      </c>
    </row>
    <row r="11" spans="1:8" x14ac:dyDescent="0.3">
      <c r="C11" s="29"/>
      <c r="E11">
        <v>3</v>
      </c>
      <c r="F11">
        <f t="shared" si="1"/>
        <v>0</v>
      </c>
      <c r="G11" s="28">
        <f t="shared" si="0"/>
        <v>0</v>
      </c>
      <c r="H11" s="28">
        <f t="shared" si="2"/>
        <v>0</v>
      </c>
    </row>
    <row r="12" spans="1:8" x14ac:dyDescent="0.3">
      <c r="C12" s="29"/>
      <c r="E12">
        <v>4</v>
      </c>
      <c r="F12">
        <f t="shared" si="1"/>
        <v>0</v>
      </c>
      <c r="G12" s="28">
        <f t="shared" si="0"/>
        <v>0</v>
      </c>
      <c r="H12" s="28">
        <f t="shared" si="2"/>
        <v>0</v>
      </c>
    </row>
    <row r="13" spans="1:8" x14ac:dyDescent="0.3">
      <c r="C13" s="29"/>
      <c r="E13">
        <v>5</v>
      </c>
      <c r="F13">
        <f t="shared" si="1"/>
        <v>0</v>
      </c>
      <c r="G13" s="28">
        <f t="shared" si="0"/>
        <v>0</v>
      </c>
      <c r="H13" s="28">
        <f t="shared" si="2"/>
        <v>0</v>
      </c>
    </row>
    <row r="14" spans="1:8" x14ac:dyDescent="0.3">
      <c r="E14">
        <v>6</v>
      </c>
      <c r="F14">
        <f t="shared" si="1"/>
        <v>0</v>
      </c>
      <c r="G14" s="28">
        <f t="shared" si="0"/>
        <v>0</v>
      </c>
      <c r="H14" s="28">
        <f t="shared" si="2"/>
        <v>0</v>
      </c>
    </row>
    <row r="15" spans="1:8" x14ac:dyDescent="0.3">
      <c r="E15">
        <v>7</v>
      </c>
      <c r="F15">
        <f t="shared" si="1"/>
        <v>0</v>
      </c>
      <c r="G15" s="28">
        <f>F15+IF($B$5,G17,0)</f>
        <v>0</v>
      </c>
      <c r="H15" s="28">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2"/>
  <sheetViews>
    <sheetView zoomScale="85" zoomScaleNormal="85" workbookViewId="0">
      <selection activeCell="C5" sqref="C5"/>
    </sheetView>
  </sheetViews>
  <sheetFormatPr defaultRowHeight="14.4" x14ac:dyDescent="0.3"/>
  <cols>
    <col min="1" max="1" width="13.44140625" bestFit="1" customWidth="1"/>
    <col min="2" max="2" width="8.21875" bestFit="1" customWidth="1"/>
    <col min="3" max="3" width="20.88671875" bestFit="1" customWidth="1"/>
    <col min="5" max="5" width="18.33203125" bestFit="1" customWidth="1"/>
    <col min="6" max="6" width="12.33203125" bestFit="1" customWidth="1"/>
  </cols>
  <sheetData>
    <row r="1" spans="1:6" ht="18" x14ac:dyDescent="0.35">
      <c r="A1" s="1" t="s">
        <v>0</v>
      </c>
      <c r="B1" t="s">
        <v>2</v>
      </c>
      <c r="C1" t="s">
        <v>113</v>
      </c>
      <c r="E1" s="5" t="s">
        <v>11</v>
      </c>
      <c r="F1" s="27">
        <f>VLOOKUP(COUNT($B:$B)-2,$A:$B,2,FALSE)</f>
        <v>8.6308136815205203E-5</v>
      </c>
    </row>
    <row r="2" spans="1:6" x14ac:dyDescent="0.3">
      <c r="A2" s="2">
        <v>0</v>
      </c>
      <c r="B2" s="3">
        <v>5.4798945784568804E-3</v>
      </c>
      <c r="C2" s="4">
        <v>15325</v>
      </c>
      <c r="E2" s="5" t="s">
        <v>114</v>
      </c>
      <c r="F2" s="4">
        <f>GETPIVOTDATA("Average of DURATION",$A$1)</f>
        <v>15499.56</v>
      </c>
    </row>
    <row r="3" spans="1:6" x14ac:dyDescent="0.3">
      <c r="A3" s="2">
        <v>1</v>
      </c>
      <c r="B3" s="3">
        <v>2.56768753752112E-3</v>
      </c>
      <c r="C3" s="4">
        <v>15356</v>
      </c>
    </row>
    <row r="4" spans="1:6" x14ac:dyDescent="0.3">
      <c r="A4" s="2">
        <v>2</v>
      </c>
      <c r="B4" s="3">
        <v>1.62872532382607E-3</v>
      </c>
      <c r="C4" s="4">
        <v>15356</v>
      </c>
    </row>
    <row r="5" spans="1:6" x14ac:dyDescent="0.3">
      <c r="A5" s="2">
        <v>3</v>
      </c>
      <c r="B5" s="3">
        <v>1.06308015529066E-3</v>
      </c>
      <c r="C5" s="4">
        <v>15371</v>
      </c>
    </row>
    <row r="6" spans="1:6" x14ac:dyDescent="0.3">
      <c r="A6" s="2">
        <v>4</v>
      </c>
      <c r="B6" s="3">
        <v>7.0655025774613001E-4</v>
      </c>
      <c r="C6" s="4">
        <v>15382</v>
      </c>
    </row>
    <row r="7" spans="1:6" x14ac:dyDescent="0.3">
      <c r="A7" s="2">
        <v>5</v>
      </c>
      <c r="B7" s="3">
        <v>4.9328064778819702E-4</v>
      </c>
      <c r="C7" s="4">
        <v>15403</v>
      </c>
    </row>
    <row r="8" spans="1:6" x14ac:dyDescent="0.3">
      <c r="A8" s="2">
        <v>6</v>
      </c>
      <c r="B8" s="3">
        <v>3.6909422487951799E-4</v>
      </c>
      <c r="C8" s="4">
        <v>15387</v>
      </c>
    </row>
    <row r="9" spans="1:6" x14ac:dyDescent="0.3">
      <c r="A9" s="2">
        <v>7</v>
      </c>
      <c r="B9" s="3">
        <v>2.9449065914377603E-4</v>
      </c>
      <c r="C9" s="4">
        <v>15387</v>
      </c>
    </row>
    <row r="10" spans="1:6" x14ac:dyDescent="0.3">
      <c r="A10" s="2">
        <v>8</v>
      </c>
      <c r="B10" s="3">
        <v>2.4709553690627201E-4</v>
      </c>
      <c r="C10" s="4">
        <v>15387</v>
      </c>
    </row>
    <row r="11" spans="1:6" x14ac:dyDescent="0.3">
      <c r="A11" s="2">
        <v>9</v>
      </c>
      <c r="B11" s="3">
        <v>2.15317661059089E-4</v>
      </c>
      <c r="C11" s="4">
        <v>15387</v>
      </c>
    </row>
    <row r="12" spans="1:6" x14ac:dyDescent="0.3">
      <c r="A12" s="2">
        <v>10</v>
      </c>
      <c r="B12" s="3">
        <v>1.9295436504762601E-4</v>
      </c>
      <c r="C12" s="4">
        <v>15404</v>
      </c>
    </row>
    <row r="13" spans="1:6" x14ac:dyDescent="0.3">
      <c r="A13" s="2">
        <v>11</v>
      </c>
      <c r="B13" s="3">
        <v>1.7650031077209901E-4</v>
      </c>
      <c r="C13" s="4">
        <v>15389</v>
      </c>
    </row>
    <row r="14" spans="1:6" x14ac:dyDescent="0.3">
      <c r="A14" s="2">
        <v>12</v>
      </c>
      <c r="B14" s="3">
        <v>1.6390049131587099E-4</v>
      </c>
      <c r="C14" s="4">
        <v>15387</v>
      </c>
    </row>
    <row r="15" spans="1:6" x14ac:dyDescent="0.3">
      <c r="A15" s="2">
        <v>13</v>
      </c>
      <c r="B15" s="3">
        <v>1.5391946362797201E-4</v>
      </c>
      <c r="C15" s="4">
        <v>15387</v>
      </c>
    </row>
    <row r="16" spans="1:6" x14ac:dyDescent="0.3">
      <c r="A16" s="2">
        <v>14</v>
      </c>
      <c r="B16" s="3">
        <v>1.4579141861759099E-4</v>
      </c>
      <c r="C16" s="4">
        <v>15387</v>
      </c>
    </row>
    <row r="17" spans="1:3" x14ac:dyDescent="0.3">
      <c r="A17" s="2">
        <v>15</v>
      </c>
      <c r="B17" s="3">
        <v>1.3902698992751501E-4</v>
      </c>
      <c r="C17" s="4">
        <v>15403</v>
      </c>
    </row>
    <row r="18" spans="1:3" x14ac:dyDescent="0.3">
      <c r="A18" s="2">
        <v>16</v>
      </c>
      <c r="B18" s="3">
        <v>1.3329829380381901E-4</v>
      </c>
      <c r="C18" s="4">
        <v>15402</v>
      </c>
    </row>
    <row r="19" spans="1:3" x14ac:dyDescent="0.3">
      <c r="A19" s="2">
        <v>17</v>
      </c>
      <c r="B19" s="3">
        <v>1.2837984832003699E-4</v>
      </c>
      <c r="C19" s="4">
        <v>15429</v>
      </c>
    </row>
    <row r="20" spans="1:3" x14ac:dyDescent="0.3">
      <c r="A20" s="2">
        <v>18</v>
      </c>
      <c r="B20" s="3">
        <v>1.24109224998392E-4</v>
      </c>
      <c r="C20" s="4">
        <v>15550</v>
      </c>
    </row>
    <row r="21" spans="1:3" x14ac:dyDescent="0.3">
      <c r="A21" s="2">
        <v>19</v>
      </c>
      <c r="B21" s="3">
        <v>1.2036800762871301E-4</v>
      </c>
      <c r="C21" s="4">
        <v>15559</v>
      </c>
    </row>
    <row r="22" spans="1:3" x14ac:dyDescent="0.3">
      <c r="A22" s="2">
        <v>20</v>
      </c>
      <c r="B22" s="3">
        <v>1.1706515942933E-4</v>
      </c>
      <c r="C22" s="4">
        <v>15564</v>
      </c>
    </row>
    <row r="23" spans="1:3" x14ac:dyDescent="0.3">
      <c r="A23" s="2">
        <v>21</v>
      </c>
      <c r="B23" s="3">
        <v>1.14131173177157E-4</v>
      </c>
      <c r="C23" s="4">
        <v>15560</v>
      </c>
    </row>
    <row r="24" spans="1:3" x14ac:dyDescent="0.3">
      <c r="A24" s="2">
        <v>22</v>
      </c>
      <c r="B24" s="3">
        <v>1.1151109356433201E-4</v>
      </c>
      <c r="C24" s="4">
        <v>15569</v>
      </c>
    </row>
    <row r="25" spans="1:3" x14ac:dyDescent="0.3">
      <c r="A25" s="2">
        <v>23</v>
      </c>
      <c r="B25" s="3">
        <v>1.09159977000672E-4</v>
      </c>
      <c r="C25" s="4">
        <v>15576</v>
      </c>
    </row>
    <row r="26" spans="1:3" x14ac:dyDescent="0.3">
      <c r="A26" s="2">
        <v>24</v>
      </c>
      <c r="B26" s="3">
        <v>1.07042134914082E-4</v>
      </c>
      <c r="C26" s="4">
        <v>15577</v>
      </c>
    </row>
    <row r="27" spans="1:3" x14ac:dyDescent="0.3">
      <c r="A27" s="2">
        <v>25</v>
      </c>
      <c r="B27" s="3">
        <v>1.05127408460248E-4</v>
      </c>
      <c r="C27" s="4">
        <v>15559</v>
      </c>
    </row>
    <row r="28" spans="1:3" x14ac:dyDescent="0.3">
      <c r="A28" s="2">
        <v>26</v>
      </c>
      <c r="B28" s="3">
        <v>1.03391554148402E-4</v>
      </c>
      <c r="C28" s="4">
        <v>15574</v>
      </c>
    </row>
    <row r="29" spans="1:3" x14ac:dyDescent="0.3">
      <c r="A29" s="2">
        <v>27</v>
      </c>
      <c r="B29" s="3">
        <v>1.0181264224229399E-4</v>
      </c>
      <c r="C29" s="4">
        <v>15543</v>
      </c>
    </row>
    <row r="30" spans="1:3" x14ac:dyDescent="0.3">
      <c r="A30" s="2">
        <v>28</v>
      </c>
      <c r="B30" s="3">
        <v>1.00373195891734E-4</v>
      </c>
      <c r="C30" s="4">
        <v>15575</v>
      </c>
    </row>
    <row r="31" spans="1:3" x14ac:dyDescent="0.3">
      <c r="A31" s="2">
        <v>29</v>
      </c>
      <c r="B31" s="3">
        <v>9.9057768238708404E-5</v>
      </c>
      <c r="C31" s="4">
        <v>15574</v>
      </c>
    </row>
    <row r="32" spans="1:3" x14ac:dyDescent="0.3">
      <c r="A32" s="2">
        <v>30</v>
      </c>
      <c r="B32" s="3">
        <v>9.7853218903765096E-5</v>
      </c>
      <c r="C32" s="4">
        <v>15565</v>
      </c>
    </row>
    <row r="33" spans="1:3" x14ac:dyDescent="0.3">
      <c r="A33" s="2">
        <v>31</v>
      </c>
      <c r="B33" s="3">
        <v>9.6747855423018296E-5</v>
      </c>
      <c r="C33" s="4">
        <v>15575</v>
      </c>
    </row>
    <row r="34" spans="1:3" x14ac:dyDescent="0.3">
      <c r="A34" s="2">
        <v>32</v>
      </c>
      <c r="B34" s="3">
        <v>9.5731469627935399E-5</v>
      </c>
      <c r="C34" s="4">
        <v>15558</v>
      </c>
    </row>
    <row r="35" spans="1:3" x14ac:dyDescent="0.3">
      <c r="A35" s="2">
        <v>33</v>
      </c>
      <c r="B35" s="3">
        <v>9.4795541372150196E-5</v>
      </c>
      <c r="C35" s="4">
        <v>15559</v>
      </c>
    </row>
    <row r="36" spans="1:3" x14ac:dyDescent="0.3">
      <c r="A36" s="2">
        <v>34</v>
      </c>
      <c r="B36" s="3">
        <v>9.3931732408236699E-5</v>
      </c>
      <c r="C36" s="4">
        <v>15548</v>
      </c>
    </row>
    <row r="37" spans="1:3" x14ac:dyDescent="0.3">
      <c r="A37" s="2">
        <v>35</v>
      </c>
      <c r="B37" s="3">
        <v>9.3133392510935705E-5</v>
      </c>
      <c r="C37" s="4">
        <v>15567</v>
      </c>
    </row>
    <row r="38" spans="1:3" x14ac:dyDescent="0.3">
      <c r="A38" s="2">
        <v>36</v>
      </c>
      <c r="B38" s="3">
        <v>9.2394329840317396E-5</v>
      </c>
      <c r="C38" s="4">
        <v>15567</v>
      </c>
    </row>
    <row r="39" spans="1:3" x14ac:dyDescent="0.3">
      <c r="A39" s="2">
        <v>37</v>
      </c>
      <c r="B39" s="3">
        <v>9.1709072876256E-5</v>
      </c>
      <c r="C39" s="4">
        <v>15542</v>
      </c>
    </row>
    <row r="40" spans="1:3" x14ac:dyDescent="0.3">
      <c r="A40" s="2">
        <v>38</v>
      </c>
      <c r="B40" s="3">
        <v>9.1072324721608297E-5</v>
      </c>
      <c r="C40" s="4">
        <v>15553</v>
      </c>
    </row>
    <row r="41" spans="1:3" x14ac:dyDescent="0.3">
      <c r="A41" s="2">
        <v>39</v>
      </c>
      <c r="B41" s="3">
        <v>9.0480440121609704E-5</v>
      </c>
      <c r="C41" s="4">
        <v>15559</v>
      </c>
    </row>
    <row r="42" spans="1:3" x14ac:dyDescent="0.3">
      <c r="A42" s="2">
        <v>40</v>
      </c>
      <c r="B42" s="3">
        <v>8.9929315436165793E-5</v>
      </c>
      <c r="C42" s="4">
        <v>15554</v>
      </c>
    </row>
    <row r="43" spans="1:3" x14ac:dyDescent="0.3">
      <c r="A43" s="2">
        <v>41</v>
      </c>
      <c r="B43" s="3">
        <v>8.9414650574326502E-5</v>
      </c>
      <c r="C43" s="4">
        <v>15575</v>
      </c>
    </row>
    <row r="44" spans="1:3" x14ac:dyDescent="0.3">
      <c r="A44" s="2">
        <v>42</v>
      </c>
      <c r="B44" s="3">
        <v>8.8934059021994499E-5</v>
      </c>
      <c r="C44" s="4">
        <v>15571</v>
      </c>
    </row>
    <row r="45" spans="1:3" x14ac:dyDescent="0.3">
      <c r="A45" s="2">
        <v>43</v>
      </c>
      <c r="B45" s="3">
        <v>8.8484441221226007E-5</v>
      </c>
      <c r="C45" s="4">
        <v>15548</v>
      </c>
    </row>
    <row r="46" spans="1:3" x14ac:dyDescent="0.3">
      <c r="A46" s="2">
        <v>44</v>
      </c>
      <c r="B46" s="3">
        <v>8.8063250586856197E-5</v>
      </c>
      <c r="C46" s="4">
        <v>15581</v>
      </c>
    </row>
    <row r="47" spans="1:3" x14ac:dyDescent="0.3">
      <c r="A47" s="2">
        <v>45</v>
      </c>
      <c r="B47" s="3">
        <v>8.7668129708617899E-5</v>
      </c>
      <c r="C47" s="4">
        <v>15627</v>
      </c>
    </row>
    <row r="48" spans="1:3" x14ac:dyDescent="0.3">
      <c r="A48" s="2">
        <v>46</v>
      </c>
      <c r="B48" s="3">
        <v>8.7296670244541006E-5</v>
      </c>
      <c r="C48" s="4">
        <v>15535</v>
      </c>
    </row>
    <row r="49" spans="1:3" x14ac:dyDescent="0.3">
      <c r="A49" s="2">
        <v>47</v>
      </c>
      <c r="B49" s="3">
        <v>8.6947395175229799E-5</v>
      </c>
      <c r="C49" s="4">
        <v>15543</v>
      </c>
    </row>
    <row r="50" spans="1:3" x14ac:dyDescent="0.3">
      <c r="A50" s="2">
        <v>48</v>
      </c>
      <c r="B50" s="3">
        <v>8.6618594650644795E-5</v>
      </c>
      <c r="C50" s="4">
        <v>15626</v>
      </c>
    </row>
    <row r="51" spans="1:3" x14ac:dyDescent="0.3">
      <c r="A51" s="2">
        <v>49</v>
      </c>
      <c r="B51" s="3">
        <v>8.6308136815205203E-5</v>
      </c>
      <c r="C51" s="4">
        <v>15516</v>
      </c>
    </row>
    <row r="52" spans="1:3" x14ac:dyDescent="0.3">
      <c r="A52" s="2" t="s">
        <v>1</v>
      </c>
      <c r="B52" s="3">
        <v>3.4859302249969895E-4</v>
      </c>
      <c r="C52" s="4">
        <v>15499.56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
  <sheetViews>
    <sheetView zoomScale="85" zoomScaleNormal="85" workbookViewId="0"/>
  </sheetViews>
  <sheetFormatPr defaultRowHeight="14.4" x14ac:dyDescent="0.3"/>
  <cols>
    <col min="1" max="1" width="13.44140625" customWidth="1"/>
    <col min="2" max="2" width="21.5546875" customWidth="1"/>
    <col min="3" max="3" width="24.109375" customWidth="1"/>
    <col min="4" max="4" width="20.33203125" customWidth="1"/>
  </cols>
  <sheetData>
    <row r="1" spans="1:8" x14ac:dyDescent="0.3">
      <c r="A1" s="1" t="s">
        <v>0</v>
      </c>
      <c r="G1" t="s">
        <v>136</v>
      </c>
      <c r="H1" s="26" t="e">
        <f>GETPIVOTDATA("Average of ERRORTRS",$A$1)</f>
        <v>#REF!</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
  <sheetViews>
    <sheetView zoomScale="85" zoomScaleNormal="85" workbookViewId="0"/>
  </sheetViews>
  <sheetFormatPr defaultRowHeight="14.4" x14ac:dyDescent="0.3"/>
  <cols>
    <col min="1" max="1" width="13.44140625" customWidth="1"/>
    <col min="2" max="2" width="20.44140625" customWidth="1"/>
    <col min="3" max="3" width="23.109375" customWidth="1"/>
    <col min="4" max="4" width="19.33203125" customWidth="1"/>
  </cols>
  <sheetData>
    <row r="1" spans="1:8" x14ac:dyDescent="0.3">
      <c r="A1" s="1" t="s">
        <v>0</v>
      </c>
      <c r="G1" t="s">
        <v>136</v>
      </c>
      <c r="H1" s="26" t="e">
        <f>GETPIVOTDATA("Average of ERRORTR",$A$1)</f>
        <v>#REF!</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
  <sheetViews>
    <sheetView topLeftCell="A40" zoomScale="85" zoomScaleNormal="85" workbookViewId="0">
      <selection activeCell="E50" sqref="E50"/>
    </sheetView>
  </sheetViews>
  <sheetFormatPr defaultRowHeight="14.4" x14ac:dyDescent="0.3"/>
  <cols>
    <col min="1" max="1" width="13.44140625" customWidth="1"/>
    <col min="2" max="2" width="22.88671875" bestFit="1" customWidth="1"/>
    <col min="3" max="3" width="25.5546875" bestFit="1" customWidth="1"/>
    <col min="4" max="4" width="21.6640625" bestFit="1" customWidth="1"/>
  </cols>
  <sheetData>
    <row r="1" spans="1:8" x14ac:dyDescent="0.3">
      <c r="A1" s="1" t="s">
        <v>0</v>
      </c>
      <c r="G1" t="s">
        <v>125</v>
      </c>
      <c r="H1" s="26" t="e">
        <f>GETPIVOTDATA("Average of ERRORBASE",$A$1)</f>
        <v>#REF!</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02"/>
  <sheetViews>
    <sheetView tabSelected="1" zoomScale="85" zoomScaleNormal="85" workbookViewId="0">
      <selection activeCell="D99" sqref="D99"/>
    </sheetView>
  </sheetViews>
  <sheetFormatPr defaultRowHeight="14.4" x14ac:dyDescent="0.3"/>
  <cols>
    <col min="1" max="1" width="17.6640625" bestFit="1" customWidth="1"/>
    <col min="2" max="2" width="23" customWidth="1"/>
    <col min="3" max="3" width="25.77734375" customWidth="1"/>
    <col min="4" max="6" width="19.5546875" customWidth="1"/>
    <col min="7" max="7" width="12.6640625" customWidth="1"/>
    <col min="8" max="8" width="7.6640625" bestFit="1" customWidth="1"/>
    <col min="15" max="15" width="12.5546875" bestFit="1" customWidth="1"/>
  </cols>
  <sheetData>
    <row r="1" spans="1:8" x14ac:dyDescent="0.3">
      <c r="A1" s="1" t="s">
        <v>0</v>
      </c>
      <c r="B1" t="s">
        <v>127</v>
      </c>
      <c r="C1" t="s">
        <v>128</v>
      </c>
      <c r="D1" t="s">
        <v>126</v>
      </c>
      <c r="G1" t="s">
        <v>322</v>
      </c>
      <c r="H1" s="26">
        <f>GETPIVOTDATA("Average of ERRORTR",$A$1)</f>
        <v>3.6894816512358746E-5</v>
      </c>
    </row>
    <row r="2" spans="1:8" x14ac:dyDescent="0.3">
      <c r="A2" s="2" t="s">
        <v>419</v>
      </c>
      <c r="B2" s="3">
        <v>1.1626000404357899</v>
      </c>
      <c r="C2" s="3"/>
      <c r="D2" s="3"/>
    </row>
    <row r="3" spans="1:8" x14ac:dyDescent="0.3">
      <c r="A3" s="2" t="s">
        <v>324</v>
      </c>
      <c r="B3" s="3">
        <v>1.1623400449752801</v>
      </c>
      <c r="C3" s="3"/>
      <c r="D3" s="3"/>
      <c r="H3" s="32"/>
    </row>
    <row r="4" spans="1:8" x14ac:dyDescent="0.3">
      <c r="A4" s="2" t="s">
        <v>325</v>
      </c>
      <c r="B4" s="3">
        <v>1.16281998157501</v>
      </c>
      <c r="C4" s="3"/>
      <c r="D4" s="3"/>
    </row>
    <row r="5" spans="1:8" x14ac:dyDescent="0.3">
      <c r="A5" s="2" t="s">
        <v>326</v>
      </c>
      <c r="B5" s="3">
        <v>1.1652799844741799</v>
      </c>
      <c r="C5" s="3"/>
      <c r="D5" s="3"/>
    </row>
    <row r="6" spans="1:8" x14ac:dyDescent="0.3">
      <c r="A6" s="2" t="s">
        <v>327</v>
      </c>
      <c r="B6" s="3">
        <v>1.1645799875259399</v>
      </c>
      <c r="C6" s="3"/>
      <c r="D6" s="3"/>
    </row>
    <row r="7" spans="1:8" x14ac:dyDescent="0.3">
      <c r="A7" s="2" t="s">
        <v>328</v>
      </c>
      <c r="B7" s="3">
        <v>1.1635700464248699</v>
      </c>
      <c r="C7" s="3"/>
      <c r="D7" s="3"/>
    </row>
    <row r="8" spans="1:8" x14ac:dyDescent="0.3">
      <c r="A8" s="2" t="s">
        <v>329</v>
      </c>
      <c r="B8" s="3">
        <v>1.1636600494384799</v>
      </c>
      <c r="C8" s="3"/>
      <c r="D8" s="3"/>
    </row>
    <row r="9" spans="1:8" x14ac:dyDescent="0.3">
      <c r="A9" s="2" t="s">
        <v>330</v>
      </c>
      <c r="B9" s="3">
        <v>1.1634000539779701</v>
      </c>
      <c r="C9" s="3"/>
      <c r="D9" s="3"/>
    </row>
    <row r="10" spans="1:8" x14ac:dyDescent="0.3">
      <c r="A10" s="2" t="s">
        <v>331</v>
      </c>
      <c r="B10" s="3">
        <v>1.1625900268554701</v>
      </c>
      <c r="C10" s="3"/>
      <c r="D10" s="3"/>
    </row>
    <row r="11" spans="1:8" x14ac:dyDescent="0.3">
      <c r="A11" s="2" t="s">
        <v>332</v>
      </c>
      <c r="B11" s="3">
        <v>1.16196000576019</v>
      </c>
      <c r="C11" s="3"/>
      <c r="D11" s="3"/>
    </row>
    <row r="12" spans="1:8" x14ac:dyDescent="0.3">
      <c r="A12" s="2" t="s">
        <v>333</v>
      </c>
      <c r="B12" s="3">
        <v>1.1623400449752801</v>
      </c>
      <c r="C12" s="3"/>
      <c r="D12" s="3"/>
    </row>
    <row r="13" spans="1:8" x14ac:dyDescent="0.3">
      <c r="A13" s="2" t="s">
        <v>334</v>
      </c>
      <c r="B13" s="3">
        <v>1.1610399484634399</v>
      </c>
      <c r="C13" s="3"/>
      <c r="D13" s="3"/>
    </row>
    <row r="14" spans="1:8" x14ac:dyDescent="0.3">
      <c r="A14" s="2" t="s">
        <v>335</v>
      </c>
      <c r="B14" s="3">
        <v>1.16187000274658</v>
      </c>
      <c r="C14" s="3"/>
      <c r="D14" s="3"/>
    </row>
    <row r="15" spans="1:8" x14ac:dyDescent="0.3">
      <c r="A15" s="2" t="s">
        <v>336</v>
      </c>
      <c r="B15" s="3">
        <v>1.16210997104645</v>
      </c>
      <c r="C15" s="3"/>
      <c r="D15" s="3"/>
    </row>
    <row r="16" spans="1:8" x14ac:dyDescent="0.3">
      <c r="A16" s="2" t="s">
        <v>337</v>
      </c>
      <c r="B16" s="3">
        <v>1.16196000576019</v>
      </c>
      <c r="C16" s="3"/>
      <c r="D16" s="3"/>
    </row>
    <row r="17" spans="1:16" x14ac:dyDescent="0.3">
      <c r="A17" s="2" t="s">
        <v>338</v>
      </c>
      <c r="B17" s="3">
        <v>1.1629099845886199</v>
      </c>
      <c r="C17" s="3"/>
      <c r="D17" s="3"/>
    </row>
    <row r="18" spans="1:16" x14ac:dyDescent="0.3">
      <c r="A18" s="2" t="s">
        <v>339</v>
      </c>
      <c r="B18" s="3">
        <v>1.16428005695343</v>
      </c>
      <c r="C18" s="3"/>
      <c r="D18" s="3"/>
    </row>
    <row r="19" spans="1:16" x14ac:dyDescent="0.3">
      <c r="A19" s="2" t="s">
        <v>340</v>
      </c>
      <c r="B19" s="3">
        <v>1.1656899452209499</v>
      </c>
      <c r="C19" s="3"/>
      <c r="D19" s="3"/>
    </row>
    <row r="20" spans="1:16" x14ac:dyDescent="0.3">
      <c r="A20" s="2" t="s">
        <v>341</v>
      </c>
      <c r="B20" s="3">
        <v>1.1672899723053001</v>
      </c>
      <c r="C20" s="3"/>
      <c r="D20" s="3"/>
    </row>
    <row r="21" spans="1:16" x14ac:dyDescent="0.3">
      <c r="A21" s="2" t="s">
        <v>342</v>
      </c>
      <c r="B21" s="3">
        <v>1.1680699586868299</v>
      </c>
      <c r="C21" s="3"/>
      <c r="D21" s="3"/>
    </row>
    <row r="22" spans="1:16" x14ac:dyDescent="0.3">
      <c r="A22" s="2" t="s">
        <v>343</v>
      </c>
      <c r="B22" s="3">
        <v>1.16904997825623</v>
      </c>
      <c r="C22" s="3"/>
      <c r="D22" s="3"/>
    </row>
    <row r="23" spans="1:16" x14ac:dyDescent="0.3">
      <c r="A23" s="2" t="s">
        <v>344</v>
      </c>
      <c r="B23" s="3">
        <v>1.16928994655609</v>
      </c>
      <c r="C23" s="3"/>
      <c r="D23" s="3"/>
    </row>
    <row r="24" spans="1:16" x14ac:dyDescent="0.3">
      <c r="A24" s="2" t="s">
        <v>345</v>
      </c>
      <c r="B24" s="3">
        <v>1.16828000545502</v>
      </c>
      <c r="C24" s="3"/>
      <c r="D24" s="3"/>
    </row>
    <row r="25" spans="1:16" x14ac:dyDescent="0.3">
      <c r="A25" s="2" t="s">
        <v>346</v>
      </c>
      <c r="B25" s="3">
        <v>1.16814005374908</v>
      </c>
      <c r="C25" s="3"/>
      <c r="D25" s="3"/>
    </row>
    <row r="26" spans="1:16" x14ac:dyDescent="0.3">
      <c r="A26" s="2" t="s">
        <v>347</v>
      </c>
      <c r="B26" s="3">
        <v>1.16843998432159</v>
      </c>
      <c r="C26" s="3"/>
      <c r="D26" s="3"/>
    </row>
    <row r="27" spans="1:16" x14ac:dyDescent="0.3">
      <c r="A27" s="2" t="s">
        <v>348</v>
      </c>
      <c r="B27" s="3">
        <v>1.16813004016876</v>
      </c>
      <c r="C27" s="3"/>
      <c r="D27" s="3"/>
    </row>
    <row r="28" spans="1:16" x14ac:dyDescent="0.3">
      <c r="A28" s="2" t="s">
        <v>321</v>
      </c>
      <c r="B28" s="3">
        <v>1.1680699586868299</v>
      </c>
      <c r="C28" s="3"/>
      <c r="D28" s="3"/>
    </row>
    <row r="29" spans="1:16" x14ac:dyDescent="0.3">
      <c r="A29" s="2" t="s">
        <v>320</v>
      </c>
      <c r="B29" s="3">
        <v>1.16833996772766</v>
      </c>
      <c r="C29" s="3"/>
      <c r="D29" s="3"/>
    </row>
    <row r="30" spans="1:16" x14ac:dyDescent="0.3">
      <c r="A30" s="2" t="s">
        <v>319</v>
      </c>
      <c r="B30" s="3">
        <v>1.1696300506591799</v>
      </c>
      <c r="C30" s="3"/>
      <c r="D30" s="3"/>
      <c r="P30" s="26"/>
    </row>
    <row r="31" spans="1:16" x14ac:dyDescent="0.3">
      <c r="A31" s="2" t="s">
        <v>318</v>
      </c>
      <c r="B31" s="3">
        <v>1.16913998126984</v>
      </c>
      <c r="C31" s="3"/>
      <c r="D31" s="3"/>
    </row>
    <row r="32" spans="1:16" x14ac:dyDescent="0.3">
      <c r="A32" s="2" t="s">
        <v>317</v>
      </c>
      <c r="B32" s="3">
        <v>1.16767001152039</v>
      </c>
      <c r="C32" s="3"/>
      <c r="D32" s="3"/>
    </row>
    <row r="33" spans="1:4" x14ac:dyDescent="0.3">
      <c r="A33" s="2" t="s">
        <v>316</v>
      </c>
      <c r="B33" s="3">
        <v>1.1676900386810301</v>
      </c>
      <c r="C33" s="3"/>
      <c r="D33" s="3"/>
    </row>
    <row r="34" spans="1:4" x14ac:dyDescent="0.3">
      <c r="A34" s="2" t="s">
        <v>315</v>
      </c>
      <c r="B34" s="3">
        <v>1.1675100326538099</v>
      </c>
      <c r="C34" s="3"/>
      <c r="D34" s="3"/>
    </row>
    <row r="35" spans="1:4" x14ac:dyDescent="0.3">
      <c r="A35" s="2" t="s">
        <v>314</v>
      </c>
      <c r="B35" s="3">
        <v>1.16733002662659</v>
      </c>
      <c r="C35" s="3"/>
      <c r="D35" s="3"/>
    </row>
    <row r="36" spans="1:4" x14ac:dyDescent="0.3">
      <c r="A36" s="2" t="s">
        <v>349</v>
      </c>
      <c r="B36" s="3">
        <v>1.1690299510955799</v>
      </c>
      <c r="C36" s="3"/>
      <c r="D36" s="3"/>
    </row>
    <row r="37" spans="1:4" x14ac:dyDescent="0.3">
      <c r="A37" s="2" t="s">
        <v>350</v>
      </c>
      <c r="B37" s="3">
        <v>1.1698900461196899</v>
      </c>
      <c r="C37" s="3"/>
      <c r="D37" s="3"/>
    </row>
    <row r="38" spans="1:4" x14ac:dyDescent="0.3">
      <c r="A38" s="2" t="s">
        <v>351</v>
      </c>
      <c r="B38" s="3">
        <v>1.1698700189590501</v>
      </c>
      <c r="C38" s="3"/>
      <c r="D38" s="3"/>
    </row>
    <row r="39" spans="1:4" x14ac:dyDescent="0.3">
      <c r="A39" s="2" t="s">
        <v>352</v>
      </c>
      <c r="B39" s="3">
        <v>1.1703900098800699</v>
      </c>
      <c r="C39" s="3"/>
      <c r="D39" s="3"/>
    </row>
    <row r="40" spans="1:4" x14ac:dyDescent="0.3">
      <c r="A40" s="2" t="s">
        <v>353</v>
      </c>
      <c r="B40" s="3">
        <v>1.17060005664825</v>
      </c>
      <c r="C40" s="3"/>
      <c r="D40" s="3"/>
    </row>
    <row r="41" spans="1:4" x14ac:dyDescent="0.3">
      <c r="A41" s="2" t="s">
        <v>354</v>
      </c>
      <c r="B41" s="3">
        <v>1.1716899871826201</v>
      </c>
      <c r="C41" s="3"/>
      <c r="D41" s="3"/>
    </row>
    <row r="42" spans="1:4" x14ac:dyDescent="0.3">
      <c r="A42" s="2" t="s">
        <v>355</v>
      </c>
      <c r="B42" s="3">
        <v>1.1720600128173799</v>
      </c>
      <c r="C42" s="3"/>
      <c r="D42" s="3"/>
    </row>
    <row r="43" spans="1:4" x14ac:dyDescent="0.3">
      <c r="A43" s="2" t="s">
        <v>356</v>
      </c>
      <c r="B43" s="3">
        <v>1.1732800006866499</v>
      </c>
      <c r="C43" s="3"/>
      <c r="D43" s="3"/>
    </row>
    <row r="44" spans="1:4" x14ac:dyDescent="0.3">
      <c r="A44" s="2" t="s">
        <v>357</v>
      </c>
      <c r="B44" s="3">
        <v>1.1730500459671001</v>
      </c>
      <c r="C44" s="3"/>
      <c r="D44" s="3"/>
    </row>
    <row r="45" spans="1:4" x14ac:dyDescent="0.3">
      <c r="A45" s="2" t="s">
        <v>358</v>
      </c>
      <c r="B45" s="3">
        <v>1.1721899509429901</v>
      </c>
      <c r="C45" s="3"/>
      <c r="D45" s="3"/>
    </row>
    <row r="46" spans="1:4" x14ac:dyDescent="0.3">
      <c r="A46" s="2" t="s">
        <v>359</v>
      </c>
      <c r="B46" s="3">
        <v>1.1724499464035001</v>
      </c>
      <c r="C46" s="3"/>
      <c r="D46" s="3"/>
    </row>
    <row r="47" spans="1:4" x14ac:dyDescent="0.3">
      <c r="A47" s="2" t="s">
        <v>360</v>
      </c>
      <c r="B47" s="3">
        <v>1.1720900535583501</v>
      </c>
      <c r="C47" s="3"/>
      <c r="D47" s="3"/>
    </row>
    <row r="48" spans="1:4" x14ac:dyDescent="0.3">
      <c r="A48" s="2" t="s">
        <v>361</v>
      </c>
      <c r="B48" s="3">
        <v>1.1712000370025599</v>
      </c>
      <c r="C48" s="3"/>
      <c r="D48" s="3"/>
    </row>
    <row r="49" spans="1:4" x14ac:dyDescent="0.3">
      <c r="A49" s="2" t="s">
        <v>362</v>
      </c>
      <c r="B49" s="3">
        <v>1.1697800159454299</v>
      </c>
      <c r="C49" s="3"/>
      <c r="D49" s="3"/>
    </row>
    <row r="50" spans="1:4" x14ac:dyDescent="0.3">
      <c r="A50" s="2" t="s">
        <v>363</v>
      </c>
      <c r="B50" s="3">
        <v>1.16948997974396</v>
      </c>
      <c r="C50" s="3"/>
      <c r="D50" s="3"/>
    </row>
    <row r="51" spans="1:4" x14ac:dyDescent="0.3">
      <c r="A51" s="2" t="s">
        <v>364</v>
      </c>
      <c r="B51" s="3">
        <v>1.1695599555969201</v>
      </c>
      <c r="C51" s="3"/>
      <c r="D51" s="3"/>
    </row>
    <row r="52" spans="1:4" x14ac:dyDescent="0.3">
      <c r="A52" s="2" t="s">
        <v>365</v>
      </c>
      <c r="B52" s="3">
        <v>1.1694699525833101</v>
      </c>
      <c r="C52" s="3">
        <v>1.1693757772445701</v>
      </c>
      <c r="D52" s="3">
        <v>9.4210001407191198E-5</v>
      </c>
    </row>
    <row r="53" spans="1:4" x14ac:dyDescent="0.3">
      <c r="A53" s="2" t="s">
        <v>366</v>
      </c>
      <c r="B53" s="3">
        <v>1.1694600582122801</v>
      </c>
      <c r="C53" s="3">
        <v>1.1693719625473</v>
      </c>
      <c r="D53" s="3">
        <v>8.8125547335948754E-5</v>
      </c>
    </row>
    <row r="54" spans="1:4" x14ac:dyDescent="0.3">
      <c r="A54" s="2" t="s">
        <v>367</v>
      </c>
      <c r="B54" s="3">
        <v>1.16961002349854</v>
      </c>
      <c r="C54" s="3">
        <v>1.1695688962936399</v>
      </c>
      <c r="D54" s="3">
        <v>4.1082268580794998E-5</v>
      </c>
    </row>
    <row r="55" spans="1:4" x14ac:dyDescent="0.3">
      <c r="A55" s="2" t="s">
        <v>368</v>
      </c>
      <c r="B55" s="3">
        <v>1.16884005069733</v>
      </c>
      <c r="C55" s="3">
        <v>1.16883444786072</v>
      </c>
      <c r="D55" s="3">
        <v>5.6329881772399999E-6</v>
      </c>
    </row>
    <row r="56" spans="1:4" x14ac:dyDescent="0.3">
      <c r="A56" s="2" t="s">
        <v>369</v>
      </c>
      <c r="B56" s="3">
        <v>1.16965997219086</v>
      </c>
      <c r="C56" s="3">
        <v>1.1696962118148799</v>
      </c>
      <c r="D56" s="3">
        <v>3.6191195249558003E-5</v>
      </c>
    </row>
    <row r="57" spans="1:4" x14ac:dyDescent="0.3">
      <c r="A57" s="2" t="s">
        <v>370</v>
      </c>
      <c r="B57" s="3">
        <v>1.1694099903106701</v>
      </c>
      <c r="C57" s="3">
        <v>1.16938948631287</v>
      </c>
      <c r="D57" s="3">
        <v>2.0458333892748E-5</v>
      </c>
    </row>
    <row r="58" spans="1:4" x14ac:dyDescent="0.3">
      <c r="A58" s="2" t="s">
        <v>371</v>
      </c>
      <c r="B58" s="3">
        <v>1.1695100069046001</v>
      </c>
      <c r="C58" s="3">
        <v>1.1694960594177199</v>
      </c>
      <c r="D58" s="3">
        <v>1.38896502903658E-5</v>
      </c>
    </row>
    <row r="59" spans="1:4" x14ac:dyDescent="0.3">
      <c r="A59" s="2" t="s">
        <v>372</v>
      </c>
      <c r="B59" s="3">
        <v>1.1695599555969201</v>
      </c>
      <c r="C59" s="3">
        <v>1.1695572137832599</v>
      </c>
      <c r="D59" s="3">
        <v>2.7901478460988999E-6</v>
      </c>
    </row>
    <row r="60" spans="1:4" x14ac:dyDescent="0.3">
      <c r="A60" s="2" t="s">
        <v>373</v>
      </c>
      <c r="B60" s="3">
        <v>1.16808998584747</v>
      </c>
      <c r="C60" s="3">
        <v>1.1680437326431301</v>
      </c>
      <c r="D60" s="3">
        <v>4.624587018043E-5</v>
      </c>
    </row>
    <row r="61" spans="1:4" x14ac:dyDescent="0.3">
      <c r="A61" s="2" t="s">
        <v>374</v>
      </c>
      <c r="B61" s="3">
        <v>1.1685700416564899</v>
      </c>
      <c r="C61" s="3">
        <v>1.16856729984283</v>
      </c>
      <c r="D61" s="3">
        <v>2.800457878038E-6</v>
      </c>
    </row>
    <row r="62" spans="1:4" x14ac:dyDescent="0.3">
      <c r="A62" s="2" t="s">
        <v>375</v>
      </c>
      <c r="B62" s="3">
        <v>1.16767001152039</v>
      </c>
      <c r="C62" s="3">
        <v>1.16763019561768</v>
      </c>
      <c r="D62" s="3">
        <v>3.9801991079002998E-5</v>
      </c>
    </row>
    <row r="63" spans="1:4" x14ac:dyDescent="0.3">
      <c r="A63" s="2" t="s">
        <v>376</v>
      </c>
      <c r="B63" s="3">
        <v>1.16752994060516</v>
      </c>
      <c r="C63" s="3">
        <v>1.16748142242432</v>
      </c>
      <c r="D63" s="3">
        <v>4.8538029659539E-5</v>
      </c>
    </row>
    <row r="64" spans="1:4" x14ac:dyDescent="0.3">
      <c r="A64" s="2" t="s">
        <v>377</v>
      </c>
      <c r="B64" s="3">
        <v>1.1674400568008401</v>
      </c>
      <c r="C64" s="3">
        <v>1.1673837900161701</v>
      </c>
      <c r="D64" s="3">
        <v>5.6230608606710901E-5</v>
      </c>
    </row>
    <row r="65" spans="1:4" x14ac:dyDescent="0.3">
      <c r="A65" s="2" t="s">
        <v>378</v>
      </c>
      <c r="B65" s="3">
        <v>1.16675996780396</v>
      </c>
      <c r="C65" s="3">
        <v>1.16670441627502</v>
      </c>
      <c r="D65" s="3">
        <v>5.5497395806014999E-5</v>
      </c>
    </row>
    <row r="66" spans="1:4" x14ac:dyDescent="0.3">
      <c r="A66" s="2" t="s">
        <v>379</v>
      </c>
      <c r="B66" s="3">
        <v>1.1666500568389899</v>
      </c>
      <c r="C66" s="3">
        <v>1.1666272878646899</v>
      </c>
      <c r="D66" s="3">
        <v>2.2710562916473001E-5</v>
      </c>
    </row>
    <row r="67" spans="1:4" x14ac:dyDescent="0.3">
      <c r="A67" s="2" t="s">
        <v>380</v>
      </c>
      <c r="B67" s="3">
        <v>1.168830037117</v>
      </c>
      <c r="C67" s="3">
        <v>1.1688810586929299</v>
      </c>
      <c r="D67" s="3">
        <v>5.1058828830719997E-5</v>
      </c>
    </row>
    <row r="68" spans="1:4" x14ac:dyDescent="0.3">
      <c r="A68" s="2" t="s">
        <v>381</v>
      </c>
      <c r="B68" s="3">
        <v>1.1706999540328999</v>
      </c>
      <c r="C68" s="3">
        <v>1.17076551914215</v>
      </c>
      <c r="D68" s="3">
        <v>6.5514352172620001E-5</v>
      </c>
    </row>
    <row r="69" spans="1:4" x14ac:dyDescent="0.3">
      <c r="A69" s="2" t="s">
        <v>382</v>
      </c>
      <c r="B69" s="3">
        <v>1.17025005817413</v>
      </c>
      <c r="C69" s="3">
        <v>1.17029464244843</v>
      </c>
      <c r="D69" s="3">
        <v>4.4569140300154002E-5</v>
      </c>
    </row>
    <row r="70" spans="1:4" x14ac:dyDescent="0.3">
      <c r="A70" s="2" t="s">
        <v>383</v>
      </c>
      <c r="B70" s="3">
        <v>1.1706399917602499</v>
      </c>
      <c r="C70" s="3">
        <v>1.1706804037094101</v>
      </c>
      <c r="D70" s="3">
        <v>4.0402781451121E-5</v>
      </c>
    </row>
    <row r="71" spans="1:4" x14ac:dyDescent="0.3">
      <c r="A71" s="2" t="s">
        <v>384</v>
      </c>
      <c r="B71" s="3">
        <v>1.17056000232697</v>
      </c>
      <c r="C71" s="3">
        <v>1.17055559158325</v>
      </c>
      <c r="D71" s="3">
        <v>4.3595427996479E-6</v>
      </c>
    </row>
    <row r="72" spans="1:4" x14ac:dyDescent="0.3">
      <c r="A72" s="2" t="s">
        <v>385</v>
      </c>
      <c r="B72" s="3">
        <v>1.1701300144195601</v>
      </c>
      <c r="C72" s="3">
        <v>1.17012751102448</v>
      </c>
      <c r="D72" s="3">
        <v>2.496526576579E-6</v>
      </c>
    </row>
    <row r="73" spans="1:4" x14ac:dyDescent="0.3">
      <c r="A73" s="2" t="s">
        <v>386</v>
      </c>
      <c r="B73" s="3">
        <v>1.17067003250122</v>
      </c>
      <c r="C73" s="3">
        <v>1.1706626415252701</v>
      </c>
      <c r="D73" s="3">
        <v>7.3835253715510004E-6</v>
      </c>
    </row>
    <row r="74" spans="1:4" x14ac:dyDescent="0.3">
      <c r="A74" s="2" t="s">
        <v>387</v>
      </c>
      <c r="B74" s="3">
        <v>1.17091000080109</v>
      </c>
      <c r="C74" s="3">
        <v>1.1708943843841599</v>
      </c>
      <c r="D74" s="3">
        <v>1.5563346096315001E-5</v>
      </c>
    </row>
    <row r="75" spans="1:4" x14ac:dyDescent="0.3">
      <c r="A75" s="2" t="s">
        <v>388</v>
      </c>
      <c r="B75" s="3">
        <v>1.1708300113678001</v>
      </c>
      <c r="C75" s="3">
        <v>1.17081475257874</v>
      </c>
      <c r="D75" s="3">
        <v>1.5286954294424501E-5</v>
      </c>
    </row>
    <row r="76" spans="1:4" x14ac:dyDescent="0.3">
      <c r="A76" s="2" t="s">
        <v>394</v>
      </c>
      <c r="B76" s="3">
        <v>1.1709300279617301</v>
      </c>
      <c r="C76" s="3">
        <v>1.1709288358688399</v>
      </c>
      <c r="D76" s="3">
        <v>1.2058517313558001E-6</v>
      </c>
    </row>
    <row r="77" spans="1:4" x14ac:dyDescent="0.3">
      <c r="A77" s="2" t="s">
        <v>395</v>
      </c>
      <c r="B77" s="3">
        <v>1.1709799766540501</v>
      </c>
      <c r="C77" s="3">
        <v>1.17098605632782</v>
      </c>
      <c r="D77" s="3">
        <v>6.1099308368285001E-6</v>
      </c>
    </row>
    <row r="78" spans="1:4" x14ac:dyDescent="0.3">
      <c r="A78" s="2" t="s">
        <v>396</v>
      </c>
      <c r="B78" s="3">
        <v>1.17127001285553</v>
      </c>
      <c r="C78" s="3">
        <v>1.17127084732056</v>
      </c>
      <c r="D78" s="3">
        <v>7.9491292126500005E-7</v>
      </c>
    </row>
    <row r="79" spans="1:4" x14ac:dyDescent="0.3">
      <c r="A79" s="2" t="s">
        <v>397</v>
      </c>
      <c r="B79" s="3">
        <v>1.1709899902343801</v>
      </c>
      <c r="C79" s="3">
        <v>1.1709829568862899</v>
      </c>
      <c r="D79" s="3">
        <v>6.975082214922E-6</v>
      </c>
    </row>
    <row r="80" spans="1:4" x14ac:dyDescent="0.3">
      <c r="A80" s="2" t="s">
        <v>398</v>
      </c>
      <c r="B80" s="3">
        <v>1.1705900430679299</v>
      </c>
      <c r="C80" s="3">
        <v>1.1705738306045499</v>
      </c>
      <c r="D80" s="3">
        <v>1.6210571629926999E-5</v>
      </c>
    </row>
    <row r="81" spans="1:4" x14ac:dyDescent="0.3">
      <c r="A81" s="2" t="s">
        <v>399</v>
      </c>
      <c r="B81" s="3">
        <v>1.17044997215271</v>
      </c>
      <c r="C81" s="3">
        <v>1.17045557498932</v>
      </c>
      <c r="D81" s="3">
        <v>5.622074240819E-6</v>
      </c>
    </row>
    <row r="82" spans="1:4" x14ac:dyDescent="0.3">
      <c r="A82" s="2" t="s">
        <v>400</v>
      </c>
      <c r="B82" s="3">
        <v>1.1702400445938099</v>
      </c>
      <c r="C82" s="3">
        <v>1.1702579259872401</v>
      </c>
      <c r="D82" s="3">
        <v>1.7843078239820999E-5</v>
      </c>
    </row>
    <row r="83" spans="1:4" x14ac:dyDescent="0.3">
      <c r="A83" s="2" t="s">
        <v>401</v>
      </c>
      <c r="B83" s="3">
        <v>1.1698900461196899</v>
      </c>
      <c r="C83" s="3">
        <v>1.1698926687240601</v>
      </c>
      <c r="D83" s="3">
        <v>2.6782508939510002E-6</v>
      </c>
    </row>
    <row r="84" spans="1:4" x14ac:dyDescent="0.3">
      <c r="A84" s="2" t="s">
        <v>402</v>
      </c>
      <c r="B84" s="3">
        <v>1.17051005363464</v>
      </c>
      <c r="C84" s="3">
        <v>1.1704803705215501</v>
      </c>
      <c r="D84" s="3">
        <v>2.9711110983044001E-5</v>
      </c>
    </row>
    <row r="85" spans="1:4" x14ac:dyDescent="0.3">
      <c r="A85" s="2" t="s">
        <v>403</v>
      </c>
      <c r="B85" s="3">
        <v>1.1717400550842301</v>
      </c>
      <c r="C85" s="3">
        <v>1.1716821193695099</v>
      </c>
      <c r="D85" s="3">
        <v>5.7916156947609998E-5</v>
      </c>
    </row>
    <row r="86" spans="1:4" x14ac:dyDescent="0.3">
      <c r="A86" s="2" t="s">
        <v>404</v>
      </c>
      <c r="B86" s="3">
        <v>1.1703599691391</v>
      </c>
      <c r="C86" s="3">
        <v>1.17026019096375</v>
      </c>
      <c r="D86" s="3">
        <v>9.9724042229360006E-5</v>
      </c>
    </row>
    <row r="87" spans="1:4" x14ac:dyDescent="0.3">
      <c r="A87" s="2" t="s">
        <v>405</v>
      </c>
      <c r="B87" s="3">
        <v>1.16990995407104</v>
      </c>
      <c r="C87" s="3">
        <v>1.16984462738037</v>
      </c>
      <c r="D87" s="3">
        <v>6.5362255554645996E-5</v>
      </c>
    </row>
    <row r="88" spans="1:4" x14ac:dyDescent="0.3">
      <c r="A88" s="2" t="s">
        <v>406</v>
      </c>
      <c r="B88" s="3">
        <v>1.17081999778748</v>
      </c>
      <c r="C88" s="3">
        <v>1.1708017587661701</v>
      </c>
      <c r="D88" s="3">
        <v>1.8255668692291E-5</v>
      </c>
    </row>
    <row r="89" spans="1:4" x14ac:dyDescent="0.3">
      <c r="A89" s="2" t="s">
        <v>407</v>
      </c>
      <c r="B89" s="3">
        <v>1.1698299646377599</v>
      </c>
      <c r="C89" s="3">
        <v>1.16979324817657</v>
      </c>
      <c r="D89" s="3">
        <v>3.6761048249902001E-5</v>
      </c>
    </row>
    <row r="90" spans="1:4" x14ac:dyDescent="0.3">
      <c r="A90" s="2" t="s">
        <v>408</v>
      </c>
      <c r="B90" s="3">
        <v>1.1695200204849201</v>
      </c>
      <c r="C90" s="3">
        <v>1.16952323913574</v>
      </c>
      <c r="D90" s="3">
        <v>3.2696407288309998E-6</v>
      </c>
    </row>
    <row r="91" spans="1:4" x14ac:dyDescent="0.3">
      <c r="A91" s="2" t="s">
        <v>409</v>
      </c>
      <c r="B91" s="3">
        <v>1.16819000244141</v>
      </c>
      <c r="C91" s="3">
        <v>1.16821253299713</v>
      </c>
      <c r="D91" s="3">
        <v>2.2517167963090002E-5</v>
      </c>
    </row>
    <row r="92" spans="1:4" x14ac:dyDescent="0.3">
      <c r="A92" s="2" t="s">
        <v>410</v>
      </c>
      <c r="B92" s="3">
        <v>1.16676998138428</v>
      </c>
      <c r="C92" s="3">
        <v>1.1667492389678999</v>
      </c>
      <c r="D92" s="3">
        <v>2.0800041966139999E-5</v>
      </c>
    </row>
    <row r="93" spans="1:4" x14ac:dyDescent="0.3">
      <c r="A93" s="2" t="s">
        <v>411</v>
      </c>
      <c r="B93" s="3">
        <v>1.16612005233765</v>
      </c>
      <c r="C93" s="3">
        <v>1.16611039638519</v>
      </c>
      <c r="D93" s="3">
        <v>9.6779549494390005E-6</v>
      </c>
    </row>
    <row r="94" spans="1:4" x14ac:dyDescent="0.3">
      <c r="A94" s="2" t="s">
        <v>412</v>
      </c>
      <c r="B94" s="3">
        <v>1.1659799814224201</v>
      </c>
      <c r="C94" s="3">
        <v>1.1660064458846999</v>
      </c>
      <c r="D94" s="3">
        <v>2.6446432457305999E-5</v>
      </c>
    </row>
    <row r="95" spans="1:4" x14ac:dyDescent="0.3">
      <c r="A95" s="2" t="s">
        <v>413</v>
      </c>
      <c r="B95" s="3">
        <v>1.16691994667053</v>
      </c>
      <c r="C95" s="3">
        <v>1.1669713258743299</v>
      </c>
      <c r="D95" s="3">
        <v>5.1361625082791001E-5</v>
      </c>
    </row>
    <row r="96" spans="1:4" x14ac:dyDescent="0.3">
      <c r="A96" s="2" t="s">
        <v>414</v>
      </c>
      <c r="B96" s="3">
        <v>1.1671400070190401</v>
      </c>
      <c r="C96" s="3">
        <v>1.16719686985016</v>
      </c>
      <c r="D96" s="3">
        <v>5.6907854741439E-5</v>
      </c>
    </row>
    <row r="97" spans="1:4" x14ac:dyDescent="0.3">
      <c r="A97" s="2" t="s">
        <v>415</v>
      </c>
      <c r="B97" s="3">
        <v>1.16782999038696</v>
      </c>
      <c r="C97" s="3">
        <v>1.16786408424377</v>
      </c>
      <c r="D97" s="3">
        <v>3.4049793612211997E-5</v>
      </c>
    </row>
    <row r="98" spans="1:4" x14ac:dyDescent="0.3">
      <c r="A98" s="2" t="s">
        <v>416</v>
      </c>
      <c r="B98" s="3">
        <v>1.1676100492477399</v>
      </c>
      <c r="C98" s="3">
        <v>1.1676266193389899</v>
      </c>
      <c r="D98" s="3">
        <v>1.6532445442861999E-5</v>
      </c>
    </row>
    <row r="99" spans="1:4" x14ac:dyDescent="0.3">
      <c r="A99" s="2" t="s">
        <v>417</v>
      </c>
      <c r="B99" s="3">
        <v>1.1669900417327901</v>
      </c>
      <c r="C99" s="3">
        <v>1.1670050621032699</v>
      </c>
      <c r="D99" s="3">
        <v>1.5041907317936E-5</v>
      </c>
    </row>
    <row r="100" spans="1:4" x14ac:dyDescent="0.3">
      <c r="A100" s="2" t="s">
        <v>420</v>
      </c>
      <c r="B100" s="3">
        <v>1.16675996780396</v>
      </c>
      <c r="C100" s="3">
        <v>1.16665315628052</v>
      </c>
      <c r="D100" s="3">
        <v>1.0681853746064001E-4</v>
      </c>
    </row>
    <row r="101" spans="1:4" x14ac:dyDescent="0.3">
      <c r="A101" s="2" t="s">
        <v>428</v>
      </c>
      <c r="B101" s="3">
        <v>1.16662001609802</v>
      </c>
      <c r="C101" s="3">
        <v>1.1663247346878101</v>
      </c>
      <c r="D101" s="3">
        <v>2.95307341730222E-4</v>
      </c>
    </row>
    <row r="102" spans="1:4" x14ac:dyDescent="0.3">
      <c r="A102" s="2" t="s">
        <v>1</v>
      </c>
      <c r="B102" s="3">
        <v>1.1682040059566499</v>
      </c>
      <c r="C102" s="3">
        <v>1.1691171884536746</v>
      </c>
      <c r="D102" s="3">
        <v>3.6894816512358746E-5</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J27"/>
  <sheetViews>
    <sheetView zoomScale="85" zoomScaleNormal="85" workbookViewId="0">
      <selection activeCell="D27" sqref="D27"/>
    </sheetView>
  </sheetViews>
  <sheetFormatPr defaultRowHeight="14.4" x14ac:dyDescent="0.3"/>
  <cols>
    <col min="1" max="1" width="15.88671875" bestFit="1" customWidth="1"/>
    <col min="2" max="3" width="7.6640625" customWidth="1"/>
    <col min="4" max="4" width="8.88671875" customWidth="1"/>
    <col min="5" max="6" width="7.6640625" customWidth="1"/>
    <col min="7" max="7" width="8.88671875" customWidth="1"/>
    <col min="8" max="9" width="7.6640625" customWidth="1"/>
    <col min="10" max="10" width="8.88671875" customWidth="1"/>
  </cols>
  <sheetData>
    <row r="2" spans="1:10" x14ac:dyDescent="0.3">
      <c r="A2" s="1" t="s">
        <v>0</v>
      </c>
      <c r="B2" t="s">
        <v>302</v>
      </c>
      <c r="C2" t="s">
        <v>303</v>
      </c>
      <c r="D2" t="s">
        <v>304</v>
      </c>
      <c r="E2" t="s">
        <v>305</v>
      </c>
      <c r="F2" t="s">
        <v>306</v>
      </c>
      <c r="G2" t="s">
        <v>307</v>
      </c>
      <c r="H2" t="s">
        <v>308</v>
      </c>
      <c r="I2" t="s">
        <v>310</v>
      </c>
      <c r="J2" t="s">
        <v>309</v>
      </c>
    </row>
    <row r="3" spans="1:10" x14ac:dyDescent="0.3">
      <c r="A3" s="23">
        <v>43341.958333333336</v>
      </c>
      <c r="B3" s="3">
        <v>1.1709099999999999</v>
      </c>
      <c r="C3" s="3">
        <v>1.170415</v>
      </c>
      <c r="D3" s="3">
        <v>4.95E-4</v>
      </c>
      <c r="E3" s="3">
        <v>1.17022</v>
      </c>
      <c r="F3" s="3">
        <v>1.1692709999999999</v>
      </c>
      <c r="G3" s="3">
        <v>9.4899999999999997E-4</v>
      </c>
      <c r="H3" s="3">
        <v>1.1705700000000001</v>
      </c>
      <c r="I3" s="3">
        <v>1.1705700000000001</v>
      </c>
      <c r="J3" s="3">
        <v>0</v>
      </c>
    </row>
    <row r="4" spans="1:10" x14ac:dyDescent="0.3">
      <c r="A4" s="23">
        <v>43342</v>
      </c>
      <c r="B4" s="3">
        <v>1.17083</v>
      </c>
      <c r="C4" s="3">
        <v>1.1700159999999999</v>
      </c>
      <c r="D4" s="3">
        <v>8.1400000000000005E-4</v>
      </c>
      <c r="E4" s="3">
        <v>1.17041</v>
      </c>
      <c r="F4" s="3">
        <v>1.1686099999999999</v>
      </c>
      <c r="G4" s="3">
        <v>1.8E-3</v>
      </c>
      <c r="H4" s="3">
        <v>1.1708099999999999</v>
      </c>
      <c r="I4" s="3">
        <v>1.1708099999999999</v>
      </c>
      <c r="J4" s="3">
        <v>0</v>
      </c>
    </row>
    <row r="5" spans="1:10" x14ac:dyDescent="0.3">
      <c r="A5" s="23">
        <v>43342.041666666664</v>
      </c>
      <c r="B5" s="3">
        <v>1.17093</v>
      </c>
      <c r="C5" s="3">
        <v>1.1705950000000001</v>
      </c>
      <c r="D5" s="3">
        <v>3.3500000000000001E-4</v>
      </c>
      <c r="E5" s="3">
        <v>1.1705399999999999</v>
      </c>
      <c r="F5" s="3">
        <v>1.169508</v>
      </c>
      <c r="G5" s="3">
        <v>1.0319999999999999E-3</v>
      </c>
      <c r="H5" s="3">
        <v>1.1705399999999999</v>
      </c>
      <c r="I5" s="3">
        <v>1.1705399999999999</v>
      </c>
      <c r="J5" s="3">
        <v>0</v>
      </c>
    </row>
    <row r="6" spans="1:10" x14ac:dyDescent="0.3">
      <c r="A6" s="23">
        <v>43342.083333333336</v>
      </c>
      <c r="B6" s="3">
        <v>1.1709799999999999</v>
      </c>
      <c r="C6" s="3">
        <v>1.1707970000000001</v>
      </c>
      <c r="D6" s="3">
        <v>1.83E-4</v>
      </c>
      <c r="E6" s="3">
        <v>1.1705399999999999</v>
      </c>
      <c r="F6" s="3">
        <v>1.169986</v>
      </c>
      <c r="G6" s="3">
        <v>5.5400000000000002E-4</v>
      </c>
      <c r="H6" s="3">
        <v>1.17086</v>
      </c>
      <c r="I6" s="3">
        <v>1.17086</v>
      </c>
      <c r="J6" s="3">
        <v>0</v>
      </c>
    </row>
    <row r="7" spans="1:10" x14ac:dyDescent="0.3">
      <c r="A7" s="23">
        <v>43342.125</v>
      </c>
      <c r="B7" s="3">
        <v>1.17127</v>
      </c>
      <c r="C7" s="3">
        <v>1.170712</v>
      </c>
      <c r="D7" s="3">
        <v>5.5800000000000001E-4</v>
      </c>
      <c r="E7" s="3">
        <v>1.17012</v>
      </c>
      <c r="F7" s="3">
        <v>1.1701589999999999</v>
      </c>
      <c r="G7" s="3">
        <v>3.8999999999999999E-5</v>
      </c>
      <c r="H7" s="3">
        <v>1.1705000000000001</v>
      </c>
      <c r="I7" s="3">
        <v>1.1705000000000001</v>
      </c>
      <c r="J7" s="3">
        <v>0</v>
      </c>
    </row>
    <row r="8" spans="1:10" x14ac:dyDescent="0.3">
      <c r="A8" s="23">
        <v>43342.166666666664</v>
      </c>
      <c r="B8" s="3">
        <v>1.17099</v>
      </c>
      <c r="C8" s="3">
        <v>1.170757</v>
      </c>
      <c r="D8" s="3">
        <v>2.33E-4</v>
      </c>
      <c r="E8" s="3">
        <v>1.1695800000000001</v>
      </c>
      <c r="F8" s="3">
        <v>1.170269</v>
      </c>
      <c r="G8" s="3">
        <v>6.8900000000000005E-4</v>
      </c>
      <c r="H8" s="3">
        <v>1.1703600000000001</v>
      </c>
      <c r="I8" s="3">
        <v>1.1703600000000001</v>
      </c>
      <c r="J8" s="3">
        <v>0</v>
      </c>
    </row>
    <row r="9" spans="1:10" x14ac:dyDescent="0.3">
      <c r="A9" s="23">
        <v>43342.208333333336</v>
      </c>
      <c r="B9" s="3">
        <v>1.17059</v>
      </c>
      <c r="C9" s="3">
        <v>1.170876</v>
      </c>
      <c r="D9" s="3">
        <v>2.8600000000000001E-4</v>
      </c>
      <c r="E9" s="3">
        <v>1.16997</v>
      </c>
      <c r="F9" s="3">
        <v>1.1703220000000001</v>
      </c>
      <c r="G9" s="3">
        <v>3.5199999999999999E-4</v>
      </c>
      <c r="H9" s="3">
        <v>1.17</v>
      </c>
      <c r="I9" s="3">
        <v>1.17</v>
      </c>
      <c r="J9" s="3">
        <v>0</v>
      </c>
    </row>
    <row r="10" spans="1:10" x14ac:dyDescent="0.3">
      <c r="A10" s="23">
        <v>43342.25</v>
      </c>
      <c r="B10" s="3">
        <v>1.17045</v>
      </c>
      <c r="C10" s="3">
        <v>1.1712560000000001</v>
      </c>
      <c r="D10" s="3">
        <v>8.0599999999999997E-4</v>
      </c>
      <c r="E10" s="3">
        <v>1.16947</v>
      </c>
      <c r="F10" s="3">
        <v>1.169934</v>
      </c>
      <c r="G10" s="3">
        <v>4.64E-4</v>
      </c>
      <c r="H10" s="3">
        <v>1.16995</v>
      </c>
      <c r="I10" s="3">
        <v>1.16995</v>
      </c>
      <c r="J10" s="3">
        <v>0</v>
      </c>
    </row>
    <row r="11" spans="1:10" x14ac:dyDescent="0.3">
      <c r="A11" s="23">
        <v>43342.291666666664</v>
      </c>
      <c r="B11" s="3">
        <v>1.1702399999999999</v>
      </c>
      <c r="C11" s="3">
        <v>1.170917</v>
      </c>
      <c r="D11" s="3">
        <v>6.7699999999999998E-4</v>
      </c>
      <c r="E11" s="3">
        <v>1.1696500000000001</v>
      </c>
      <c r="F11" s="3">
        <v>1.169387</v>
      </c>
      <c r="G11" s="3">
        <v>2.63E-4</v>
      </c>
      <c r="H11" s="3">
        <v>1.1698500000000001</v>
      </c>
      <c r="I11" s="3">
        <v>1.1698500000000001</v>
      </c>
      <c r="J11" s="3">
        <v>0</v>
      </c>
    </row>
    <row r="12" spans="1:10" x14ac:dyDescent="0.3">
      <c r="A12" s="23">
        <v>43342.333333333336</v>
      </c>
      <c r="B12" s="3">
        <v>1.1698900000000001</v>
      </c>
      <c r="C12" s="3">
        <v>1.1705000000000001</v>
      </c>
      <c r="D12" s="3">
        <v>6.0999999999999997E-4</v>
      </c>
      <c r="E12" s="3">
        <v>1.1685000000000001</v>
      </c>
      <c r="F12" s="3">
        <v>1.169789</v>
      </c>
      <c r="G12" s="3">
        <v>1.289E-3</v>
      </c>
      <c r="H12" s="3">
        <v>1.1688700000000001</v>
      </c>
      <c r="I12" s="3">
        <v>1.1688700000000001</v>
      </c>
      <c r="J12" s="3">
        <v>0</v>
      </c>
    </row>
    <row r="13" spans="1:10" x14ac:dyDescent="0.3">
      <c r="A13" s="23">
        <v>43342.375</v>
      </c>
      <c r="B13" s="3">
        <v>1.1705099999999999</v>
      </c>
      <c r="C13" s="3">
        <v>1.170382</v>
      </c>
      <c r="D13" s="3">
        <v>1.2799999999999999E-4</v>
      </c>
      <c r="E13" s="3">
        <v>1.16883</v>
      </c>
      <c r="F13" s="3">
        <v>1.169354</v>
      </c>
      <c r="G13" s="3">
        <v>5.2400000000000005E-4</v>
      </c>
      <c r="H13" s="3">
        <v>1.17028</v>
      </c>
      <c r="I13" s="3">
        <v>1.17028</v>
      </c>
      <c r="J13" s="3">
        <v>0</v>
      </c>
    </row>
    <row r="14" spans="1:10" x14ac:dyDescent="0.3">
      <c r="A14" s="23">
        <v>43342.416666666664</v>
      </c>
      <c r="B14" s="3">
        <v>1.17174</v>
      </c>
      <c r="C14" s="3">
        <v>1.1700980000000001</v>
      </c>
      <c r="D14" s="3">
        <v>1.642E-3</v>
      </c>
      <c r="E14" s="3">
        <v>1.1695899999999999</v>
      </c>
      <c r="F14" s="3">
        <v>1.16954</v>
      </c>
      <c r="G14" s="3">
        <v>5.0000000000000002E-5</v>
      </c>
      <c r="H14" s="3">
        <v>1.17015</v>
      </c>
      <c r="I14" s="3">
        <v>1.17015</v>
      </c>
      <c r="J14" s="3">
        <v>0</v>
      </c>
    </row>
    <row r="15" spans="1:10" x14ac:dyDescent="0.3">
      <c r="A15" s="23">
        <v>43342.458333333336</v>
      </c>
      <c r="B15" s="3">
        <v>1.1703600000000001</v>
      </c>
      <c r="C15" s="3">
        <v>1.1696530000000001</v>
      </c>
      <c r="D15" s="3">
        <v>7.0699999999999995E-4</v>
      </c>
      <c r="E15" s="3">
        <v>1.16743</v>
      </c>
      <c r="F15" s="3">
        <v>1.168274</v>
      </c>
      <c r="G15" s="3">
        <v>8.4400000000000002E-4</v>
      </c>
      <c r="H15" s="3">
        <v>1.16862</v>
      </c>
      <c r="I15" s="3">
        <v>1.16862</v>
      </c>
      <c r="J15" s="3">
        <v>0</v>
      </c>
    </row>
    <row r="16" spans="1:10" x14ac:dyDescent="0.3">
      <c r="A16" s="23">
        <v>43342.5</v>
      </c>
      <c r="B16" s="3">
        <v>1.16991</v>
      </c>
      <c r="C16" s="3">
        <v>1.170517</v>
      </c>
      <c r="D16" s="3">
        <v>6.0700000000000001E-4</v>
      </c>
      <c r="E16" s="3">
        <v>1.16839</v>
      </c>
      <c r="F16" s="3">
        <v>1.1688270000000001</v>
      </c>
      <c r="G16" s="3">
        <v>4.37E-4</v>
      </c>
      <c r="H16" s="3">
        <v>1.1698500000000001</v>
      </c>
      <c r="I16" s="3">
        <v>1.1698500000000001</v>
      </c>
      <c r="J16" s="3">
        <v>0</v>
      </c>
    </row>
    <row r="17" spans="1:10" x14ac:dyDescent="0.3">
      <c r="A17" s="23">
        <v>43342.541666666664</v>
      </c>
      <c r="B17" s="3">
        <v>1.17082</v>
      </c>
      <c r="C17" s="3">
        <v>1.171748</v>
      </c>
      <c r="D17" s="3">
        <v>9.2800000000000001E-4</v>
      </c>
      <c r="E17" s="3">
        <v>1.16906</v>
      </c>
      <c r="F17" s="3">
        <v>1.169608</v>
      </c>
      <c r="G17" s="3">
        <v>5.4799999999999998E-4</v>
      </c>
      <c r="H17" s="3">
        <v>1.1697</v>
      </c>
      <c r="I17" s="3">
        <v>1.1697</v>
      </c>
      <c r="J17" s="3">
        <v>0</v>
      </c>
    </row>
    <row r="18" spans="1:10" x14ac:dyDescent="0.3">
      <c r="A18" s="23">
        <v>43342.583333333336</v>
      </c>
      <c r="B18" s="3">
        <v>1.1698299999999999</v>
      </c>
      <c r="C18" s="3">
        <v>1.170369</v>
      </c>
      <c r="D18" s="3">
        <v>5.3899999999999998E-4</v>
      </c>
      <c r="E18" s="3">
        <v>1.16815</v>
      </c>
      <c r="F18" s="3">
        <v>1.1674310000000001</v>
      </c>
      <c r="G18" s="3">
        <v>7.1900000000000002E-4</v>
      </c>
      <c r="H18" s="3">
        <v>1.1685399999999999</v>
      </c>
      <c r="I18" s="3">
        <v>1.1685399999999999</v>
      </c>
      <c r="J18" s="3">
        <v>0</v>
      </c>
    </row>
    <row r="19" spans="1:10" x14ac:dyDescent="0.3">
      <c r="A19" s="23">
        <v>43342.625</v>
      </c>
      <c r="B19" s="3">
        <v>1.1695199999999999</v>
      </c>
      <c r="C19" s="3">
        <v>1.1700349999999999</v>
      </c>
      <c r="D19" s="3">
        <v>5.1500000000000005E-4</v>
      </c>
      <c r="E19" s="3">
        <v>1.16761</v>
      </c>
      <c r="F19" s="3">
        <v>1.168558</v>
      </c>
      <c r="G19" s="3">
        <v>9.4799999999999995E-4</v>
      </c>
      <c r="H19" s="3">
        <v>1.16767</v>
      </c>
      <c r="I19" s="3">
        <v>1.16767</v>
      </c>
      <c r="J19" s="3">
        <v>0</v>
      </c>
    </row>
    <row r="20" spans="1:10" x14ac:dyDescent="0.3">
      <c r="A20" s="23">
        <v>43342.666666666664</v>
      </c>
      <c r="B20" s="3">
        <v>1.1681900000000001</v>
      </c>
      <c r="C20" s="3">
        <v>1.170944</v>
      </c>
      <c r="D20" s="3">
        <v>2.7539999999999999E-3</v>
      </c>
      <c r="E20" s="3">
        <v>1.1643399999999999</v>
      </c>
      <c r="F20" s="3">
        <v>1.1692419999999999</v>
      </c>
      <c r="G20" s="3">
        <v>4.9020000000000001E-3</v>
      </c>
      <c r="H20" s="3">
        <v>1.1659200000000001</v>
      </c>
      <c r="I20" s="3">
        <v>1.1659200000000001</v>
      </c>
      <c r="J20" s="3">
        <v>0</v>
      </c>
    </row>
    <row r="21" spans="1:10" x14ac:dyDescent="0.3">
      <c r="A21" s="23">
        <v>43342.708333333336</v>
      </c>
      <c r="B21" s="3">
        <v>1.1667700000000001</v>
      </c>
      <c r="C21" s="3">
        <v>1.170088</v>
      </c>
      <c r="D21" s="3">
        <v>3.3180000000000002E-3</v>
      </c>
      <c r="E21" s="3">
        <v>1.1649700000000001</v>
      </c>
      <c r="F21" s="3">
        <v>1.16804</v>
      </c>
      <c r="G21" s="3">
        <v>3.0699999999999998E-3</v>
      </c>
      <c r="H21" s="3">
        <v>1.16564</v>
      </c>
      <c r="I21" s="3">
        <v>1.16564</v>
      </c>
      <c r="J21" s="3">
        <v>0</v>
      </c>
    </row>
    <row r="22" spans="1:10" x14ac:dyDescent="0.3">
      <c r="A22" s="23">
        <v>43342.75</v>
      </c>
      <c r="B22" s="3">
        <v>1.16612</v>
      </c>
      <c r="C22" s="3">
        <v>1.1696800000000001</v>
      </c>
      <c r="D22" s="3">
        <v>3.5599999999999998E-3</v>
      </c>
      <c r="E22" s="3">
        <v>1.1641300000000001</v>
      </c>
      <c r="F22" s="3">
        <v>1.1677439999999999</v>
      </c>
      <c r="G22" s="3">
        <v>3.614E-3</v>
      </c>
      <c r="H22" s="3">
        <v>1.1645399999999999</v>
      </c>
      <c r="I22" s="3">
        <v>1.1645399999999999</v>
      </c>
      <c r="J22" s="3">
        <v>0</v>
      </c>
    </row>
    <row r="23" spans="1:10" x14ac:dyDescent="0.3">
      <c r="A23" s="23">
        <v>43342.791666666664</v>
      </c>
      <c r="B23" s="3">
        <v>1.16598</v>
      </c>
      <c r="C23" s="3">
        <v>1.168553</v>
      </c>
      <c r="D23" s="3">
        <v>2.5730000000000002E-3</v>
      </c>
      <c r="E23" s="3">
        <v>1.1640999999999999</v>
      </c>
      <c r="F23" s="3">
        <v>1.1649499999999999</v>
      </c>
      <c r="G23" s="3">
        <v>8.4999999999999995E-4</v>
      </c>
      <c r="H23" s="3">
        <v>1.16564</v>
      </c>
      <c r="I23" s="3">
        <v>1.16564</v>
      </c>
      <c r="J23" s="3">
        <v>0</v>
      </c>
    </row>
    <row r="24" spans="1:10" x14ac:dyDescent="0.3">
      <c r="A24" s="23">
        <v>43342.833333333336</v>
      </c>
      <c r="B24" s="3">
        <v>1.16692</v>
      </c>
      <c r="C24" s="3">
        <v>1.1671240000000001</v>
      </c>
      <c r="D24" s="3">
        <v>2.04E-4</v>
      </c>
      <c r="E24" s="3">
        <v>1.1649099999999999</v>
      </c>
      <c r="F24" s="3">
        <v>1.1654659999999999</v>
      </c>
      <c r="G24" s="3">
        <v>5.5599999999999996E-4</v>
      </c>
      <c r="H24" s="3">
        <v>1.1667400000000001</v>
      </c>
      <c r="I24" s="3">
        <v>1.1667400000000001</v>
      </c>
      <c r="J24" s="3">
        <v>0</v>
      </c>
    </row>
    <row r="25" spans="1:10" x14ac:dyDescent="0.3">
      <c r="A25" s="23">
        <v>43342.875</v>
      </c>
      <c r="B25" s="3">
        <v>1.1671400000000001</v>
      </c>
      <c r="C25" s="3">
        <v>1.166377</v>
      </c>
      <c r="D25" s="3">
        <v>7.6300000000000001E-4</v>
      </c>
      <c r="E25" s="3">
        <v>1.1655199999999999</v>
      </c>
      <c r="F25" s="3">
        <v>1.1645490000000001</v>
      </c>
      <c r="G25" s="3">
        <v>9.7099999999999997E-4</v>
      </c>
      <c r="H25" s="3">
        <v>1.1664099999999999</v>
      </c>
      <c r="I25" s="3">
        <v>1.1664099999999999</v>
      </c>
      <c r="J25" s="3">
        <v>0</v>
      </c>
    </row>
    <row r="26" spans="1:10" x14ac:dyDescent="0.3">
      <c r="A26" s="23">
        <v>43342.916666666664</v>
      </c>
      <c r="B26" s="3">
        <v>1.1678299999999999</v>
      </c>
      <c r="C26" s="3">
        <v>1.16618</v>
      </c>
      <c r="D26" s="3">
        <v>1.65E-3</v>
      </c>
      <c r="E26" s="3">
        <v>1.1658999999999999</v>
      </c>
      <c r="F26" s="3">
        <v>1.164364</v>
      </c>
      <c r="G26" s="3">
        <v>1.536E-3</v>
      </c>
      <c r="H26" s="3">
        <v>1.16761</v>
      </c>
      <c r="I26" s="3">
        <v>1.16761</v>
      </c>
      <c r="J26" s="3">
        <v>0</v>
      </c>
    </row>
    <row r="27" spans="1:10" ht="15.6" x14ac:dyDescent="0.3">
      <c r="A27" s="23" t="s">
        <v>1</v>
      </c>
      <c r="B27" s="3">
        <v>1.16953</v>
      </c>
      <c r="C27" s="3">
        <v>1.1699412083333331</v>
      </c>
      <c r="D27" s="31">
        <v>1.0368749999999998E-3</v>
      </c>
      <c r="E27" s="3">
        <v>1.1679970833333333</v>
      </c>
      <c r="F27" s="3">
        <v>1.1684659166666667</v>
      </c>
      <c r="G27" s="31">
        <v>1.1249999999999999E-3</v>
      </c>
      <c r="H27" s="3">
        <v>1.1687341666666666</v>
      </c>
      <c r="I27" s="3">
        <v>1.1687341666666666</v>
      </c>
      <c r="J27" s="31">
        <v>0</v>
      </c>
    </row>
  </sheetData>
  <conditionalFormatting pivot="1">
    <cfRule type="colorScale" priority="1">
      <colorScale>
        <cfvo type="min"/>
        <cfvo type="percentile" val="50"/>
        <cfvo type="max"/>
        <color rgb="FF63BE7B"/>
        <color rgb="FFFFEB84"/>
        <color rgb="FFF8696B"/>
      </colorScale>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4"/>
  <sheetViews>
    <sheetView topLeftCell="E1" zoomScale="85" zoomScaleNormal="85" workbookViewId="0">
      <selection activeCell="I4" sqref="I4"/>
    </sheetView>
  </sheetViews>
  <sheetFormatPr defaultRowHeight="14.4" x14ac:dyDescent="0.3"/>
  <cols>
    <col min="1" max="1" width="8.5546875" customWidth="1"/>
    <col min="2" max="2" width="6.6640625" customWidth="1"/>
    <col min="3" max="3" width="19.33203125" bestFit="1" customWidth="1"/>
    <col min="4" max="4" width="20.6640625" customWidth="1"/>
  </cols>
  <sheetData>
    <row r="3" spans="1:8" x14ac:dyDescent="0.3">
      <c r="B3" s="1" t="s">
        <v>139</v>
      </c>
      <c r="H3" s="5"/>
    </row>
    <row r="4" spans="1:8" x14ac:dyDescent="0.3">
      <c r="A4" s="1" t="s">
        <v>137</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topLeftCell="A8" workbookViewId="0">
      <selection activeCell="B50" sqref="B49:B50"/>
    </sheetView>
  </sheetViews>
  <sheetFormatPr defaultRowHeight="14.4" x14ac:dyDescent="0.3"/>
  <cols>
    <col min="1" max="1" width="19.44140625" bestFit="1" customWidth="1"/>
    <col min="2" max="2" width="36.6640625" bestFit="1" customWidth="1"/>
  </cols>
  <sheetData>
    <row r="1" spans="1:2" x14ac:dyDescent="0.3">
      <c r="A1" t="s">
        <v>34</v>
      </c>
      <c r="B1" s="5" t="s">
        <v>36</v>
      </c>
    </row>
    <row r="2" spans="1:2" x14ac:dyDescent="0.3">
      <c r="A2" t="s">
        <v>35</v>
      </c>
      <c r="B2" s="5" t="s">
        <v>33</v>
      </c>
    </row>
    <row r="3" spans="1:2" x14ac:dyDescent="0.3">
      <c r="A3" t="s">
        <v>50</v>
      </c>
      <c r="B3" s="11" t="str">
        <f>$B$1&amp;"DataShapes"&amp;"\"</f>
        <v>Config\DataShapes\</v>
      </c>
    </row>
    <row r="4" spans="1:2" x14ac:dyDescent="0.3">
      <c r="A4" t="s">
        <v>37</v>
      </c>
      <c r="B4" s="11" t="str">
        <f>$B$1&amp;"DataSets"&amp;"\"</f>
        <v>Config\DataSets\</v>
      </c>
    </row>
    <row r="5" spans="1:2" x14ac:dyDescent="0.3">
      <c r="A5" t="s">
        <v>38</v>
      </c>
      <c r="B5" s="11" t="str">
        <f>$B$1&amp;"Engines"&amp;"\"</f>
        <v>Config\Engines\</v>
      </c>
    </row>
    <row r="7" spans="1:2" x14ac:dyDescent="0.3">
      <c r="A7" t="s">
        <v>45</v>
      </c>
      <c r="B7" s="6" t="s">
        <v>82</v>
      </c>
    </row>
    <row r="8" spans="1:2" x14ac:dyDescent="0.3">
      <c r="A8" s="12" t="s">
        <v>47</v>
      </c>
      <c r="B8" s="13" t="s">
        <v>83</v>
      </c>
    </row>
    <row r="9" spans="1:2" x14ac:dyDescent="0.3">
      <c r="A9" t="s">
        <v>51</v>
      </c>
      <c r="B9" s="6" t="s">
        <v>46</v>
      </c>
    </row>
    <row r="10" spans="1:2" x14ac:dyDescent="0.3">
      <c r="A10" s="12"/>
      <c r="B10" s="12"/>
    </row>
    <row r="11" spans="1:2" x14ac:dyDescent="0.3">
      <c r="A11" s="10" t="s">
        <v>27</v>
      </c>
      <c r="B11" s="14" t="s">
        <v>57</v>
      </c>
    </row>
    <row r="12" spans="1:2" x14ac:dyDescent="0.3">
      <c r="A12" s="10" t="s">
        <v>31</v>
      </c>
      <c r="B12" s="14" t="s">
        <v>59</v>
      </c>
    </row>
    <row r="13" spans="1:2" x14ac:dyDescent="0.3">
      <c r="A13" s="10" t="s">
        <v>32</v>
      </c>
      <c r="B13" s="14" t="s">
        <v>60</v>
      </c>
    </row>
    <row r="14" spans="1:2" x14ac:dyDescent="0.3">
      <c r="A14" s="10" t="s">
        <v>44</v>
      </c>
      <c r="B14" s="14" t="s">
        <v>58</v>
      </c>
    </row>
    <row r="15" spans="1:2" x14ac:dyDescent="0.3">
      <c r="A15" s="10" t="s">
        <v>48</v>
      </c>
      <c r="B15" s="14" t="s">
        <v>61</v>
      </c>
    </row>
    <row r="16" spans="1:2" x14ac:dyDescent="0.3">
      <c r="A16" s="10" t="s">
        <v>49</v>
      </c>
      <c r="B16" s="14" t="s">
        <v>62</v>
      </c>
    </row>
    <row r="17" spans="1:6" x14ac:dyDescent="0.3">
      <c r="A17" s="10" t="s">
        <v>55</v>
      </c>
      <c r="B17" s="14" t="s">
        <v>63</v>
      </c>
      <c r="D17" t="s">
        <v>20</v>
      </c>
      <c r="E17" s="7" t="s">
        <v>52</v>
      </c>
    </row>
    <row r="18" spans="1:6" x14ac:dyDescent="0.3">
      <c r="A18" s="10" t="s">
        <v>56</v>
      </c>
      <c r="B18" s="14" t="s">
        <v>64</v>
      </c>
      <c r="D18" t="s">
        <v>21</v>
      </c>
      <c r="E18" s="7" t="s">
        <v>23</v>
      </c>
      <c r="F18" s="7">
        <v>7240</v>
      </c>
    </row>
    <row r="19" spans="1:6" x14ac:dyDescent="0.3">
      <c r="A19" s="10" t="s">
        <v>54</v>
      </c>
      <c r="B19" s="14" t="s">
        <v>65</v>
      </c>
      <c r="D19" t="s">
        <v>22</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3">
      <c r="B20" s="14"/>
    </row>
    <row r="21" spans="1:6" x14ac:dyDescent="0.3">
      <c r="A21" s="10" t="s">
        <v>28</v>
      </c>
      <c r="B21" s="9" t="s">
        <v>66</v>
      </c>
    </row>
    <row r="22" spans="1:6" x14ac:dyDescent="0.3">
      <c r="A22" s="10" t="s">
        <v>29</v>
      </c>
      <c r="B22" s="9" t="s">
        <v>67</v>
      </c>
    </row>
    <row r="23" spans="1:6" x14ac:dyDescent="0.3">
      <c r="A23" s="10" t="s">
        <v>30</v>
      </c>
      <c r="B23" s="9" t="s">
        <v>68</v>
      </c>
    </row>
    <row r="24" spans="1:6" x14ac:dyDescent="0.3">
      <c r="A24" s="12"/>
      <c r="B24" s="12"/>
    </row>
    <row r="25" spans="1:6" x14ac:dyDescent="0.3">
      <c r="A25" s="10" t="s">
        <v>39</v>
      </c>
      <c r="B25" s="14" t="s">
        <v>75</v>
      </c>
    </row>
    <row r="26" spans="1:6" x14ac:dyDescent="0.3">
      <c r="A26" s="10" t="s">
        <v>40</v>
      </c>
      <c r="B26" s="14" t="s">
        <v>76</v>
      </c>
    </row>
    <row r="27" spans="1:6" x14ac:dyDescent="0.3">
      <c r="A27" s="8" t="s">
        <v>41</v>
      </c>
      <c r="B27" s="14" t="s">
        <v>77</v>
      </c>
    </row>
    <row r="28" spans="1:6" x14ac:dyDescent="0.3">
      <c r="A28" s="8" t="s">
        <v>69</v>
      </c>
      <c r="B28" s="14" t="s">
        <v>78</v>
      </c>
    </row>
    <row r="29" spans="1:6" x14ac:dyDescent="0.3">
      <c r="A29" s="8" t="s">
        <v>70</v>
      </c>
      <c r="B29" s="14" t="s">
        <v>42</v>
      </c>
    </row>
    <row r="30" spans="1:6" x14ac:dyDescent="0.3">
      <c r="A30" s="8" t="s">
        <v>71</v>
      </c>
      <c r="B30" s="14" t="s">
        <v>43</v>
      </c>
    </row>
    <row r="31" spans="1:6" x14ac:dyDescent="0.3">
      <c r="A31" s="8" t="s">
        <v>72</v>
      </c>
      <c r="B31" s="14" t="s">
        <v>79</v>
      </c>
    </row>
    <row r="32" spans="1:6" x14ac:dyDescent="0.3">
      <c r="A32" s="8" t="s">
        <v>73</v>
      </c>
      <c r="B32" s="14" t="s">
        <v>80</v>
      </c>
    </row>
    <row r="33" spans="1:2" x14ac:dyDescent="0.3">
      <c r="A33" s="8" t="s">
        <v>74</v>
      </c>
      <c r="B33" s="14" t="s">
        <v>81</v>
      </c>
    </row>
    <row r="34" spans="1:2" x14ac:dyDescent="0.3">
      <c r="A34" s="8"/>
      <c r="B34" s="14"/>
    </row>
    <row r="35" spans="1:2" x14ac:dyDescent="0.3">
      <c r="A35" s="18"/>
      <c r="B35" s="19"/>
    </row>
    <row r="37" spans="1:2" x14ac:dyDescent="0.3">
      <c r="A37" s="12"/>
      <c r="B37" s="12"/>
    </row>
    <row r="38" spans="1:2" x14ac:dyDescent="0.3">
      <c r="A38" s="12"/>
      <c r="B38" s="12"/>
    </row>
    <row r="39" spans="1:2" x14ac:dyDescent="0.3">
      <c r="A39" s="12"/>
      <c r="B39" s="12"/>
    </row>
    <row r="40" spans="1:2" x14ac:dyDescent="0.3">
      <c r="A40" s="12"/>
      <c r="B40" s="12"/>
    </row>
    <row r="41" spans="1:2" x14ac:dyDescent="0.3">
      <c r="A41" s="12"/>
      <c r="B41" s="12"/>
    </row>
    <row r="42" spans="1:2" x14ac:dyDescent="0.3">
      <c r="A42" s="12"/>
      <c r="B42" s="12"/>
    </row>
    <row r="43" spans="1:2" x14ac:dyDescent="0.3">
      <c r="A43" s="12"/>
      <c r="B43" s="12"/>
    </row>
    <row r="44" spans="1:2" x14ac:dyDescent="0.3">
      <c r="A44" s="12"/>
      <c r="B44" s="12"/>
    </row>
    <row r="45" spans="1:2" x14ac:dyDescent="0.3">
      <c r="A45" s="12"/>
      <c r="B45" s="12"/>
    </row>
    <row r="46" spans="1:2" x14ac:dyDescent="0.3">
      <c r="A46" s="12"/>
      <c r="B46" s="12"/>
    </row>
    <row r="47" spans="1:2" x14ac:dyDescent="0.3">
      <c r="A47" s="12"/>
      <c r="B47" s="12"/>
    </row>
    <row r="48" spans="1:2" x14ac:dyDescent="0.3">
      <c r="A48" s="12"/>
      <c r="B48" s="12"/>
    </row>
    <row r="49" spans="1:2" x14ac:dyDescent="0.3">
      <c r="A49" s="12"/>
      <c r="B49" s="12"/>
    </row>
    <row r="50" spans="1:2" x14ac:dyDescent="0.3">
      <c r="A50" s="12"/>
      <c r="B50" s="12"/>
    </row>
    <row r="51" spans="1:2" x14ac:dyDescent="0.3">
      <c r="A51" s="12"/>
      <c r="B51" s="12"/>
    </row>
    <row r="54" spans="1:2" x14ac:dyDescent="0.3">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175"/>
  <sheetViews>
    <sheetView zoomScaleNormal="100" workbookViewId="0">
      <selection activeCell="C11" sqref="C11"/>
    </sheetView>
  </sheetViews>
  <sheetFormatPr defaultRowHeight="14.4" x14ac:dyDescent="0.3"/>
  <cols>
    <col min="1" max="1" width="16.109375" style="4" customWidth="1"/>
    <col min="2" max="2" width="12.6640625" customWidth="1"/>
    <col min="3" max="3" width="16.109375" style="4" customWidth="1"/>
    <col min="4" max="4" width="21.5546875" customWidth="1"/>
    <col min="5" max="5" width="14.109375" style="4" customWidth="1"/>
    <col min="6" max="6" width="15.44140625" customWidth="1"/>
    <col min="7" max="7" width="14.109375" customWidth="1"/>
    <col min="8" max="8" width="25.109375" style="4" customWidth="1"/>
    <col min="9" max="9" width="15.5546875" hidden="1" customWidth="1"/>
    <col min="10" max="10" width="11.109375" bestFit="1" customWidth="1"/>
    <col min="12" max="12" width="17.44140625" style="4" customWidth="1"/>
    <col min="13" max="13" width="80.88671875" style="4" customWidth="1"/>
    <col min="14" max="14" width="14" hidden="1" customWidth="1"/>
    <col min="15" max="15" width="25.109375" bestFit="1" customWidth="1"/>
    <col min="16" max="16" width="24.6640625" bestFit="1" customWidth="1"/>
    <col min="17" max="17" width="25" bestFit="1" customWidth="1"/>
    <col min="18" max="18" width="37.88671875" bestFit="1" customWidth="1"/>
    <col min="19" max="19" width="38.5546875" bestFit="1" customWidth="1"/>
    <col min="20" max="20" width="39.109375" bestFit="1" customWidth="1"/>
    <col min="21" max="21" width="16" bestFit="1" customWidth="1"/>
    <col min="23" max="23" width="10" bestFit="1" customWidth="1"/>
    <col min="24" max="24" width="20.44140625" bestFit="1" customWidth="1"/>
    <col min="25" max="25" width="18.109375" bestFit="1" customWidth="1"/>
    <col min="26" max="26" width="81.109375" bestFit="1" customWidth="1"/>
    <col min="27" max="27" width="15.44140625" bestFit="1" customWidth="1"/>
    <col min="28" max="28" width="19.6640625" bestFit="1" customWidth="1"/>
    <col min="29" max="29" width="17.5546875" bestFit="1" customWidth="1"/>
    <col min="30" max="30" width="46.6640625" bestFit="1" customWidth="1"/>
    <col min="31" max="31" width="48.33203125" bestFit="1" customWidth="1"/>
    <col min="32" max="32" width="25" customWidth="1"/>
    <col min="34" max="34" width="25" bestFit="1" customWidth="1"/>
    <col min="35" max="35" width="14" bestFit="1" customWidth="1"/>
  </cols>
  <sheetData>
    <row r="1" spans="1:13" x14ac:dyDescent="0.3">
      <c r="A1" s="4" t="s">
        <v>10</v>
      </c>
      <c r="B1" t="s">
        <v>3</v>
      </c>
      <c r="C1" s="4" t="s">
        <v>129</v>
      </c>
      <c r="D1" t="s">
        <v>4</v>
      </c>
      <c r="E1" s="4" t="s">
        <v>288</v>
      </c>
      <c r="F1" t="s">
        <v>5</v>
      </c>
      <c r="G1" t="s">
        <v>6</v>
      </c>
      <c r="H1" t="s">
        <v>8</v>
      </c>
      <c r="I1" t="s">
        <v>9</v>
      </c>
      <c r="J1" t="s">
        <v>287</v>
      </c>
      <c r="L1"/>
      <c r="M1"/>
    </row>
    <row r="2" spans="1:13" x14ac:dyDescent="0.3">
      <c r="A2" s="4">
        <v>14360</v>
      </c>
      <c r="B2">
        <v>10124</v>
      </c>
      <c r="C2" s="4">
        <v>8600</v>
      </c>
      <c r="D2" t="s">
        <v>313</v>
      </c>
      <c r="E2" s="4">
        <v>24</v>
      </c>
      <c r="F2" s="25">
        <v>43787.496539351851</v>
      </c>
      <c r="G2">
        <v>0</v>
      </c>
      <c r="H2" s="25"/>
      <c r="I2" s="25"/>
      <c r="J2" s="25" t="s">
        <v>312</v>
      </c>
      <c r="L2"/>
      <c r="M2">
        <f>3134/60/24</f>
        <v>2.1763888888888889</v>
      </c>
    </row>
    <row r="3" spans="1:13" x14ac:dyDescent="0.3">
      <c r="A3" s="4">
        <v>14360</v>
      </c>
      <c r="B3">
        <v>10124</v>
      </c>
      <c r="C3" s="4">
        <v>8600</v>
      </c>
      <c r="D3" t="s">
        <v>313</v>
      </c>
      <c r="E3" s="4">
        <v>22</v>
      </c>
      <c r="F3" s="25">
        <v>43787.496527777781</v>
      </c>
      <c r="G3">
        <v>0</v>
      </c>
      <c r="H3" s="25"/>
      <c r="I3" s="25"/>
      <c r="J3" s="25" t="s">
        <v>312</v>
      </c>
      <c r="L3"/>
      <c r="M3"/>
    </row>
    <row r="4" spans="1:13" x14ac:dyDescent="0.3">
      <c r="A4" s="4">
        <v>14360</v>
      </c>
      <c r="B4">
        <v>10124</v>
      </c>
      <c r="C4" s="4">
        <v>8600</v>
      </c>
      <c r="D4" t="s">
        <v>313</v>
      </c>
      <c r="E4" s="4">
        <v>23</v>
      </c>
      <c r="F4" s="25">
        <v>43787.496527777781</v>
      </c>
      <c r="G4">
        <v>0</v>
      </c>
      <c r="H4" s="25"/>
      <c r="I4" s="25"/>
      <c r="J4" s="25" t="s">
        <v>312</v>
      </c>
      <c r="L4"/>
      <c r="M4"/>
    </row>
    <row r="5" spans="1:13" x14ac:dyDescent="0.3">
      <c r="A5" s="4">
        <v>14360</v>
      </c>
      <c r="B5">
        <v>10124</v>
      </c>
      <c r="C5" s="4">
        <v>8600</v>
      </c>
      <c r="D5" t="s">
        <v>313</v>
      </c>
      <c r="E5" s="4">
        <v>19</v>
      </c>
      <c r="F5" s="25">
        <v>43787.496516203704</v>
      </c>
      <c r="G5">
        <v>0</v>
      </c>
      <c r="H5" s="25"/>
      <c r="I5" s="25"/>
      <c r="J5" s="25" t="s">
        <v>312</v>
      </c>
      <c r="L5"/>
      <c r="M5"/>
    </row>
    <row r="6" spans="1:13" x14ac:dyDescent="0.3">
      <c r="A6" s="4">
        <v>14360</v>
      </c>
      <c r="B6">
        <v>10124</v>
      </c>
      <c r="C6" s="4">
        <v>8600</v>
      </c>
      <c r="D6" t="s">
        <v>313</v>
      </c>
      <c r="E6" s="4">
        <v>20</v>
      </c>
      <c r="F6" s="25">
        <v>43787.496516203704</v>
      </c>
      <c r="G6">
        <v>0</v>
      </c>
      <c r="H6" s="25"/>
      <c r="I6" s="25"/>
      <c r="J6" s="25" t="s">
        <v>312</v>
      </c>
      <c r="L6"/>
      <c r="M6"/>
    </row>
    <row r="7" spans="1:13" x14ac:dyDescent="0.3">
      <c r="A7" s="4">
        <v>14360</v>
      </c>
      <c r="B7">
        <v>10124</v>
      </c>
      <c r="C7" s="4">
        <v>8600</v>
      </c>
      <c r="D7" t="s">
        <v>313</v>
      </c>
      <c r="E7" s="4">
        <v>21</v>
      </c>
      <c r="F7" s="25">
        <v>43787.496516203704</v>
      </c>
      <c r="G7">
        <v>0</v>
      </c>
      <c r="H7" s="25"/>
      <c r="I7" s="25"/>
      <c r="J7" s="25" t="s">
        <v>312</v>
      </c>
      <c r="L7"/>
      <c r="M7"/>
    </row>
    <row r="8" spans="1:13" x14ac:dyDescent="0.3">
      <c r="A8" s="4">
        <v>14360</v>
      </c>
      <c r="B8">
        <v>10124</v>
      </c>
      <c r="C8" s="4">
        <v>8600</v>
      </c>
      <c r="D8" t="s">
        <v>313</v>
      </c>
      <c r="E8" s="4">
        <v>17</v>
      </c>
      <c r="F8" s="25">
        <v>43787.496504629627</v>
      </c>
      <c r="G8">
        <v>0</v>
      </c>
      <c r="H8" s="25"/>
      <c r="I8" s="25"/>
      <c r="J8" s="25" t="s">
        <v>312</v>
      </c>
      <c r="L8"/>
      <c r="M8"/>
    </row>
    <row r="9" spans="1:13" x14ac:dyDescent="0.3">
      <c r="A9" s="4">
        <v>14360</v>
      </c>
      <c r="B9">
        <v>10124</v>
      </c>
      <c r="C9" s="4">
        <v>8600</v>
      </c>
      <c r="D9" t="s">
        <v>313</v>
      </c>
      <c r="E9" s="4">
        <v>18</v>
      </c>
      <c r="F9" s="25">
        <v>43787.496504629627</v>
      </c>
      <c r="G9">
        <v>0</v>
      </c>
      <c r="H9" s="25"/>
      <c r="I9" s="25"/>
      <c r="J9" s="25" t="s">
        <v>312</v>
      </c>
      <c r="L9"/>
      <c r="M9"/>
    </row>
    <row r="10" spans="1:13" x14ac:dyDescent="0.3">
      <c r="A10" s="4">
        <v>14360</v>
      </c>
      <c r="B10">
        <v>10124</v>
      </c>
      <c r="C10" s="4">
        <v>8600</v>
      </c>
      <c r="D10" t="s">
        <v>313</v>
      </c>
      <c r="E10" s="4">
        <v>14</v>
      </c>
      <c r="F10" s="25">
        <v>43787.496493055558</v>
      </c>
      <c r="G10">
        <v>0</v>
      </c>
      <c r="H10" s="25"/>
      <c r="I10" s="25"/>
      <c r="J10" s="25" t="s">
        <v>312</v>
      </c>
      <c r="L10"/>
      <c r="M10"/>
    </row>
    <row r="11" spans="1:13" x14ac:dyDescent="0.3">
      <c r="A11" s="4">
        <v>14360</v>
      </c>
      <c r="B11">
        <v>10124</v>
      </c>
      <c r="C11" s="4">
        <v>8600</v>
      </c>
      <c r="D11" t="s">
        <v>313</v>
      </c>
      <c r="E11" s="4">
        <v>15</v>
      </c>
      <c r="F11" s="25">
        <v>43787.496493055558</v>
      </c>
      <c r="G11">
        <v>0</v>
      </c>
      <c r="H11" s="25"/>
      <c r="I11" s="25"/>
      <c r="J11" s="25" t="s">
        <v>312</v>
      </c>
      <c r="L11"/>
      <c r="M11"/>
    </row>
    <row r="12" spans="1:13" x14ac:dyDescent="0.3">
      <c r="A12" s="4">
        <v>14360</v>
      </c>
      <c r="B12">
        <v>10124</v>
      </c>
      <c r="C12" s="4">
        <v>8600</v>
      </c>
      <c r="D12" t="s">
        <v>313</v>
      </c>
      <c r="E12" s="4">
        <v>16</v>
      </c>
      <c r="F12" s="25">
        <v>43787.496493055558</v>
      </c>
      <c r="G12">
        <v>0</v>
      </c>
      <c r="H12" s="25"/>
      <c r="I12" s="25"/>
      <c r="J12" s="25" t="s">
        <v>312</v>
      </c>
      <c r="L12"/>
      <c r="M12"/>
    </row>
    <row r="13" spans="1:13" x14ac:dyDescent="0.3">
      <c r="A13" s="4">
        <v>14360</v>
      </c>
      <c r="B13">
        <v>10124</v>
      </c>
      <c r="C13" s="4">
        <v>8600</v>
      </c>
      <c r="D13" t="s">
        <v>313</v>
      </c>
      <c r="E13" s="4">
        <v>12</v>
      </c>
      <c r="F13" s="25">
        <v>43787.496481481481</v>
      </c>
      <c r="G13">
        <v>0</v>
      </c>
      <c r="H13" s="25"/>
      <c r="I13" s="25"/>
      <c r="J13" s="25" t="s">
        <v>312</v>
      </c>
      <c r="L13"/>
      <c r="M13"/>
    </row>
    <row r="14" spans="1:13" x14ac:dyDescent="0.3">
      <c r="A14" s="4">
        <v>14360</v>
      </c>
      <c r="B14">
        <v>10124</v>
      </c>
      <c r="C14" s="4">
        <v>8600</v>
      </c>
      <c r="D14" t="s">
        <v>313</v>
      </c>
      <c r="E14" s="4">
        <v>13</v>
      </c>
      <c r="F14" s="25">
        <v>43787.496481481481</v>
      </c>
      <c r="G14">
        <v>0</v>
      </c>
      <c r="H14" s="25"/>
      <c r="I14" s="25"/>
      <c r="J14" s="25" t="s">
        <v>312</v>
      </c>
      <c r="L14"/>
      <c r="M14"/>
    </row>
    <row r="15" spans="1:13" x14ac:dyDescent="0.3">
      <c r="A15" s="4">
        <v>14360</v>
      </c>
      <c r="B15">
        <v>10124</v>
      </c>
      <c r="C15" s="4">
        <v>8600</v>
      </c>
      <c r="D15" t="s">
        <v>313</v>
      </c>
      <c r="E15" s="4">
        <v>9</v>
      </c>
      <c r="F15" s="25">
        <v>43787.496469907404</v>
      </c>
      <c r="G15">
        <v>0</v>
      </c>
      <c r="H15" s="25"/>
      <c r="I15" s="25"/>
      <c r="J15" s="25" t="s">
        <v>312</v>
      </c>
      <c r="L15"/>
      <c r="M15"/>
    </row>
    <row r="16" spans="1:13" x14ac:dyDescent="0.3">
      <c r="A16" s="4">
        <v>14360</v>
      </c>
      <c r="B16">
        <v>10124</v>
      </c>
      <c r="C16" s="4">
        <v>8600</v>
      </c>
      <c r="D16" t="s">
        <v>313</v>
      </c>
      <c r="E16" s="4">
        <v>10</v>
      </c>
      <c r="F16" s="25">
        <v>43787.496469907404</v>
      </c>
      <c r="G16">
        <v>0</v>
      </c>
      <c r="H16" s="25"/>
      <c r="I16" s="25"/>
      <c r="J16" s="25" t="s">
        <v>312</v>
      </c>
      <c r="L16"/>
      <c r="M16"/>
    </row>
    <row r="17" spans="1:13" x14ac:dyDescent="0.3">
      <c r="A17" s="4">
        <v>14360</v>
      </c>
      <c r="B17">
        <v>10124</v>
      </c>
      <c r="C17" s="4">
        <v>8600</v>
      </c>
      <c r="D17" t="s">
        <v>313</v>
      </c>
      <c r="E17" s="4">
        <v>11</v>
      </c>
      <c r="F17" s="25">
        <v>43787.496469907404</v>
      </c>
      <c r="G17">
        <v>0</v>
      </c>
      <c r="H17" s="25"/>
      <c r="I17" s="25"/>
      <c r="J17" s="25" t="s">
        <v>312</v>
      </c>
      <c r="L17"/>
      <c r="M17"/>
    </row>
    <row r="18" spans="1:13" x14ac:dyDescent="0.3">
      <c r="A18" s="4">
        <v>14360</v>
      </c>
      <c r="B18">
        <v>10124</v>
      </c>
      <c r="C18" s="4">
        <v>8600</v>
      </c>
      <c r="D18" t="s">
        <v>313</v>
      </c>
      <c r="E18" s="4">
        <v>7</v>
      </c>
      <c r="F18" s="25">
        <v>43787.496458333335</v>
      </c>
      <c r="G18">
        <v>0</v>
      </c>
      <c r="H18" s="25"/>
      <c r="I18" s="25"/>
      <c r="J18" s="25" t="s">
        <v>312</v>
      </c>
      <c r="L18"/>
      <c r="M18"/>
    </row>
    <row r="19" spans="1:13" x14ac:dyDescent="0.3">
      <c r="A19" s="4">
        <v>14360</v>
      </c>
      <c r="B19">
        <v>10124</v>
      </c>
      <c r="C19" s="4">
        <v>8600</v>
      </c>
      <c r="D19" t="s">
        <v>313</v>
      </c>
      <c r="E19" s="4">
        <v>8</v>
      </c>
      <c r="F19" s="25">
        <v>43787.496458333335</v>
      </c>
      <c r="G19">
        <v>0</v>
      </c>
      <c r="H19" s="25"/>
      <c r="I19" s="25"/>
      <c r="J19" s="25" t="s">
        <v>312</v>
      </c>
      <c r="L19"/>
      <c r="M19"/>
    </row>
    <row r="20" spans="1:13" x14ac:dyDescent="0.3">
      <c r="A20" s="4">
        <v>14360</v>
      </c>
      <c r="B20">
        <v>10124</v>
      </c>
      <c r="C20" s="4">
        <v>8600</v>
      </c>
      <c r="D20" t="s">
        <v>313</v>
      </c>
      <c r="E20" s="4">
        <v>5</v>
      </c>
      <c r="F20" s="25">
        <v>43787.496446759258</v>
      </c>
      <c r="G20">
        <v>0</v>
      </c>
      <c r="H20" s="25"/>
      <c r="I20" s="25"/>
      <c r="J20" s="25" t="s">
        <v>312</v>
      </c>
      <c r="L20"/>
      <c r="M20"/>
    </row>
    <row r="21" spans="1:13" x14ac:dyDescent="0.3">
      <c r="A21" s="4">
        <v>14360</v>
      </c>
      <c r="B21">
        <v>10124</v>
      </c>
      <c r="C21" s="4">
        <v>8600</v>
      </c>
      <c r="D21" t="s">
        <v>313</v>
      </c>
      <c r="E21" s="4">
        <v>6</v>
      </c>
      <c r="F21" s="25">
        <v>43787.496446759258</v>
      </c>
      <c r="G21">
        <v>0</v>
      </c>
      <c r="H21" s="25"/>
      <c r="I21" s="25"/>
      <c r="J21" s="25" t="s">
        <v>312</v>
      </c>
      <c r="L21"/>
      <c r="M21"/>
    </row>
    <row r="22" spans="1:13" x14ac:dyDescent="0.3">
      <c r="A22" s="4">
        <v>14360</v>
      </c>
      <c r="B22">
        <v>10124</v>
      </c>
      <c r="C22" s="4">
        <v>8600</v>
      </c>
      <c r="D22" t="s">
        <v>313</v>
      </c>
      <c r="E22" s="4">
        <v>2</v>
      </c>
      <c r="F22" s="25">
        <v>43787.496435185189</v>
      </c>
      <c r="G22">
        <v>0</v>
      </c>
      <c r="H22" s="25"/>
      <c r="I22" s="25"/>
      <c r="J22" s="25" t="s">
        <v>312</v>
      </c>
      <c r="L22"/>
      <c r="M22"/>
    </row>
    <row r="23" spans="1:13" x14ac:dyDescent="0.3">
      <c r="A23" s="4">
        <v>14360</v>
      </c>
      <c r="B23">
        <v>10124</v>
      </c>
      <c r="C23" s="4">
        <v>8600</v>
      </c>
      <c r="D23" t="s">
        <v>313</v>
      </c>
      <c r="E23" s="4">
        <v>3</v>
      </c>
      <c r="F23" s="25">
        <v>43787.496435185189</v>
      </c>
      <c r="G23">
        <v>0</v>
      </c>
      <c r="H23" s="25"/>
      <c r="I23" s="25"/>
      <c r="J23" s="25" t="s">
        <v>312</v>
      </c>
      <c r="L23"/>
      <c r="M23"/>
    </row>
    <row r="24" spans="1:13" x14ac:dyDescent="0.3">
      <c r="A24" s="4">
        <v>14360</v>
      </c>
      <c r="B24">
        <v>10124</v>
      </c>
      <c r="C24" s="4">
        <v>8600</v>
      </c>
      <c r="D24" t="s">
        <v>313</v>
      </c>
      <c r="E24" s="4">
        <v>4</v>
      </c>
      <c r="F24" s="25">
        <v>43787.496435185189</v>
      </c>
      <c r="G24">
        <v>0</v>
      </c>
      <c r="H24" s="25"/>
      <c r="I24" s="25"/>
      <c r="J24" s="25" t="s">
        <v>312</v>
      </c>
      <c r="L24"/>
      <c r="M24"/>
    </row>
    <row r="25" spans="1:13" x14ac:dyDescent="0.3">
      <c r="A25" s="4">
        <v>14360</v>
      </c>
      <c r="B25">
        <v>10124</v>
      </c>
      <c r="C25" s="4">
        <v>8600</v>
      </c>
      <c r="D25" t="s">
        <v>313</v>
      </c>
      <c r="E25" s="4">
        <v>0</v>
      </c>
      <c r="F25" s="25">
        <v>43787.496423611112</v>
      </c>
      <c r="G25">
        <v>0</v>
      </c>
      <c r="H25" s="25"/>
      <c r="I25" s="25"/>
      <c r="J25" s="25" t="s">
        <v>312</v>
      </c>
      <c r="L25"/>
      <c r="M25"/>
    </row>
    <row r="26" spans="1:13" x14ac:dyDescent="0.3">
      <c r="A26" s="4">
        <v>14360</v>
      </c>
      <c r="B26">
        <v>10124</v>
      </c>
      <c r="C26" s="4">
        <v>8600</v>
      </c>
      <c r="D26" t="s">
        <v>313</v>
      </c>
      <c r="E26" s="4">
        <v>1</v>
      </c>
      <c r="F26" s="25">
        <v>43787.496423611112</v>
      </c>
      <c r="G26">
        <v>0</v>
      </c>
      <c r="H26" s="25"/>
      <c r="I26" s="25"/>
      <c r="J26" s="25" t="s">
        <v>312</v>
      </c>
      <c r="L26"/>
      <c r="M26"/>
    </row>
    <row r="27" spans="1:13" x14ac:dyDescent="0.3">
      <c r="A27" s="4">
        <v>1</v>
      </c>
      <c r="B27">
        <v>7568</v>
      </c>
      <c r="C27" s="4">
        <v>8600</v>
      </c>
      <c r="D27" t="s">
        <v>7</v>
      </c>
      <c r="E27" s="4">
        <v>0</v>
      </c>
      <c r="F27" s="25">
        <v>43787.487430555557</v>
      </c>
      <c r="G27">
        <v>0</v>
      </c>
      <c r="H27" s="25"/>
      <c r="I27" s="25" t="s">
        <v>362</v>
      </c>
      <c r="J27" s="25" t="s">
        <v>421</v>
      </c>
      <c r="L27"/>
      <c r="M27"/>
    </row>
    <row r="28" spans="1:13" x14ac:dyDescent="0.3">
      <c r="A28" s="4">
        <v>1</v>
      </c>
      <c r="B28">
        <v>7132</v>
      </c>
      <c r="C28" s="4">
        <v>8600</v>
      </c>
      <c r="D28" t="s">
        <v>7</v>
      </c>
      <c r="E28" s="4">
        <v>0</v>
      </c>
      <c r="F28" s="25">
        <v>43787.479537037034</v>
      </c>
      <c r="G28">
        <v>0</v>
      </c>
      <c r="H28" s="25"/>
      <c r="I28" s="25" t="s">
        <v>361</v>
      </c>
      <c r="J28" s="25" t="s">
        <v>422</v>
      </c>
      <c r="L28"/>
      <c r="M28"/>
    </row>
    <row r="29" spans="1:13" x14ac:dyDescent="0.3">
      <c r="A29" s="4">
        <v>1</v>
      </c>
      <c r="B29">
        <v>1260</v>
      </c>
      <c r="C29" s="4">
        <v>8600</v>
      </c>
      <c r="D29" t="s">
        <v>7</v>
      </c>
      <c r="E29" s="4">
        <v>0</v>
      </c>
      <c r="F29" s="25">
        <v>43787.478090277778</v>
      </c>
      <c r="G29">
        <v>0</v>
      </c>
      <c r="H29" s="25"/>
      <c r="I29" s="25" t="s">
        <v>361</v>
      </c>
      <c r="J29" s="25" t="s">
        <v>423</v>
      </c>
      <c r="L29"/>
      <c r="M29"/>
    </row>
    <row r="30" spans="1:13" x14ac:dyDescent="0.3">
      <c r="A30" s="4">
        <v>1</v>
      </c>
      <c r="B30">
        <v>6432</v>
      </c>
      <c r="C30" s="4">
        <v>10912</v>
      </c>
      <c r="D30" t="s">
        <v>7</v>
      </c>
      <c r="E30" s="4">
        <v>0</v>
      </c>
      <c r="F30" s="25">
        <v>43787.475787037038</v>
      </c>
      <c r="G30">
        <v>0</v>
      </c>
      <c r="H30" s="25"/>
      <c r="I30" s="25" t="s">
        <v>418</v>
      </c>
      <c r="J30" s="25" t="s">
        <v>424</v>
      </c>
      <c r="L30"/>
      <c r="M30"/>
    </row>
    <row r="31" spans="1:13" x14ac:dyDescent="0.3">
      <c r="A31" s="4">
        <v>1</v>
      </c>
      <c r="B31">
        <v>10912</v>
      </c>
      <c r="C31" s="4">
        <v>10912</v>
      </c>
      <c r="D31" t="s">
        <v>7</v>
      </c>
      <c r="E31" s="4">
        <v>0</v>
      </c>
      <c r="F31" s="25">
        <v>43787.475358796299</v>
      </c>
      <c r="G31">
        <v>1</v>
      </c>
      <c r="H31" s="25" t="s">
        <v>301</v>
      </c>
      <c r="I31" s="25"/>
      <c r="J31" s="25" t="s">
        <v>425</v>
      </c>
      <c r="L31"/>
      <c r="M31"/>
    </row>
    <row r="32" spans="1:13" x14ac:dyDescent="0.3">
      <c r="A32" s="4">
        <v>1</v>
      </c>
      <c r="B32">
        <v>13092</v>
      </c>
      <c r="C32" s="4">
        <v>8600</v>
      </c>
      <c r="D32" t="s">
        <v>7</v>
      </c>
      <c r="E32" s="4">
        <v>0</v>
      </c>
      <c r="F32" s="25">
        <v>43787.466006944444</v>
      </c>
      <c r="G32">
        <v>0</v>
      </c>
      <c r="H32" s="25"/>
      <c r="I32" s="25" t="s">
        <v>360</v>
      </c>
      <c r="J32" s="25" t="s">
        <v>426</v>
      </c>
      <c r="L32"/>
      <c r="M32"/>
    </row>
    <row r="33" spans="1:13" x14ac:dyDescent="0.3">
      <c r="A33" s="4">
        <v>1</v>
      </c>
      <c r="B33">
        <v>11648</v>
      </c>
      <c r="C33" s="4">
        <v>8600</v>
      </c>
      <c r="D33" t="s">
        <v>7</v>
      </c>
      <c r="E33" s="4">
        <v>0</v>
      </c>
      <c r="F33" s="25">
        <v>43787.463773148149</v>
      </c>
      <c r="G33">
        <v>0</v>
      </c>
      <c r="H33" s="25"/>
      <c r="I33" s="25" t="s">
        <v>418</v>
      </c>
      <c r="J33" s="25" t="s">
        <v>427</v>
      </c>
      <c r="L33"/>
      <c r="M33"/>
    </row>
    <row r="34" spans="1:13" x14ac:dyDescent="0.3">
      <c r="A34" s="4">
        <v>1036</v>
      </c>
      <c r="B34">
        <v>13216</v>
      </c>
      <c r="C34" s="4">
        <v>8600</v>
      </c>
      <c r="D34" t="s">
        <v>313</v>
      </c>
      <c r="E34" s="4">
        <v>23</v>
      </c>
      <c r="F34" s="25">
        <v>43787.449305555558</v>
      </c>
      <c r="G34">
        <v>0</v>
      </c>
      <c r="H34" s="25"/>
      <c r="I34" s="25"/>
      <c r="J34" s="25" t="s">
        <v>312</v>
      </c>
      <c r="L34"/>
      <c r="M34"/>
    </row>
    <row r="35" spans="1:13" x14ac:dyDescent="0.3">
      <c r="A35" s="4">
        <v>1036</v>
      </c>
      <c r="B35">
        <v>13216</v>
      </c>
      <c r="C35" s="4">
        <v>8600</v>
      </c>
      <c r="D35" t="s">
        <v>313</v>
      </c>
      <c r="E35" s="4">
        <v>24</v>
      </c>
      <c r="F35" s="25">
        <v>43787.449305555558</v>
      </c>
      <c r="G35">
        <v>0</v>
      </c>
      <c r="H35" s="25"/>
      <c r="I35" s="25"/>
      <c r="J35" s="25" t="s">
        <v>312</v>
      </c>
      <c r="L35"/>
      <c r="M35"/>
    </row>
    <row r="36" spans="1:13" x14ac:dyDescent="0.3">
      <c r="A36" s="4">
        <v>1036</v>
      </c>
      <c r="B36">
        <v>13216</v>
      </c>
      <c r="C36" s="4">
        <v>8600</v>
      </c>
      <c r="D36" t="s">
        <v>313</v>
      </c>
      <c r="E36" s="4">
        <v>20</v>
      </c>
      <c r="F36" s="25">
        <v>43787.449293981481</v>
      </c>
      <c r="G36">
        <v>0</v>
      </c>
      <c r="H36" s="25"/>
      <c r="I36" s="25"/>
      <c r="J36" s="25" t="s">
        <v>312</v>
      </c>
      <c r="L36"/>
      <c r="M36"/>
    </row>
    <row r="37" spans="1:13" x14ac:dyDescent="0.3">
      <c r="A37" s="4">
        <v>1036</v>
      </c>
      <c r="B37">
        <v>13216</v>
      </c>
      <c r="C37" s="4">
        <v>8600</v>
      </c>
      <c r="D37" t="s">
        <v>313</v>
      </c>
      <c r="E37" s="4">
        <v>21</v>
      </c>
      <c r="F37" s="25">
        <v>43787.449293981481</v>
      </c>
      <c r="G37">
        <v>0</v>
      </c>
      <c r="H37" s="25"/>
      <c r="I37" s="25"/>
      <c r="J37" s="25" t="s">
        <v>312</v>
      </c>
      <c r="L37"/>
      <c r="M37"/>
    </row>
    <row r="38" spans="1:13" x14ac:dyDescent="0.3">
      <c r="A38" s="4">
        <v>1036</v>
      </c>
      <c r="B38">
        <v>13216</v>
      </c>
      <c r="C38" s="4">
        <v>8600</v>
      </c>
      <c r="D38" t="s">
        <v>313</v>
      </c>
      <c r="E38" s="4">
        <v>22</v>
      </c>
      <c r="F38" s="25">
        <v>43787.449293981481</v>
      </c>
      <c r="G38">
        <v>0</v>
      </c>
      <c r="H38" s="25"/>
      <c r="I38" s="25"/>
      <c r="J38" s="25" t="s">
        <v>312</v>
      </c>
      <c r="L38"/>
      <c r="M38"/>
    </row>
    <row r="39" spans="1:13" x14ac:dyDescent="0.3">
      <c r="A39" s="4">
        <v>1036</v>
      </c>
      <c r="B39">
        <v>13216</v>
      </c>
      <c r="C39" s="4">
        <v>8600</v>
      </c>
      <c r="D39" t="s">
        <v>313</v>
      </c>
      <c r="E39" s="4">
        <v>18</v>
      </c>
      <c r="F39" s="25">
        <v>43787.449282407404</v>
      </c>
      <c r="G39">
        <v>0</v>
      </c>
      <c r="H39" s="25"/>
      <c r="I39" s="25"/>
      <c r="J39" s="25" t="s">
        <v>312</v>
      </c>
      <c r="L39"/>
      <c r="M39"/>
    </row>
    <row r="40" spans="1:13" x14ac:dyDescent="0.3">
      <c r="A40" s="4">
        <v>1036</v>
      </c>
      <c r="B40">
        <v>13216</v>
      </c>
      <c r="C40" s="4">
        <v>8600</v>
      </c>
      <c r="D40" t="s">
        <v>313</v>
      </c>
      <c r="E40" s="4">
        <v>19</v>
      </c>
      <c r="F40" s="25">
        <v>43787.449282407404</v>
      </c>
      <c r="G40">
        <v>0</v>
      </c>
      <c r="H40" s="25"/>
      <c r="I40" s="25"/>
      <c r="J40" s="25" t="s">
        <v>312</v>
      </c>
      <c r="L40"/>
      <c r="M40"/>
    </row>
    <row r="41" spans="1:13" x14ac:dyDescent="0.3">
      <c r="A41" s="4">
        <v>1036</v>
      </c>
      <c r="B41">
        <v>13216</v>
      </c>
      <c r="C41" s="4">
        <v>8600</v>
      </c>
      <c r="D41" t="s">
        <v>313</v>
      </c>
      <c r="E41" s="4">
        <v>15</v>
      </c>
      <c r="F41" s="25">
        <v>43787.449270833335</v>
      </c>
      <c r="G41">
        <v>0</v>
      </c>
      <c r="H41" s="25"/>
      <c r="I41" s="25"/>
      <c r="J41" s="25" t="s">
        <v>312</v>
      </c>
      <c r="L41"/>
      <c r="M41"/>
    </row>
    <row r="42" spans="1:13" x14ac:dyDescent="0.3">
      <c r="A42" s="4">
        <v>1036</v>
      </c>
      <c r="B42">
        <v>13216</v>
      </c>
      <c r="C42" s="4">
        <v>8600</v>
      </c>
      <c r="D42" t="s">
        <v>313</v>
      </c>
      <c r="E42" s="4">
        <v>16</v>
      </c>
      <c r="F42" s="25">
        <v>43787.449270833335</v>
      </c>
      <c r="G42">
        <v>0</v>
      </c>
      <c r="H42" s="25"/>
      <c r="I42" s="25"/>
      <c r="J42" s="25" t="s">
        <v>312</v>
      </c>
      <c r="L42"/>
      <c r="M42"/>
    </row>
    <row r="43" spans="1:13" x14ac:dyDescent="0.3">
      <c r="A43" s="4">
        <v>1036</v>
      </c>
      <c r="B43">
        <v>13216</v>
      </c>
      <c r="C43" s="4">
        <v>8600</v>
      </c>
      <c r="D43" t="s">
        <v>313</v>
      </c>
      <c r="E43" s="4">
        <v>17</v>
      </c>
      <c r="F43" s="25">
        <v>43787.449270833335</v>
      </c>
      <c r="G43">
        <v>0</v>
      </c>
      <c r="H43" s="25"/>
      <c r="I43" s="25"/>
      <c r="J43" s="25" t="s">
        <v>312</v>
      </c>
      <c r="L43"/>
      <c r="M43"/>
    </row>
    <row r="44" spans="1:13" x14ac:dyDescent="0.3">
      <c r="A44" s="4">
        <v>1036</v>
      </c>
      <c r="B44">
        <v>13216</v>
      </c>
      <c r="C44" s="4">
        <v>8600</v>
      </c>
      <c r="D44" t="s">
        <v>313</v>
      </c>
      <c r="E44" s="4">
        <v>12</v>
      </c>
      <c r="F44" s="25">
        <v>43787.449259259258</v>
      </c>
      <c r="G44">
        <v>0</v>
      </c>
      <c r="H44" s="25"/>
      <c r="I44" s="25"/>
      <c r="J44" s="25" t="s">
        <v>312</v>
      </c>
      <c r="L44"/>
      <c r="M44"/>
    </row>
    <row r="45" spans="1:13" x14ac:dyDescent="0.3">
      <c r="A45" s="4">
        <v>1036</v>
      </c>
      <c r="B45">
        <v>13216</v>
      </c>
      <c r="C45" s="4">
        <v>8600</v>
      </c>
      <c r="D45" t="s">
        <v>313</v>
      </c>
      <c r="E45" s="4">
        <v>13</v>
      </c>
      <c r="F45" s="25">
        <v>43787.449259259258</v>
      </c>
      <c r="G45">
        <v>0</v>
      </c>
      <c r="H45" s="25"/>
      <c r="I45" s="25"/>
      <c r="J45" s="25" t="s">
        <v>312</v>
      </c>
      <c r="L45"/>
      <c r="M45"/>
    </row>
    <row r="46" spans="1:13" x14ac:dyDescent="0.3">
      <c r="A46" s="4">
        <v>1036</v>
      </c>
      <c r="B46">
        <v>13216</v>
      </c>
      <c r="C46" s="4">
        <v>8600</v>
      </c>
      <c r="D46" t="s">
        <v>313</v>
      </c>
      <c r="E46" s="4">
        <v>14</v>
      </c>
      <c r="F46" s="25">
        <v>43787.449259259258</v>
      </c>
      <c r="G46">
        <v>0</v>
      </c>
      <c r="H46" s="25"/>
      <c r="I46" s="25"/>
      <c r="J46" s="25" t="s">
        <v>312</v>
      </c>
      <c r="L46"/>
      <c r="M46"/>
    </row>
    <row r="47" spans="1:13" x14ac:dyDescent="0.3">
      <c r="A47" s="4">
        <v>1036</v>
      </c>
      <c r="B47">
        <v>13216</v>
      </c>
      <c r="C47" s="4">
        <v>8600</v>
      </c>
      <c r="D47" t="s">
        <v>313</v>
      </c>
      <c r="E47" s="4">
        <v>9</v>
      </c>
      <c r="F47" s="25">
        <v>43787.449247685188</v>
      </c>
      <c r="G47">
        <v>0</v>
      </c>
      <c r="H47" s="25"/>
      <c r="I47" s="25"/>
      <c r="J47" s="25" t="s">
        <v>312</v>
      </c>
      <c r="L47"/>
      <c r="M47"/>
    </row>
    <row r="48" spans="1:13" x14ac:dyDescent="0.3">
      <c r="A48" s="4">
        <v>1036</v>
      </c>
      <c r="B48">
        <v>13216</v>
      </c>
      <c r="C48" s="4">
        <v>8600</v>
      </c>
      <c r="D48" t="s">
        <v>313</v>
      </c>
      <c r="E48" s="4">
        <v>10</v>
      </c>
      <c r="F48" s="25">
        <v>43787.449247685188</v>
      </c>
      <c r="G48">
        <v>0</v>
      </c>
      <c r="H48" s="25"/>
      <c r="I48" s="25"/>
      <c r="J48" s="25" t="s">
        <v>312</v>
      </c>
      <c r="L48"/>
      <c r="M48"/>
    </row>
    <row r="49" spans="1:13" x14ac:dyDescent="0.3">
      <c r="A49" s="4">
        <v>1036</v>
      </c>
      <c r="B49">
        <v>13216</v>
      </c>
      <c r="C49" s="4">
        <v>8600</v>
      </c>
      <c r="D49" t="s">
        <v>313</v>
      </c>
      <c r="E49" s="4">
        <v>11</v>
      </c>
      <c r="F49" s="25">
        <v>43787.449247685188</v>
      </c>
      <c r="G49">
        <v>0</v>
      </c>
      <c r="H49" s="25"/>
      <c r="I49" s="25"/>
      <c r="J49" s="25" t="s">
        <v>312</v>
      </c>
      <c r="L49"/>
      <c r="M49"/>
    </row>
    <row r="50" spans="1:13" x14ac:dyDescent="0.3">
      <c r="A50" s="4">
        <v>1036</v>
      </c>
      <c r="B50">
        <v>13216</v>
      </c>
      <c r="C50" s="4">
        <v>8600</v>
      </c>
      <c r="D50" t="s">
        <v>313</v>
      </c>
      <c r="E50" s="4">
        <v>7</v>
      </c>
      <c r="F50" s="25">
        <v>43787.449236111112</v>
      </c>
      <c r="G50">
        <v>0</v>
      </c>
      <c r="H50" s="25"/>
      <c r="I50" s="25"/>
      <c r="J50" s="25" t="s">
        <v>312</v>
      </c>
      <c r="L50"/>
      <c r="M50"/>
    </row>
    <row r="51" spans="1:13" x14ac:dyDescent="0.3">
      <c r="A51" s="4">
        <v>1036</v>
      </c>
      <c r="B51">
        <v>13216</v>
      </c>
      <c r="C51" s="4">
        <v>8600</v>
      </c>
      <c r="D51" t="s">
        <v>313</v>
      </c>
      <c r="E51" s="4">
        <v>8</v>
      </c>
      <c r="F51" s="25">
        <v>43787.449236111112</v>
      </c>
      <c r="G51">
        <v>0</v>
      </c>
      <c r="H51" s="25"/>
      <c r="I51" s="25"/>
      <c r="J51" s="25" t="s">
        <v>312</v>
      </c>
      <c r="L51"/>
      <c r="M51"/>
    </row>
    <row r="52" spans="1:13" x14ac:dyDescent="0.3">
      <c r="A52" s="4">
        <v>1036</v>
      </c>
      <c r="B52">
        <v>13216</v>
      </c>
      <c r="C52" s="4">
        <v>8600</v>
      </c>
      <c r="D52" t="s">
        <v>313</v>
      </c>
      <c r="E52" s="4">
        <v>4</v>
      </c>
      <c r="F52" s="25">
        <v>43787.449224537035</v>
      </c>
      <c r="G52">
        <v>0</v>
      </c>
      <c r="H52" s="25"/>
      <c r="I52" s="25"/>
      <c r="J52" s="25" t="s">
        <v>312</v>
      </c>
      <c r="L52"/>
      <c r="M52"/>
    </row>
    <row r="53" spans="1:13" x14ac:dyDescent="0.3">
      <c r="A53" s="4">
        <v>1036</v>
      </c>
      <c r="B53">
        <v>13216</v>
      </c>
      <c r="C53" s="4">
        <v>8600</v>
      </c>
      <c r="D53" t="s">
        <v>313</v>
      </c>
      <c r="E53" s="4">
        <v>5</v>
      </c>
      <c r="F53" s="25">
        <v>43787.449224537035</v>
      </c>
      <c r="G53">
        <v>0</v>
      </c>
      <c r="H53" s="25"/>
      <c r="I53" s="25"/>
      <c r="J53" s="25" t="s">
        <v>312</v>
      </c>
      <c r="L53"/>
      <c r="M53"/>
    </row>
    <row r="54" spans="1:13" x14ac:dyDescent="0.3">
      <c r="A54" s="4">
        <v>1036</v>
      </c>
      <c r="B54">
        <v>13216</v>
      </c>
      <c r="C54" s="4">
        <v>8600</v>
      </c>
      <c r="D54" t="s">
        <v>313</v>
      </c>
      <c r="E54" s="4">
        <v>6</v>
      </c>
      <c r="F54" s="25">
        <v>43787.449224537035</v>
      </c>
      <c r="G54">
        <v>0</v>
      </c>
      <c r="H54" s="25"/>
      <c r="I54" s="25"/>
      <c r="J54" s="25" t="s">
        <v>312</v>
      </c>
      <c r="L54"/>
      <c r="M54"/>
    </row>
    <row r="55" spans="1:13" x14ac:dyDescent="0.3">
      <c r="A55" s="4">
        <v>1036</v>
      </c>
      <c r="B55">
        <v>13216</v>
      </c>
      <c r="C55" s="4">
        <v>8600</v>
      </c>
      <c r="D55" t="s">
        <v>313</v>
      </c>
      <c r="E55" s="4">
        <v>2</v>
      </c>
      <c r="F55" s="25">
        <v>43787.449212962965</v>
      </c>
      <c r="G55">
        <v>0</v>
      </c>
      <c r="H55" s="25"/>
      <c r="I55" s="25"/>
      <c r="J55" s="25" t="s">
        <v>312</v>
      </c>
      <c r="L55"/>
      <c r="M55"/>
    </row>
    <row r="56" spans="1:13" x14ac:dyDescent="0.3">
      <c r="A56" s="4">
        <v>1036</v>
      </c>
      <c r="B56">
        <v>13216</v>
      </c>
      <c r="C56" s="4">
        <v>8600</v>
      </c>
      <c r="D56" t="s">
        <v>313</v>
      </c>
      <c r="E56" s="4">
        <v>3</v>
      </c>
      <c r="F56" s="25">
        <v>43787.449212962965</v>
      </c>
      <c r="G56">
        <v>0</v>
      </c>
      <c r="H56" s="25"/>
      <c r="I56" s="25"/>
      <c r="J56" s="25" t="s">
        <v>312</v>
      </c>
      <c r="L56"/>
      <c r="M56"/>
    </row>
    <row r="57" spans="1:13" x14ac:dyDescent="0.3">
      <c r="A57" s="4">
        <v>1036</v>
      </c>
      <c r="B57">
        <v>13216</v>
      </c>
      <c r="C57" s="4">
        <v>8600</v>
      </c>
      <c r="D57" t="s">
        <v>313</v>
      </c>
      <c r="E57" s="4">
        <v>0</v>
      </c>
      <c r="F57" s="25">
        <v>43787.449201388888</v>
      </c>
      <c r="G57">
        <v>0</v>
      </c>
      <c r="H57" s="25"/>
      <c r="I57" s="25"/>
      <c r="J57" s="25" t="s">
        <v>312</v>
      </c>
      <c r="L57"/>
      <c r="M57"/>
    </row>
    <row r="58" spans="1:13" x14ac:dyDescent="0.3">
      <c r="A58" s="4">
        <v>1036</v>
      </c>
      <c r="B58">
        <v>13216</v>
      </c>
      <c r="C58" s="4">
        <v>8600</v>
      </c>
      <c r="D58" t="s">
        <v>313</v>
      </c>
      <c r="E58" s="4">
        <v>1</v>
      </c>
      <c r="F58" s="25">
        <v>43787.449201388888</v>
      </c>
      <c r="G58">
        <v>0</v>
      </c>
      <c r="H58" s="25"/>
      <c r="I58" s="25"/>
      <c r="J58" s="25" t="s">
        <v>312</v>
      </c>
      <c r="L58"/>
      <c r="M58"/>
    </row>
    <row r="59" spans="1:13" x14ac:dyDescent="0.3">
      <c r="A59" s="4">
        <v>31632</v>
      </c>
      <c r="B59">
        <v>10936</v>
      </c>
      <c r="C59" s="4">
        <v>8600</v>
      </c>
      <c r="D59" t="s">
        <v>313</v>
      </c>
      <c r="E59" s="4">
        <v>23</v>
      </c>
      <c r="F59" s="25">
        <v>43787.441608796296</v>
      </c>
      <c r="G59">
        <v>0</v>
      </c>
      <c r="H59" s="25"/>
      <c r="I59" s="25"/>
      <c r="J59" s="25" t="s">
        <v>312</v>
      </c>
      <c r="L59"/>
      <c r="M59"/>
    </row>
    <row r="60" spans="1:13" x14ac:dyDescent="0.3">
      <c r="A60" s="4">
        <v>31632</v>
      </c>
      <c r="B60">
        <v>10936</v>
      </c>
      <c r="C60" s="4">
        <v>8600</v>
      </c>
      <c r="D60" t="s">
        <v>313</v>
      </c>
      <c r="E60" s="4">
        <v>24</v>
      </c>
      <c r="F60" s="25">
        <v>43787.441608796296</v>
      </c>
      <c r="G60">
        <v>0</v>
      </c>
      <c r="H60" s="25"/>
      <c r="I60" s="25"/>
      <c r="J60" s="25" t="s">
        <v>312</v>
      </c>
      <c r="L60"/>
      <c r="M60"/>
    </row>
    <row r="61" spans="1:13" x14ac:dyDescent="0.3">
      <c r="A61" s="4">
        <v>31632</v>
      </c>
      <c r="B61">
        <v>10936</v>
      </c>
      <c r="C61" s="4">
        <v>8600</v>
      </c>
      <c r="D61" t="s">
        <v>313</v>
      </c>
      <c r="E61" s="4">
        <v>21</v>
      </c>
      <c r="F61" s="25">
        <v>43787.44159722222</v>
      </c>
      <c r="G61">
        <v>0</v>
      </c>
      <c r="H61" s="25"/>
      <c r="I61" s="25"/>
      <c r="J61" s="25" t="s">
        <v>312</v>
      </c>
      <c r="L61"/>
      <c r="M61"/>
    </row>
    <row r="62" spans="1:13" x14ac:dyDescent="0.3">
      <c r="A62" s="4">
        <v>31632</v>
      </c>
      <c r="B62">
        <v>10936</v>
      </c>
      <c r="C62" s="4">
        <v>8600</v>
      </c>
      <c r="D62" t="s">
        <v>313</v>
      </c>
      <c r="E62" s="4">
        <v>22</v>
      </c>
      <c r="F62" s="25">
        <v>43787.44159722222</v>
      </c>
      <c r="G62">
        <v>0</v>
      </c>
      <c r="H62" s="25"/>
      <c r="I62" s="25"/>
      <c r="J62" s="25" t="s">
        <v>312</v>
      </c>
      <c r="L62"/>
      <c r="M62"/>
    </row>
    <row r="63" spans="1:13" x14ac:dyDescent="0.3">
      <c r="A63" s="4">
        <v>31632</v>
      </c>
      <c r="B63">
        <v>10936</v>
      </c>
      <c r="C63" s="4">
        <v>8600</v>
      </c>
      <c r="D63" t="s">
        <v>313</v>
      </c>
      <c r="E63" s="4">
        <v>19</v>
      </c>
      <c r="F63" s="25">
        <v>43787.44158564815</v>
      </c>
      <c r="G63">
        <v>0</v>
      </c>
      <c r="H63" s="25"/>
      <c r="I63" s="25"/>
      <c r="J63" s="25" t="s">
        <v>312</v>
      </c>
      <c r="L63"/>
      <c r="M63"/>
    </row>
    <row r="64" spans="1:13" x14ac:dyDescent="0.3">
      <c r="A64" s="4">
        <v>31632</v>
      </c>
      <c r="B64">
        <v>10936</v>
      </c>
      <c r="C64" s="4">
        <v>8600</v>
      </c>
      <c r="D64" t="s">
        <v>313</v>
      </c>
      <c r="E64" s="4">
        <v>20</v>
      </c>
      <c r="F64" s="25">
        <v>43787.44158564815</v>
      </c>
      <c r="G64">
        <v>0</v>
      </c>
      <c r="H64" s="25"/>
      <c r="I64" s="25"/>
      <c r="J64" s="25" t="s">
        <v>312</v>
      </c>
      <c r="L64"/>
      <c r="M64"/>
    </row>
    <row r="65" spans="1:13" x14ac:dyDescent="0.3">
      <c r="A65" s="4">
        <v>31632</v>
      </c>
      <c r="B65">
        <v>10936</v>
      </c>
      <c r="C65" s="4">
        <v>8600</v>
      </c>
      <c r="D65" t="s">
        <v>313</v>
      </c>
      <c r="E65" s="4">
        <v>16</v>
      </c>
      <c r="F65" s="25">
        <v>43787.441574074073</v>
      </c>
      <c r="G65">
        <v>0</v>
      </c>
      <c r="H65" s="25"/>
      <c r="I65" s="25"/>
      <c r="J65" s="25" t="s">
        <v>312</v>
      </c>
      <c r="L65"/>
      <c r="M65"/>
    </row>
    <row r="66" spans="1:13" x14ac:dyDescent="0.3">
      <c r="A66" s="4">
        <v>31632</v>
      </c>
      <c r="B66">
        <v>10936</v>
      </c>
      <c r="C66" s="4">
        <v>8600</v>
      </c>
      <c r="D66" t="s">
        <v>313</v>
      </c>
      <c r="E66" s="4">
        <v>17</v>
      </c>
      <c r="F66" s="25">
        <v>43787.441574074073</v>
      </c>
      <c r="G66">
        <v>0</v>
      </c>
      <c r="H66" s="25"/>
      <c r="I66" s="25"/>
      <c r="J66" s="25" t="s">
        <v>312</v>
      </c>
      <c r="L66"/>
      <c r="M66"/>
    </row>
    <row r="67" spans="1:13" x14ac:dyDescent="0.3">
      <c r="A67" s="4">
        <v>31632</v>
      </c>
      <c r="B67">
        <v>10936</v>
      </c>
      <c r="C67" s="4">
        <v>8600</v>
      </c>
      <c r="D67" t="s">
        <v>313</v>
      </c>
      <c r="E67" s="4">
        <v>18</v>
      </c>
      <c r="F67" s="25">
        <v>43787.441574074073</v>
      </c>
      <c r="G67">
        <v>0</v>
      </c>
      <c r="H67" s="25"/>
      <c r="I67" s="25"/>
      <c r="J67" s="25" t="s">
        <v>312</v>
      </c>
      <c r="L67"/>
      <c r="M67"/>
    </row>
    <row r="68" spans="1:13" x14ac:dyDescent="0.3">
      <c r="A68" s="4">
        <v>31632</v>
      </c>
      <c r="B68">
        <v>10936</v>
      </c>
      <c r="C68" s="4">
        <v>8600</v>
      </c>
      <c r="D68" t="s">
        <v>313</v>
      </c>
      <c r="E68" s="4">
        <v>13</v>
      </c>
      <c r="F68" s="25">
        <v>43787.441562499997</v>
      </c>
      <c r="G68">
        <v>0</v>
      </c>
      <c r="H68" s="25"/>
      <c r="I68" s="25"/>
      <c r="J68" s="25" t="s">
        <v>312</v>
      </c>
      <c r="L68"/>
      <c r="M68"/>
    </row>
    <row r="69" spans="1:13" x14ac:dyDescent="0.3">
      <c r="A69" s="4">
        <v>31632</v>
      </c>
      <c r="B69">
        <v>10936</v>
      </c>
      <c r="C69" s="4">
        <v>8600</v>
      </c>
      <c r="D69" t="s">
        <v>313</v>
      </c>
      <c r="E69" s="4">
        <v>14</v>
      </c>
      <c r="F69" s="25">
        <v>43787.441562499997</v>
      </c>
      <c r="G69">
        <v>0</v>
      </c>
      <c r="H69" s="25"/>
      <c r="I69" s="25"/>
      <c r="J69" s="25" t="s">
        <v>312</v>
      </c>
      <c r="L69"/>
      <c r="M69"/>
    </row>
    <row r="70" spans="1:13" x14ac:dyDescent="0.3">
      <c r="A70" s="4">
        <v>31632</v>
      </c>
      <c r="B70">
        <v>10936</v>
      </c>
      <c r="C70" s="4">
        <v>8600</v>
      </c>
      <c r="D70" t="s">
        <v>313</v>
      </c>
      <c r="E70" s="4">
        <v>15</v>
      </c>
      <c r="F70" s="25">
        <v>43787.441562499997</v>
      </c>
      <c r="G70">
        <v>0</v>
      </c>
      <c r="H70" s="25"/>
      <c r="I70" s="25"/>
      <c r="J70" s="25" t="s">
        <v>312</v>
      </c>
      <c r="L70"/>
      <c r="M70"/>
    </row>
    <row r="71" spans="1:13" x14ac:dyDescent="0.3">
      <c r="A71" s="4">
        <v>31632</v>
      </c>
      <c r="B71">
        <v>10936</v>
      </c>
      <c r="C71" s="4">
        <v>8600</v>
      </c>
      <c r="D71" t="s">
        <v>313</v>
      </c>
      <c r="E71" s="4">
        <v>11</v>
      </c>
      <c r="F71" s="25">
        <v>43787.441550925927</v>
      </c>
      <c r="G71">
        <v>0</v>
      </c>
      <c r="H71" s="25"/>
      <c r="I71" s="25"/>
      <c r="J71" s="25" t="s">
        <v>312</v>
      </c>
      <c r="K71" s="4"/>
      <c r="M71"/>
    </row>
    <row r="72" spans="1:13" x14ac:dyDescent="0.3">
      <c r="A72" s="4">
        <v>31632</v>
      </c>
      <c r="B72">
        <v>10936</v>
      </c>
      <c r="C72" s="4">
        <v>8600</v>
      </c>
      <c r="D72" t="s">
        <v>313</v>
      </c>
      <c r="E72" s="4">
        <v>12</v>
      </c>
      <c r="F72" s="25">
        <v>43787.441550925927</v>
      </c>
      <c r="G72">
        <v>0</v>
      </c>
      <c r="H72" s="25"/>
      <c r="I72" s="25"/>
      <c r="J72" s="25" t="s">
        <v>312</v>
      </c>
      <c r="K72" s="4"/>
      <c r="M72"/>
    </row>
    <row r="73" spans="1:13" x14ac:dyDescent="0.3">
      <c r="A73" s="4">
        <v>31632</v>
      </c>
      <c r="B73">
        <v>10936</v>
      </c>
      <c r="C73" s="4">
        <v>8600</v>
      </c>
      <c r="D73" t="s">
        <v>313</v>
      </c>
      <c r="E73" s="4">
        <v>8</v>
      </c>
      <c r="F73" s="25">
        <v>43787.44153935185</v>
      </c>
      <c r="G73">
        <v>0</v>
      </c>
      <c r="H73" s="25"/>
      <c r="I73" s="25"/>
      <c r="J73" s="25" t="s">
        <v>312</v>
      </c>
      <c r="K73" s="4"/>
      <c r="M73"/>
    </row>
    <row r="74" spans="1:13" x14ac:dyDescent="0.3">
      <c r="A74" s="4">
        <v>31632</v>
      </c>
      <c r="B74">
        <v>10936</v>
      </c>
      <c r="C74" s="4">
        <v>8600</v>
      </c>
      <c r="D74" t="s">
        <v>313</v>
      </c>
      <c r="E74" s="4">
        <v>9</v>
      </c>
      <c r="F74" s="25">
        <v>43787.44153935185</v>
      </c>
      <c r="G74">
        <v>0</v>
      </c>
      <c r="H74" s="25"/>
      <c r="I74" s="25"/>
      <c r="J74" s="25" t="s">
        <v>312</v>
      </c>
      <c r="K74" s="4"/>
      <c r="M74"/>
    </row>
    <row r="75" spans="1:13" x14ac:dyDescent="0.3">
      <c r="A75" s="4">
        <v>31632</v>
      </c>
      <c r="B75">
        <v>10936</v>
      </c>
      <c r="C75" s="4">
        <v>8600</v>
      </c>
      <c r="D75" t="s">
        <v>313</v>
      </c>
      <c r="E75" s="4">
        <v>10</v>
      </c>
      <c r="F75" s="25">
        <v>43787.44153935185</v>
      </c>
      <c r="G75">
        <v>0</v>
      </c>
      <c r="H75" s="25"/>
      <c r="I75" s="25"/>
      <c r="J75" s="25" t="s">
        <v>312</v>
      </c>
      <c r="K75" s="4"/>
      <c r="M75"/>
    </row>
    <row r="76" spans="1:13" x14ac:dyDescent="0.3">
      <c r="A76" s="4">
        <v>31632</v>
      </c>
      <c r="B76">
        <v>10936</v>
      </c>
      <c r="C76" s="4">
        <v>8600</v>
      </c>
      <c r="D76" t="s">
        <v>313</v>
      </c>
      <c r="E76" s="4">
        <v>6</v>
      </c>
      <c r="F76" s="25">
        <v>43787.441527777781</v>
      </c>
      <c r="G76">
        <v>0</v>
      </c>
      <c r="H76" s="25"/>
      <c r="I76" s="25"/>
      <c r="J76" s="25" t="s">
        <v>312</v>
      </c>
      <c r="K76" s="4"/>
      <c r="M76"/>
    </row>
    <row r="77" spans="1:13" x14ac:dyDescent="0.3">
      <c r="A77" s="4">
        <v>31632</v>
      </c>
      <c r="B77">
        <v>10936</v>
      </c>
      <c r="C77" s="4">
        <v>8600</v>
      </c>
      <c r="D77" t="s">
        <v>313</v>
      </c>
      <c r="E77" s="4">
        <v>7</v>
      </c>
      <c r="F77" s="25">
        <v>43787.441527777781</v>
      </c>
      <c r="G77">
        <v>0</v>
      </c>
      <c r="H77" s="25"/>
      <c r="I77" s="25"/>
      <c r="J77" s="25" t="s">
        <v>312</v>
      </c>
      <c r="K77" s="4"/>
      <c r="M77"/>
    </row>
    <row r="78" spans="1:13" x14ac:dyDescent="0.3">
      <c r="A78" s="4">
        <v>31632</v>
      </c>
      <c r="B78">
        <v>10936</v>
      </c>
      <c r="C78" s="4">
        <v>8600</v>
      </c>
      <c r="D78" t="s">
        <v>313</v>
      </c>
      <c r="E78" s="4">
        <v>3</v>
      </c>
      <c r="F78" s="25">
        <v>43787.441516203704</v>
      </c>
      <c r="G78">
        <v>0</v>
      </c>
      <c r="H78" s="25"/>
      <c r="I78" s="25"/>
      <c r="J78" s="25" t="s">
        <v>312</v>
      </c>
      <c r="K78" s="4"/>
      <c r="M78"/>
    </row>
    <row r="79" spans="1:13" x14ac:dyDescent="0.3">
      <c r="A79" s="4">
        <v>31632</v>
      </c>
      <c r="B79">
        <v>10936</v>
      </c>
      <c r="C79" s="4">
        <v>8600</v>
      </c>
      <c r="D79" t="s">
        <v>313</v>
      </c>
      <c r="E79" s="4">
        <v>4</v>
      </c>
      <c r="F79" s="25">
        <v>43787.441516203704</v>
      </c>
      <c r="G79">
        <v>0</v>
      </c>
      <c r="H79" s="25"/>
      <c r="I79" s="25"/>
      <c r="J79" s="25" t="s">
        <v>312</v>
      </c>
      <c r="K79" s="4"/>
      <c r="M79"/>
    </row>
    <row r="80" spans="1:13" x14ac:dyDescent="0.3">
      <c r="A80" s="4">
        <v>31632</v>
      </c>
      <c r="B80">
        <v>10936</v>
      </c>
      <c r="C80" s="4">
        <v>8600</v>
      </c>
      <c r="D80" t="s">
        <v>313</v>
      </c>
      <c r="E80" s="4">
        <v>5</v>
      </c>
      <c r="F80" s="25">
        <v>43787.441516203704</v>
      </c>
      <c r="G80">
        <v>0</v>
      </c>
      <c r="H80" s="25"/>
      <c r="I80" s="25"/>
      <c r="J80" s="25" t="s">
        <v>312</v>
      </c>
      <c r="K80" s="4"/>
      <c r="M80"/>
    </row>
    <row r="81" spans="1:13" x14ac:dyDescent="0.3">
      <c r="A81" s="4">
        <v>31632</v>
      </c>
      <c r="B81">
        <v>10936</v>
      </c>
      <c r="C81" s="4">
        <v>8600</v>
      </c>
      <c r="D81" t="s">
        <v>313</v>
      </c>
      <c r="E81" s="4">
        <v>0</v>
      </c>
      <c r="F81" s="25">
        <v>43787.441504629627</v>
      </c>
      <c r="G81">
        <v>0</v>
      </c>
      <c r="H81" s="25"/>
      <c r="I81" s="25"/>
      <c r="J81" s="25" t="s">
        <v>312</v>
      </c>
      <c r="K81" s="4"/>
      <c r="M81"/>
    </row>
    <row r="82" spans="1:13" x14ac:dyDescent="0.3">
      <c r="A82" s="4">
        <v>31632</v>
      </c>
      <c r="B82">
        <v>10936</v>
      </c>
      <c r="C82" s="4">
        <v>8600</v>
      </c>
      <c r="D82" t="s">
        <v>313</v>
      </c>
      <c r="E82" s="4">
        <v>1</v>
      </c>
      <c r="F82" s="25">
        <v>43787.441504629627</v>
      </c>
      <c r="G82">
        <v>0</v>
      </c>
      <c r="H82" s="25"/>
      <c r="I82" s="25"/>
      <c r="J82" s="25" t="s">
        <v>312</v>
      </c>
      <c r="K82" s="4"/>
      <c r="M82"/>
    </row>
    <row r="83" spans="1:13" x14ac:dyDescent="0.3">
      <c r="A83" s="4">
        <v>31632</v>
      </c>
      <c r="B83">
        <v>10936</v>
      </c>
      <c r="C83" s="4">
        <v>8600</v>
      </c>
      <c r="D83" t="s">
        <v>313</v>
      </c>
      <c r="E83" s="4">
        <v>2</v>
      </c>
      <c r="F83" s="25">
        <v>43787.441504629627</v>
      </c>
      <c r="G83">
        <v>0</v>
      </c>
      <c r="H83" s="25"/>
      <c r="I83" s="25"/>
      <c r="J83" s="25" t="s">
        <v>312</v>
      </c>
      <c r="K83" s="4"/>
      <c r="M83"/>
    </row>
    <row r="84" spans="1:13" x14ac:dyDescent="0.3">
      <c r="A84" s="4">
        <v>30963</v>
      </c>
      <c r="B84">
        <v>7384</v>
      </c>
      <c r="C84" s="4">
        <v>8600</v>
      </c>
      <c r="D84" t="s">
        <v>313</v>
      </c>
      <c r="E84" s="4">
        <v>24</v>
      </c>
      <c r="F84" s="25">
        <v>43787.43922453704</v>
      </c>
      <c r="G84">
        <v>0</v>
      </c>
      <c r="H84" s="25"/>
      <c r="I84" s="25"/>
      <c r="J84" s="25" t="s">
        <v>312</v>
      </c>
      <c r="K84" s="4"/>
      <c r="M84"/>
    </row>
    <row r="85" spans="1:13" x14ac:dyDescent="0.3">
      <c r="A85" s="4">
        <v>30963</v>
      </c>
      <c r="B85">
        <v>7384</v>
      </c>
      <c r="C85" s="4">
        <v>8600</v>
      </c>
      <c r="D85" t="s">
        <v>313</v>
      </c>
      <c r="E85" s="4">
        <v>21</v>
      </c>
      <c r="F85" s="25">
        <v>43787.439212962963</v>
      </c>
      <c r="G85">
        <v>0</v>
      </c>
      <c r="H85" s="25"/>
      <c r="I85" s="25"/>
      <c r="J85" s="25" t="s">
        <v>312</v>
      </c>
      <c r="K85" s="4"/>
      <c r="M85"/>
    </row>
    <row r="86" spans="1:13" x14ac:dyDescent="0.3">
      <c r="A86" s="4">
        <v>30963</v>
      </c>
      <c r="B86">
        <v>7384</v>
      </c>
      <c r="C86" s="4">
        <v>8600</v>
      </c>
      <c r="D86" t="s">
        <v>313</v>
      </c>
      <c r="E86" s="4">
        <v>22</v>
      </c>
      <c r="F86" s="25">
        <v>43787.439212962963</v>
      </c>
      <c r="G86">
        <v>0</v>
      </c>
      <c r="H86" s="25"/>
      <c r="I86" s="25"/>
      <c r="J86" s="25" t="s">
        <v>312</v>
      </c>
      <c r="K86" s="4"/>
      <c r="M86"/>
    </row>
    <row r="87" spans="1:13" x14ac:dyDescent="0.3">
      <c r="A87" s="4">
        <v>30963</v>
      </c>
      <c r="B87">
        <v>7384</v>
      </c>
      <c r="C87" s="4">
        <v>8600</v>
      </c>
      <c r="D87" t="s">
        <v>313</v>
      </c>
      <c r="E87" s="4">
        <v>23</v>
      </c>
      <c r="F87" s="25">
        <v>43787.439212962963</v>
      </c>
      <c r="G87">
        <v>0</v>
      </c>
      <c r="H87" s="25"/>
      <c r="I87" s="25"/>
      <c r="J87" s="25" t="s">
        <v>312</v>
      </c>
      <c r="K87" s="4"/>
      <c r="M87"/>
    </row>
    <row r="88" spans="1:13" x14ac:dyDescent="0.3">
      <c r="A88" s="4">
        <v>30963</v>
      </c>
      <c r="B88">
        <v>7384</v>
      </c>
      <c r="C88" s="4">
        <v>8600</v>
      </c>
      <c r="D88" t="s">
        <v>313</v>
      </c>
      <c r="E88" s="4">
        <v>18</v>
      </c>
      <c r="F88" s="25">
        <v>43787.439201388886</v>
      </c>
      <c r="G88">
        <v>0</v>
      </c>
      <c r="H88" s="25"/>
      <c r="I88" s="25"/>
      <c r="J88" s="25" t="s">
        <v>312</v>
      </c>
      <c r="K88" s="4"/>
      <c r="M88"/>
    </row>
    <row r="89" spans="1:13" x14ac:dyDescent="0.3">
      <c r="A89" s="4">
        <v>30963</v>
      </c>
      <c r="B89">
        <v>7384</v>
      </c>
      <c r="C89" s="4">
        <v>8600</v>
      </c>
      <c r="D89" t="s">
        <v>313</v>
      </c>
      <c r="E89" s="4">
        <v>19</v>
      </c>
      <c r="F89" s="25">
        <v>43787.439201388886</v>
      </c>
      <c r="G89">
        <v>0</v>
      </c>
      <c r="H89" s="25"/>
      <c r="I89" s="25"/>
      <c r="J89" s="25" t="s">
        <v>312</v>
      </c>
      <c r="K89" s="4"/>
      <c r="M89"/>
    </row>
    <row r="90" spans="1:13" x14ac:dyDescent="0.3">
      <c r="A90" s="4">
        <v>30963</v>
      </c>
      <c r="B90">
        <v>7384</v>
      </c>
      <c r="C90" s="4">
        <v>8600</v>
      </c>
      <c r="D90" t="s">
        <v>313</v>
      </c>
      <c r="E90" s="4">
        <v>20</v>
      </c>
      <c r="F90" s="25">
        <v>43787.439201388886</v>
      </c>
      <c r="G90">
        <v>0</v>
      </c>
      <c r="H90" s="25"/>
      <c r="I90" s="25"/>
      <c r="J90" s="25" t="s">
        <v>312</v>
      </c>
      <c r="K90" s="4"/>
      <c r="M90"/>
    </row>
    <row r="91" spans="1:13" x14ac:dyDescent="0.3">
      <c r="A91" s="4">
        <v>30963</v>
      </c>
      <c r="B91">
        <v>7384</v>
      </c>
      <c r="C91" s="4">
        <v>8600</v>
      </c>
      <c r="D91" t="s">
        <v>313</v>
      </c>
      <c r="E91" s="4">
        <v>16</v>
      </c>
      <c r="F91" s="25">
        <v>43787.439189814817</v>
      </c>
      <c r="G91">
        <v>0</v>
      </c>
      <c r="H91" s="25"/>
      <c r="I91" s="25"/>
      <c r="J91" s="25" t="s">
        <v>312</v>
      </c>
      <c r="K91" s="4"/>
      <c r="M91"/>
    </row>
    <row r="92" spans="1:13" x14ac:dyDescent="0.3">
      <c r="A92" s="4">
        <v>30963</v>
      </c>
      <c r="B92">
        <v>7384</v>
      </c>
      <c r="C92" s="4">
        <v>8600</v>
      </c>
      <c r="D92" t="s">
        <v>313</v>
      </c>
      <c r="E92" s="4">
        <v>17</v>
      </c>
      <c r="F92" s="25">
        <v>43787.439189814817</v>
      </c>
      <c r="G92">
        <v>0</v>
      </c>
      <c r="H92" s="25"/>
      <c r="I92" s="25"/>
      <c r="J92" s="25" t="s">
        <v>312</v>
      </c>
      <c r="K92" s="4"/>
      <c r="M92"/>
    </row>
    <row r="93" spans="1:13" x14ac:dyDescent="0.3">
      <c r="A93" s="4">
        <v>30963</v>
      </c>
      <c r="B93">
        <v>7384</v>
      </c>
      <c r="C93" s="4">
        <v>8600</v>
      </c>
      <c r="D93" t="s">
        <v>313</v>
      </c>
      <c r="E93" s="4">
        <v>13</v>
      </c>
      <c r="F93" s="25">
        <v>43787.43917824074</v>
      </c>
      <c r="G93">
        <v>0</v>
      </c>
      <c r="H93" s="25"/>
      <c r="I93" s="25"/>
      <c r="J93" s="25" t="s">
        <v>312</v>
      </c>
      <c r="K93" s="4"/>
      <c r="M93"/>
    </row>
    <row r="94" spans="1:13" x14ac:dyDescent="0.3">
      <c r="A94" s="4">
        <v>30963</v>
      </c>
      <c r="B94">
        <v>7384</v>
      </c>
      <c r="C94" s="4">
        <v>8600</v>
      </c>
      <c r="D94" t="s">
        <v>313</v>
      </c>
      <c r="E94" s="4">
        <v>14</v>
      </c>
      <c r="F94" s="25">
        <v>43787.43917824074</v>
      </c>
      <c r="G94">
        <v>0</v>
      </c>
      <c r="H94" s="25"/>
      <c r="I94" s="25"/>
      <c r="J94" s="25" t="s">
        <v>312</v>
      </c>
      <c r="K94" s="4"/>
      <c r="M94"/>
    </row>
    <row r="95" spans="1:13" x14ac:dyDescent="0.3">
      <c r="A95" s="4">
        <v>30963</v>
      </c>
      <c r="B95">
        <v>7384</v>
      </c>
      <c r="C95" s="4">
        <v>8600</v>
      </c>
      <c r="D95" t="s">
        <v>313</v>
      </c>
      <c r="E95" s="4">
        <v>15</v>
      </c>
      <c r="F95" s="25">
        <v>43787.43917824074</v>
      </c>
      <c r="G95">
        <v>0</v>
      </c>
      <c r="H95" s="25"/>
      <c r="I95" s="25"/>
      <c r="J95" s="25" t="s">
        <v>312</v>
      </c>
      <c r="K95" s="4"/>
      <c r="M95"/>
    </row>
    <row r="96" spans="1:13" x14ac:dyDescent="0.3">
      <c r="A96" s="4">
        <v>30963</v>
      </c>
      <c r="B96">
        <v>7384</v>
      </c>
      <c r="C96" s="4">
        <v>8600</v>
      </c>
      <c r="D96" t="s">
        <v>313</v>
      </c>
      <c r="E96" s="4">
        <v>10</v>
      </c>
      <c r="F96" s="25">
        <v>43787.439166666663</v>
      </c>
      <c r="G96">
        <v>0</v>
      </c>
      <c r="H96" s="25"/>
      <c r="I96" s="25"/>
      <c r="J96" s="25" t="s">
        <v>312</v>
      </c>
      <c r="K96" s="4"/>
      <c r="M96"/>
    </row>
    <row r="97" spans="1:13" x14ac:dyDescent="0.3">
      <c r="A97" s="4">
        <v>30963</v>
      </c>
      <c r="B97">
        <v>7384</v>
      </c>
      <c r="C97" s="4">
        <v>8600</v>
      </c>
      <c r="D97" t="s">
        <v>313</v>
      </c>
      <c r="E97" s="4">
        <v>11</v>
      </c>
      <c r="F97" s="25">
        <v>43787.439166666663</v>
      </c>
      <c r="G97">
        <v>0</v>
      </c>
      <c r="H97" s="25"/>
      <c r="I97" s="25"/>
      <c r="J97" s="25" t="s">
        <v>312</v>
      </c>
      <c r="K97" s="4"/>
      <c r="M97"/>
    </row>
    <row r="98" spans="1:13" x14ac:dyDescent="0.3">
      <c r="A98" s="4">
        <v>30963</v>
      </c>
      <c r="B98">
        <v>7384</v>
      </c>
      <c r="C98" s="4">
        <v>8600</v>
      </c>
      <c r="D98" t="s">
        <v>313</v>
      </c>
      <c r="E98" s="4">
        <v>12</v>
      </c>
      <c r="F98" s="25">
        <v>43787.439166666663</v>
      </c>
      <c r="G98">
        <v>0</v>
      </c>
      <c r="H98" s="25"/>
      <c r="I98" s="25"/>
      <c r="J98" s="25" t="s">
        <v>312</v>
      </c>
      <c r="K98" s="4"/>
      <c r="M98"/>
    </row>
    <row r="99" spans="1:13" x14ac:dyDescent="0.3">
      <c r="A99" s="4">
        <v>30963</v>
      </c>
      <c r="B99">
        <v>7384</v>
      </c>
      <c r="C99" s="4">
        <v>8600</v>
      </c>
      <c r="D99" t="s">
        <v>313</v>
      </c>
      <c r="E99" s="4">
        <v>7</v>
      </c>
      <c r="F99" s="25">
        <v>43787.439155092594</v>
      </c>
      <c r="G99">
        <v>0</v>
      </c>
      <c r="H99" s="25"/>
      <c r="I99" s="25"/>
      <c r="J99" s="25" t="s">
        <v>312</v>
      </c>
      <c r="K99" s="4"/>
      <c r="M99"/>
    </row>
    <row r="100" spans="1:13" x14ac:dyDescent="0.3">
      <c r="A100" s="4">
        <v>30963</v>
      </c>
      <c r="B100">
        <v>7384</v>
      </c>
      <c r="C100" s="4">
        <v>8600</v>
      </c>
      <c r="D100" t="s">
        <v>313</v>
      </c>
      <c r="E100" s="4">
        <v>8</v>
      </c>
      <c r="F100" s="25">
        <v>43787.439155092594</v>
      </c>
      <c r="G100">
        <v>0</v>
      </c>
      <c r="H100" s="25"/>
      <c r="I100" s="25"/>
      <c r="J100" s="25" t="s">
        <v>312</v>
      </c>
      <c r="K100" s="4"/>
      <c r="M100"/>
    </row>
    <row r="101" spans="1:13" x14ac:dyDescent="0.3">
      <c r="A101" s="4">
        <v>30963</v>
      </c>
      <c r="B101">
        <v>7384</v>
      </c>
      <c r="C101" s="4">
        <v>8600</v>
      </c>
      <c r="D101" t="s">
        <v>313</v>
      </c>
      <c r="E101" s="4">
        <v>9</v>
      </c>
      <c r="F101" s="25">
        <v>43787.439155092594</v>
      </c>
      <c r="G101">
        <v>0</v>
      </c>
      <c r="H101" s="25"/>
      <c r="I101" s="25"/>
      <c r="J101" s="25" t="s">
        <v>312</v>
      </c>
      <c r="K101" s="4"/>
      <c r="M101"/>
    </row>
    <row r="102" spans="1:13" x14ac:dyDescent="0.3">
      <c r="A102" s="4">
        <v>30963</v>
      </c>
      <c r="B102">
        <v>7384</v>
      </c>
      <c r="C102" s="4">
        <v>8600</v>
      </c>
      <c r="D102" t="s">
        <v>313</v>
      </c>
      <c r="E102" s="4">
        <v>4</v>
      </c>
      <c r="F102" s="25">
        <v>43787.439143518517</v>
      </c>
      <c r="G102">
        <v>0</v>
      </c>
      <c r="H102" s="25"/>
      <c r="I102" s="25"/>
      <c r="J102" s="25" t="s">
        <v>312</v>
      </c>
      <c r="K102" s="4"/>
      <c r="M102"/>
    </row>
    <row r="103" spans="1:13" x14ac:dyDescent="0.3">
      <c r="A103" s="4">
        <v>30963</v>
      </c>
      <c r="B103">
        <v>7384</v>
      </c>
      <c r="C103" s="4">
        <v>8600</v>
      </c>
      <c r="D103" t="s">
        <v>313</v>
      </c>
      <c r="E103" s="4">
        <v>5</v>
      </c>
      <c r="F103" s="25">
        <v>43787.439143518517</v>
      </c>
      <c r="G103">
        <v>0</v>
      </c>
      <c r="H103" s="25"/>
      <c r="I103" s="25"/>
      <c r="J103" s="25" t="s">
        <v>312</v>
      </c>
      <c r="K103" s="4"/>
      <c r="M103"/>
    </row>
    <row r="104" spans="1:13" x14ac:dyDescent="0.3">
      <c r="A104" s="4">
        <v>30963</v>
      </c>
      <c r="B104">
        <v>7384</v>
      </c>
      <c r="C104" s="4">
        <v>8600</v>
      </c>
      <c r="D104" t="s">
        <v>313</v>
      </c>
      <c r="E104" s="4">
        <v>6</v>
      </c>
      <c r="F104" s="25">
        <v>43787.439143518517</v>
      </c>
      <c r="G104">
        <v>0</v>
      </c>
      <c r="H104" s="25"/>
      <c r="I104" s="25"/>
      <c r="J104" s="25" t="s">
        <v>312</v>
      </c>
      <c r="K104" s="4"/>
      <c r="M104"/>
    </row>
    <row r="105" spans="1:13" x14ac:dyDescent="0.3">
      <c r="A105" s="4">
        <v>30963</v>
      </c>
      <c r="B105">
        <v>7384</v>
      </c>
      <c r="C105" s="4">
        <v>8600</v>
      </c>
      <c r="D105" t="s">
        <v>313</v>
      </c>
      <c r="E105" s="4">
        <v>1</v>
      </c>
      <c r="F105" s="25">
        <v>43787.439131944448</v>
      </c>
      <c r="G105">
        <v>0</v>
      </c>
      <c r="H105" s="25"/>
      <c r="I105" s="25"/>
      <c r="J105" s="25" t="s">
        <v>312</v>
      </c>
      <c r="K105" s="4"/>
      <c r="M105"/>
    </row>
    <row r="106" spans="1:13" x14ac:dyDescent="0.3">
      <c r="A106" s="4">
        <v>30963</v>
      </c>
      <c r="B106">
        <v>7384</v>
      </c>
      <c r="C106" s="4">
        <v>8600</v>
      </c>
      <c r="D106" t="s">
        <v>313</v>
      </c>
      <c r="E106" s="4">
        <v>2</v>
      </c>
      <c r="F106" s="25">
        <v>43787.439131944448</v>
      </c>
      <c r="G106">
        <v>0</v>
      </c>
      <c r="H106" s="25"/>
      <c r="I106" s="25"/>
      <c r="J106" s="25" t="s">
        <v>312</v>
      </c>
      <c r="K106" s="4"/>
      <c r="M106"/>
    </row>
    <row r="107" spans="1:13" x14ac:dyDescent="0.3">
      <c r="A107" s="4">
        <v>30963</v>
      </c>
      <c r="B107">
        <v>7384</v>
      </c>
      <c r="C107" s="4">
        <v>8600</v>
      </c>
      <c r="D107" t="s">
        <v>313</v>
      </c>
      <c r="E107" s="4">
        <v>3</v>
      </c>
      <c r="F107" s="25">
        <v>43787.439131944448</v>
      </c>
      <c r="G107">
        <v>0</v>
      </c>
      <c r="H107" s="25"/>
      <c r="I107" s="25"/>
      <c r="J107" s="25" t="s">
        <v>312</v>
      </c>
      <c r="K107" s="4"/>
      <c r="M107"/>
    </row>
    <row r="108" spans="1:13" x14ac:dyDescent="0.3">
      <c r="A108" s="4">
        <v>30963</v>
      </c>
      <c r="B108">
        <v>7384</v>
      </c>
      <c r="C108" s="4">
        <v>8600</v>
      </c>
      <c r="D108" t="s">
        <v>313</v>
      </c>
      <c r="E108" s="4">
        <v>0</v>
      </c>
      <c r="F108" s="25">
        <v>43787.439120370371</v>
      </c>
      <c r="G108">
        <v>0</v>
      </c>
      <c r="H108" s="25"/>
      <c r="I108" s="25"/>
      <c r="J108" s="25" t="s">
        <v>312</v>
      </c>
      <c r="K108" s="4"/>
      <c r="M108"/>
    </row>
    <row r="109" spans="1:13" x14ac:dyDescent="0.3">
      <c r="A109" s="4">
        <v>30532</v>
      </c>
      <c r="B109">
        <v>8668</v>
      </c>
      <c r="C109" s="4">
        <v>10156</v>
      </c>
      <c r="D109" t="s">
        <v>313</v>
      </c>
      <c r="E109" s="4">
        <v>22</v>
      </c>
      <c r="F109" s="25">
        <v>43787.437696759262</v>
      </c>
      <c r="G109">
        <v>0</v>
      </c>
      <c r="H109" s="25"/>
      <c r="I109" s="25"/>
      <c r="J109" s="25" t="s">
        <v>312</v>
      </c>
      <c r="K109" s="4"/>
      <c r="M109"/>
    </row>
    <row r="110" spans="1:13" x14ac:dyDescent="0.3">
      <c r="A110" s="4">
        <v>30532</v>
      </c>
      <c r="B110">
        <v>8668</v>
      </c>
      <c r="C110" s="4">
        <v>10156</v>
      </c>
      <c r="D110" t="s">
        <v>313</v>
      </c>
      <c r="E110" s="4">
        <v>23</v>
      </c>
      <c r="F110" s="25">
        <v>43787.437696759262</v>
      </c>
      <c r="G110">
        <v>0</v>
      </c>
      <c r="H110" s="25"/>
      <c r="I110" s="25"/>
      <c r="J110" s="25" t="s">
        <v>312</v>
      </c>
      <c r="K110" s="4"/>
      <c r="M110"/>
    </row>
    <row r="111" spans="1:13" x14ac:dyDescent="0.3">
      <c r="A111" s="4">
        <v>30532</v>
      </c>
      <c r="B111">
        <v>8668</v>
      </c>
      <c r="C111" s="4">
        <v>10156</v>
      </c>
      <c r="D111" t="s">
        <v>313</v>
      </c>
      <c r="E111" s="4">
        <v>24</v>
      </c>
      <c r="F111" s="25">
        <v>43787.437696759262</v>
      </c>
      <c r="G111">
        <v>0</v>
      </c>
      <c r="H111" s="25"/>
      <c r="I111" s="25"/>
      <c r="J111" s="25" t="s">
        <v>312</v>
      </c>
      <c r="K111" s="4"/>
      <c r="M111"/>
    </row>
    <row r="112" spans="1:13" x14ac:dyDescent="0.3">
      <c r="A112" s="4">
        <v>30532</v>
      </c>
      <c r="B112">
        <v>8668</v>
      </c>
      <c r="C112" s="4">
        <v>10156</v>
      </c>
      <c r="D112" t="s">
        <v>313</v>
      </c>
      <c r="E112" s="4">
        <v>19</v>
      </c>
      <c r="F112" s="25">
        <v>43787.437685185185</v>
      </c>
      <c r="G112">
        <v>0</v>
      </c>
      <c r="H112" s="25"/>
      <c r="I112" s="25"/>
      <c r="J112" s="25" t="s">
        <v>312</v>
      </c>
      <c r="K112" s="4"/>
      <c r="M112"/>
    </row>
    <row r="113" spans="1:13" x14ac:dyDescent="0.3">
      <c r="A113" s="4">
        <v>30532</v>
      </c>
      <c r="B113">
        <v>8668</v>
      </c>
      <c r="C113" s="4">
        <v>10156</v>
      </c>
      <c r="D113" t="s">
        <v>313</v>
      </c>
      <c r="E113" s="4">
        <v>20</v>
      </c>
      <c r="F113" s="25">
        <v>43787.437685185185</v>
      </c>
      <c r="G113">
        <v>0</v>
      </c>
      <c r="H113" s="25"/>
      <c r="I113" s="25"/>
      <c r="J113" s="25" t="s">
        <v>312</v>
      </c>
      <c r="K113" s="4"/>
      <c r="M113"/>
    </row>
    <row r="114" spans="1:13" x14ac:dyDescent="0.3">
      <c r="A114" s="4">
        <v>30532</v>
      </c>
      <c r="B114">
        <v>8668</v>
      </c>
      <c r="C114" s="4">
        <v>10156</v>
      </c>
      <c r="D114" t="s">
        <v>313</v>
      </c>
      <c r="E114" s="4">
        <v>21</v>
      </c>
      <c r="F114" s="25">
        <v>43787.437685185185</v>
      </c>
      <c r="G114">
        <v>0</v>
      </c>
      <c r="H114" s="25"/>
      <c r="I114" s="25"/>
      <c r="J114" s="25" t="s">
        <v>312</v>
      </c>
      <c r="K114" s="4"/>
      <c r="M114"/>
    </row>
    <row r="115" spans="1:13" x14ac:dyDescent="0.3">
      <c r="A115" s="4">
        <v>30532</v>
      </c>
      <c r="B115">
        <v>8668</v>
      </c>
      <c r="C115" s="4">
        <v>10156</v>
      </c>
      <c r="D115" t="s">
        <v>313</v>
      </c>
      <c r="E115" s="4">
        <v>16</v>
      </c>
      <c r="F115" s="25">
        <v>43787.437673611108</v>
      </c>
      <c r="G115">
        <v>0</v>
      </c>
      <c r="H115" s="25"/>
      <c r="I115" s="25"/>
      <c r="J115" s="25" t="s">
        <v>312</v>
      </c>
      <c r="K115" s="4"/>
      <c r="M115"/>
    </row>
    <row r="116" spans="1:13" x14ac:dyDescent="0.3">
      <c r="A116" s="4">
        <v>30532</v>
      </c>
      <c r="B116">
        <v>8668</v>
      </c>
      <c r="C116" s="4">
        <v>10156</v>
      </c>
      <c r="D116" t="s">
        <v>313</v>
      </c>
      <c r="E116" s="4">
        <v>17</v>
      </c>
      <c r="F116" s="25">
        <v>43787.437673611108</v>
      </c>
      <c r="G116">
        <v>0</v>
      </c>
      <c r="H116" s="25"/>
      <c r="I116" s="25"/>
      <c r="J116" s="25" t="s">
        <v>312</v>
      </c>
      <c r="K116" s="4"/>
      <c r="M116"/>
    </row>
    <row r="117" spans="1:13" x14ac:dyDescent="0.3">
      <c r="A117" s="4">
        <v>30532</v>
      </c>
      <c r="B117">
        <v>8668</v>
      </c>
      <c r="C117" s="4">
        <v>10156</v>
      </c>
      <c r="D117" t="s">
        <v>313</v>
      </c>
      <c r="E117" s="4">
        <v>18</v>
      </c>
      <c r="F117" s="25">
        <v>43787.437673611108</v>
      </c>
      <c r="G117">
        <v>0</v>
      </c>
      <c r="H117" s="25"/>
      <c r="I117" s="25"/>
      <c r="J117" s="25" t="s">
        <v>312</v>
      </c>
      <c r="K117" s="4"/>
      <c r="M117"/>
    </row>
    <row r="118" spans="1:13" x14ac:dyDescent="0.3">
      <c r="A118" s="4">
        <v>30532</v>
      </c>
      <c r="B118">
        <v>8668</v>
      </c>
      <c r="C118" s="4">
        <v>10156</v>
      </c>
      <c r="D118" t="s">
        <v>313</v>
      </c>
      <c r="E118" s="4">
        <v>13</v>
      </c>
      <c r="F118" s="25">
        <v>43787.437662037039</v>
      </c>
      <c r="G118">
        <v>0</v>
      </c>
      <c r="H118" s="25"/>
      <c r="I118" s="25"/>
      <c r="J118" s="25" t="s">
        <v>312</v>
      </c>
      <c r="K118" s="4"/>
      <c r="M118"/>
    </row>
    <row r="119" spans="1:13" x14ac:dyDescent="0.3">
      <c r="A119" s="4">
        <v>30532</v>
      </c>
      <c r="B119">
        <v>8668</v>
      </c>
      <c r="C119" s="4">
        <v>10156</v>
      </c>
      <c r="D119" t="s">
        <v>313</v>
      </c>
      <c r="E119" s="4">
        <v>14</v>
      </c>
      <c r="F119" s="25">
        <v>43787.437662037039</v>
      </c>
      <c r="G119">
        <v>0</v>
      </c>
      <c r="H119" s="25"/>
      <c r="I119" s="25"/>
      <c r="J119" s="25" t="s">
        <v>312</v>
      </c>
      <c r="K119" s="4"/>
      <c r="M119"/>
    </row>
    <row r="120" spans="1:13" x14ac:dyDescent="0.3">
      <c r="A120" s="4">
        <v>30532</v>
      </c>
      <c r="B120">
        <v>8668</v>
      </c>
      <c r="C120" s="4">
        <v>10156</v>
      </c>
      <c r="D120" t="s">
        <v>313</v>
      </c>
      <c r="E120" s="4">
        <v>15</v>
      </c>
      <c r="F120" s="25">
        <v>43787.437662037039</v>
      </c>
      <c r="G120">
        <v>0</v>
      </c>
      <c r="H120" s="25"/>
      <c r="I120" s="25"/>
      <c r="J120" s="25" t="s">
        <v>312</v>
      </c>
      <c r="K120" s="4"/>
      <c r="M120"/>
    </row>
    <row r="121" spans="1:13" x14ac:dyDescent="0.3">
      <c r="A121" s="4">
        <v>30532</v>
      </c>
      <c r="B121">
        <v>8668</v>
      </c>
      <c r="C121" s="4">
        <v>10156</v>
      </c>
      <c r="D121" t="s">
        <v>313</v>
      </c>
      <c r="E121" s="4">
        <v>10</v>
      </c>
      <c r="F121" s="25">
        <v>43787.437650462962</v>
      </c>
      <c r="G121">
        <v>0</v>
      </c>
      <c r="H121" s="25"/>
      <c r="I121" s="25"/>
      <c r="J121" s="25" t="s">
        <v>312</v>
      </c>
      <c r="K121" s="4"/>
      <c r="M121"/>
    </row>
    <row r="122" spans="1:13" x14ac:dyDescent="0.3">
      <c r="A122" s="4">
        <v>30532</v>
      </c>
      <c r="B122">
        <v>8668</v>
      </c>
      <c r="C122" s="4">
        <v>10156</v>
      </c>
      <c r="D122" t="s">
        <v>313</v>
      </c>
      <c r="E122" s="4">
        <v>11</v>
      </c>
      <c r="F122" s="25">
        <v>43787.437650462962</v>
      </c>
      <c r="G122">
        <v>0</v>
      </c>
      <c r="H122" s="25"/>
      <c r="I122" s="25"/>
      <c r="J122" s="25" t="s">
        <v>312</v>
      </c>
      <c r="K122" s="4"/>
      <c r="M122"/>
    </row>
    <row r="123" spans="1:13" x14ac:dyDescent="0.3">
      <c r="A123" s="4">
        <v>30532</v>
      </c>
      <c r="B123">
        <v>8668</v>
      </c>
      <c r="C123" s="4">
        <v>10156</v>
      </c>
      <c r="D123" t="s">
        <v>313</v>
      </c>
      <c r="E123" s="4">
        <v>12</v>
      </c>
      <c r="F123" s="25">
        <v>43787.437650462962</v>
      </c>
      <c r="G123">
        <v>0</v>
      </c>
      <c r="H123" s="25"/>
      <c r="I123" s="25"/>
      <c r="J123" s="25" t="s">
        <v>312</v>
      </c>
      <c r="K123" s="4"/>
      <c r="M123"/>
    </row>
    <row r="124" spans="1:13" x14ac:dyDescent="0.3">
      <c r="A124" s="4">
        <v>30532</v>
      </c>
      <c r="B124">
        <v>8668</v>
      </c>
      <c r="C124" s="4">
        <v>10156</v>
      </c>
      <c r="D124" t="s">
        <v>313</v>
      </c>
      <c r="E124" s="4">
        <v>7</v>
      </c>
      <c r="F124" s="25">
        <v>43787.437638888892</v>
      </c>
      <c r="G124">
        <v>0</v>
      </c>
      <c r="H124" s="25"/>
      <c r="I124" s="25"/>
      <c r="J124" s="25" t="s">
        <v>312</v>
      </c>
      <c r="K124" s="4"/>
      <c r="M124"/>
    </row>
    <row r="125" spans="1:13" x14ac:dyDescent="0.3">
      <c r="A125" s="4">
        <v>30532</v>
      </c>
      <c r="B125">
        <v>8668</v>
      </c>
      <c r="C125" s="4">
        <v>10156</v>
      </c>
      <c r="D125" t="s">
        <v>313</v>
      </c>
      <c r="E125" s="4">
        <v>8</v>
      </c>
      <c r="F125" s="25">
        <v>43787.437638888892</v>
      </c>
      <c r="G125">
        <v>0</v>
      </c>
      <c r="H125" s="25"/>
      <c r="I125" s="25"/>
      <c r="J125" s="25" t="s">
        <v>312</v>
      </c>
      <c r="K125" s="4"/>
      <c r="M125"/>
    </row>
    <row r="126" spans="1:13" x14ac:dyDescent="0.3">
      <c r="A126" s="4">
        <v>30532</v>
      </c>
      <c r="B126">
        <v>8668</v>
      </c>
      <c r="C126" s="4">
        <v>10156</v>
      </c>
      <c r="D126" t="s">
        <v>313</v>
      </c>
      <c r="E126" s="4">
        <v>9</v>
      </c>
      <c r="F126" s="25">
        <v>43787.437638888892</v>
      </c>
      <c r="G126">
        <v>0</v>
      </c>
      <c r="H126" s="25"/>
      <c r="I126" s="25"/>
      <c r="J126" s="25" t="s">
        <v>312</v>
      </c>
      <c r="K126" s="4"/>
      <c r="M126"/>
    </row>
    <row r="127" spans="1:13" x14ac:dyDescent="0.3">
      <c r="A127" s="4">
        <v>30532</v>
      </c>
      <c r="B127">
        <v>8668</v>
      </c>
      <c r="C127" s="4">
        <v>10156</v>
      </c>
      <c r="D127" t="s">
        <v>313</v>
      </c>
      <c r="E127" s="4">
        <v>4</v>
      </c>
      <c r="F127" s="25">
        <v>43787.437627314815</v>
      </c>
      <c r="G127">
        <v>0</v>
      </c>
      <c r="H127" s="25"/>
      <c r="I127" s="25"/>
      <c r="J127" s="25" t="s">
        <v>312</v>
      </c>
      <c r="K127" s="4"/>
      <c r="M127"/>
    </row>
    <row r="128" spans="1:13" x14ac:dyDescent="0.3">
      <c r="A128" s="4">
        <v>30532</v>
      </c>
      <c r="B128">
        <v>8668</v>
      </c>
      <c r="C128" s="4">
        <v>10156</v>
      </c>
      <c r="D128" t="s">
        <v>313</v>
      </c>
      <c r="E128" s="4">
        <v>5</v>
      </c>
      <c r="F128" s="25">
        <v>43787.437627314815</v>
      </c>
      <c r="G128">
        <v>0</v>
      </c>
      <c r="H128" s="25"/>
      <c r="I128" s="25"/>
      <c r="J128" s="25" t="s">
        <v>312</v>
      </c>
      <c r="K128" s="4"/>
      <c r="M128"/>
    </row>
    <row r="129" spans="1:13" x14ac:dyDescent="0.3">
      <c r="A129" s="4">
        <v>30532</v>
      </c>
      <c r="B129">
        <v>8668</v>
      </c>
      <c r="C129" s="4">
        <v>10156</v>
      </c>
      <c r="D129" t="s">
        <v>313</v>
      </c>
      <c r="E129" s="4">
        <v>6</v>
      </c>
      <c r="F129" s="25">
        <v>43787.437627314815</v>
      </c>
      <c r="G129">
        <v>0</v>
      </c>
      <c r="H129" s="25"/>
      <c r="I129" s="25"/>
      <c r="J129" s="25" t="s">
        <v>312</v>
      </c>
      <c r="K129" s="4"/>
      <c r="M129"/>
    </row>
    <row r="130" spans="1:13" x14ac:dyDescent="0.3">
      <c r="A130" s="4">
        <v>30532</v>
      </c>
      <c r="B130">
        <v>8668</v>
      </c>
      <c r="C130" s="4">
        <v>10156</v>
      </c>
      <c r="D130" t="s">
        <v>313</v>
      </c>
      <c r="E130" s="4">
        <v>1</v>
      </c>
      <c r="F130" s="25">
        <v>43787.437615740739</v>
      </c>
      <c r="G130">
        <v>0</v>
      </c>
      <c r="H130" s="25"/>
      <c r="I130" s="25"/>
      <c r="J130" s="25" t="s">
        <v>312</v>
      </c>
      <c r="K130" s="4"/>
      <c r="M130"/>
    </row>
    <row r="131" spans="1:13" x14ac:dyDescent="0.3">
      <c r="A131" s="4">
        <v>30532</v>
      </c>
      <c r="B131">
        <v>8668</v>
      </c>
      <c r="C131" s="4">
        <v>10156</v>
      </c>
      <c r="D131" t="s">
        <v>313</v>
      </c>
      <c r="E131" s="4">
        <v>2</v>
      </c>
      <c r="F131" s="25">
        <v>43787.437615740739</v>
      </c>
      <c r="G131">
        <v>0</v>
      </c>
      <c r="H131" s="25"/>
      <c r="I131" s="25"/>
      <c r="J131" s="25" t="s">
        <v>312</v>
      </c>
      <c r="K131" s="4"/>
      <c r="M131"/>
    </row>
    <row r="132" spans="1:13" x14ac:dyDescent="0.3">
      <c r="A132" s="4">
        <v>30532</v>
      </c>
      <c r="B132">
        <v>8668</v>
      </c>
      <c r="C132" s="4">
        <v>10156</v>
      </c>
      <c r="D132" t="s">
        <v>313</v>
      </c>
      <c r="E132" s="4">
        <v>3</v>
      </c>
      <c r="F132" s="25">
        <v>43787.437615740739</v>
      </c>
      <c r="G132">
        <v>0</v>
      </c>
      <c r="H132" s="25"/>
      <c r="I132" s="25"/>
      <c r="J132" s="25" t="s">
        <v>312</v>
      </c>
      <c r="K132" s="4"/>
      <c r="M132"/>
    </row>
    <row r="133" spans="1:13" x14ac:dyDescent="0.3">
      <c r="A133" s="4">
        <v>30532</v>
      </c>
      <c r="B133">
        <v>8668</v>
      </c>
      <c r="C133" s="4">
        <v>10156</v>
      </c>
      <c r="D133" t="s">
        <v>313</v>
      </c>
      <c r="E133" s="4">
        <v>0</v>
      </c>
      <c r="F133" s="25">
        <v>43787.437604166669</v>
      </c>
      <c r="G133">
        <v>0</v>
      </c>
      <c r="H133" s="25"/>
      <c r="I133" s="25"/>
      <c r="J133" s="25" t="s">
        <v>312</v>
      </c>
      <c r="K133" s="4"/>
      <c r="M133"/>
    </row>
    <row r="134" spans="1:13" x14ac:dyDescent="0.3">
      <c r="A134" s="4">
        <v>1</v>
      </c>
      <c r="B134">
        <v>9396</v>
      </c>
      <c r="C134" s="4">
        <v>8600</v>
      </c>
      <c r="D134" t="s">
        <v>7</v>
      </c>
      <c r="E134" s="4">
        <v>0</v>
      </c>
      <c r="F134" s="25">
        <v>43787.433842592596</v>
      </c>
      <c r="G134">
        <v>0</v>
      </c>
      <c r="H134" s="25"/>
      <c r="I134" s="25" t="s">
        <v>323</v>
      </c>
      <c r="J134" s="25" t="s">
        <v>390</v>
      </c>
      <c r="K134" s="4"/>
      <c r="M134"/>
    </row>
    <row r="135" spans="1:13" x14ac:dyDescent="0.3">
      <c r="A135" s="4">
        <v>1</v>
      </c>
      <c r="B135">
        <v>8600</v>
      </c>
      <c r="C135" s="4">
        <v>8600</v>
      </c>
      <c r="D135" t="s">
        <v>7</v>
      </c>
      <c r="E135" s="4">
        <v>0</v>
      </c>
      <c r="F135" s="25">
        <v>43787.433541666665</v>
      </c>
      <c r="G135">
        <v>1</v>
      </c>
      <c r="H135" s="25" t="s">
        <v>389</v>
      </c>
      <c r="I135" s="25"/>
      <c r="J135" s="25" t="s">
        <v>391</v>
      </c>
      <c r="K135" s="4"/>
      <c r="M135"/>
    </row>
    <row r="136" spans="1:13" x14ac:dyDescent="0.3">
      <c r="A136" s="4">
        <v>1</v>
      </c>
      <c r="B136">
        <v>12904</v>
      </c>
      <c r="C136" s="4">
        <v>10156</v>
      </c>
      <c r="D136" t="s">
        <v>7</v>
      </c>
      <c r="E136" s="4">
        <v>0</v>
      </c>
      <c r="F136" s="25">
        <v>43787.423379629632</v>
      </c>
      <c r="G136">
        <v>0</v>
      </c>
      <c r="H136" s="25"/>
      <c r="I136" s="25" t="s">
        <v>323</v>
      </c>
      <c r="J136" s="25" t="s">
        <v>392</v>
      </c>
      <c r="K136" s="4"/>
      <c r="M136"/>
    </row>
    <row r="137" spans="1:13" x14ac:dyDescent="0.3">
      <c r="A137" s="4">
        <v>1</v>
      </c>
      <c r="B137">
        <v>10156</v>
      </c>
      <c r="C137" s="4">
        <v>10156</v>
      </c>
      <c r="D137" t="s">
        <v>7</v>
      </c>
      <c r="E137" s="4">
        <v>0</v>
      </c>
      <c r="F137" s="25">
        <v>43787.423009259262</v>
      </c>
      <c r="G137">
        <v>1</v>
      </c>
      <c r="H137" s="25" t="s">
        <v>311</v>
      </c>
      <c r="I137" s="25"/>
      <c r="J137" s="25" t="s">
        <v>393</v>
      </c>
      <c r="K137" s="4"/>
      <c r="M137"/>
    </row>
    <row r="138" spans="1:13" x14ac:dyDescent="0.3">
      <c r="K138" s="4"/>
      <c r="M138"/>
    </row>
    <row r="139" spans="1:13" x14ac:dyDescent="0.3">
      <c r="K139" s="4"/>
      <c r="M139"/>
    </row>
    <row r="140" spans="1:13" x14ac:dyDescent="0.3">
      <c r="K140" s="4"/>
      <c r="M140"/>
    </row>
    <row r="141" spans="1:13" x14ac:dyDescent="0.3">
      <c r="K141" s="4"/>
      <c r="M141"/>
    </row>
    <row r="142" spans="1:13" x14ac:dyDescent="0.3">
      <c r="K142" s="4"/>
      <c r="M142"/>
    </row>
    <row r="143" spans="1:13" x14ac:dyDescent="0.3">
      <c r="K143" s="4"/>
      <c r="M143"/>
    </row>
    <row r="144" spans="1:13" x14ac:dyDescent="0.3">
      <c r="K144" s="4"/>
      <c r="M144"/>
    </row>
    <row r="145" spans="11:13" x14ac:dyDescent="0.3">
      <c r="K145" s="4"/>
      <c r="M145"/>
    </row>
    <row r="146" spans="11:13" x14ac:dyDescent="0.3">
      <c r="K146" s="4"/>
      <c r="M146"/>
    </row>
    <row r="147" spans="11:13" x14ac:dyDescent="0.3">
      <c r="K147" s="4"/>
      <c r="M147"/>
    </row>
    <row r="148" spans="11:13" x14ac:dyDescent="0.3">
      <c r="K148" s="4"/>
      <c r="M148"/>
    </row>
    <row r="149" spans="11:13" x14ac:dyDescent="0.3">
      <c r="K149" s="4"/>
      <c r="M149"/>
    </row>
    <row r="150" spans="11:13" x14ac:dyDescent="0.3">
      <c r="K150" s="4"/>
      <c r="M150"/>
    </row>
    <row r="151" spans="11:13" x14ac:dyDescent="0.3">
      <c r="K151" s="4"/>
      <c r="M151"/>
    </row>
    <row r="152" spans="11:13" x14ac:dyDescent="0.3">
      <c r="K152" s="4"/>
      <c r="M152"/>
    </row>
    <row r="153" spans="11:13" x14ac:dyDescent="0.3">
      <c r="K153" s="4"/>
      <c r="M153"/>
    </row>
    <row r="154" spans="11:13" x14ac:dyDescent="0.3">
      <c r="K154" s="4"/>
      <c r="M154"/>
    </row>
    <row r="155" spans="11:13" x14ac:dyDescent="0.3">
      <c r="K155" s="4"/>
      <c r="M155"/>
    </row>
    <row r="156" spans="11:13" x14ac:dyDescent="0.3">
      <c r="K156" s="4"/>
      <c r="M156"/>
    </row>
    <row r="157" spans="11:13" x14ac:dyDescent="0.3">
      <c r="K157" s="4"/>
      <c r="M157"/>
    </row>
    <row r="158" spans="11:13" x14ac:dyDescent="0.3">
      <c r="K158" s="4"/>
      <c r="M158"/>
    </row>
    <row r="159" spans="11:13" x14ac:dyDescent="0.3">
      <c r="K159" s="4"/>
      <c r="M159"/>
    </row>
    <row r="160" spans="11:13" x14ac:dyDescent="0.3">
      <c r="K160" s="4"/>
      <c r="M160"/>
    </row>
    <row r="161" spans="11:13" x14ac:dyDescent="0.3">
      <c r="K161" s="4"/>
      <c r="M161"/>
    </row>
    <row r="162" spans="11:13" x14ac:dyDescent="0.3">
      <c r="K162" s="4"/>
      <c r="M162"/>
    </row>
    <row r="163" spans="11:13" x14ac:dyDescent="0.3">
      <c r="K163" s="4"/>
      <c r="M163"/>
    </row>
    <row r="164" spans="11:13" x14ac:dyDescent="0.3">
      <c r="K164" s="4"/>
      <c r="M164"/>
    </row>
    <row r="165" spans="11:13" x14ac:dyDescent="0.3">
      <c r="K165" s="4"/>
      <c r="M165"/>
    </row>
    <row r="166" spans="11:13" x14ac:dyDescent="0.3">
      <c r="K166" s="4"/>
      <c r="M166"/>
    </row>
    <row r="167" spans="11:13" x14ac:dyDescent="0.3">
      <c r="K167" s="4"/>
      <c r="M167"/>
    </row>
    <row r="168" spans="11:13" x14ac:dyDescent="0.3">
      <c r="K168" s="4"/>
      <c r="M168"/>
    </row>
    <row r="169" spans="11:13" x14ac:dyDescent="0.3">
      <c r="K169" s="4"/>
      <c r="M169"/>
    </row>
    <row r="170" spans="11:13" x14ac:dyDescent="0.3">
      <c r="K170" s="4"/>
      <c r="M170"/>
    </row>
    <row r="171" spans="11:13" x14ac:dyDescent="0.3">
      <c r="K171" s="4"/>
      <c r="M171"/>
    </row>
    <row r="172" spans="11:13" x14ac:dyDescent="0.3">
      <c r="K172" s="4"/>
      <c r="M172"/>
    </row>
    <row r="173" spans="11:13" x14ac:dyDescent="0.3">
      <c r="K173" s="4"/>
      <c r="M173"/>
    </row>
    <row r="174" spans="11:13" x14ac:dyDescent="0.3">
      <c r="K174" s="4"/>
      <c r="M174"/>
    </row>
    <row r="175" spans="11:13" x14ac:dyDescent="0.3">
      <c r="K175" s="4"/>
      <c r="M175"/>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2"/>
  <sheetViews>
    <sheetView zoomScaleNormal="100" workbookViewId="0">
      <selection activeCell="A3" sqref="A3"/>
    </sheetView>
  </sheetViews>
  <sheetFormatPr defaultRowHeight="14.4" x14ac:dyDescent="0.3"/>
  <cols>
    <col min="1" max="1" width="10.88671875" customWidth="1"/>
    <col min="2" max="2" width="64.109375" customWidth="1"/>
    <col min="3" max="4" width="66.5546875" customWidth="1"/>
    <col min="5" max="5" width="12.33203125" customWidth="1"/>
    <col min="6" max="8" width="61.88671875" customWidth="1"/>
    <col min="9" max="9" width="62" bestFit="1" customWidth="1"/>
  </cols>
  <sheetData>
    <row r="1" spans="1:5" x14ac:dyDescent="0.3">
      <c r="A1">
        <v>6132</v>
      </c>
    </row>
    <row r="2" spans="1:5" x14ac:dyDescent="0.3">
      <c r="A2">
        <v>11808</v>
      </c>
    </row>
    <row r="3" spans="1:5" x14ac:dyDescent="0.3">
      <c r="A3" t="s">
        <v>141</v>
      </c>
      <c r="B3" t="s">
        <v>142</v>
      </c>
      <c r="C3" t="s">
        <v>174</v>
      </c>
      <c r="D3" t="s">
        <v>175</v>
      </c>
      <c r="E3" t="s">
        <v>176</v>
      </c>
    </row>
    <row r="4" spans="1:5" hidden="1" x14ac:dyDescent="0.3">
      <c r="A4" t="s">
        <v>143</v>
      </c>
      <c r="B4" t="s">
        <v>159</v>
      </c>
      <c r="C4" t="s">
        <v>160</v>
      </c>
      <c r="D4" t="s">
        <v>160</v>
      </c>
    </row>
    <row r="5" spans="1:5" hidden="1" x14ac:dyDescent="0.3">
      <c r="A5" t="s">
        <v>143</v>
      </c>
      <c r="B5" t="s">
        <v>155</v>
      </c>
      <c r="C5" t="s">
        <v>156</v>
      </c>
      <c r="D5" t="s">
        <v>156</v>
      </c>
    </row>
    <row r="6" spans="1:5" hidden="1" x14ac:dyDescent="0.3">
      <c r="A6" t="s">
        <v>143</v>
      </c>
      <c r="B6" t="s">
        <v>157</v>
      </c>
      <c r="C6" t="s">
        <v>158</v>
      </c>
      <c r="D6" t="s">
        <v>158</v>
      </c>
    </row>
    <row r="7" spans="1:5" hidden="1" x14ac:dyDescent="0.3">
      <c r="A7" t="s">
        <v>143</v>
      </c>
      <c r="B7" t="s">
        <v>164</v>
      </c>
      <c r="C7" t="s">
        <v>291</v>
      </c>
      <c r="D7" t="s">
        <v>160</v>
      </c>
      <c r="E7" t="s">
        <v>186</v>
      </c>
    </row>
    <row r="8" spans="1:5" hidden="1" x14ac:dyDescent="0.3">
      <c r="A8" t="s">
        <v>143</v>
      </c>
      <c r="B8" t="s">
        <v>161</v>
      </c>
      <c r="C8" t="s">
        <v>162</v>
      </c>
      <c r="D8" t="s">
        <v>162</v>
      </c>
    </row>
    <row r="9" spans="1:5" hidden="1" x14ac:dyDescent="0.3">
      <c r="A9" t="s">
        <v>143</v>
      </c>
      <c r="B9" t="s">
        <v>163</v>
      </c>
      <c r="C9" t="s">
        <v>158</v>
      </c>
      <c r="D9" t="s">
        <v>158</v>
      </c>
    </row>
    <row r="10" spans="1:5" hidden="1" x14ac:dyDescent="0.3">
      <c r="A10" t="s">
        <v>143</v>
      </c>
      <c r="B10" t="s">
        <v>168</v>
      </c>
      <c r="C10" t="s">
        <v>160</v>
      </c>
      <c r="D10" t="s">
        <v>160</v>
      </c>
    </row>
    <row r="11" spans="1:5" hidden="1" x14ac:dyDescent="0.3">
      <c r="A11" t="s">
        <v>143</v>
      </c>
      <c r="B11" t="s">
        <v>165</v>
      </c>
      <c r="C11" t="s">
        <v>166</v>
      </c>
      <c r="D11" t="s">
        <v>166</v>
      </c>
    </row>
    <row r="12" spans="1:5" hidden="1" x14ac:dyDescent="0.3">
      <c r="A12" t="s">
        <v>143</v>
      </c>
      <c r="B12" t="s">
        <v>167</v>
      </c>
      <c r="C12" t="s">
        <v>158</v>
      </c>
      <c r="D12" t="s">
        <v>158</v>
      </c>
    </row>
    <row r="13" spans="1:5" hidden="1" x14ac:dyDescent="0.3">
      <c r="A13" t="s">
        <v>143</v>
      </c>
      <c r="B13" t="s">
        <v>169</v>
      </c>
      <c r="C13" t="s">
        <v>170</v>
      </c>
      <c r="D13" t="s">
        <v>170</v>
      </c>
    </row>
    <row r="14" spans="1:5" hidden="1" x14ac:dyDescent="0.3">
      <c r="A14" t="s">
        <v>143</v>
      </c>
      <c r="B14" t="s">
        <v>148</v>
      </c>
      <c r="C14" t="s">
        <v>149</v>
      </c>
      <c r="D14" t="s">
        <v>149</v>
      </c>
    </row>
    <row r="15" spans="1:5" hidden="1" x14ac:dyDescent="0.3">
      <c r="A15" t="s">
        <v>143</v>
      </c>
      <c r="B15" t="s">
        <v>171</v>
      </c>
      <c r="C15" t="s">
        <v>172</v>
      </c>
      <c r="D15" t="s">
        <v>172</v>
      </c>
    </row>
    <row r="16" spans="1:5" hidden="1" x14ac:dyDescent="0.3">
      <c r="A16" t="s">
        <v>143</v>
      </c>
      <c r="B16" t="s">
        <v>144</v>
      </c>
      <c r="C16" t="s">
        <v>145</v>
      </c>
      <c r="D16" t="s">
        <v>145</v>
      </c>
    </row>
    <row r="17" spans="1:4" hidden="1" x14ac:dyDescent="0.3">
      <c r="A17" t="s">
        <v>143</v>
      </c>
      <c r="B17" t="s">
        <v>150</v>
      </c>
      <c r="C17" t="s">
        <v>151</v>
      </c>
      <c r="D17" t="s">
        <v>151</v>
      </c>
    </row>
    <row r="18" spans="1:4" hidden="1" x14ac:dyDescent="0.3">
      <c r="A18" t="s">
        <v>143</v>
      </c>
      <c r="B18" t="s">
        <v>152</v>
      </c>
      <c r="C18" t="s">
        <v>147</v>
      </c>
      <c r="D18" t="s">
        <v>147</v>
      </c>
    </row>
    <row r="19" spans="1:4" hidden="1" x14ac:dyDescent="0.3">
      <c r="A19" t="s">
        <v>143</v>
      </c>
      <c r="B19" t="s">
        <v>153</v>
      </c>
      <c r="C19" t="s">
        <v>154</v>
      </c>
      <c r="D19" t="s">
        <v>154</v>
      </c>
    </row>
    <row r="20" spans="1:4" hidden="1" x14ac:dyDescent="0.3">
      <c r="A20" t="s">
        <v>143</v>
      </c>
      <c r="B20" t="s">
        <v>146</v>
      </c>
      <c r="C20" t="s">
        <v>147</v>
      </c>
      <c r="D20" t="s">
        <v>147</v>
      </c>
    </row>
    <row r="21" spans="1:4" x14ac:dyDescent="0.3">
      <c r="A21" t="s">
        <v>177</v>
      </c>
      <c r="B21" t="s">
        <v>178</v>
      </c>
      <c r="C21" t="s">
        <v>179</v>
      </c>
      <c r="D21" t="s">
        <v>179</v>
      </c>
    </row>
    <row r="22" spans="1:4" x14ac:dyDescent="0.3">
      <c r="A22" t="s">
        <v>177</v>
      </c>
      <c r="B22" t="s">
        <v>180</v>
      </c>
      <c r="C22" t="s">
        <v>179</v>
      </c>
      <c r="D22" t="s">
        <v>179</v>
      </c>
    </row>
    <row r="23" spans="1:4" x14ac:dyDescent="0.3">
      <c r="A23" t="s">
        <v>177</v>
      </c>
      <c r="B23" t="s">
        <v>181</v>
      </c>
      <c r="C23" t="s">
        <v>182</v>
      </c>
      <c r="D23" t="s">
        <v>182</v>
      </c>
    </row>
    <row r="24" spans="1:4" x14ac:dyDescent="0.3">
      <c r="A24" t="s">
        <v>177</v>
      </c>
      <c r="B24" t="s">
        <v>183</v>
      </c>
      <c r="C24" t="s">
        <v>184</v>
      </c>
      <c r="D24" t="s">
        <v>184</v>
      </c>
    </row>
    <row r="25" spans="1:4" x14ac:dyDescent="0.3">
      <c r="A25" t="s">
        <v>177</v>
      </c>
      <c r="B25" t="s">
        <v>185</v>
      </c>
      <c r="C25" t="s">
        <v>170</v>
      </c>
      <c r="D25" t="s">
        <v>170</v>
      </c>
    </row>
    <row r="26" spans="1:4" x14ac:dyDescent="0.3">
      <c r="A26" t="s">
        <v>177</v>
      </c>
      <c r="B26" t="s">
        <v>187</v>
      </c>
      <c r="C26" t="s">
        <v>154</v>
      </c>
      <c r="D26" t="s">
        <v>154</v>
      </c>
    </row>
    <row r="27" spans="1:4" x14ac:dyDescent="0.3">
      <c r="A27" t="s">
        <v>177</v>
      </c>
      <c r="B27" t="s">
        <v>188</v>
      </c>
      <c r="C27" t="s">
        <v>154</v>
      </c>
      <c r="D27" t="s">
        <v>154</v>
      </c>
    </row>
    <row r="28" spans="1:4" x14ac:dyDescent="0.3">
      <c r="A28" t="s">
        <v>177</v>
      </c>
      <c r="B28" t="s">
        <v>189</v>
      </c>
      <c r="C28" t="s">
        <v>190</v>
      </c>
      <c r="D28" t="s">
        <v>190</v>
      </c>
    </row>
    <row r="29" spans="1:4" x14ac:dyDescent="0.3">
      <c r="A29" t="s">
        <v>177</v>
      </c>
      <c r="B29" t="s">
        <v>191</v>
      </c>
      <c r="C29" t="s">
        <v>192</v>
      </c>
      <c r="D29" t="s">
        <v>192</v>
      </c>
    </row>
    <row r="30" spans="1:4" x14ac:dyDescent="0.3">
      <c r="A30" t="s">
        <v>177</v>
      </c>
      <c r="B30" t="s">
        <v>193</v>
      </c>
      <c r="C30" t="s">
        <v>194</v>
      </c>
      <c r="D30" t="s">
        <v>194</v>
      </c>
    </row>
    <row r="31" spans="1:4" x14ac:dyDescent="0.3">
      <c r="A31" t="s">
        <v>177</v>
      </c>
      <c r="B31" t="s">
        <v>195</v>
      </c>
      <c r="C31" t="s">
        <v>196</v>
      </c>
      <c r="D31" t="s">
        <v>196</v>
      </c>
    </row>
    <row r="32" spans="1:4" x14ac:dyDescent="0.3">
      <c r="A32" t="s">
        <v>177</v>
      </c>
      <c r="B32" t="s">
        <v>197</v>
      </c>
      <c r="C32" t="s">
        <v>198</v>
      </c>
      <c r="D32" t="s">
        <v>198</v>
      </c>
    </row>
    <row r="33" spans="1:4" x14ac:dyDescent="0.3">
      <c r="A33" t="s">
        <v>177</v>
      </c>
      <c r="B33" t="s">
        <v>199</v>
      </c>
      <c r="C33" t="s">
        <v>154</v>
      </c>
      <c r="D33" t="s">
        <v>154</v>
      </c>
    </row>
    <row r="34" spans="1:4" x14ac:dyDescent="0.3">
      <c r="A34" t="s">
        <v>177</v>
      </c>
      <c r="B34" t="s">
        <v>200</v>
      </c>
      <c r="C34" t="s">
        <v>154</v>
      </c>
      <c r="D34" t="s">
        <v>154</v>
      </c>
    </row>
    <row r="35" spans="1:4" x14ac:dyDescent="0.3">
      <c r="A35" t="s">
        <v>177</v>
      </c>
      <c r="B35" t="s">
        <v>201</v>
      </c>
      <c r="C35" t="s">
        <v>202</v>
      </c>
      <c r="D35" t="s">
        <v>202</v>
      </c>
    </row>
    <row r="36" spans="1:4" hidden="1" x14ac:dyDescent="0.3">
      <c r="A36" t="s">
        <v>177</v>
      </c>
      <c r="B36" t="s">
        <v>203</v>
      </c>
      <c r="C36" t="s">
        <v>204</v>
      </c>
      <c r="D36" t="s">
        <v>204</v>
      </c>
    </row>
    <row r="37" spans="1:4" hidden="1" x14ac:dyDescent="0.3">
      <c r="A37" t="s">
        <v>177</v>
      </c>
      <c r="B37" t="s">
        <v>205</v>
      </c>
      <c r="C37" t="s">
        <v>206</v>
      </c>
      <c r="D37" t="s">
        <v>206</v>
      </c>
    </row>
    <row r="38" spans="1:4" hidden="1" x14ac:dyDescent="0.3">
      <c r="A38" t="s">
        <v>177</v>
      </c>
      <c r="B38" t="s">
        <v>207</v>
      </c>
      <c r="C38" t="s">
        <v>208</v>
      </c>
      <c r="D38" t="s">
        <v>208</v>
      </c>
    </row>
    <row r="39" spans="1:4" hidden="1" x14ac:dyDescent="0.3">
      <c r="A39" t="s">
        <v>177</v>
      </c>
      <c r="B39" t="s">
        <v>209</v>
      </c>
      <c r="C39" t="s">
        <v>210</v>
      </c>
      <c r="D39" t="s">
        <v>210</v>
      </c>
    </row>
    <row r="40" spans="1:4" hidden="1" x14ac:dyDescent="0.3">
      <c r="A40" t="s">
        <v>177</v>
      </c>
      <c r="B40" t="s">
        <v>211</v>
      </c>
      <c r="C40" t="s">
        <v>212</v>
      </c>
      <c r="D40" t="s">
        <v>212</v>
      </c>
    </row>
    <row r="41" spans="1:4" hidden="1" x14ac:dyDescent="0.3">
      <c r="A41" t="s">
        <v>177</v>
      </c>
      <c r="B41" t="s">
        <v>213</v>
      </c>
      <c r="C41" t="s">
        <v>149</v>
      </c>
      <c r="D41" t="s">
        <v>149</v>
      </c>
    </row>
    <row r="42" spans="1:4" hidden="1" x14ac:dyDescent="0.3">
      <c r="A42" t="s">
        <v>177</v>
      </c>
      <c r="B42" t="s">
        <v>214</v>
      </c>
      <c r="C42" t="s">
        <v>172</v>
      </c>
      <c r="D42" t="s">
        <v>172</v>
      </c>
    </row>
    <row r="43" spans="1:4" hidden="1" x14ac:dyDescent="0.3">
      <c r="A43" t="s">
        <v>177</v>
      </c>
      <c r="B43" t="s">
        <v>215</v>
      </c>
      <c r="C43" t="s">
        <v>145</v>
      </c>
      <c r="D43" t="s">
        <v>145</v>
      </c>
    </row>
    <row r="44" spans="1:4" hidden="1" x14ac:dyDescent="0.3">
      <c r="A44" t="s">
        <v>177</v>
      </c>
      <c r="B44" t="s">
        <v>216</v>
      </c>
      <c r="C44" t="s">
        <v>151</v>
      </c>
      <c r="D44" t="s">
        <v>151</v>
      </c>
    </row>
    <row r="45" spans="1:4" hidden="1" x14ac:dyDescent="0.3">
      <c r="A45" t="s">
        <v>177</v>
      </c>
      <c r="B45" t="s">
        <v>217</v>
      </c>
      <c r="C45" t="s">
        <v>147</v>
      </c>
      <c r="D45" t="s">
        <v>147</v>
      </c>
    </row>
    <row r="46" spans="1:4" hidden="1" x14ac:dyDescent="0.3">
      <c r="A46" t="s">
        <v>177</v>
      </c>
      <c r="B46" t="s">
        <v>218</v>
      </c>
      <c r="C46" t="s">
        <v>147</v>
      </c>
      <c r="D46" t="s">
        <v>147</v>
      </c>
    </row>
    <row r="47" spans="1:4" hidden="1" x14ac:dyDescent="0.3">
      <c r="A47" t="s">
        <v>177</v>
      </c>
      <c r="B47" t="s">
        <v>219</v>
      </c>
      <c r="C47" t="s">
        <v>147</v>
      </c>
      <c r="D47" t="s">
        <v>147</v>
      </c>
    </row>
    <row r="48" spans="1:4" hidden="1" x14ac:dyDescent="0.3">
      <c r="A48" t="s">
        <v>177</v>
      </c>
      <c r="B48" t="s">
        <v>220</v>
      </c>
      <c r="C48" t="s">
        <v>147</v>
      </c>
      <c r="D48" t="s">
        <v>147</v>
      </c>
    </row>
    <row r="49" spans="1:4" hidden="1" x14ac:dyDescent="0.3">
      <c r="A49" t="s">
        <v>177</v>
      </c>
      <c r="B49" t="s">
        <v>221</v>
      </c>
      <c r="C49" t="s">
        <v>147</v>
      </c>
      <c r="D49" t="s">
        <v>147</v>
      </c>
    </row>
    <row r="50" spans="1:4" hidden="1" x14ac:dyDescent="0.3">
      <c r="A50" t="s">
        <v>177</v>
      </c>
      <c r="B50" t="s">
        <v>222</v>
      </c>
      <c r="C50" t="s">
        <v>154</v>
      </c>
      <c r="D50" t="s">
        <v>154</v>
      </c>
    </row>
    <row r="51" spans="1:4" x14ac:dyDescent="0.3">
      <c r="A51" t="s">
        <v>177</v>
      </c>
      <c r="B51" t="s">
        <v>223</v>
      </c>
      <c r="C51" t="s">
        <v>170</v>
      </c>
      <c r="D51" t="s">
        <v>170</v>
      </c>
    </row>
    <row r="52" spans="1:4" hidden="1" x14ac:dyDescent="0.3">
      <c r="A52" t="s">
        <v>177</v>
      </c>
      <c r="B52" t="s">
        <v>224</v>
      </c>
      <c r="C52" t="s">
        <v>149</v>
      </c>
      <c r="D52" t="s">
        <v>149</v>
      </c>
    </row>
    <row r="53" spans="1:4" hidden="1" x14ac:dyDescent="0.3">
      <c r="A53" t="s">
        <v>177</v>
      </c>
      <c r="B53" t="s">
        <v>225</v>
      </c>
      <c r="C53" t="s">
        <v>172</v>
      </c>
      <c r="D53" t="s">
        <v>172</v>
      </c>
    </row>
    <row r="54" spans="1:4" hidden="1" x14ac:dyDescent="0.3">
      <c r="A54" t="s">
        <v>177</v>
      </c>
      <c r="B54" t="s">
        <v>226</v>
      </c>
      <c r="C54" t="s">
        <v>145</v>
      </c>
      <c r="D54" t="s">
        <v>145</v>
      </c>
    </row>
    <row r="55" spans="1:4" hidden="1" x14ac:dyDescent="0.3">
      <c r="A55" t="s">
        <v>177</v>
      </c>
      <c r="B55" t="s">
        <v>227</v>
      </c>
      <c r="C55" t="s">
        <v>151</v>
      </c>
      <c r="D55" t="s">
        <v>151</v>
      </c>
    </row>
    <row r="56" spans="1:4" hidden="1" x14ac:dyDescent="0.3">
      <c r="A56" t="s">
        <v>177</v>
      </c>
      <c r="B56" t="s">
        <v>228</v>
      </c>
      <c r="C56" t="s">
        <v>147</v>
      </c>
      <c r="D56" t="s">
        <v>147</v>
      </c>
    </row>
    <row r="57" spans="1:4" hidden="1" x14ac:dyDescent="0.3">
      <c r="A57" t="s">
        <v>177</v>
      </c>
      <c r="B57" t="s">
        <v>229</v>
      </c>
      <c r="C57" t="s">
        <v>154</v>
      </c>
      <c r="D57" t="s">
        <v>154</v>
      </c>
    </row>
    <row r="58" spans="1:4" x14ac:dyDescent="0.3">
      <c r="A58" t="s">
        <v>177</v>
      </c>
      <c r="B58" t="s">
        <v>230</v>
      </c>
      <c r="C58" t="s">
        <v>231</v>
      </c>
      <c r="D58" t="s">
        <v>231</v>
      </c>
    </row>
    <row r="59" spans="1:4" x14ac:dyDescent="0.3">
      <c r="A59" t="s">
        <v>232</v>
      </c>
      <c r="B59" t="s">
        <v>233</v>
      </c>
      <c r="C59" t="s">
        <v>170</v>
      </c>
      <c r="D59" t="s">
        <v>170</v>
      </c>
    </row>
    <row r="60" spans="1:4" x14ac:dyDescent="0.3">
      <c r="A60" t="s">
        <v>232</v>
      </c>
      <c r="B60" t="s">
        <v>234</v>
      </c>
      <c r="C60" t="s">
        <v>154</v>
      </c>
      <c r="D60" t="s">
        <v>154</v>
      </c>
    </row>
    <row r="61" spans="1:4" x14ac:dyDescent="0.3">
      <c r="A61" t="s">
        <v>232</v>
      </c>
      <c r="B61" t="s">
        <v>235</v>
      </c>
      <c r="C61" t="s">
        <v>236</v>
      </c>
      <c r="D61" t="s">
        <v>236</v>
      </c>
    </row>
    <row r="62" spans="1:4" hidden="1" x14ac:dyDescent="0.3">
      <c r="A62" t="s">
        <v>232</v>
      </c>
      <c r="B62" t="s">
        <v>237</v>
      </c>
      <c r="C62" t="s">
        <v>238</v>
      </c>
      <c r="D62" t="s">
        <v>238</v>
      </c>
    </row>
    <row r="63" spans="1:4" hidden="1" x14ac:dyDescent="0.3">
      <c r="A63" t="s">
        <v>232</v>
      </c>
      <c r="B63" t="s">
        <v>239</v>
      </c>
      <c r="C63" t="s">
        <v>204</v>
      </c>
      <c r="D63" t="s">
        <v>204</v>
      </c>
    </row>
    <row r="64" spans="1:4" hidden="1" x14ac:dyDescent="0.3">
      <c r="A64" t="s">
        <v>232</v>
      </c>
      <c r="B64" t="s">
        <v>240</v>
      </c>
      <c r="C64" t="s">
        <v>206</v>
      </c>
      <c r="D64" t="s">
        <v>206</v>
      </c>
    </row>
    <row r="65" spans="1:5" hidden="1" x14ac:dyDescent="0.3">
      <c r="A65" t="s">
        <v>232</v>
      </c>
      <c r="B65" t="s">
        <v>241</v>
      </c>
      <c r="C65" t="s">
        <v>208</v>
      </c>
      <c r="D65" t="s">
        <v>208</v>
      </c>
    </row>
    <row r="66" spans="1:5" hidden="1" x14ac:dyDescent="0.3">
      <c r="A66" t="s">
        <v>232</v>
      </c>
      <c r="B66" t="s">
        <v>242</v>
      </c>
      <c r="C66" t="s">
        <v>210</v>
      </c>
      <c r="D66" t="s">
        <v>210</v>
      </c>
    </row>
    <row r="67" spans="1:5" hidden="1" x14ac:dyDescent="0.3">
      <c r="A67" t="s">
        <v>232</v>
      </c>
      <c r="B67" t="s">
        <v>243</v>
      </c>
      <c r="C67" t="s">
        <v>212</v>
      </c>
      <c r="D67" t="s">
        <v>212</v>
      </c>
    </row>
    <row r="68" spans="1:5" hidden="1" x14ac:dyDescent="0.3">
      <c r="A68" t="s">
        <v>232</v>
      </c>
      <c r="B68" t="s">
        <v>244</v>
      </c>
      <c r="C68" t="s">
        <v>149</v>
      </c>
      <c r="D68" t="s">
        <v>149</v>
      </c>
    </row>
    <row r="69" spans="1:5" hidden="1" x14ac:dyDescent="0.3">
      <c r="A69" t="s">
        <v>232</v>
      </c>
      <c r="B69" t="s">
        <v>245</v>
      </c>
      <c r="C69" t="s">
        <v>172</v>
      </c>
      <c r="D69" t="s">
        <v>172</v>
      </c>
    </row>
    <row r="70" spans="1:5" hidden="1" x14ac:dyDescent="0.3">
      <c r="A70" t="s">
        <v>232</v>
      </c>
      <c r="B70" t="s">
        <v>246</v>
      </c>
      <c r="C70" t="s">
        <v>145</v>
      </c>
      <c r="D70" t="s">
        <v>145</v>
      </c>
    </row>
    <row r="71" spans="1:5" hidden="1" x14ac:dyDescent="0.3">
      <c r="A71" t="s">
        <v>232</v>
      </c>
      <c r="B71" t="s">
        <v>247</v>
      </c>
      <c r="C71" t="s">
        <v>151</v>
      </c>
      <c r="D71" t="s">
        <v>151</v>
      </c>
    </row>
    <row r="72" spans="1:5" hidden="1" x14ac:dyDescent="0.3">
      <c r="A72" t="s">
        <v>232</v>
      </c>
      <c r="B72" t="s">
        <v>248</v>
      </c>
      <c r="C72" t="s">
        <v>147</v>
      </c>
      <c r="D72" t="s">
        <v>147</v>
      </c>
    </row>
    <row r="73" spans="1:5" hidden="1" x14ac:dyDescent="0.3">
      <c r="A73" t="s">
        <v>232</v>
      </c>
      <c r="B73" t="s">
        <v>249</v>
      </c>
      <c r="C73" t="s">
        <v>154</v>
      </c>
      <c r="D73" t="s">
        <v>154</v>
      </c>
    </row>
    <row r="74" spans="1:5" hidden="1" x14ac:dyDescent="0.3">
      <c r="A74" t="s">
        <v>232</v>
      </c>
      <c r="B74" t="s">
        <v>250</v>
      </c>
      <c r="C74" t="s">
        <v>147</v>
      </c>
      <c r="D74" t="s">
        <v>147</v>
      </c>
    </row>
    <row r="75" spans="1:5" hidden="1" x14ac:dyDescent="0.3">
      <c r="A75" t="s">
        <v>232</v>
      </c>
      <c r="B75" t="s">
        <v>251</v>
      </c>
      <c r="C75" t="s">
        <v>147</v>
      </c>
      <c r="D75" t="s">
        <v>147</v>
      </c>
    </row>
    <row r="76" spans="1:5" hidden="1" x14ac:dyDescent="0.3">
      <c r="A76" t="s">
        <v>232</v>
      </c>
      <c r="B76" t="s">
        <v>252</v>
      </c>
      <c r="C76" t="s">
        <v>147</v>
      </c>
      <c r="D76" t="s">
        <v>147</v>
      </c>
    </row>
    <row r="77" spans="1:5" hidden="1" x14ac:dyDescent="0.3">
      <c r="A77" t="s">
        <v>232</v>
      </c>
      <c r="B77" t="s">
        <v>253</v>
      </c>
      <c r="C77" t="s">
        <v>154</v>
      </c>
      <c r="D77" t="s">
        <v>154</v>
      </c>
    </row>
    <row r="78" spans="1:5" x14ac:dyDescent="0.3">
      <c r="A78" t="s">
        <v>232</v>
      </c>
      <c r="B78" t="s">
        <v>254</v>
      </c>
      <c r="C78" t="s">
        <v>292</v>
      </c>
      <c r="D78" t="s">
        <v>198</v>
      </c>
      <c r="E78" t="s">
        <v>186</v>
      </c>
    </row>
    <row r="79" spans="1:5" x14ac:dyDescent="0.3">
      <c r="A79" t="s">
        <v>232</v>
      </c>
      <c r="B79" t="s">
        <v>255</v>
      </c>
      <c r="C79" t="s">
        <v>298</v>
      </c>
      <c r="D79" t="s">
        <v>198</v>
      </c>
      <c r="E79" t="s">
        <v>186</v>
      </c>
    </row>
    <row r="80" spans="1:5" x14ac:dyDescent="0.3">
      <c r="A80" t="s">
        <v>232</v>
      </c>
      <c r="B80" t="s">
        <v>256</v>
      </c>
      <c r="C80" t="s">
        <v>149</v>
      </c>
      <c r="D80" t="s">
        <v>149</v>
      </c>
    </row>
    <row r="81" spans="1:5" x14ac:dyDescent="0.3">
      <c r="A81" t="s">
        <v>232</v>
      </c>
      <c r="B81" t="s">
        <v>257</v>
      </c>
      <c r="C81" t="s">
        <v>258</v>
      </c>
      <c r="D81" t="s">
        <v>258</v>
      </c>
    </row>
    <row r="82" spans="1:5" x14ac:dyDescent="0.3">
      <c r="A82" t="s">
        <v>232</v>
      </c>
      <c r="B82" t="s">
        <v>259</v>
      </c>
      <c r="C82" t="s">
        <v>260</v>
      </c>
      <c r="D82" t="s">
        <v>260</v>
      </c>
    </row>
    <row r="83" spans="1:5" x14ac:dyDescent="0.3">
      <c r="A83" t="s">
        <v>232</v>
      </c>
      <c r="B83" t="s">
        <v>261</v>
      </c>
      <c r="C83" t="s">
        <v>154</v>
      </c>
      <c r="D83" t="s">
        <v>154</v>
      </c>
    </row>
    <row r="84" spans="1:5" x14ac:dyDescent="0.3">
      <c r="A84" t="s">
        <v>232</v>
      </c>
      <c r="B84" t="s">
        <v>262</v>
      </c>
      <c r="C84" t="s">
        <v>156</v>
      </c>
      <c r="D84" t="s">
        <v>156</v>
      </c>
    </row>
    <row r="85" spans="1:5" x14ac:dyDescent="0.3">
      <c r="A85" t="s">
        <v>232</v>
      </c>
      <c r="B85" t="s">
        <v>263</v>
      </c>
      <c r="C85" t="s">
        <v>158</v>
      </c>
      <c r="D85" t="s">
        <v>158</v>
      </c>
    </row>
    <row r="86" spans="1:5" x14ac:dyDescent="0.3">
      <c r="A86" t="s">
        <v>232</v>
      </c>
      <c r="B86" t="s">
        <v>264</v>
      </c>
      <c r="C86" t="s">
        <v>160</v>
      </c>
      <c r="D86" t="s">
        <v>160</v>
      </c>
    </row>
    <row r="87" spans="1:5" x14ac:dyDescent="0.3">
      <c r="A87" t="s">
        <v>232</v>
      </c>
      <c r="B87" t="s">
        <v>265</v>
      </c>
      <c r="C87" t="s">
        <v>170</v>
      </c>
      <c r="D87" t="s">
        <v>170</v>
      </c>
    </row>
    <row r="88" spans="1:5" x14ac:dyDescent="0.3">
      <c r="A88" t="s">
        <v>232</v>
      </c>
      <c r="B88" t="s">
        <v>266</v>
      </c>
      <c r="C88" t="s">
        <v>267</v>
      </c>
      <c r="D88" t="s">
        <v>267</v>
      </c>
    </row>
    <row r="89" spans="1:5" x14ac:dyDescent="0.3">
      <c r="A89" t="s">
        <v>232</v>
      </c>
      <c r="B89" t="s">
        <v>268</v>
      </c>
      <c r="C89" t="s">
        <v>269</v>
      </c>
      <c r="D89" t="s">
        <v>269</v>
      </c>
    </row>
    <row r="90" spans="1:5" x14ac:dyDescent="0.3">
      <c r="A90" t="s">
        <v>232</v>
      </c>
      <c r="B90" t="s">
        <v>270</v>
      </c>
      <c r="C90" t="s">
        <v>154</v>
      </c>
      <c r="D90" t="s">
        <v>154</v>
      </c>
    </row>
    <row r="91" spans="1:5" x14ac:dyDescent="0.3">
      <c r="A91" t="s">
        <v>232</v>
      </c>
      <c r="B91" t="s">
        <v>271</v>
      </c>
      <c r="C91" t="s">
        <v>236</v>
      </c>
      <c r="D91" t="s">
        <v>236</v>
      </c>
    </row>
    <row r="92" spans="1:5" x14ac:dyDescent="0.3">
      <c r="A92" t="s">
        <v>232</v>
      </c>
      <c r="B92" t="s">
        <v>272</v>
      </c>
      <c r="C92" t="s">
        <v>299</v>
      </c>
      <c r="D92" t="s">
        <v>300</v>
      </c>
      <c r="E92" t="s">
        <v>186</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0"/>
  <sheetViews>
    <sheetView workbookViewId="0">
      <selection activeCell="E3" sqref="E3:E9"/>
    </sheetView>
  </sheetViews>
  <sheetFormatPr defaultRowHeight="14.4" x14ac:dyDescent="0.3"/>
  <cols>
    <col min="1" max="1" width="19" bestFit="1" customWidth="1"/>
    <col min="2" max="2" width="22.44140625" bestFit="1" customWidth="1"/>
    <col min="3" max="3" width="17.6640625" bestFit="1" customWidth="1"/>
    <col min="4" max="4" width="13" bestFit="1" customWidth="1"/>
    <col min="5" max="5" width="5.44140625" bestFit="1" customWidth="1"/>
  </cols>
  <sheetData>
    <row r="1" spans="1:5" x14ac:dyDescent="0.3">
      <c r="A1" s="1" t="s">
        <v>293</v>
      </c>
    </row>
    <row r="2" spans="1:5" x14ac:dyDescent="0.3">
      <c r="A2" s="1" t="s">
        <v>294</v>
      </c>
      <c r="B2" s="1" t="s">
        <v>295</v>
      </c>
      <c r="C2" s="1" t="s">
        <v>296</v>
      </c>
      <c r="D2" s="1" t="s">
        <v>3</v>
      </c>
      <c r="E2" t="s">
        <v>297</v>
      </c>
    </row>
    <row r="3" spans="1:5" x14ac:dyDescent="0.3">
      <c r="A3">
        <v>10</v>
      </c>
      <c r="E3" s="22">
        <v>7</v>
      </c>
    </row>
    <row r="4" spans="1:5" x14ac:dyDescent="0.3">
      <c r="A4">
        <v>20</v>
      </c>
      <c r="E4" s="22">
        <v>14</v>
      </c>
    </row>
    <row r="5" spans="1:5" x14ac:dyDescent="0.3">
      <c r="A5">
        <v>50</v>
      </c>
      <c r="E5" s="22">
        <v>18</v>
      </c>
    </row>
    <row r="6" spans="1:5" x14ac:dyDescent="0.3">
      <c r="A6">
        <v>1</v>
      </c>
      <c r="B6">
        <v>1</v>
      </c>
      <c r="C6">
        <v>20</v>
      </c>
      <c r="D6">
        <v>11468</v>
      </c>
      <c r="E6" s="22">
        <v>1</v>
      </c>
    </row>
    <row r="7" spans="1:5" x14ac:dyDescent="0.3">
      <c r="D7">
        <v>5116</v>
      </c>
      <c r="E7" s="22">
        <v>1</v>
      </c>
    </row>
    <row r="8" spans="1:5" x14ac:dyDescent="0.3">
      <c r="D8">
        <v>680</v>
      </c>
      <c r="E8" s="22">
        <v>1</v>
      </c>
    </row>
    <row r="9" spans="1:5" x14ac:dyDescent="0.3">
      <c r="D9">
        <v>12708</v>
      </c>
      <c r="E9" s="22">
        <v>1</v>
      </c>
    </row>
    <row r="10" spans="1:5" x14ac:dyDescent="0.3">
      <c r="A10" t="s">
        <v>1</v>
      </c>
      <c r="E10" s="22">
        <v>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36"/>
  <sheetViews>
    <sheetView workbookViewId="0"/>
  </sheetViews>
  <sheetFormatPr defaultRowHeight="14.4" x14ac:dyDescent="0.3"/>
  <cols>
    <col min="1" max="1" width="13" bestFit="1" customWidth="1"/>
    <col min="2" max="2" width="14.109375" bestFit="1" customWidth="1"/>
    <col min="3" max="3" width="13.109375" bestFit="1" customWidth="1"/>
    <col min="4" max="4" width="14.5546875" bestFit="1" customWidth="1"/>
    <col min="5" max="5" width="8.6640625" bestFit="1" customWidth="1"/>
    <col min="6" max="6" width="13.6640625" bestFit="1" customWidth="1"/>
    <col min="7" max="7" width="15.88671875" bestFit="1" customWidth="1"/>
    <col min="8" max="10" width="11.6640625" bestFit="1" customWidth="1"/>
    <col min="11" max="11" width="14" bestFit="1" customWidth="1"/>
    <col min="12" max="12" width="25.5546875" bestFit="1" customWidth="1"/>
    <col min="13" max="13" width="20.88671875" bestFit="1" customWidth="1"/>
    <col min="14" max="14" width="20.109375" bestFit="1" customWidth="1"/>
    <col min="15" max="15" width="16.5546875" bestFit="1" customWidth="1"/>
  </cols>
  <sheetData>
    <row r="1" spans="1:15" x14ac:dyDescent="0.3">
      <c r="A1" t="s">
        <v>3</v>
      </c>
      <c r="B1" t="s">
        <v>99</v>
      </c>
      <c r="C1" t="s">
        <v>100</v>
      </c>
      <c r="D1" t="s">
        <v>101</v>
      </c>
      <c r="E1" t="s">
        <v>102</v>
      </c>
      <c r="F1" t="s">
        <v>103</v>
      </c>
      <c r="G1" t="s">
        <v>104</v>
      </c>
      <c r="H1" t="s">
        <v>105</v>
      </c>
      <c r="I1" t="s">
        <v>106</v>
      </c>
      <c r="J1" t="s">
        <v>107</v>
      </c>
      <c r="K1" t="s">
        <v>108</v>
      </c>
      <c r="L1" t="s">
        <v>109</v>
      </c>
      <c r="M1" t="s">
        <v>130</v>
      </c>
      <c r="N1" t="s">
        <v>119</v>
      </c>
      <c r="O1" t="s">
        <v>131</v>
      </c>
    </row>
    <row r="2" spans="1:15" hidden="1" x14ac:dyDescent="0.3">
      <c r="A2">
        <v>2132</v>
      </c>
      <c r="B2">
        <v>212</v>
      </c>
      <c r="F2">
        <v>50</v>
      </c>
      <c r="G2" t="s">
        <v>173</v>
      </c>
      <c r="K2" t="s">
        <v>110</v>
      </c>
      <c r="L2" t="s">
        <v>111</v>
      </c>
    </row>
    <row r="3" spans="1:15" hidden="1" x14ac:dyDescent="0.3">
      <c r="A3">
        <v>2984</v>
      </c>
      <c r="B3">
        <v>79</v>
      </c>
      <c r="F3">
        <v>10</v>
      </c>
      <c r="G3" t="s">
        <v>289</v>
      </c>
      <c r="K3" t="s">
        <v>110</v>
      </c>
      <c r="L3" t="s">
        <v>111</v>
      </c>
    </row>
    <row r="4" spans="1:15" hidden="1" x14ac:dyDescent="0.3">
      <c r="A4">
        <v>3244</v>
      </c>
      <c r="B4">
        <v>219</v>
      </c>
      <c r="F4">
        <v>50</v>
      </c>
      <c r="G4" t="s">
        <v>173</v>
      </c>
      <c r="K4" t="s">
        <v>110</v>
      </c>
      <c r="L4" t="s">
        <v>111</v>
      </c>
    </row>
    <row r="5" spans="1:15" hidden="1" x14ac:dyDescent="0.3">
      <c r="A5">
        <v>3396</v>
      </c>
      <c r="B5">
        <v>219</v>
      </c>
      <c r="F5">
        <v>50</v>
      </c>
      <c r="G5" t="s">
        <v>173</v>
      </c>
      <c r="K5" t="s">
        <v>110</v>
      </c>
      <c r="L5" t="s">
        <v>111</v>
      </c>
    </row>
    <row r="6" spans="1:15" hidden="1" x14ac:dyDescent="0.3">
      <c r="A6">
        <v>5644</v>
      </c>
      <c r="B6">
        <v>15059</v>
      </c>
      <c r="C6" t="s">
        <v>290</v>
      </c>
      <c r="D6">
        <v>50</v>
      </c>
      <c r="F6">
        <v>50</v>
      </c>
      <c r="G6" t="s">
        <v>132</v>
      </c>
      <c r="K6" t="s">
        <v>110</v>
      </c>
      <c r="L6" t="s">
        <v>111</v>
      </c>
      <c r="M6" t="s">
        <v>134</v>
      </c>
      <c r="O6" t="s">
        <v>133</v>
      </c>
    </row>
    <row r="7" spans="1:15" hidden="1" x14ac:dyDescent="0.3">
      <c r="A7">
        <v>5656</v>
      </c>
      <c r="B7">
        <v>79</v>
      </c>
      <c r="F7">
        <v>10</v>
      </c>
      <c r="G7" t="s">
        <v>289</v>
      </c>
      <c r="K7" t="s">
        <v>110</v>
      </c>
      <c r="L7" t="s">
        <v>111</v>
      </c>
    </row>
    <row r="8" spans="1:15" hidden="1" x14ac:dyDescent="0.3">
      <c r="A8">
        <v>6704</v>
      </c>
      <c r="B8">
        <v>5022</v>
      </c>
      <c r="C8" t="s">
        <v>290</v>
      </c>
      <c r="D8">
        <v>50</v>
      </c>
      <c r="F8">
        <v>20</v>
      </c>
      <c r="G8" t="s">
        <v>132</v>
      </c>
      <c r="K8" t="s">
        <v>110</v>
      </c>
      <c r="L8" t="s">
        <v>111</v>
      </c>
      <c r="M8" t="s">
        <v>133</v>
      </c>
      <c r="O8" t="s">
        <v>133</v>
      </c>
    </row>
    <row r="9" spans="1:15" hidden="1" x14ac:dyDescent="0.3">
      <c r="A9">
        <v>6956</v>
      </c>
      <c r="B9">
        <v>5019</v>
      </c>
      <c r="C9" t="s">
        <v>290</v>
      </c>
      <c r="D9">
        <v>50</v>
      </c>
      <c r="F9">
        <v>10</v>
      </c>
      <c r="G9" t="s">
        <v>132</v>
      </c>
      <c r="K9" t="s">
        <v>110</v>
      </c>
      <c r="L9" t="s">
        <v>111</v>
      </c>
      <c r="M9" t="s">
        <v>134</v>
      </c>
      <c r="O9" t="s">
        <v>134</v>
      </c>
    </row>
    <row r="10" spans="1:15" hidden="1" x14ac:dyDescent="0.3">
      <c r="A10">
        <v>7228</v>
      </c>
      <c r="B10">
        <v>72</v>
      </c>
      <c r="F10">
        <v>50</v>
      </c>
      <c r="G10" t="s">
        <v>173</v>
      </c>
      <c r="K10" t="s">
        <v>110</v>
      </c>
      <c r="L10" t="s">
        <v>111</v>
      </c>
    </row>
    <row r="11" spans="1:15" hidden="1" x14ac:dyDescent="0.3">
      <c r="A11">
        <v>7272</v>
      </c>
      <c r="B11">
        <v>15012</v>
      </c>
      <c r="C11" t="s">
        <v>290</v>
      </c>
      <c r="D11">
        <v>50</v>
      </c>
      <c r="F11">
        <v>10</v>
      </c>
      <c r="G11" t="s">
        <v>132</v>
      </c>
      <c r="K11" t="s">
        <v>110</v>
      </c>
      <c r="L11" t="s">
        <v>111</v>
      </c>
      <c r="M11" t="s">
        <v>134</v>
      </c>
      <c r="O11" t="s">
        <v>133</v>
      </c>
    </row>
    <row r="12" spans="1:15" hidden="1" x14ac:dyDescent="0.3">
      <c r="A12">
        <v>8408</v>
      </c>
      <c r="B12">
        <v>5022</v>
      </c>
      <c r="C12" t="s">
        <v>290</v>
      </c>
      <c r="D12">
        <v>50</v>
      </c>
      <c r="F12">
        <v>20</v>
      </c>
      <c r="G12" t="s">
        <v>132</v>
      </c>
      <c r="K12" t="s">
        <v>110</v>
      </c>
      <c r="L12" t="s">
        <v>111</v>
      </c>
      <c r="M12" t="s">
        <v>134</v>
      </c>
      <c r="O12" t="s">
        <v>133</v>
      </c>
    </row>
    <row r="13" spans="1:15" hidden="1" x14ac:dyDescent="0.3">
      <c r="A13">
        <v>9004</v>
      </c>
      <c r="B13">
        <v>15019</v>
      </c>
      <c r="C13" t="s">
        <v>290</v>
      </c>
      <c r="D13">
        <v>50</v>
      </c>
      <c r="F13">
        <v>10</v>
      </c>
      <c r="G13" t="s">
        <v>132</v>
      </c>
      <c r="K13" t="s">
        <v>110</v>
      </c>
      <c r="L13" t="s">
        <v>111</v>
      </c>
      <c r="M13" t="s">
        <v>134</v>
      </c>
      <c r="O13" t="s">
        <v>133</v>
      </c>
    </row>
    <row r="14" spans="1:15" hidden="1" x14ac:dyDescent="0.3">
      <c r="A14">
        <v>9556</v>
      </c>
      <c r="B14">
        <v>92</v>
      </c>
      <c r="F14">
        <v>50</v>
      </c>
      <c r="G14" t="s">
        <v>289</v>
      </c>
      <c r="K14" t="s">
        <v>110</v>
      </c>
      <c r="L14" t="s">
        <v>111</v>
      </c>
    </row>
    <row r="15" spans="1:15" hidden="1" x14ac:dyDescent="0.3">
      <c r="A15">
        <v>9900</v>
      </c>
      <c r="B15">
        <v>15022</v>
      </c>
      <c r="C15" t="s">
        <v>290</v>
      </c>
      <c r="D15">
        <v>50</v>
      </c>
      <c r="F15">
        <v>20</v>
      </c>
      <c r="G15" t="s">
        <v>132</v>
      </c>
      <c r="K15" t="s">
        <v>110</v>
      </c>
      <c r="L15" t="s">
        <v>111</v>
      </c>
      <c r="M15" t="s">
        <v>134</v>
      </c>
      <c r="O15" t="s">
        <v>133</v>
      </c>
    </row>
    <row r="16" spans="1:15" hidden="1" x14ac:dyDescent="0.3">
      <c r="A16">
        <v>9912</v>
      </c>
      <c r="B16">
        <v>15019</v>
      </c>
      <c r="C16" t="s">
        <v>290</v>
      </c>
      <c r="D16">
        <v>50</v>
      </c>
      <c r="F16">
        <v>10</v>
      </c>
      <c r="G16" t="s">
        <v>132</v>
      </c>
      <c r="K16" t="s">
        <v>110</v>
      </c>
      <c r="L16" t="s">
        <v>111</v>
      </c>
      <c r="M16" t="s">
        <v>134</v>
      </c>
      <c r="O16" t="s">
        <v>133</v>
      </c>
    </row>
    <row r="17" spans="1:15" hidden="1" x14ac:dyDescent="0.3">
      <c r="A17">
        <v>9960</v>
      </c>
      <c r="B17">
        <v>79</v>
      </c>
      <c r="F17">
        <v>10</v>
      </c>
      <c r="G17" t="s">
        <v>173</v>
      </c>
      <c r="K17" t="s">
        <v>110</v>
      </c>
      <c r="L17" t="s">
        <v>111</v>
      </c>
    </row>
    <row r="18" spans="1:15" hidden="1" x14ac:dyDescent="0.3">
      <c r="A18">
        <v>10408</v>
      </c>
      <c r="B18">
        <v>5059</v>
      </c>
      <c r="C18" t="s">
        <v>290</v>
      </c>
      <c r="D18">
        <v>50</v>
      </c>
      <c r="F18">
        <v>50</v>
      </c>
      <c r="G18" t="s">
        <v>132</v>
      </c>
      <c r="K18" t="s">
        <v>110</v>
      </c>
      <c r="L18" t="s">
        <v>111</v>
      </c>
      <c r="M18" t="s">
        <v>133</v>
      </c>
      <c r="O18" t="s">
        <v>133</v>
      </c>
    </row>
    <row r="19" spans="1:15" hidden="1" x14ac:dyDescent="0.3">
      <c r="A19">
        <v>10480</v>
      </c>
      <c r="B19">
        <v>59</v>
      </c>
      <c r="F19">
        <v>10</v>
      </c>
      <c r="G19" t="s">
        <v>173</v>
      </c>
      <c r="K19" t="s">
        <v>110</v>
      </c>
      <c r="L19" t="s">
        <v>111</v>
      </c>
    </row>
    <row r="20" spans="1:15" hidden="1" x14ac:dyDescent="0.3">
      <c r="A20">
        <v>10596</v>
      </c>
      <c r="B20">
        <v>92</v>
      </c>
      <c r="F20">
        <v>50</v>
      </c>
      <c r="G20" t="s">
        <v>289</v>
      </c>
      <c r="K20" t="s">
        <v>110</v>
      </c>
      <c r="L20" t="s">
        <v>111</v>
      </c>
    </row>
    <row r="21" spans="1:15" hidden="1" x14ac:dyDescent="0.3">
      <c r="A21">
        <v>11184</v>
      </c>
      <c r="B21">
        <v>5012</v>
      </c>
      <c r="C21" t="s">
        <v>290</v>
      </c>
      <c r="D21">
        <v>50</v>
      </c>
      <c r="F21">
        <v>10</v>
      </c>
      <c r="G21" t="s">
        <v>132</v>
      </c>
      <c r="K21" t="s">
        <v>110</v>
      </c>
      <c r="L21" t="s">
        <v>111</v>
      </c>
      <c r="M21" t="s">
        <v>133</v>
      </c>
      <c r="O21" t="s">
        <v>133</v>
      </c>
    </row>
    <row r="22" spans="1:15" hidden="1" x14ac:dyDescent="0.3">
      <c r="A22">
        <v>11444</v>
      </c>
      <c r="B22">
        <v>59</v>
      </c>
      <c r="F22">
        <v>10</v>
      </c>
      <c r="G22" t="s">
        <v>173</v>
      </c>
      <c r="K22" t="s">
        <v>110</v>
      </c>
      <c r="L22" t="s">
        <v>111</v>
      </c>
    </row>
    <row r="23" spans="1:15" hidden="1" x14ac:dyDescent="0.3">
      <c r="A23">
        <v>11796</v>
      </c>
      <c r="B23">
        <v>59</v>
      </c>
      <c r="F23">
        <v>10</v>
      </c>
      <c r="G23" t="s">
        <v>173</v>
      </c>
      <c r="K23" t="s">
        <v>110</v>
      </c>
      <c r="L23" t="s">
        <v>111</v>
      </c>
    </row>
    <row r="24" spans="1:15" hidden="1" x14ac:dyDescent="0.3">
      <c r="A24">
        <v>11808</v>
      </c>
      <c r="B24">
        <v>5019</v>
      </c>
      <c r="C24" t="s">
        <v>290</v>
      </c>
      <c r="D24">
        <v>50</v>
      </c>
      <c r="F24">
        <v>10</v>
      </c>
      <c r="G24" t="s">
        <v>132</v>
      </c>
      <c r="K24" t="s">
        <v>110</v>
      </c>
      <c r="L24" t="s">
        <v>111</v>
      </c>
      <c r="M24" t="s">
        <v>134</v>
      </c>
      <c r="O24" t="s">
        <v>134</v>
      </c>
    </row>
    <row r="25" spans="1:15" hidden="1" x14ac:dyDescent="0.3">
      <c r="A25">
        <v>11900</v>
      </c>
      <c r="B25">
        <v>15022</v>
      </c>
      <c r="C25" t="s">
        <v>290</v>
      </c>
      <c r="D25">
        <v>50</v>
      </c>
      <c r="F25">
        <v>20</v>
      </c>
      <c r="G25" t="s">
        <v>132</v>
      </c>
      <c r="K25" t="s">
        <v>110</v>
      </c>
      <c r="L25" t="s">
        <v>111</v>
      </c>
      <c r="M25" t="s">
        <v>134</v>
      </c>
      <c r="O25" t="s">
        <v>133</v>
      </c>
    </row>
    <row r="26" spans="1:15" hidden="1" x14ac:dyDescent="0.3">
      <c r="A26">
        <v>12160</v>
      </c>
      <c r="B26">
        <v>52</v>
      </c>
      <c r="F26">
        <v>10</v>
      </c>
      <c r="G26" t="s">
        <v>173</v>
      </c>
      <c r="K26" t="s">
        <v>110</v>
      </c>
      <c r="L26" t="s">
        <v>111</v>
      </c>
    </row>
    <row r="27" spans="1:15" x14ac:dyDescent="0.3">
      <c r="A27">
        <v>12292</v>
      </c>
      <c r="B27">
        <v>15052</v>
      </c>
      <c r="C27" t="s">
        <v>290</v>
      </c>
      <c r="D27">
        <v>50</v>
      </c>
      <c r="F27">
        <v>50</v>
      </c>
      <c r="G27" t="s">
        <v>132</v>
      </c>
      <c r="K27" t="s">
        <v>110</v>
      </c>
      <c r="L27" t="s">
        <v>111</v>
      </c>
      <c r="M27" t="s">
        <v>134</v>
      </c>
      <c r="O27" t="s">
        <v>133</v>
      </c>
    </row>
    <row r="28" spans="1:15" hidden="1" x14ac:dyDescent="0.3">
      <c r="A28">
        <v>12332</v>
      </c>
      <c r="B28">
        <v>92</v>
      </c>
      <c r="F28">
        <v>50</v>
      </c>
      <c r="G28" t="s">
        <v>289</v>
      </c>
      <c r="K28" t="s">
        <v>110</v>
      </c>
      <c r="L28" t="s">
        <v>111</v>
      </c>
    </row>
    <row r="29" spans="1:15" hidden="1" x14ac:dyDescent="0.3">
      <c r="A29">
        <v>12500</v>
      </c>
      <c r="B29">
        <v>5019</v>
      </c>
      <c r="C29" t="s">
        <v>290</v>
      </c>
      <c r="D29">
        <v>50</v>
      </c>
      <c r="F29">
        <v>10</v>
      </c>
      <c r="G29" t="s">
        <v>132</v>
      </c>
      <c r="K29" t="s">
        <v>110</v>
      </c>
      <c r="L29" t="s">
        <v>111</v>
      </c>
      <c r="M29" t="s">
        <v>134</v>
      </c>
      <c r="O29" t="s">
        <v>134</v>
      </c>
    </row>
    <row r="30" spans="1:15" hidden="1" x14ac:dyDescent="0.3">
      <c r="A30">
        <v>12652</v>
      </c>
      <c r="B30">
        <v>5022</v>
      </c>
      <c r="C30" t="s">
        <v>290</v>
      </c>
      <c r="D30">
        <v>50</v>
      </c>
      <c r="F30">
        <v>20</v>
      </c>
      <c r="G30" t="s">
        <v>132</v>
      </c>
      <c r="K30" t="s">
        <v>110</v>
      </c>
      <c r="L30" t="s">
        <v>111</v>
      </c>
      <c r="M30" t="s">
        <v>134</v>
      </c>
      <c r="O30" t="s">
        <v>133</v>
      </c>
    </row>
    <row r="31" spans="1:15" hidden="1" x14ac:dyDescent="0.3">
      <c r="A31">
        <v>12880</v>
      </c>
      <c r="B31">
        <v>92</v>
      </c>
      <c r="F31">
        <v>50</v>
      </c>
      <c r="G31" t="s">
        <v>289</v>
      </c>
      <c r="K31" t="s">
        <v>110</v>
      </c>
      <c r="L31" t="s">
        <v>111</v>
      </c>
    </row>
    <row r="32" spans="1:15" hidden="1" x14ac:dyDescent="0.3">
      <c r="A32">
        <v>13068</v>
      </c>
      <c r="B32">
        <v>72</v>
      </c>
      <c r="F32">
        <v>50</v>
      </c>
      <c r="G32" t="s">
        <v>289</v>
      </c>
      <c r="K32" t="s">
        <v>110</v>
      </c>
      <c r="L32" t="s">
        <v>111</v>
      </c>
    </row>
    <row r="33" spans="1:15" hidden="1" x14ac:dyDescent="0.3">
      <c r="A33">
        <v>13836</v>
      </c>
      <c r="B33">
        <v>72</v>
      </c>
      <c r="F33">
        <v>50</v>
      </c>
      <c r="G33" t="s">
        <v>289</v>
      </c>
      <c r="K33" t="s">
        <v>110</v>
      </c>
      <c r="L33" t="s">
        <v>111</v>
      </c>
    </row>
    <row r="34" spans="1:15" hidden="1" x14ac:dyDescent="0.3">
      <c r="A34">
        <v>14108</v>
      </c>
      <c r="B34">
        <v>5022</v>
      </c>
      <c r="C34" t="s">
        <v>290</v>
      </c>
      <c r="D34">
        <v>50</v>
      </c>
      <c r="F34">
        <v>20</v>
      </c>
      <c r="G34" t="s">
        <v>132</v>
      </c>
      <c r="K34" t="s">
        <v>110</v>
      </c>
      <c r="L34" t="s">
        <v>111</v>
      </c>
      <c r="M34" t="s">
        <v>134</v>
      </c>
      <c r="O34" t="s">
        <v>133</v>
      </c>
    </row>
    <row r="35" spans="1:15" hidden="1" x14ac:dyDescent="0.3">
      <c r="A35">
        <v>14416</v>
      </c>
      <c r="B35">
        <v>92</v>
      </c>
      <c r="F35">
        <v>50</v>
      </c>
      <c r="G35" t="s">
        <v>289</v>
      </c>
      <c r="K35" t="s">
        <v>110</v>
      </c>
      <c r="L35" t="s">
        <v>111</v>
      </c>
    </row>
    <row r="36" spans="1:15" hidden="1" x14ac:dyDescent="0.3">
      <c r="A36">
        <v>15052</v>
      </c>
      <c r="B36">
        <v>72</v>
      </c>
      <c r="F36">
        <v>50</v>
      </c>
      <c r="G36" t="s">
        <v>173</v>
      </c>
      <c r="K36" t="s">
        <v>110</v>
      </c>
      <c r="L36" t="s">
        <v>111</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3" sqref="F13"/>
    </sheetView>
  </sheetViews>
  <sheetFormatPr defaultRowHeight="14.4" x14ac:dyDescent="0.3"/>
  <cols>
    <col min="1" max="1" width="19.5546875" customWidth="1"/>
    <col min="2" max="2" width="20.109375" bestFit="1" customWidth="1"/>
    <col min="3" max="3" width="11.6640625" customWidth="1"/>
    <col min="4" max="4" width="15" bestFit="1" customWidth="1"/>
    <col min="5" max="6" width="11.5546875" customWidth="1"/>
    <col min="7" max="19" width="17.6640625" customWidth="1"/>
    <col min="20" max="20" width="11.44140625" customWidth="1"/>
    <col min="21" max="25" width="17.6640625" bestFit="1" customWidth="1"/>
    <col min="26" max="26" width="6.5546875" bestFit="1" customWidth="1"/>
    <col min="27" max="28" width="17.6640625" bestFit="1" customWidth="1"/>
    <col min="29" max="29" width="6.5546875" bestFit="1" customWidth="1"/>
    <col min="30" max="31" width="17.6640625" bestFit="1" customWidth="1"/>
    <col min="32" max="35" width="9.109375" bestFit="1" customWidth="1"/>
    <col min="36" max="40" width="17.6640625" bestFit="1" customWidth="1"/>
    <col min="41" max="41" width="17.6640625" customWidth="1"/>
    <col min="42" max="42" width="17.6640625" bestFit="1" customWidth="1"/>
    <col min="43" max="51" width="17.6640625" customWidth="1"/>
    <col min="52" max="55" width="29.88671875" customWidth="1"/>
    <col min="56" max="56" width="9.44140625" customWidth="1"/>
    <col min="57" max="57" width="8.33203125" customWidth="1"/>
    <col min="58" max="58" width="9.33203125" customWidth="1"/>
    <col min="59" max="59" width="9.44140625" customWidth="1"/>
    <col min="60" max="62" width="8.33203125" customWidth="1"/>
    <col min="63" max="143" width="60.6640625" bestFit="1" customWidth="1"/>
    <col min="144" max="144" width="8.33203125" bestFit="1" customWidth="1"/>
    <col min="145" max="145" width="9.33203125" bestFit="1" customWidth="1"/>
    <col min="146" max="146" width="9.44140625" bestFit="1" customWidth="1"/>
    <col min="147" max="149" width="8.33203125" bestFit="1" customWidth="1"/>
    <col min="150" max="154" width="11.109375" bestFit="1" customWidth="1"/>
    <col min="155" max="156" width="55" bestFit="1" customWidth="1"/>
    <col min="157" max="157" width="58.109375" bestFit="1" customWidth="1"/>
    <col min="158" max="172" width="55" bestFit="1" customWidth="1"/>
    <col min="173" max="173" width="58.109375" bestFit="1" customWidth="1"/>
    <col min="174" max="189" width="55" bestFit="1" customWidth="1"/>
    <col min="190" max="190" width="58.109375" bestFit="1" customWidth="1"/>
    <col min="191" max="204" width="55" bestFit="1" customWidth="1"/>
    <col min="205" max="205" width="58.109375" bestFit="1" customWidth="1"/>
    <col min="206" max="219" width="55" bestFit="1" customWidth="1"/>
    <col min="220" max="220" width="58.109375" bestFit="1" customWidth="1"/>
    <col min="221" max="234" width="55" bestFit="1" customWidth="1"/>
    <col min="235" max="235" width="58.109375" bestFit="1" customWidth="1"/>
    <col min="236" max="250" width="55" bestFit="1" customWidth="1"/>
    <col min="251" max="251" width="58.109375" bestFit="1" customWidth="1"/>
    <col min="252" max="273" width="54.88671875" bestFit="1" customWidth="1"/>
    <col min="274" max="274" width="58" bestFit="1" customWidth="1"/>
    <col min="275" max="280" width="54.88671875" bestFit="1" customWidth="1"/>
    <col min="281" max="281" width="58" bestFit="1" customWidth="1"/>
    <col min="282" max="289" width="54.88671875" bestFit="1" customWidth="1"/>
    <col min="290" max="290" width="58" bestFit="1" customWidth="1"/>
    <col min="291" max="296" width="54.88671875" bestFit="1" customWidth="1"/>
    <col min="297" max="297" width="58" bestFit="1" customWidth="1"/>
    <col min="298" max="304" width="54.88671875" bestFit="1" customWidth="1"/>
    <col min="305" max="305" width="58" bestFit="1" customWidth="1"/>
    <col min="306" max="312" width="54.88671875" bestFit="1" customWidth="1"/>
    <col min="313" max="313" width="58" bestFit="1" customWidth="1"/>
    <col min="314" max="318" width="57.109375" bestFit="1" customWidth="1"/>
    <col min="319" max="319" width="60.33203125" bestFit="1" customWidth="1"/>
    <col min="320" max="323" width="85.6640625" bestFit="1" customWidth="1"/>
    <col min="324" max="324" width="88.88671875" bestFit="1" customWidth="1"/>
    <col min="325" max="325" width="86.88671875" bestFit="1" customWidth="1"/>
    <col min="326" max="326" width="90" bestFit="1" customWidth="1"/>
    <col min="327" max="327" width="54.88671875" bestFit="1" customWidth="1"/>
    <col min="328" max="328" width="58" bestFit="1" customWidth="1"/>
    <col min="329" max="329" width="11.33203125" bestFit="1" customWidth="1"/>
  </cols>
  <sheetData>
    <row r="4" spans="1:8" x14ac:dyDescent="0.3">
      <c r="A4" s="1" t="s">
        <v>10</v>
      </c>
      <c r="B4" s="2">
        <v>66</v>
      </c>
    </row>
    <row r="6" spans="1:8" x14ac:dyDescent="0.3">
      <c r="A6" s="1" t="s">
        <v>87</v>
      </c>
      <c r="G6" s="1" t="s">
        <v>97</v>
      </c>
      <c r="H6" s="1" t="s">
        <v>123</v>
      </c>
    </row>
    <row r="7" spans="1:8" x14ac:dyDescent="0.3">
      <c r="G7" t="s">
        <v>121</v>
      </c>
      <c r="H7" t="s">
        <v>112</v>
      </c>
    </row>
    <row r="8" spans="1:8" x14ac:dyDescent="0.3">
      <c r="A8" s="1" t="s">
        <v>98</v>
      </c>
      <c r="B8" s="1" t="s">
        <v>119</v>
      </c>
      <c r="C8" s="1" t="s">
        <v>92</v>
      </c>
      <c r="D8" s="1" t="s">
        <v>124</v>
      </c>
      <c r="E8" s="1" t="s">
        <v>25</v>
      </c>
      <c r="F8" s="1" t="s">
        <v>122</v>
      </c>
    </row>
    <row r="9" spans="1:8" x14ac:dyDescent="0.3">
      <c r="A9" t="s">
        <v>118</v>
      </c>
      <c r="B9" t="s">
        <v>117</v>
      </c>
      <c r="C9">
        <v>5</v>
      </c>
      <c r="D9">
        <v>50</v>
      </c>
      <c r="E9">
        <v>1180</v>
      </c>
      <c r="F9" s="3">
        <v>1.38118292670697E-3</v>
      </c>
      <c r="G9" s="3">
        <v>6.1547884345054631E-4</v>
      </c>
      <c r="H9" s="3">
        <v>6.131550669670106E-4</v>
      </c>
    </row>
    <row r="10" spans="1:8" x14ac:dyDescent="0.3">
      <c r="C10">
        <v>10</v>
      </c>
      <c r="D10">
        <v>50</v>
      </c>
      <c r="E10">
        <v>4216</v>
      </c>
      <c r="F10" s="3">
        <v>1.36031466536224E-3</v>
      </c>
      <c r="G10" s="3">
        <v>6.1031845450401309E-4</v>
      </c>
      <c r="H10" s="3">
        <v>6.104230880737304E-4</v>
      </c>
    </row>
    <row r="11" spans="1:8" x14ac:dyDescent="0.3">
      <c r="D11">
        <v>500</v>
      </c>
      <c r="E11">
        <v>2592</v>
      </c>
      <c r="F11" s="3">
        <v>1.0546084959059999E-3</v>
      </c>
      <c r="G11" s="3">
        <v>5.3763253688812263E-4</v>
      </c>
      <c r="H11" s="3">
        <v>5.2551269531250007E-4</v>
      </c>
    </row>
    <row r="12" spans="1:8" x14ac:dyDescent="0.3">
      <c r="D12">
        <v>1024</v>
      </c>
      <c r="E12">
        <v>3416</v>
      </c>
      <c r="F12" s="3">
        <v>1.0287547484040299E-3</v>
      </c>
      <c r="G12" s="3">
        <v>5.3773167967796328E-4</v>
      </c>
      <c r="H12" s="3">
        <v>5.2404254674911512E-4</v>
      </c>
    </row>
    <row r="13" spans="1:8" x14ac:dyDescent="0.3">
      <c r="C13">
        <v>50</v>
      </c>
      <c r="D13">
        <v>50</v>
      </c>
      <c r="E13">
        <v>5372</v>
      </c>
      <c r="F13" s="3">
        <v>1.26162800006568E-3</v>
      </c>
      <c r="G13" s="3">
        <v>7.4351112684888218E-4</v>
      </c>
      <c r="H13" s="3">
        <v>7.1451693773269662E-4</v>
      </c>
    </row>
    <row r="14" spans="1:8" x14ac:dyDescent="0.3">
      <c r="C14">
        <v>100</v>
      </c>
      <c r="D14">
        <v>50</v>
      </c>
      <c r="E14">
        <v>8300</v>
      </c>
      <c r="F14" s="3">
        <v>1.22724496759474E-3</v>
      </c>
      <c r="G14" s="3">
        <v>8.2489843229692147E-4</v>
      </c>
      <c r="H14" s="3">
        <v>7.8192263841629021E-4</v>
      </c>
    </row>
    <row r="15" spans="1:8" x14ac:dyDescent="0.3">
      <c r="C15">
        <v>200</v>
      </c>
      <c r="D15">
        <v>50</v>
      </c>
      <c r="E15">
        <v>7124</v>
      </c>
      <c r="F15" s="3">
        <v>1.21462694369256E-3</v>
      </c>
      <c r="G15" s="3">
        <v>8.2741527547759393E-4</v>
      </c>
      <c r="H15" s="3"/>
    </row>
    <row r="16" spans="1:8" x14ac:dyDescent="0.3">
      <c r="B16" t="s">
        <v>120</v>
      </c>
      <c r="C16">
        <v>200</v>
      </c>
      <c r="D16">
        <v>28</v>
      </c>
      <c r="E16">
        <v>788</v>
      </c>
      <c r="F16" s="3">
        <v>5.7809392455965302E-4</v>
      </c>
      <c r="G16" s="3">
        <v>1.3883899356569014E-3</v>
      </c>
      <c r="H16" s="3"/>
    </row>
    <row r="17" spans="1:154" x14ac:dyDescent="0.3">
      <c r="A17" t="s">
        <v>1</v>
      </c>
      <c r="G17" s="3">
        <v>7.6067203560011801E-4</v>
      </c>
      <c r="H17" s="3">
        <v>6.2826216220855722E-4</v>
      </c>
    </row>
    <row r="21" spans="1:154" s="12" customFormat="1" x14ac:dyDescent="0.3">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
  <sheetViews>
    <sheetView workbookViewId="0">
      <selection activeCell="A3" sqref="A3"/>
    </sheetView>
  </sheetViews>
  <sheetFormatPr defaultRowHeight="14.4" x14ac:dyDescent="0.3"/>
  <cols>
    <col min="1" max="1" width="17.6640625" customWidth="1"/>
    <col min="2" max="2" width="23.33203125" bestFit="1" customWidth="1"/>
    <col min="3" max="4" width="19.33203125" customWidth="1"/>
    <col min="5" max="5" width="28.109375" bestFit="1" customWidth="1"/>
    <col min="6" max="6" width="24.109375" bestFit="1" customWidth="1"/>
  </cols>
  <sheetData>
    <row r="1" spans="1:3" x14ac:dyDescent="0.3">
      <c r="B1" s="1" t="s">
        <v>139</v>
      </c>
    </row>
    <row r="2" spans="1:3" x14ac:dyDescent="0.3">
      <c r="A2" s="1" t="s">
        <v>138</v>
      </c>
      <c r="B2" t="s">
        <v>135</v>
      </c>
      <c r="C2" t="s">
        <v>140</v>
      </c>
    </row>
    <row r="3" spans="1:3" x14ac:dyDescent="0.3">
      <c r="A3">
        <v>1</v>
      </c>
      <c r="B3" s="22">
        <v>0.10903226123945184</v>
      </c>
      <c r="C3" s="22">
        <v>1.47228790447116E-2</v>
      </c>
    </row>
    <row r="4" spans="1:3" x14ac:dyDescent="0.3">
      <c r="A4">
        <v>5</v>
      </c>
      <c r="B4" s="22">
        <v>8.2701498630585221E-2</v>
      </c>
      <c r="C4" s="22">
        <v>1.1140202172100501E-2</v>
      </c>
    </row>
    <row r="5" spans="1:3" x14ac:dyDescent="0.3">
      <c r="A5">
        <v>10</v>
      </c>
      <c r="B5" s="22">
        <v>8.3921808410890628E-2</v>
      </c>
      <c r="C5" s="22">
        <v>1.1272941716015301E-2</v>
      </c>
    </row>
    <row r="6" spans="1:3" x14ac:dyDescent="0.3">
      <c r="A6">
        <v>20</v>
      </c>
      <c r="B6" s="22">
        <v>7.0878666766800685E-2</v>
      </c>
      <c r="C6" s="22">
        <v>5.34465117380023E-3</v>
      </c>
    </row>
    <row r="7" spans="1:3" x14ac:dyDescent="0.3">
      <c r="A7" t="s">
        <v>1</v>
      </c>
      <c r="B7" s="22">
        <v>8.6633558761932086E-2</v>
      </c>
      <c r="C7" s="22">
        <v>1.062016852665691E-2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4.4" x14ac:dyDescent="0.3"/>
  <cols>
    <col min="2" max="2" width="8.33203125" bestFit="1" customWidth="1"/>
    <col min="3" max="3" width="10.6640625" bestFit="1" customWidth="1"/>
    <col min="4" max="4" width="25.33203125" customWidth="1"/>
    <col min="5" max="5" width="31.44140625" customWidth="1"/>
    <col min="6" max="6" width="27.88671875" customWidth="1"/>
  </cols>
  <sheetData>
    <row r="2" spans="2:7" x14ac:dyDescent="0.3">
      <c r="B2" s="5" t="s">
        <v>91</v>
      </c>
      <c r="C2" s="5" t="s">
        <v>92</v>
      </c>
      <c r="D2" s="5" t="s">
        <v>89</v>
      </c>
      <c r="E2" s="5" t="s">
        <v>90</v>
      </c>
      <c r="F2" s="5" t="s">
        <v>95</v>
      </c>
      <c r="G2" s="5" t="s">
        <v>96</v>
      </c>
    </row>
    <row r="3" spans="2:7" x14ac:dyDescent="0.3">
      <c r="B3">
        <v>9048</v>
      </c>
      <c r="C3" t="s">
        <v>93</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3">
      <c r="B4">
        <v>5368</v>
      </c>
      <c r="C4" t="s">
        <v>94</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3">
      <c r="B5">
        <v>1624</v>
      </c>
      <c r="C5" t="s">
        <v>88</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3">
      <c r="B6">
        <v>9368</v>
      </c>
      <c r="C6" t="s">
        <v>93</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3">
      <c r="B7">
        <v>3400</v>
      </c>
      <c r="C7" t="s">
        <v>94</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3">
      <c r="B8">
        <v>9372</v>
      </c>
      <c r="C8" t="s">
        <v>88</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3">
      <c r="B9">
        <v>3576</v>
      </c>
      <c r="C9" t="s">
        <v>93</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3">
      <c r="B10">
        <v>1980</v>
      </c>
      <c r="C10" t="s">
        <v>94</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3">
      <c r="B11">
        <v>8052</v>
      </c>
      <c r="C11" t="s">
        <v>88</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3">
      <c r="B12">
        <v>5532</v>
      </c>
      <c r="C12" t="s">
        <v>93</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3">
      <c r="B13">
        <v>5656</v>
      </c>
      <c r="C13" t="s">
        <v>94</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3">
      <c r="B14">
        <v>6556</v>
      </c>
      <c r="C14" s="6" t="s">
        <v>88</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3">
      <c r="B15">
        <v>2416</v>
      </c>
      <c r="C15" s="6" t="s">
        <v>88</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3">
      <c r="B16">
        <v>4696</v>
      </c>
      <c r="C16" t="s">
        <v>93</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3">
      <c r="B17">
        <v>7252</v>
      </c>
      <c r="C17" s="6" t="s">
        <v>88</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3">
      <c r="B18">
        <v>3476</v>
      </c>
      <c r="C18" s="6" t="s">
        <v>88</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3">
      <c r="B19">
        <v>1259</v>
      </c>
      <c r="C19" t="s">
        <v>93</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3">
      <c r="B20">
        <v>8636</v>
      </c>
      <c r="C20" t="s">
        <v>93</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3">
      <c r="B21">
        <v>7476</v>
      </c>
      <c r="C21" t="s">
        <v>94</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3">
      <c r="B22">
        <v>5212</v>
      </c>
      <c r="C22" s="6" t="s">
        <v>88</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3">
      <c r="B23">
        <v>8420</v>
      </c>
      <c r="C23" t="s">
        <v>94</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4.4" x14ac:dyDescent="0.3"/>
  <cols>
    <col min="1" max="1" width="13.109375" customWidth="1"/>
    <col min="2" max="2" width="17.44140625" customWidth="1"/>
    <col min="3" max="3" width="14.44140625" customWidth="1"/>
    <col min="4" max="4" width="17.44140625" customWidth="1"/>
    <col min="5" max="5" width="19.5546875" bestFit="1" customWidth="1"/>
  </cols>
  <sheetData>
    <row r="3" spans="1:3" x14ac:dyDescent="0.3">
      <c r="A3" s="1" t="s">
        <v>0</v>
      </c>
      <c r="B3" t="s">
        <v>115</v>
      </c>
      <c r="C3" t="s">
        <v>116</v>
      </c>
    </row>
    <row r="4" spans="1:3" x14ac:dyDescent="0.3">
      <c r="A4" s="2">
        <v>0</v>
      </c>
      <c r="B4" s="24">
        <v>47575.66796875</v>
      </c>
      <c r="C4" s="22">
        <v>6006.98681640625</v>
      </c>
    </row>
    <row r="5" spans="1:3" x14ac:dyDescent="0.3">
      <c r="A5" s="2">
        <v>1</v>
      </c>
      <c r="B5" s="24">
        <v>53800.94140625</v>
      </c>
      <c r="C5" s="22">
        <v>6006.98681640625</v>
      </c>
    </row>
    <row r="6" spans="1:3" x14ac:dyDescent="0.3">
      <c r="A6" s="2">
        <v>2</v>
      </c>
      <c r="B6" s="24">
        <v>53800.94140625</v>
      </c>
      <c r="C6" s="22">
        <v>6006.98681640625</v>
      </c>
    </row>
    <row r="7" spans="1:3" x14ac:dyDescent="0.3">
      <c r="A7" s="2">
        <v>3</v>
      </c>
      <c r="B7" s="24">
        <v>53800.94140625</v>
      </c>
      <c r="C7" s="22">
        <v>6006.98681640625</v>
      </c>
    </row>
    <row r="8" spans="1:3" x14ac:dyDescent="0.3">
      <c r="A8" s="2">
        <v>4</v>
      </c>
      <c r="B8" s="24">
        <v>53800.94140625</v>
      </c>
      <c r="C8" s="22">
        <v>6006.98681640625</v>
      </c>
    </row>
    <row r="9" spans="1:3" x14ac:dyDescent="0.3">
      <c r="A9" s="2">
        <v>5</v>
      </c>
      <c r="B9" s="24">
        <v>53800.93359375</v>
      </c>
      <c r="C9" s="22">
        <v>6006.98681640625</v>
      </c>
    </row>
    <row r="10" spans="1:3" x14ac:dyDescent="0.3">
      <c r="A10" s="2">
        <v>6</v>
      </c>
      <c r="B10" s="24">
        <v>53800.921875</v>
      </c>
      <c r="C10" s="22">
        <v>6006.98681640625</v>
      </c>
    </row>
    <row r="11" spans="1:3" x14ac:dyDescent="0.3">
      <c r="A11" s="2">
        <v>7</v>
      </c>
      <c r="B11" s="24">
        <v>53800.87109375</v>
      </c>
      <c r="C11" s="22">
        <v>6006.98681640625</v>
      </c>
    </row>
    <row r="12" spans="1:3" x14ac:dyDescent="0.3">
      <c r="A12" s="2">
        <v>8</v>
      </c>
      <c r="B12" s="24">
        <v>53800.6875</v>
      </c>
      <c r="C12" s="22">
        <v>6006.98681640625</v>
      </c>
    </row>
    <row r="13" spans="1:3" x14ac:dyDescent="0.3">
      <c r="A13" s="2">
        <v>9</v>
      </c>
      <c r="B13" s="24">
        <v>53800.0234375</v>
      </c>
      <c r="C13" s="22">
        <v>6006.98681640625</v>
      </c>
    </row>
    <row r="14" spans="1:3" x14ac:dyDescent="0.3">
      <c r="A14" s="2">
        <v>10</v>
      </c>
      <c r="B14" s="24">
        <v>53797.3046875</v>
      </c>
      <c r="C14" s="22">
        <v>6006.98681640625</v>
      </c>
    </row>
    <row r="15" spans="1:3" x14ac:dyDescent="0.3">
      <c r="A15" s="2">
        <v>11</v>
      </c>
      <c r="B15" s="24">
        <v>53786.47265625</v>
      </c>
      <c r="C15" s="22">
        <v>6006.98681640625</v>
      </c>
    </row>
    <row r="16" spans="1:3" x14ac:dyDescent="0.3">
      <c r="A16" s="2">
        <v>12</v>
      </c>
      <c r="B16" s="24">
        <v>53743.34765625</v>
      </c>
      <c r="C16" s="22">
        <v>6006.98681640625</v>
      </c>
    </row>
    <row r="17" spans="1:3" x14ac:dyDescent="0.3">
      <c r="A17" s="2">
        <v>13</v>
      </c>
      <c r="B17" s="24">
        <v>53573.25</v>
      </c>
      <c r="C17" s="22">
        <v>6006.98681640625</v>
      </c>
    </row>
    <row r="18" spans="1:3" x14ac:dyDescent="0.3">
      <c r="A18" s="2">
        <v>14</v>
      </c>
      <c r="B18" s="24">
        <v>52931.24609375</v>
      </c>
      <c r="C18" s="22">
        <v>6006.98681640625</v>
      </c>
    </row>
    <row r="19" spans="1:3" x14ac:dyDescent="0.3">
      <c r="A19" s="2">
        <v>15</v>
      </c>
      <c r="B19" s="24">
        <v>50873.62890625</v>
      </c>
      <c r="C19" s="22">
        <v>6006.98681640625</v>
      </c>
    </row>
    <row r="20" spans="1:3" x14ac:dyDescent="0.3">
      <c r="A20" s="2">
        <v>16</v>
      </c>
      <c r="B20" s="24">
        <v>47044.19921875</v>
      </c>
      <c r="C20" s="22">
        <v>9723.353515625</v>
      </c>
    </row>
    <row r="21" spans="1:3" x14ac:dyDescent="0.3">
      <c r="A21" s="2">
        <v>17</v>
      </c>
      <c r="B21" s="24">
        <v>129349.0859375</v>
      </c>
      <c r="C21" s="22">
        <v>9723.353515625</v>
      </c>
    </row>
    <row r="22" spans="1:3" x14ac:dyDescent="0.3">
      <c r="A22" s="2">
        <v>18</v>
      </c>
      <c r="B22" s="24">
        <v>50140.76953125</v>
      </c>
      <c r="C22" s="22">
        <v>9723.353515625</v>
      </c>
    </row>
    <row r="23" spans="1:3" x14ac:dyDescent="0.3">
      <c r="A23" s="2">
        <v>19</v>
      </c>
      <c r="B23" s="24">
        <v>45611.31640625</v>
      </c>
      <c r="C23" s="22">
        <v>1740.19396972656</v>
      </c>
    </row>
    <row r="24" spans="1:3" x14ac:dyDescent="0.3">
      <c r="A24" s="2">
        <v>20</v>
      </c>
      <c r="B24" s="24">
        <v>45375.37109375</v>
      </c>
      <c r="C24" s="22">
        <v>1037.98657226563</v>
      </c>
    </row>
    <row r="25" spans="1:3" x14ac:dyDescent="0.3">
      <c r="A25" s="2">
        <v>21</v>
      </c>
      <c r="B25" s="24">
        <v>46909.51171875</v>
      </c>
      <c r="C25" s="22">
        <v>1037.98657226563</v>
      </c>
    </row>
    <row r="26" spans="1:3" x14ac:dyDescent="0.3">
      <c r="A26" s="2">
        <v>22</v>
      </c>
      <c r="B26" s="24">
        <v>45446.31640625</v>
      </c>
      <c r="C26" s="22">
        <v>1037.98657226563</v>
      </c>
    </row>
    <row r="27" spans="1:3" x14ac:dyDescent="0.3">
      <c r="A27" s="2">
        <v>23</v>
      </c>
      <c r="B27" s="24">
        <v>45370.12109375</v>
      </c>
      <c r="C27" s="22">
        <v>591.6494140625</v>
      </c>
    </row>
    <row r="28" spans="1:3" x14ac:dyDescent="0.3">
      <c r="A28" s="2">
        <v>24</v>
      </c>
      <c r="B28" s="24">
        <v>45342.98828125</v>
      </c>
      <c r="C28" s="22">
        <v>398.42935180664102</v>
      </c>
    </row>
    <row r="29" spans="1:3" x14ac:dyDescent="0.3">
      <c r="A29" s="2">
        <v>25</v>
      </c>
      <c r="B29" s="24">
        <v>45339.0859375</v>
      </c>
      <c r="C29" s="22">
        <v>338.89654541015602</v>
      </c>
    </row>
    <row r="30" spans="1:3" x14ac:dyDescent="0.3">
      <c r="A30" s="2">
        <v>26</v>
      </c>
      <c r="B30" s="24">
        <v>53230.90625</v>
      </c>
      <c r="C30" s="22">
        <v>338.89654541015602</v>
      </c>
    </row>
    <row r="31" spans="1:3" x14ac:dyDescent="0.3">
      <c r="A31" s="2">
        <v>27</v>
      </c>
      <c r="B31" s="24">
        <v>45775.140625</v>
      </c>
      <c r="C31" s="22">
        <v>338.89654541015602</v>
      </c>
    </row>
    <row r="32" spans="1:3" x14ac:dyDescent="0.3">
      <c r="A32" s="2">
        <v>28</v>
      </c>
      <c r="B32" s="24">
        <v>45358.98828125</v>
      </c>
      <c r="C32" s="22">
        <v>338.89654541015602</v>
      </c>
    </row>
    <row r="33" spans="1:3" x14ac:dyDescent="0.3">
      <c r="A33" s="2">
        <v>29</v>
      </c>
      <c r="B33" s="24">
        <v>45338.55078125</v>
      </c>
      <c r="C33" s="22">
        <v>94.532814025878906</v>
      </c>
    </row>
    <row r="34" spans="1:3" x14ac:dyDescent="0.3">
      <c r="A34" s="2">
        <v>30</v>
      </c>
      <c r="B34" s="24">
        <v>45336.1328125</v>
      </c>
      <c r="C34" s="22">
        <v>61.373088836669901</v>
      </c>
    </row>
    <row r="35" spans="1:3" x14ac:dyDescent="0.3">
      <c r="A35" s="2" t="s">
        <v>1</v>
      </c>
      <c r="B35" s="24">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4.4" x14ac:dyDescent="0.3"/>
  <cols>
    <col min="1" max="1" width="14.109375" customWidth="1"/>
    <col min="2" max="2" width="21.109375" customWidth="1"/>
    <col min="3" max="3" width="19.10937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10</v>
      </c>
      <c r="B1" s="2">
        <v>21</v>
      </c>
    </row>
    <row r="2" spans="1:3" x14ac:dyDescent="0.3">
      <c r="A2" s="1" t="s">
        <v>26</v>
      </c>
      <c r="B2" t="s">
        <v>85</v>
      </c>
    </row>
    <row r="4" spans="1:3" x14ac:dyDescent="0.3">
      <c r="B4" s="1" t="s">
        <v>53</v>
      </c>
    </row>
    <row r="5" spans="1:3" x14ac:dyDescent="0.3">
      <c r="B5" s="16" t="s">
        <v>84</v>
      </c>
      <c r="C5" s="16"/>
    </row>
    <row r="6" spans="1:3" x14ac:dyDescent="0.3">
      <c r="A6" s="1" t="s">
        <v>0</v>
      </c>
      <c r="B6" t="s">
        <v>24</v>
      </c>
      <c r="C6" t="s">
        <v>86</v>
      </c>
    </row>
    <row r="7" spans="1:3" x14ac:dyDescent="0.3">
      <c r="A7" s="21">
        <v>2.5045182555913899E-3</v>
      </c>
      <c r="B7" s="15">
        <v>5.2624937840933968E-4</v>
      </c>
      <c r="C7" s="3">
        <v>2.5045186660632374E-3</v>
      </c>
    </row>
    <row r="8" spans="1:3" x14ac:dyDescent="0.3">
      <c r="A8" s="21">
        <v>2.5630462914705298E-3</v>
      </c>
      <c r="B8" s="15">
        <v>5.2458034340805077E-4</v>
      </c>
      <c r="C8" s="3">
        <v>2.5630468979848226E-3</v>
      </c>
    </row>
    <row r="9" spans="1:3" x14ac:dyDescent="0.3">
      <c r="A9" s="21">
        <v>2.6094238273799402E-3</v>
      </c>
      <c r="B9" s="15">
        <v>5.7429471474759514E-4</v>
      </c>
      <c r="C9" s="3">
        <v>2.6094244824981902E-3</v>
      </c>
    </row>
    <row r="10" spans="1:3" x14ac:dyDescent="0.3">
      <c r="A10" s="21">
        <v>2.6104634162038599E-3</v>
      </c>
      <c r="B10" s="15">
        <v>5.4383389544418296E-4</v>
      </c>
      <c r="C10" s="3">
        <v>2.6104636095401856E-3</v>
      </c>
    </row>
    <row r="11" spans="1:3" x14ac:dyDescent="0.3">
      <c r="A11" s="21">
        <v>2.6511079631745798E-3</v>
      </c>
      <c r="B11" s="15">
        <v>5.7620313747686904E-4</v>
      </c>
      <c r="C11" s="3">
        <v>2.6511082773499014E-3</v>
      </c>
    </row>
    <row r="12" spans="1:3" x14ac:dyDescent="0.3">
      <c r="A12" s="21">
        <v>2.6523263659328201E-3</v>
      </c>
      <c r="B12" s="15">
        <v>5.7716538400809554E-4</v>
      </c>
      <c r="C12" s="3">
        <v>2.6523258939838276E-3</v>
      </c>
    </row>
    <row r="13" spans="1:3" x14ac:dyDescent="0.3">
      <c r="A13" s="21">
        <v>2.6922526303678799E-3</v>
      </c>
      <c r="B13" s="15">
        <v>5.4572651137382291E-4</v>
      </c>
      <c r="C13" s="3">
        <v>2.6922531523068927E-3</v>
      </c>
    </row>
    <row r="14" spans="1:3" x14ac:dyDescent="0.3">
      <c r="A14" s="21">
        <v>2.7077475097030401E-3</v>
      </c>
      <c r="B14" s="15">
        <v>5.4984983102363797E-4</v>
      </c>
      <c r="C14" s="3">
        <v>2.7077459680566792E-3</v>
      </c>
    </row>
    <row r="15" spans="1:3" x14ac:dyDescent="0.3">
      <c r="A15" s="21">
        <v>2.7150895912200199E-3</v>
      </c>
      <c r="B15" s="15">
        <v>5.3902086198638762E-4</v>
      </c>
      <c r="C15" s="3">
        <v>2.7150907390394857E-3</v>
      </c>
    </row>
    <row r="16" spans="1:3" x14ac:dyDescent="0.3">
      <c r="A16" s="21">
        <v>2.7267211116850402E-3</v>
      </c>
      <c r="B16" s="15">
        <v>5.3940753164438324E-4</v>
      </c>
      <c r="C16" s="3">
        <v>2.7267208623176194E-3</v>
      </c>
    </row>
    <row r="17" spans="1:3" x14ac:dyDescent="0.3">
      <c r="A17" s="21">
        <v>2.7287094853818399E-3</v>
      </c>
      <c r="B17" s="15">
        <v>5.7429471474759514E-4</v>
      </c>
      <c r="C17" s="3">
        <v>2.6094244824981902E-3</v>
      </c>
    </row>
    <row r="18" spans="1:3" x14ac:dyDescent="0.3">
      <c r="A18" s="21">
        <v>2.7288943529128998E-3</v>
      </c>
      <c r="B18" s="15">
        <v>6.3158793252639906E-4</v>
      </c>
      <c r="C18" s="3">
        <v>3.3380647395034203E-3</v>
      </c>
    </row>
    <row r="19" spans="1:3" x14ac:dyDescent="0.3">
      <c r="A19" s="21">
        <v>2.7300291694700701E-3</v>
      </c>
      <c r="B19" s="15">
        <v>5.5852550369073868E-4</v>
      </c>
      <c r="C19" s="3">
        <v>2.7300304051260131E-3</v>
      </c>
    </row>
    <row r="20" spans="1:3" x14ac:dyDescent="0.3">
      <c r="A20" s="21">
        <v>2.73931701667607E-3</v>
      </c>
      <c r="B20" s="15">
        <v>5.3940753164438324E-4</v>
      </c>
      <c r="C20" s="3">
        <v>2.7267208623176194E-3</v>
      </c>
    </row>
    <row r="21" spans="1:3" x14ac:dyDescent="0.3">
      <c r="A21" s="21">
        <v>2.7393507771193999E-3</v>
      </c>
      <c r="B21" s="15">
        <v>5.460864848306898E-4</v>
      </c>
      <c r="C21" s="3">
        <v>2.7393519240135398E-3</v>
      </c>
    </row>
    <row r="22" spans="1:3" x14ac:dyDescent="0.3">
      <c r="A22" s="21">
        <v>2.7395684737712101E-3</v>
      </c>
      <c r="B22" s="15">
        <v>5.5276122529683753E-4</v>
      </c>
      <c r="C22" s="3">
        <v>2.739571537557617E-3</v>
      </c>
    </row>
    <row r="23" spans="1:3" x14ac:dyDescent="0.3">
      <c r="A23" s="21">
        <v>2.74024973623455E-3</v>
      </c>
      <c r="B23" s="15">
        <v>5.4577898917464391E-4</v>
      </c>
      <c r="C23" s="3">
        <v>2.740248835534663E-3</v>
      </c>
    </row>
    <row r="24" spans="1:3" x14ac:dyDescent="0.3">
      <c r="A24" s="21">
        <v>2.7408548630773999E-3</v>
      </c>
      <c r="B24" s="15">
        <v>5.5393187055687932E-4</v>
      </c>
      <c r="C24" s="3">
        <v>2.7408566146298508E-3</v>
      </c>
    </row>
    <row r="25" spans="1:3" x14ac:dyDescent="0.3">
      <c r="A25" s="21">
        <v>2.7771864552050799E-3</v>
      </c>
      <c r="B25" s="15">
        <v>5.6014690739753642E-4</v>
      </c>
      <c r="C25" s="3">
        <v>2.777186140328763E-3</v>
      </c>
    </row>
    <row r="26" spans="1:3" x14ac:dyDescent="0.3">
      <c r="A26" s="21">
        <v>2.80366791412234E-3</v>
      </c>
      <c r="B26" s="15">
        <v>5.891261087240038E-4</v>
      </c>
      <c r="C26" s="3">
        <v>2.8036685881023121E-3</v>
      </c>
    </row>
    <row r="27" spans="1:3" x14ac:dyDescent="0.3">
      <c r="A27" s="21">
        <v>2.8386912308633301E-3</v>
      </c>
      <c r="B27" s="15">
        <v>5.9262057067797046E-4</v>
      </c>
      <c r="C27" s="3">
        <v>2.8386868138961098E-3</v>
      </c>
    </row>
    <row r="28" spans="1:3" x14ac:dyDescent="0.3">
      <c r="A28" s="21">
        <v>2.8654306661337601E-3</v>
      </c>
      <c r="B28" s="15">
        <v>5.9984870938559827E-4</v>
      </c>
      <c r="C28" s="3">
        <v>2.8654319099386317E-3</v>
      </c>
    </row>
    <row r="29" spans="1:3" x14ac:dyDescent="0.3">
      <c r="A29" s="21">
        <v>3.3087665215134599E-3</v>
      </c>
      <c r="B29" s="15">
        <v>6.2104985737802603E-4</v>
      </c>
      <c r="C29" s="3">
        <v>3.3087662542233879E-3</v>
      </c>
    </row>
    <row r="30" spans="1:3" x14ac:dyDescent="0.3">
      <c r="A30" s="21">
        <v>3.3281163778155999E-3</v>
      </c>
      <c r="B30" s="15">
        <v>6.0805584837855808E-4</v>
      </c>
      <c r="C30" s="3">
        <v>3.3281145014955565E-3</v>
      </c>
    </row>
    <row r="31" spans="1:3" x14ac:dyDescent="0.3">
      <c r="A31" s="21">
        <v>3.3380659297108698E-3</v>
      </c>
      <c r="B31" s="15">
        <v>6.3158793252639906E-4</v>
      </c>
      <c r="C31" s="3">
        <v>3.3380647395034203E-3</v>
      </c>
    </row>
    <row r="32" spans="1:3" x14ac:dyDescent="0.3">
      <c r="A32" s="21">
        <v>3.3646663650870301E-3</v>
      </c>
      <c r="B32" s="15">
        <v>6.2414599727991685E-4</v>
      </c>
      <c r="C32" s="3">
        <v>3.364669375301286E-3</v>
      </c>
    </row>
    <row r="33" spans="1:3" x14ac:dyDescent="0.3">
      <c r="A33" s="21">
        <v>3.3867016900330799E-3</v>
      </c>
      <c r="B33" s="15">
        <v>6.5895715237916631E-4</v>
      </c>
      <c r="C33" s="3">
        <v>3.3867012060050596E-3</v>
      </c>
    </row>
    <row r="34" spans="1:3" x14ac:dyDescent="0.3">
      <c r="A34" s="21">
        <v>3.4071581903845102E-3</v>
      </c>
      <c r="B34" s="15">
        <v>6.6756625752982903E-4</v>
      </c>
      <c r="C34" s="3">
        <v>3.4071583270424955E-3</v>
      </c>
    </row>
    <row r="35" spans="1:3" x14ac:dyDescent="0.3">
      <c r="A35" s="20" t="s">
        <v>1</v>
      </c>
      <c r="B35" s="15">
        <v>5.7685039941598342E-4</v>
      </c>
      <c r="C35" s="3">
        <v>2.8648362787913853E-3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12</v>
      </c>
      <c r="C1" t="s">
        <v>13</v>
      </c>
      <c r="D1" t="s">
        <v>16</v>
      </c>
      <c r="E1" t="s">
        <v>17</v>
      </c>
      <c r="F1" t="s">
        <v>18</v>
      </c>
    </row>
    <row r="2" spans="1:6" x14ac:dyDescent="0.3">
      <c r="A2">
        <v>3812</v>
      </c>
      <c r="B2">
        <v>0</v>
      </c>
      <c r="D2" t="s">
        <v>14</v>
      </c>
      <c r="E2" t="s">
        <v>15</v>
      </c>
      <c r="F2" t="s">
        <v>19</v>
      </c>
    </row>
    <row r="3" spans="1:6" x14ac:dyDescent="0.3">
      <c r="A3">
        <v>3832</v>
      </c>
      <c r="B3">
        <v>0</v>
      </c>
      <c r="D3" t="s">
        <v>14</v>
      </c>
      <c r="E3" t="s">
        <v>15</v>
      </c>
      <c r="F3" t="s">
        <v>19</v>
      </c>
    </row>
    <row r="4" spans="1:6" x14ac:dyDescent="0.3">
      <c r="A4">
        <v>3932</v>
      </c>
      <c r="B4">
        <v>0</v>
      </c>
      <c r="D4" t="s">
        <v>14</v>
      </c>
      <c r="E4" t="s">
        <v>15</v>
      </c>
      <c r="F4" t="s">
        <v>19</v>
      </c>
    </row>
    <row r="5" spans="1:6" x14ac:dyDescent="0.3">
      <c r="A5">
        <v>4888</v>
      </c>
      <c r="B5">
        <v>0</v>
      </c>
      <c r="D5" t="s">
        <v>14</v>
      </c>
      <c r="E5" t="s">
        <v>15</v>
      </c>
      <c r="F5" t="s">
        <v>19</v>
      </c>
    </row>
    <row r="6" spans="1:6" x14ac:dyDescent="0.3">
      <c r="A6">
        <v>4936</v>
      </c>
      <c r="B6">
        <v>0</v>
      </c>
      <c r="D6" t="s">
        <v>14</v>
      </c>
      <c r="E6" t="s">
        <v>15</v>
      </c>
      <c r="F6" t="s">
        <v>19</v>
      </c>
    </row>
    <row r="7" spans="1:6" x14ac:dyDescent="0.3">
      <c r="A7">
        <v>6664</v>
      </c>
      <c r="B7">
        <v>0</v>
      </c>
      <c r="D7" t="s">
        <v>14</v>
      </c>
      <c r="E7" t="s">
        <v>15</v>
      </c>
      <c r="F7" t="s">
        <v>19</v>
      </c>
    </row>
    <row r="8" spans="1:6" x14ac:dyDescent="0.3">
      <c r="A8">
        <v>7688</v>
      </c>
      <c r="B8">
        <v>0</v>
      </c>
      <c r="D8" t="s">
        <v>14</v>
      </c>
      <c r="E8" t="s">
        <v>15</v>
      </c>
      <c r="F8" t="s">
        <v>19</v>
      </c>
    </row>
    <row r="9" spans="1:6" x14ac:dyDescent="0.3">
      <c r="A9">
        <v>8132</v>
      </c>
      <c r="B9">
        <v>0</v>
      </c>
      <c r="D9" t="s">
        <v>14</v>
      </c>
      <c r="E9" t="s">
        <v>15</v>
      </c>
      <c r="F9" t="s">
        <v>19</v>
      </c>
    </row>
    <row r="10" spans="1:6" x14ac:dyDescent="0.3">
      <c r="A10">
        <v>8492</v>
      </c>
      <c r="B10">
        <v>0</v>
      </c>
      <c r="D10" t="s">
        <v>14</v>
      </c>
      <c r="E10" t="s">
        <v>15</v>
      </c>
      <c r="F10" t="s">
        <v>19</v>
      </c>
    </row>
    <row r="11" spans="1:6" x14ac:dyDescent="0.3">
      <c r="A11">
        <v>9172</v>
      </c>
      <c r="B11">
        <v>0</v>
      </c>
      <c r="D11" t="s">
        <v>14</v>
      </c>
      <c r="E11" t="s">
        <v>15</v>
      </c>
      <c r="F11" t="s">
        <v>19</v>
      </c>
    </row>
    <row r="12" spans="1:6" x14ac:dyDescent="0.3">
      <c r="A12">
        <v>9508</v>
      </c>
      <c r="B12">
        <v>0</v>
      </c>
      <c r="D12" t="s">
        <v>14</v>
      </c>
      <c r="E12" t="s">
        <v>15</v>
      </c>
      <c r="F12" t="s">
        <v>19</v>
      </c>
    </row>
    <row r="13" spans="1:6" x14ac:dyDescent="0.3">
      <c r="A13">
        <v>9768</v>
      </c>
      <c r="B13">
        <v>0</v>
      </c>
      <c r="D13" t="s">
        <v>14</v>
      </c>
      <c r="E13" t="s">
        <v>15</v>
      </c>
      <c r="F13" t="s">
        <v>19</v>
      </c>
    </row>
    <row r="14" spans="1:6" x14ac:dyDescent="0.3">
      <c r="A14">
        <v>10172</v>
      </c>
      <c r="B14">
        <v>0</v>
      </c>
      <c r="D14" t="s">
        <v>14</v>
      </c>
      <c r="E14" t="s">
        <v>15</v>
      </c>
      <c r="F14" t="s">
        <v>19</v>
      </c>
    </row>
    <row r="15" spans="1:6" x14ac:dyDescent="0.3">
      <c r="A15">
        <v>10236</v>
      </c>
      <c r="B15">
        <v>0</v>
      </c>
      <c r="D15" t="s">
        <v>14</v>
      </c>
      <c r="E15" t="s">
        <v>15</v>
      </c>
      <c r="F15" t="s">
        <v>19</v>
      </c>
    </row>
    <row r="16" spans="1:6" x14ac:dyDescent="0.3">
      <c r="A16">
        <v>11744</v>
      </c>
      <c r="B16">
        <v>0</v>
      </c>
      <c r="D16" t="s">
        <v>14</v>
      </c>
      <c r="E16" t="s">
        <v>15</v>
      </c>
      <c r="F16" t="s">
        <v>19</v>
      </c>
    </row>
    <row r="17" spans="1:6" x14ac:dyDescent="0.3">
      <c r="A17">
        <v>11880</v>
      </c>
      <c r="B17">
        <v>0</v>
      </c>
      <c r="D17" t="s">
        <v>14</v>
      </c>
      <c r="E17" t="s">
        <v>15</v>
      </c>
      <c r="F17" t="s">
        <v>19</v>
      </c>
    </row>
    <row r="18" spans="1:6" x14ac:dyDescent="0.3">
      <c r="A18">
        <v>12184</v>
      </c>
      <c r="B18">
        <v>0</v>
      </c>
      <c r="D18" t="s">
        <v>14</v>
      </c>
      <c r="E18" t="s">
        <v>15</v>
      </c>
      <c r="F18" t="s">
        <v>19</v>
      </c>
    </row>
    <row r="19" spans="1:6" x14ac:dyDescent="0.3">
      <c r="A19">
        <v>12640</v>
      </c>
      <c r="B19">
        <v>0</v>
      </c>
      <c r="D19" t="s">
        <v>14</v>
      </c>
      <c r="E19" t="s">
        <v>15</v>
      </c>
      <c r="F19" t="s">
        <v>19</v>
      </c>
    </row>
    <row r="20" spans="1:6" x14ac:dyDescent="0.3">
      <c r="A20">
        <v>12956</v>
      </c>
      <c r="B20">
        <v>0</v>
      </c>
      <c r="D20" t="s">
        <v>14</v>
      </c>
      <c r="E20" t="s">
        <v>15</v>
      </c>
      <c r="F20" t="s">
        <v>19</v>
      </c>
    </row>
    <row r="21" spans="1:6" x14ac:dyDescent="0.3">
      <c r="A21">
        <v>14104</v>
      </c>
      <c r="B21">
        <v>0</v>
      </c>
      <c r="D21" t="s">
        <v>14</v>
      </c>
      <c r="E21" t="s">
        <v>15</v>
      </c>
      <c r="F21" t="s">
        <v>19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Charts</vt:lpstr>
      </vt:variant>
      <vt:variant>
        <vt:i4>1</vt:i4>
      </vt:variant>
    </vt:vector>
  </HeadingPairs>
  <TitlesOfParts>
    <vt:vector size="20" baseType="lpstr">
      <vt:lpstr>NN_Topology</vt:lpstr>
      <vt:lpstr>MSE</vt:lpstr>
      <vt:lpstr>Run_TRS</vt:lpstr>
      <vt:lpstr>Run_TR</vt:lpstr>
      <vt:lpstr>Run_BASE</vt:lpstr>
      <vt:lpstr>New_TR</vt:lpstr>
      <vt:lpstr>TradeError</vt:lpstr>
      <vt:lpstr>RunErrVsMSER</vt:lpstr>
      <vt:lpstr>TestEnvironment</vt:lpstr>
      <vt:lpstr>ClientInfo</vt:lpstr>
      <vt:lpstr>Config</vt:lpstr>
      <vt:lpstr>Engines</vt:lpstr>
      <vt:lpstr>vXMLconfigs</vt:lpstr>
      <vt:lpstr>Overview</vt:lpstr>
      <vt:lpstr>Overview2</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2019-11-18T11:48:47Z</dcterms:modified>
</cp:coreProperties>
</file>