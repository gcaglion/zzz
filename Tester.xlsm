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8.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minimized="1" xWindow="0" yWindow="0" windowWidth="28800" windowHeight="12636" firstSheet="3" activeTab="4"/>
  </bookViews>
  <sheets>
    <sheet name="NN_Topology" sheetId="35" r:id="rId1"/>
    <sheet name="MSE" sheetId="1" r:id="rId2"/>
    <sheet name="Run_TRS" sheetId="27" r:id="rId3"/>
    <sheet name="Run_TR" sheetId="28" r:id="rId4"/>
    <sheet name="Run_BASE" sheetId="29" r:id="rId5"/>
    <sheet name="RunErrVsMSER" sheetId="32" r:id="rId6"/>
    <sheet name="TradeError" sheetId="23" r:id="rId7"/>
    <sheet name="TestEnvironment" sheetId="15" r:id="rId8"/>
    <sheet name="ClientInfo" sheetId="6" r:id="rId9"/>
    <sheet name="Config" sheetId="34" r:id="rId10"/>
    <sheet name="vXMLconfigs" sheetId="30" r:id="rId11"/>
    <sheet name="Overview" sheetId="20" r:id="rId12"/>
    <sheet name="Overview2" sheetId="31" r:id="rId13"/>
    <sheet name="Fix_Engine_Scripts" sheetId="22" r:id="rId14"/>
    <sheet name="Internals-SCGD" sheetId="17" r:id="rId15"/>
    <sheet name="MSE_vs_Err" sheetId="13" r:id="rId16"/>
    <sheet name="MSE-Err_Chart" sheetId="14" r:id="rId17"/>
    <sheet name="Engine" sheetId="8" r:id="rId18"/>
  </sheets>
  <definedNames>
    <definedName name="ExternalData_1" localSheetId="9" hidden="1">Config!$A$3:$E$92</definedName>
    <definedName name="ExternalData_2" localSheetId="9" hidden="1">Config!#REF!</definedName>
    <definedName name="Query_from_Algo" localSheetId="8" hidden="1">ClientInfo!$A$2:$I$98</definedName>
    <definedName name="Query_from_Algo" localSheetId="17" hidden="1">Engine!$A$1:$F$21</definedName>
    <definedName name="Query_from_Algo" localSheetId="10" hidden="1">vXMLconfigs!$A$1:$O$41</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19"/>
    <pivotCache cacheId="1" r:id="rId20"/>
    <pivotCache cacheId="2" r:id="rId21"/>
    <pivotCache cacheId="3" r:id="rId22"/>
    <pivotCache cacheId="4" r:id="rId23"/>
    <pivotCache cacheId="5" r:id="rId24"/>
    <pivotCache cacheId="38"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6" l="1"/>
  <c r="B8" i="35"/>
  <c r="F8" i="35"/>
  <c r="F9" i="35" s="1"/>
  <c r="B9" i="35"/>
  <c r="F11" i="35"/>
  <c r="F12" i="35"/>
  <c r="F13" i="35"/>
  <c r="F14" i="35"/>
  <c r="F15" i="35"/>
  <c r="G15" i="35" s="1"/>
  <c r="F10" i="35" l="1"/>
  <c r="G14" i="35"/>
  <c r="H15" i="35" s="1"/>
  <c r="C2" i="27"/>
  <c r="C1" i="27"/>
  <c r="B2" i="27"/>
  <c r="B1" i="27"/>
  <c r="D2" i="27"/>
  <c r="G13" i="35" l="1"/>
  <c r="F1" i="1"/>
  <c r="E1" i="23"/>
  <c r="D1" i="23"/>
  <c r="C1" i="23"/>
  <c r="B1" i="23"/>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4" name="Q_XMLConfig21" type="1" refreshedVersion="5" savePassword="1" background="1" saveData="1">
    <dbPr connection="DSN=Algo;UID=LogUser;PWD=LogPwd;DBQ=ALGO;DBA=W;APA=T;EXC=F;FEN=T;QTO=T;FRC=10;FDL=10;LOB=T;RST=T;BTD=F;BNF=F;BAM=IfAllSuccessful;NUM=NLS;DPM=F;MTS=T;MDI=F;CSR=F;FWC=F;FBS=64000;TLO=O;MLD=0;ODA=F;STE=F;TSZ=8192;AST=FLOAT;"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5"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<sst xmlns="http://schemas.openxmlformats.org/spreadsheetml/2006/main" count="1151" uniqueCount="397">
  <si>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</si>
  <si>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</si>
  <si>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</si>
  <si>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</si>
  <si>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</si>
  <si>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</si>
  <si>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</si>
  <si>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</si>
  <si>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</si>
  <si>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</si>
  <si>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</si>
  <si>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</si>
  <si>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</si>
  <si>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</si>
  <si>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</si>
  <si>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</si>
  <si>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</si>
  <si>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</si>
  <si>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</si>
  <si>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</si>
  <si>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</si>
  <si>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</si>
  <si>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</si>
  <si>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</si>
  <si>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</si>
  <si>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</si>
  <si>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</si>
  <si>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</si>
  <si>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</si>
  <si>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</si>
  <si>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</si>
  <si>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</si>
  <si>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</si>
  <si>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</si>
  <si>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</si>
  <si>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</si>
  <si>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</si>
  <si>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</si>
  <si>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</si>
  <si>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</si>
  <si>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</si>
  <si>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</si>
  <si>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</si>
  <si>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</si>
  <si>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</si>
  <si>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</si>
  <si>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</si>
  <si>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</si>
  <si>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</si>
  <si>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</si>
  <si>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</si>
  <si>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</si>
  <si>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</si>
  <si>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</si>
  <si>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</si>
  <si>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</si>
  <si>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</si>
  <si>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</si>
  <si>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</si>
  <si>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</si>
  <si>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</si>
  <si>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</si>
  <si>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</si>
  <si>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</si>
  <si>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</si>
  <si>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</si>
  <si>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</si>
  <si>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</si>
  <si>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</si>
  <si>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</si>
  <si>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</si>
  <si>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</si>
  <si>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</si>
  <si>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</si>
  <si>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</si>
  <si>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</si>
  <si>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</si>
  <si>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</si>
  <si>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</si>
  <si>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</si>
  <si>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</si>
  <si>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</si>
  <si>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</si>
  <si>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</si>
  <si>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</si>
  <si>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</si>
  <si>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</si>
  <si>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</si>
  <si>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</si>
  <si>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</si>
  <si>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</si>
  <si>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</si>
  <si>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</si>
  <si>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</si>
  <si>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</si>
  <si>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</si>
  <si>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</si>
  <si>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</si>
  <si>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</si>
  <si>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</si>
  <si>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</si>
  <si>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</si>
  <si>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</si>
  <si>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</si>
  <si>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</si>
  <si>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</si>
  <si>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</si>
  <si>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</si>
  <si>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</si>
  <si>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</si>
  <si>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</si>
  <si>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</si>
  <si>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</si>
  <si>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</si>
  <si>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</si>
  <si>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</si>
  <si>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</si>
  <si>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</si>
  <si>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</si>
  <si>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</si>
  <si>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</si>
  <si>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</si>
  <si>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</si>
  <si>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</si>
  <si>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</si>
  <si>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</si>
  <si>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</si>
  <si>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</si>
  <si>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</si>
  <si>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</si>
  <si>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</si>
  <si>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</si>
  <si>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</si>
  <si>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</si>
  <si>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</si>
  <si>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</si>
  <si>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</si>
  <si>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</si>
  <si>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2017-08-08-15:00</t>
  </si>
  <si>
    <t>NETPROCESSID</t>
  </si>
  <si>
    <t>2017-08-07-19:00</t>
  </si>
  <si>
    <t>min</t>
  </si>
  <si>
    <t>max</t>
  </si>
  <si>
    <t>CORE0USECONTEXT</t>
  </si>
  <si>
    <t>CORE0USEBIAS</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</si>
  <si>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</si>
  <si>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</si>
  <si>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</si>
  <si>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</si>
  <si>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</si>
  <si>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</si>
  <si>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</si>
  <si>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</si>
  <si>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</si>
  <si>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</si>
  <si>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</si>
  <si>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</si>
  <si>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</si>
  <si>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</si>
  <si>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</si>
  <si>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</si>
  <si>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</si>
  <si>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</si>
  <si>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</si>
  <si>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</si>
  <si>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</si>
  <si>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</si>
  <si>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</si>
  <si>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</si>
  <si>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</si>
  <si>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</si>
  <si>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</si>
  <si>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</si>
  <si>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</si>
  <si>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</si>
  <si>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</si>
  <si>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</si>
  <si>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</si>
  <si>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</si>
  <si>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</si>
  <si>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</si>
  <si>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</si>
  <si>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</si>
  <si>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</si>
  <si>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</si>
  <si>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</si>
  <si>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</si>
  <si>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</si>
  <si>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2015-12-22-23:00</t>
  </si>
  <si>
    <t>2016-10-19-06:00</t>
  </si>
  <si>
    <t>2017-08-08-05:00</t>
  </si>
  <si>
    <t>2014-05-14-08:00</t>
  </si>
  <si>
    <t>2015-12-21-17:00</t>
  </si>
  <si>
    <t>2014-05-13-02:00</t>
  </si>
  <si>
    <t>2018-07-23-19:00</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</si>
  <si>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</si>
  <si>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</si>
  <si>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</si>
  <si>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</si>
  <si>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</si>
  <si>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</si>
  <si>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2018-07-17-15:00</t>
  </si>
  <si>
    <t>2015-12-23-19:00</t>
  </si>
  <si>
    <t>2014-05-15-04:00</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</si>
  <si>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</si>
  <si>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</si>
  <si>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</si>
  <si>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</si>
  <si>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</si>
  <si>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</si>
  <si>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</si>
  <si>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</si>
  <si>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</si>
  <si>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</si>
  <si>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</si>
  <si>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</si>
  <si>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</si>
  <si>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</si>
  <si>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</si>
  <si>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</si>
  <si>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</si>
  <si>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</si>
  <si>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</si>
  <si>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</si>
  <si>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</si>
  <si>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</si>
  <si>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</si>
  <si>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</si>
  <si>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</si>
  <si>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</si>
  <si>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</si>
  <si>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</si>
  <si>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</si>
  <si>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</si>
  <si>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</si>
  <si>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</si>
  <si>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</si>
  <si>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</si>
  <si>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</si>
  <si>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</si>
  <si>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</si>
  <si>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</si>
  <si>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</si>
  <si>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</si>
  <si>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</si>
  <si>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</si>
  <si>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</si>
  <si>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</si>
  <si>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</si>
  <si>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</si>
  <si>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</si>
  <si>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</si>
  <si>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</si>
  <si>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</si>
  <si>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</si>
  <si>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</si>
  <si>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</si>
  <si>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</si>
  <si>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</si>
  <si>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</si>
  <si>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</si>
  <si>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</si>
  <si>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</si>
  <si>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</si>
  <si>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</si>
  <si>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</si>
  <si>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</si>
  <si>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</si>
  <si>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</si>
  <si>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</si>
  <si>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</si>
  <si>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</si>
  <si>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</si>
  <si>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</si>
  <si>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</si>
  <si>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</si>
  <si>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</si>
  <si>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</si>
  <si>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</si>
  <si>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</si>
  <si>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</si>
  <si>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</si>
  <si>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</si>
  <si>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</si>
  <si>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</si>
  <si>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</si>
  <si>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</si>
  <si>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</si>
  <si>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</si>
  <si>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</si>
  <si>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</si>
  <si>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</si>
  <si>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</si>
  <si>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</si>
  <si>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</si>
  <si>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</si>
  <si>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</si>
  <si>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</si>
  <si>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</si>
  <si>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</si>
  <si>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</si>
  <si>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</si>
  <si>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</si>
  <si>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</si>
  <si>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</si>
  <si>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</si>
  <si>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</si>
  <si>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</si>
  <si>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</si>
  <si>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</si>
  <si>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</si>
  <si>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</si>
  <si>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</si>
  <si>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</si>
  <si>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</si>
  <si>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</si>
  <si>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</si>
  <si>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</si>
  <si>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00:00:46</t>
  </si>
  <si>
    <t>00:00:11</t>
  </si>
  <si>
    <t>00:00:06</t>
  </si>
  <si>
    <t>00:00:03</t>
  </si>
  <si>
    <t>00:00:02</t>
  </si>
  <si>
    <t>00:00:04</t>
  </si>
  <si>
    <t>00:00:07</t>
  </si>
  <si>
    <t>00:00:31</t>
  </si>
  <si>
    <t>00:00:48</t>
  </si>
  <si>
    <t>00:00:13</t>
  </si>
  <si>
    <t>00:00:49</t>
  </si>
  <si>
    <t>00:00:45</t>
  </si>
  <si>
    <t>00:00:12</t>
  </si>
  <si>
    <t>00:00:09</t>
  </si>
  <si>
    <t>00:00:00</t>
  </si>
  <si>
    <t>00:00:14</t>
  </si>
  <si>
    <t>00:00:20</t>
  </si>
  <si>
    <t>00:00:21</t>
  </si>
  <si>
    <t>00:00:24</t>
  </si>
  <si>
    <t>00:01:52</t>
  </si>
  <si>
    <t>00:01:13</t>
  </si>
  <si>
    <t>00:00:33</t>
  </si>
  <si>
    <t>00:00:10</t>
  </si>
  <si>
    <t>00:00:36</t>
  </si>
  <si>
    <t>00:00:23</t>
  </si>
  <si>
    <t>00:02:59</t>
  </si>
  <si>
    <t>00:03:05</t>
  </si>
  <si>
    <t>00:01:45</t>
  </si>
  <si>
    <t>00:02:49</t>
  </si>
  <si>
    <t>00:00:01</t>
  </si>
  <si>
    <t>00:03:11</t>
  </si>
  <si>
    <t>00:03:10</t>
  </si>
  <si>
    <t>00:00:18</t>
  </si>
  <si>
    <t>00:00:34</t>
  </si>
  <si>
    <t>00:01:56</t>
  </si>
  <si>
    <t>00:12:07</t>
  </si>
  <si>
    <t>00:04:45</t>
  </si>
  <si>
    <t>00:27:11</t>
  </si>
  <si>
    <t>00:05:49</t>
  </si>
  <si>
    <t>00:04:46</t>
  </si>
  <si>
    <t>00:24:04</t>
  </si>
  <si>
    <t>00:06:13</t>
  </si>
  <si>
    <t>00:01:38</t>
  </si>
  <si>
    <t>00:01:11</t>
  </si>
  <si>
    <t>00:52:52</t>
  </si>
  <si>
    <t>00:52:14</t>
  </si>
  <si>
    <t>Duration</t>
  </si>
  <si>
    <t>MT5_account_25306622</t>
  </si>
  <si>
    <t>MT5_account_25615969</t>
  </si>
  <si>
    <t>2019-08-29-18:00</t>
  </si>
  <si>
    <t>2019-08-29-19:00</t>
  </si>
  <si>
    <t>2019-08-29-20:00</t>
  </si>
  <si>
    <t>2019-08-29-21:00</t>
  </si>
  <si>
    <t>2019-08-29-22:00</t>
  </si>
  <si>
    <t>2019-08-29-23:00</t>
  </si>
  <si>
    <t>2019-08-30-00:00</t>
  </si>
  <si>
    <t>2019-08-30-01:00</t>
  </si>
  <si>
    <t>2019-08-30-02:00</t>
  </si>
  <si>
    <t>2019-08-30-06:00</t>
  </si>
  <si>
    <t>2019-08-30-07:00</t>
  </si>
  <si>
    <t>2019-08-30-08:00</t>
  </si>
  <si>
    <t>2019-08-30-09:00</t>
  </si>
  <si>
    <t>2019-08-30-10:00</t>
  </si>
  <si>
    <t>2019-08-30-11:00</t>
  </si>
  <si>
    <t>2019-08-30-12:00</t>
  </si>
  <si>
    <t>2019-08-30-13:00</t>
  </si>
  <si>
    <t>2019-08-30-14:00</t>
  </si>
  <si>
    <t>2019-08-30-15:00</t>
  </si>
  <si>
    <t>2019-08-30-16:00</t>
  </si>
  <si>
    <t>2019-08-30-17:00</t>
  </si>
  <si>
    <t>2019-08-30-18:00</t>
  </si>
  <si>
    <t>2019-08-30-19:00</t>
  </si>
  <si>
    <t>2019-08-30-20:00</t>
  </si>
  <si>
    <t>2019-08-30-21:00</t>
  </si>
  <si>
    <t>9999-99-99-99:99</t>
  </si>
  <si>
    <t>2019-08-30-03:00</t>
  </si>
  <si>
    <t>2019-08-30-04:00</t>
  </si>
  <si>
    <t>2019-08-30-05:00</t>
  </si>
  <si>
    <t>2019-08-30-22:00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</si>
</sst>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8">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xf numFmtId="166" fontId="2" fillId="0" borderId="0" xfId="0" applyNumberFormat="1" applyFont="1"/>
    <xf numFmtId="3" fontId="0" fillId="0" borderId="0" xfId="0" applyNumberFormat="1"/>
    <xf numFmtId="0" fontId="0" fillId="4" borderId="0" xfId="0" applyFill="1"/>
    <xf numFmtId="3" fontId="1" fillId="0" borderId="0" xfId="0" applyNumberFormat="1" applyFont="1"/>
    <xf numFmtId="0" fontId="0" fillId="0" borderId="0" xfId="0" applyAlignment="1">
      <alignment horizontal="left" indent="1"/>
    </xf>
  </cellXfs>
  <cellStyles count="2">
    <cellStyle name="Hyperlink" xfId="1" builtinId="8"/>
    <cellStyle name="Normal" xfId="0" builtinId="0"/>
  </cellStyles>
  <dxfs count="34">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3.xml"/><Relationship Id="rId42" Type="http://schemas.microsoft.com/office/2007/relationships/slicerCache" Target="slicerCaches/slicerCache17.xml"/><Relationship Id="rId47" Type="http://schemas.microsoft.com/office/2007/relationships/slicerCache" Target="slicerCaches/slicerCache22.xml"/><Relationship Id="rId63" Type="http://schemas.microsoft.com/office/2007/relationships/slicerCache" Target="slicerCaches/slicerCache38.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microsoft.com/office/2007/relationships/slicerCache" Target="slicerCaches/slicerCache28.xml"/><Relationship Id="rId58" Type="http://schemas.microsoft.com/office/2007/relationships/slicerCache" Target="slicerCaches/slicerCache33.xml"/><Relationship Id="rId66"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36.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microsoft.com/office/2007/relationships/slicerCache" Target="slicerCaches/slicerCache31.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7.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7/relationships/slicerCache" Target="slicerCaches/slicerCache34.xml"/><Relationship Id="rId67" Type="http://schemas.openxmlformats.org/officeDocument/2006/relationships/sharedStrings" Target="sharedStrings.xml"/><Relationship Id="rId20" Type="http://schemas.openxmlformats.org/officeDocument/2006/relationships/pivotCacheDefinition" Target="pivotCache/pivotCacheDefinition2.xml"/><Relationship Id="rId41" Type="http://schemas.microsoft.com/office/2007/relationships/slicerCache" Target="slicerCaches/slicerCache16.xml"/><Relationship Id="rId54" Type="http://schemas.microsoft.com/office/2007/relationships/slicerCache" Target="slicerCaches/slicerCache29.xml"/><Relationship Id="rId62" Type="http://schemas.microsoft.com/office/2007/relationships/slicerCache" Target="slicerCaches/slicerCache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microsoft.com/office/2007/relationships/slicerCache" Target="slicerCaches/slicerCache3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microsoft.com/office/2007/relationships/slicerCache" Target="slicerCaches/slicerCache27.xml"/><Relationship Id="rId60" Type="http://schemas.microsoft.com/office/2007/relationships/slicerCache" Target="slicerCaches/slicerCache35.xml"/><Relationship Id="rId65"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7.xml"/><Relationship Id="rId39" Type="http://schemas.microsoft.com/office/2007/relationships/slicerCache" Target="slicerCaches/slicerCache14.xml"/><Relationship Id="rId34" Type="http://schemas.microsoft.com/office/2007/relationships/slicerCache" Target="slicerCaches/slicerCache9.xml"/><Relationship Id="rId50" Type="http://schemas.microsoft.com/office/2007/relationships/slicerCache" Target="slicerCaches/slicerCache25.xml"/><Relationship Id="rId55"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MSE!$B$2:$B$24</c:f>
              <c:numCache>
                <c:formatCode>0.00000</c:formatCode>
                <c:ptCount val="22"/>
                <c:pt idx="0">
                  <c:v>1.7526923911646E-3</c:v>
                </c:pt>
                <c:pt idx="1">
                  <c:v>1.2076594866812201E-3</c:v>
                </c:pt>
                <c:pt idx="2">
                  <c:v>9.3854742590338003E-4</c:v>
                </c:pt>
                <c:pt idx="3">
                  <c:v>7.7149580465629697E-4</c:v>
                </c:pt>
                <c:pt idx="4">
                  <c:v>6.6001620143651995E-4</c:v>
                </c:pt>
                <c:pt idx="5">
                  <c:v>5.80693653319031E-4</c:v>
                </c:pt>
                <c:pt idx="6">
                  <c:v>5.2116008009761604E-4</c:v>
                </c:pt>
                <c:pt idx="7">
                  <c:v>4.7453781007789102E-4</c:v>
                </c:pt>
                <c:pt idx="8">
                  <c:v>4.3682078830897803E-4</c:v>
                </c:pt>
                <c:pt idx="9">
                  <c:v>4.0557520696893302E-4</c:v>
                </c:pt>
                <c:pt idx="10">
                  <c:v>3.7924878415651598E-4</c:v>
                </c:pt>
                <c:pt idx="11">
                  <c:v>3.5678903805091999E-4</c:v>
                </c:pt>
                <c:pt idx="12">
                  <c:v>3.3743688254617198E-4</c:v>
                </c:pt>
                <c:pt idx="13">
                  <c:v>3.20616672979668E-4</c:v>
                </c:pt>
                <c:pt idx="14">
                  <c:v>3.0587715446017699E-4</c:v>
                </c:pt>
                <c:pt idx="15">
                  <c:v>2.9285805067047498E-4</c:v>
                </c:pt>
                <c:pt idx="16">
                  <c:v>2.81268876278773E-4</c:v>
                </c:pt>
                <c:pt idx="17">
                  <c:v>2.70875578280538E-4</c:v>
                </c:pt>
                <c:pt idx="18">
                  <c:v>2.6148819597437999E-4</c:v>
                </c:pt>
                <c:pt idx="19">
                  <c:v>2.5295355590060402E-4</c:v>
                </c:pt>
                <c:pt idx="20">
                  <c:v>2.45148286921903E-4</c:v>
                </c:pt>
                <c:pt idx="21">
                  <c:v>2.3797225730959299E-4</c:v>
                </c:pt>
              </c:numCache>
            </c:numRef>
          </c:val>
          <c:smooth val="0"/>
        </c:ser>
        <c:dLbls>
          <c:showLegendKey val="0"/>
          <c:showVal val="0"/>
          <c:showCatName val="0"/>
          <c:showSerName val="0"/>
          <c:showPercent val="0"/>
          <c:showBubbleSize val="0"/>
        </c:dLbls>
        <c:marker val="1"/>
        <c:smooth val="0"/>
        <c:axId val="-937620208"/>
        <c:axId val="-93763000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MSE!$C$2:$C$24</c:f>
              <c:numCache>
                <c:formatCode>0</c:formatCode>
                <c:ptCount val="22"/>
                <c:pt idx="0">
                  <c:v>10629</c:v>
                </c:pt>
                <c:pt idx="1">
                  <c:v>10640</c:v>
                </c:pt>
                <c:pt idx="2">
                  <c:v>10645</c:v>
                </c:pt>
                <c:pt idx="3">
                  <c:v>10683</c:v>
                </c:pt>
                <c:pt idx="4">
                  <c:v>10689</c:v>
                </c:pt>
                <c:pt idx="5">
                  <c:v>10682</c:v>
                </c:pt>
                <c:pt idx="6">
                  <c:v>10699</c:v>
                </c:pt>
                <c:pt idx="7">
                  <c:v>10692</c:v>
                </c:pt>
                <c:pt idx="8">
                  <c:v>10685</c:v>
                </c:pt>
                <c:pt idx="9">
                  <c:v>10686</c:v>
                </c:pt>
                <c:pt idx="10">
                  <c:v>10686</c:v>
                </c:pt>
                <c:pt idx="11">
                  <c:v>10687</c:v>
                </c:pt>
                <c:pt idx="12">
                  <c:v>10695</c:v>
                </c:pt>
                <c:pt idx="13">
                  <c:v>10696</c:v>
                </c:pt>
                <c:pt idx="14">
                  <c:v>10762</c:v>
                </c:pt>
                <c:pt idx="15">
                  <c:v>10753</c:v>
                </c:pt>
                <c:pt idx="16">
                  <c:v>10755</c:v>
                </c:pt>
                <c:pt idx="17">
                  <c:v>10756</c:v>
                </c:pt>
                <c:pt idx="18">
                  <c:v>10752</c:v>
                </c:pt>
                <c:pt idx="19">
                  <c:v>10748</c:v>
                </c:pt>
                <c:pt idx="20">
                  <c:v>10748</c:v>
                </c:pt>
                <c:pt idx="21">
                  <c:v>10749</c:v>
                </c:pt>
              </c:numCache>
            </c:numRef>
          </c:val>
          <c:smooth val="0"/>
        </c:ser>
        <c:dLbls>
          <c:showLegendKey val="0"/>
          <c:showVal val="0"/>
          <c:showCatName val="0"/>
          <c:showSerName val="0"/>
          <c:showPercent val="0"/>
          <c:showBubbleSize val="0"/>
        </c:dLbls>
        <c:marker val="1"/>
        <c:smooth val="0"/>
        <c:axId val="-937628912"/>
        <c:axId val="-937635440"/>
      </c:lineChart>
      <c:catAx>
        <c:axId val="-93762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7630000"/>
        <c:crosses val="autoZero"/>
        <c:auto val="1"/>
        <c:lblAlgn val="ctr"/>
        <c:lblOffset val="100"/>
        <c:noMultiLvlLbl val="0"/>
      </c:catAx>
      <c:valAx>
        <c:axId val="-9376300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7620208"/>
        <c:crosses val="autoZero"/>
        <c:crossBetween val="between"/>
      </c:valAx>
      <c:valAx>
        <c:axId val="-93763544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7628912"/>
        <c:crosses val="max"/>
        <c:crossBetween val="between"/>
      </c:valAx>
      <c:catAx>
        <c:axId val="-937628912"/>
        <c:scaling>
          <c:orientation val="minMax"/>
        </c:scaling>
        <c:delete val="1"/>
        <c:axPos val="b"/>
        <c:numFmt formatCode="General" sourceLinked="1"/>
        <c:majorTickMark val="out"/>
        <c:minorTickMark val="none"/>
        <c:tickLblPos val="nextTo"/>
        <c:crossAx val="-9376354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Run_TRS!$A$4:$A$36</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strCache>
            </c:strRef>
          </c:cat>
          <c:val>
            <c:numRef>
              <c:f>Run_TRS!$B$4:$B$36</c:f>
              <c:numCache>
                <c:formatCode>General</c:formatCode>
                <c:ptCount val="32"/>
                <c:pt idx="0">
                  <c:v>0.11484438553452495</c:v>
                </c:pt>
                <c:pt idx="1">
                  <c:v>0.13446725346148017</c:v>
                </c:pt>
                <c:pt idx="2">
                  <c:v>0.15662874653935444</c:v>
                </c:pt>
                <c:pt idx="3">
                  <c:v>0.21626472100615499</c:v>
                </c:pt>
                <c:pt idx="4">
                  <c:v>0.21685910224914576</c:v>
                </c:pt>
                <c:pt idx="5">
                  <c:v>0.21555018424987799</c:v>
                </c:pt>
                <c:pt idx="6">
                  <c:v>0.20055839046835899</c:v>
                </c:pt>
                <c:pt idx="7">
                  <c:v>0.19874364882707574</c:v>
                </c:pt>
                <c:pt idx="8">
                  <c:v>0.21111601218581175</c:v>
                </c:pt>
                <c:pt idx="9">
                  <c:v>0.17255850695073566</c:v>
                </c:pt>
                <c:pt idx="10">
                  <c:v>0.15041932836174973</c:v>
                </c:pt>
                <c:pt idx="11">
                  <c:v>0.15009975247085089</c:v>
                </c:pt>
                <c:pt idx="12">
                  <c:v>0.17693120986223226</c:v>
                </c:pt>
                <c:pt idx="13">
                  <c:v>0.20158056169748301</c:v>
                </c:pt>
                <c:pt idx="14">
                  <c:v>0.21969088912010173</c:v>
                </c:pt>
                <c:pt idx="15">
                  <c:v>0.16163655929267415</c:v>
                </c:pt>
                <c:pt idx="16">
                  <c:v>0.14333021640777585</c:v>
                </c:pt>
                <c:pt idx="17">
                  <c:v>0.21056218072772026</c:v>
                </c:pt>
                <c:pt idx="18">
                  <c:v>0.21466692164540302</c:v>
                </c:pt>
                <c:pt idx="19">
                  <c:v>0.20279714092612278</c:v>
                </c:pt>
                <c:pt idx="20">
                  <c:v>0.16964052617549902</c:v>
                </c:pt>
                <c:pt idx="21">
                  <c:v>0.19012554362416248</c:v>
                </c:pt>
                <c:pt idx="22">
                  <c:v>0.24315617606043799</c:v>
                </c:pt>
                <c:pt idx="23">
                  <c:v>7.0267185568809565E-2</c:v>
                </c:pt>
                <c:pt idx="24">
                  <c:v>-7.4524916708469308E-2</c:v>
                </c:pt>
                <c:pt idx="25">
                  <c:v>9.119277819991109E-2</c:v>
                </c:pt>
                <c:pt idx="26">
                  <c:v>9.1413045302033286E-2</c:v>
                </c:pt>
                <c:pt idx="27">
                  <c:v>0.16811613366007788</c:v>
                </c:pt>
                <c:pt idx="28">
                  <c:v>0.29228759184479697</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Run_TRS!$A$4:$A$36</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strCache>
            </c:strRef>
          </c:cat>
          <c:val>
            <c:numRef>
              <c:f>Run_TRS!$C$4:$C$36</c:f>
              <c:numCache>
                <c:formatCode>General</c:formatCode>
                <c:ptCount val="32"/>
                <c:pt idx="10">
                  <c:v>0.1520348545163871</c:v>
                </c:pt>
                <c:pt idx="11">
                  <c:v>0.14855868555605423</c:v>
                </c:pt>
                <c:pt idx="12">
                  <c:v>0.17316292040050016</c:v>
                </c:pt>
                <c:pt idx="13">
                  <c:v>0.20357025787234326</c:v>
                </c:pt>
                <c:pt idx="14">
                  <c:v>0.21870745532214625</c:v>
                </c:pt>
                <c:pt idx="15">
                  <c:v>0.160994785837829</c:v>
                </c:pt>
                <c:pt idx="16">
                  <c:v>0.13607094809412956</c:v>
                </c:pt>
                <c:pt idx="17">
                  <c:v>0.20189984142780298</c:v>
                </c:pt>
                <c:pt idx="18">
                  <c:v>0.210445776581764</c:v>
                </c:pt>
                <c:pt idx="19">
                  <c:v>0.21158676967024825</c:v>
                </c:pt>
                <c:pt idx="20">
                  <c:v>0.16073101945221438</c:v>
                </c:pt>
                <c:pt idx="21">
                  <c:v>0.18508945591747777</c:v>
                </c:pt>
                <c:pt idx="22">
                  <c:v>0.24002142623066924</c:v>
                </c:pt>
                <c:pt idx="23">
                  <c:v>7.9281874001026043E-2</c:v>
                </c:pt>
                <c:pt idx="24">
                  <c:v>-9.8643573699519121E-2</c:v>
                </c:pt>
                <c:pt idx="25">
                  <c:v>9.2715689912438309E-2</c:v>
                </c:pt>
                <c:pt idx="26">
                  <c:v>9.4761542975902724E-2</c:v>
                </c:pt>
                <c:pt idx="27">
                  <c:v>0.16012548375874752</c:v>
                </c:pt>
                <c:pt idx="28">
                  <c:v>0.28065959736704826</c:v>
                </c:pt>
                <c:pt idx="29">
                  <c:v>0.19721504300832762</c:v>
                </c:pt>
                <c:pt idx="30">
                  <c:v>0.15526579413563024</c:v>
                </c:pt>
                <c:pt idx="31">
                  <c:v>0.18490184471011165</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Run_TRS!$A$4:$A$36</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strCache>
            </c:strRef>
          </c:cat>
          <c:val>
            <c:numRef>
              <c:f>Run_TRS!$D$4:$D$36</c:f>
              <c:numCache>
                <c:formatCode>General</c:formatCode>
                <c:ptCount val="32"/>
                <c:pt idx="10">
                  <c:v>1.8235849216580377E-2</c:v>
                </c:pt>
                <c:pt idx="11">
                  <c:v>5.0377026200293246E-3</c:v>
                </c:pt>
                <c:pt idx="12">
                  <c:v>7.3573049157858754E-3</c:v>
                </c:pt>
                <c:pt idx="13">
                  <c:v>1.4620531350374251E-2</c:v>
                </c:pt>
                <c:pt idx="14">
                  <c:v>1.4721797779202499E-2</c:v>
                </c:pt>
                <c:pt idx="15">
                  <c:v>7.8305499628188498E-3</c:v>
                </c:pt>
                <c:pt idx="16">
                  <c:v>1.4067444950342199E-2</c:v>
                </c:pt>
                <c:pt idx="17">
                  <c:v>1.6105536371469251E-2</c:v>
                </c:pt>
                <c:pt idx="18">
                  <c:v>1.1122222989798002E-2</c:v>
                </c:pt>
                <c:pt idx="19">
                  <c:v>1.1172965168952999E-2</c:v>
                </c:pt>
                <c:pt idx="20">
                  <c:v>8.9095067232846503E-3</c:v>
                </c:pt>
                <c:pt idx="21">
                  <c:v>1.0617619380354826E-2</c:v>
                </c:pt>
                <c:pt idx="22">
                  <c:v>2.1318100392818749E-2</c:v>
                </c:pt>
                <c:pt idx="23">
                  <c:v>3.2167956233024472E-2</c:v>
                </c:pt>
                <c:pt idx="24">
                  <c:v>2.4118656991049817E-2</c:v>
                </c:pt>
                <c:pt idx="25">
                  <c:v>1.8504930660128701E-2</c:v>
                </c:pt>
                <c:pt idx="26">
                  <c:v>2.200753428041945E-2</c:v>
                </c:pt>
                <c:pt idx="27">
                  <c:v>3.3285795710980851E-2</c:v>
                </c:pt>
                <c:pt idx="28">
                  <c:v>2.9002502560615248E-2</c:v>
                </c:pt>
              </c:numCache>
            </c:numRef>
          </c:val>
          <c:smooth val="0"/>
        </c:ser>
        <c:dLbls>
          <c:showLegendKey val="0"/>
          <c:showVal val="0"/>
          <c:showCatName val="0"/>
          <c:showSerName val="0"/>
          <c:showPercent val="0"/>
          <c:showBubbleSize val="0"/>
        </c:dLbls>
        <c:smooth val="0"/>
        <c:axId val="-1083535648"/>
        <c:axId val="-1083525856"/>
      </c:lineChart>
      <c:catAx>
        <c:axId val="-108353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25856"/>
        <c:crosses val="autoZero"/>
        <c:auto val="1"/>
        <c:lblAlgn val="ctr"/>
        <c:lblOffset val="100"/>
        <c:noMultiLvlLbl val="0"/>
      </c:catAx>
      <c:valAx>
        <c:axId val="-1083525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356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Run_TR!$A$2:$A$34</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strCache>
            </c:strRef>
          </c:cat>
          <c:val>
            <c:numRef>
              <c:f>Run_TR!$B$2:$B$34</c:f>
              <c:numCache>
                <c:formatCode>General</c:formatCode>
                <c:ptCount val="32"/>
                <c:pt idx="0">
                  <c:v>-8.9001654123421639E-4</c:v>
                </c:pt>
                <c:pt idx="1">
                  <c:v>-6.6998602414969355E-4</c:v>
                </c:pt>
                <c:pt idx="2">
                  <c:v>-4.3249133159406478E-4</c:v>
                </c:pt>
                <c:pt idx="3">
                  <c:v>2.0000340646220133E-4</c:v>
                </c:pt>
                <c:pt idx="4">
                  <c:v>2.1001693130528998E-4</c:v>
                </c:pt>
                <c:pt idx="5">
                  <c:v>1.9249323850090155E-4</c:v>
                </c:pt>
                <c:pt idx="6">
                  <c:v>3.4987951949006123E-5</c:v>
                </c:pt>
                <c:pt idx="7">
                  <c:v>1.4990576346463051E-5</c:v>
                </c:pt>
                <c:pt idx="8">
                  <c:v>1.4749174079042851E-4</c:v>
                </c:pt>
                <c:pt idx="9">
                  <c:v>-2.6252865609421866E-4</c:v>
                </c:pt>
                <c:pt idx="10">
                  <c:v>-4.9996375310001895E-4</c:v>
                </c:pt>
                <c:pt idx="11">
                  <c:v>-5.024969650548885E-4</c:v>
                </c:pt>
                <c:pt idx="12">
                  <c:v>-2.1749738471044133E-4</c:v>
                </c:pt>
                <c:pt idx="13">
                  <c:v>4.5031271838524756E-5</c:v>
                </c:pt>
                <c:pt idx="14">
                  <c:v>2.3999811855901525E-4</c:v>
                </c:pt>
                <c:pt idx="15">
                  <c:v>-3.7750602859887273E-4</c:v>
                </c:pt>
                <c:pt idx="16">
                  <c:v>-5.7750944006329768E-4</c:v>
                </c:pt>
                <c:pt idx="17">
                  <c:v>1.4248489196688744E-4</c:v>
                </c:pt>
                <c:pt idx="18">
                  <c:v>1.85012831934728E-4</c:v>
                </c:pt>
                <c:pt idx="19">
                  <c:v>5.7488687161821696E-5</c:v>
                </c:pt>
                <c:pt idx="20">
                  <c:v>-2.9501320477720588E-4</c:v>
                </c:pt>
                <c:pt idx="21">
                  <c:v>-7.5012467732449268E-5</c:v>
                </c:pt>
                <c:pt idx="22">
                  <c:v>4.9000972649082552E-4</c:v>
                </c:pt>
                <c:pt idx="23">
                  <c:v>-1.3475120122166109E-3</c:v>
                </c:pt>
                <c:pt idx="24">
                  <c:v>-2.8999447240494174E-3</c:v>
                </c:pt>
                <c:pt idx="25">
                  <c:v>-1.1350214294907357E-3</c:v>
                </c:pt>
                <c:pt idx="26">
                  <c:v>-1.1250078387092803E-3</c:v>
                </c:pt>
                <c:pt idx="27">
                  <c:v>-3.1247737933881494E-4</c:v>
                </c:pt>
                <c:pt idx="28">
                  <c:v>1.0149479494430133E-3</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Run_TR!$A$2:$A$34</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strCache>
            </c:strRef>
          </c:cat>
          <c:val>
            <c:numRef>
              <c:f>Run_TR!$C$2:$C$34</c:f>
              <c:numCache>
                <c:formatCode>General</c:formatCode>
                <c:ptCount val="32"/>
                <c:pt idx="10">
                  <c:v>-4.8112479271367198E-4</c:v>
                </c:pt>
                <c:pt idx="11">
                  <c:v>-5.1959549455204979E-4</c:v>
                </c:pt>
                <c:pt idx="12">
                  <c:v>-2.5812424428295355E-4</c:v>
                </c:pt>
                <c:pt idx="13">
                  <c:v>6.4329606288993213E-5</c:v>
                </c:pt>
                <c:pt idx="14">
                  <c:v>2.2852926849736827E-4</c:v>
                </c:pt>
                <c:pt idx="15">
                  <c:v>-3.8518954511346237E-4</c:v>
                </c:pt>
                <c:pt idx="16">
                  <c:v>-6.5367247225367497E-4</c:v>
                </c:pt>
                <c:pt idx="17">
                  <c:v>5.0235749768034824E-5</c:v>
                </c:pt>
                <c:pt idx="18">
                  <c:v>1.39999448947492E-4</c:v>
                </c:pt>
                <c:pt idx="19">
                  <c:v>1.5270261792466039E-4</c:v>
                </c:pt>
                <c:pt idx="20">
                  <c:v>-3.9008991916489316E-4</c:v>
                </c:pt>
                <c:pt idx="21">
                  <c:v>-1.2979605162399824E-4</c:v>
                </c:pt>
                <c:pt idx="22">
                  <c:v>4.532931470748735E-4</c:v>
                </c:pt>
                <c:pt idx="23">
                  <c:v>-1.254521877854132E-3</c:v>
                </c:pt>
                <c:pt idx="24">
                  <c:v>-3.1553253647871298E-3</c:v>
                </c:pt>
                <c:pt idx="25">
                  <c:v>-1.117349132982779E-3</c:v>
                </c:pt>
                <c:pt idx="26">
                  <c:v>-1.0884305302170114E-3</c:v>
                </c:pt>
                <c:pt idx="27">
                  <c:v>-3.9525257034256264E-4</c:v>
                </c:pt>
                <c:pt idx="28">
                  <c:v>8.8932346261572006E-4</c:v>
                </c:pt>
                <c:pt idx="29">
                  <c:v>-2.0808993212995933E-6</c:v>
                </c:pt>
                <c:pt idx="30">
                  <c:v>-4.4884197995997982E-4</c:v>
                </c:pt>
                <c:pt idx="31">
                  <c:v>-1.3241733176982956E-4</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Run_TR!$A$2:$A$34</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strCache>
            </c:strRef>
          </c:cat>
          <c:val>
            <c:numRef>
              <c:f>Run_TR!$D$2:$D$34</c:f>
              <c:numCache>
                <c:formatCode>General</c:formatCode>
                <c:ptCount val="32"/>
                <c:pt idx="10">
                  <c:v>1.9426647486397948E-4</c:v>
                </c:pt>
                <c:pt idx="11">
                  <c:v>5.4179618018679253E-5</c:v>
                </c:pt>
                <c:pt idx="12">
                  <c:v>7.8690420650673671E-5</c:v>
                </c:pt>
                <c:pt idx="13">
                  <c:v>1.5607468310463481E-4</c:v>
                </c:pt>
                <c:pt idx="14">
                  <c:v>1.57244385263766E-4</c:v>
                </c:pt>
                <c:pt idx="15">
                  <c:v>8.4243994706411626E-5</c:v>
                </c:pt>
                <c:pt idx="16">
                  <c:v>1.4977540877225885E-4</c:v>
                </c:pt>
                <c:pt idx="17">
                  <c:v>1.714075146992399E-4</c:v>
                </c:pt>
                <c:pt idx="18">
                  <c:v>1.1792327313742151E-4</c:v>
                </c:pt>
                <c:pt idx="19">
                  <c:v>1.2046843039570383E-4</c:v>
                </c:pt>
                <c:pt idx="20">
                  <c:v>9.507671438768728E-5</c:v>
                </c:pt>
                <c:pt idx="21">
                  <c:v>1.1378350927770947E-4</c:v>
                </c:pt>
                <c:pt idx="22">
                  <c:v>2.2871911824040548E-4</c:v>
                </c:pt>
                <c:pt idx="23">
                  <c:v>3.433428737480411E-4</c:v>
                </c:pt>
                <c:pt idx="24">
                  <c:v>2.5538064073771249E-4</c:v>
                </c:pt>
                <c:pt idx="25">
                  <c:v>1.9691749957928884E-4</c:v>
                </c:pt>
                <c:pt idx="26">
                  <c:v>2.3465585400117651E-4</c:v>
                </c:pt>
                <c:pt idx="27">
                  <c:v>3.5300317995279307E-4</c:v>
                </c:pt>
                <c:pt idx="28">
                  <c:v>3.0918615811970296E-4</c:v>
                </c:pt>
              </c:numCache>
            </c:numRef>
          </c:val>
          <c:smooth val="0"/>
        </c:ser>
        <c:dLbls>
          <c:showLegendKey val="0"/>
          <c:showVal val="0"/>
          <c:showCatName val="0"/>
          <c:showSerName val="0"/>
          <c:showPercent val="0"/>
          <c:showBubbleSize val="0"/>
        </c:dLbls>
        <c:smooth val="0"/>
        <c:axId val="-1083531296"/>
        <c:axId val="-1169742288"/>
      </c:lineChart>
      <c:catAx>
        <c:axId val="-108353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742288"/>
        <c:crosses val="autoZero"/>
        <c:auto val="1"/>
        <c:lblAlgn val="ctr"/>
        <c:lblOffset val="100"/>
        <c:noMultiLvlLbl val="0"/>
      </c:catAx>
      <c:valAx>
        <c:axId val="-11697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312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multiLvlStrRef>
              <c:f>Run_BASE!$A$2:$A$35</c:f>
              <c:multiLvlStrCache>
                <c:ptCount val="32"/>
                <c:lvl>
                  <c:pt idx="29">
                    <c:v>29</c:v>
                  </c:pt>
                  <c:pt idx="30">
                    <c:v>30</c:v>
                  </c:pt>
                  <c:pt idx="31">
                    <c:v>31</c:v>
                  </c:pt>
                </c:lvl>
                <c:lvl>
                  <c:pt idx="0">
                    <c:v>2019-08-29-18:00</c:v>
                  </c:pt>
                  <c:pt idx="1">
                    <c:v>2019-08-29-19:00</c:v>
                  </c:pt>
                  <c:pt idx="2">
                    <c:v>2019-08-29-20:00</c:v>
                  </c:pt>
                  <c:pt idx="3">
                    <c:v>2019-08-29-21:00</c:v>
                  </c:pt>
                  <c:pt idx="4">
                    <c:v>2019-08-29-22:00</c:v>
                  </c:pt>
                  <c:pt idx="5">
                    <c:v>2019-08-29-23:00</c:v>
                  </c:pt>
                  <c:pt idx="6">
                    <c:v>2019-08-30-00:00</c:v>
                  </c:pt>
                  <c:pt idx="7">
                    <c:v>2019-08-30-01:00</c:v>
                  </c:pt>
                  <c:pt idx="8">
                    <c:v>2019-08-30-02:00</c:v>
                  </c:pt>
                  <c:pt idx="9">
                    <c:v>2019-08-30-03:00</c:v>
                  </c:pt>
                  <c:pt idx="10">
                    <c:v>2019-08-30-04:00</c:v>
                  </c:pt>
                  <c:pt idx="11">
                    <c:v>2019-08-30-05:00</c:v>
                  </c:pt>
                  <c:pt idx="12">
                    <c:v>2019-08-30-06:00</c:v>
                  </c:pt>
                  <c:pt idx="13">
                    <c:v>2019-08-30-07:00</c:v>
                  </c:pt>
                  <c:pt idx="14">
                    <c:v>2019-08-30-08:00</c:v>
                  </c:pt>
                  <c:pt idx="15">
                    <c:v>2019-08-30-09:00</c:v>
                  </c:pt>
                  <c:pt idx="16">
                    <c:v>2019-08-30-10:00</c:v>
                  </c:pt>
                  <c:pt idx="17">
                    <c:v>2019-08-30-11:00</c:v>
                  </c:pt>
                  <c:pt idx="18">
                    <c:v>2019-08-30-12:00</c:v>
                  </c:pt>
                  <c:pt idx="19">
                    <c:v>2019-08-30-13:00</c:v>
                  </c:pt>
                  <c:pt idx="20">
                    <c:v>2019-08-30-14:00</c:v>
                  </c:pt>
                  <c:pt idx="21">
                    <c:v>2019-08-30-15:00</c:v>
                  </c:pt>
                  <c:pt idx="22">
                    <c:v>2019-08-30-16:00</c:v>
                  </c:pt>
                  <c:pt idx="23">
                    <c:v>2019-08-30-17:00</c:v>
                  </c:pt>
                  <c:pt idx="24">
                    <c:v>2019-08-30-18:00</c:v>
                  </c:pt>
                  <c:pt idx="25">
                    <c:v>2019-08-30-19:00</c:v>
                  </c:pt>
                  <c:pt idx="26">
                    <c:v>2019-08-30-20:00</c:v>
                  </c:pt>
                  <c:pt idx="27">
                    <c:v>2019-08-30-21:00</c:v>
                  </c:pt>
                  <c:pt idx="28">
                    <c:v>2019-08-30-22:00</c:v>
                  </c:pt>
                  <c:pt idx="29">
                    <c:v>9999-99-99-99:99</c:v>
                  </c:pt>
                </c:lvl>
              </c:multiLvlStrCache>
            </c:multiLvlStrRef>
          </c:cat>
          <c:val>
            <c:numRef>
              <c:f>Run_BASE!$B$2:$B$35</c:f>
              <c:numCache>
                <c:formatCode>0.00000</c:formatCode>
                <c:ptCount val="32"/>
                <c:pt idx="0">
                  <c:v>1.1066299676895099</c:v>
                </c:pt>
                <c:pt idx="1">
                  <c:v>1.1057599782943699</c:v>
                </c:pt>
                <c:pt idx="2">
                  <c:v>1.10521996021271</c:v>
                </c:pt>
                <c:pt idx="3">
                  <c:v>1.10528004169464</c:v>
                </c:pt>
                <c:pt idx="4">
                  <c:v>1.1051100492477399</c:v>
                </c:pt>
                <c:pt idx="5">
                  <c:v>1.10569000244141</c:v>
                </c:pt>
                <c:pt idx="6">
                  <c:v>1.1055699586868299</c:v>
                </c:pt>
                <c:pt idx="7">
                  <c:v>1.1056499481201201</c:v>
                </c:pt>
                <c:pt idx="8">
                  <c:v>1.1057499647140501</c:v>
                </c:pt>
                <c:pt idx="9">
                  <c:v>1.10582995414734</c:v>
                </c:pt>
                <c:pt idx="10">
                  <c:v>1.10531997680664</c:v>
                </c:pt>
                <c:pt idx="11">
                  <c:v>1.10483002662659</c:v>
                </c:pt>
                <c:pt idx="12">
                  <c:v>1.1042499542236299</c:v>
                </c:pt>
                <c:pt idx="13">
                  <c:v>1.1043499708175699</c:v>
                </c:pt>
                <c:pt idx="14">
                  <c:v>1.1044000387191799</c:v>
                </c:pt>
                <c:pt idx="15">
                  <c:v>1.10471999645233</c:v>
                </c:pt>
                <c:pt idx="16">
                  <c:v>1.1036800146102901</c:v>
                </c:pt>
                <c:pt idx="17">
                  <c:v>1.1037000417709399</c:v>
                </c:pt>
                <c:pt idx="18">
                  <c:v>1.1038099527359</c:v>
                </c:pt>
                <c:pt idx="19">
                  <c:v>1.1039500236511199</c:v>
                </c:pt>
                <c:pt idx="20">
                  <c:v>1.1039999723434399</c:v>
                </c:pt>
                <c:pt idx="21">
                  <c:v>1.10344994068146</c:v>
                </c:pt>
                <c:pt idx="22">
                  <c:v>1.1037299633026101</c:v>
                </c:pt>
                <c:pt idx="23">
                  <c:v>1.1043299436569201</c:v>
                </c:pt>
                <c:pt idx="24">
                  <c:v>1.1011500358581501</c:v>
                </c:pt>
                <c:pt idx="25">
                  <c:v>1.09880995750427</c:v>
                </c:pt>
                <c:pt idx="26">
                  <c:v>1.0986499786377</c:v>
                </c:pt>
                <c:pt idx="27">
                  <c:v>1.0970200300216699</c:v>
                </c:pt>
                <c:pt idx="28">
                  <c:v>1.0975699424743699</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multiLvlStrRef>
              <c:f>Run_BASE!$A$2:$A$35</c:f>
              <c:multiLvlStrCache>
                <c:ptCount val="32"/>
                <c:lvl>
                  <c:pt idx="29">
                    <c:v>29</c:v>
                  </c:pt>
                  <c:pt idx="30">
                    <c:v>30</c:v>
                  </c:pt>
                  <c:pt idx="31">
                    <c:v>31</c:v>
                  </c:pt>
                </c:lvl>
                <c:lvl>
                  <c:pt idx="0">
                    <c:v>2019-08-29-18:00</c:v>
                  </c:pt>
                  <c:pt idx="1">
                    <c:v>2019-08-29-19:00</c:v>
                  </c:pt>
                  <c:pt idx="2">
                    <c:v>2019-08-29-20:00</c:v>
                  </c:pt>
                  <c:pt idx="3">
                    <c:v>2019-08-29-21:00</c:v>
                  </c:pt>
                  <c:pt idx="4">
                    <c:v>2019-08-29-22:00</c:v>
                  </c:pt>
                  <c:pt idx="5">
                    <c:v>2019-08-29-23:00</c:v>
                  </c:pt>
                  <c:pt idx="6">
                    <c:v>2019-08-30-00:00</c:v>
                  </c:pt>
                  <c:pt idx="7">
                    <c:v>2019-08-30-01:00</c:v>
                  </c:pt>
                  <c:pt idx="8">
                    <c:v>2019-08-30-02:00</c:v>
                  </c:pt>
                  <c:pt idx="9">
                    <c:v>2019-08-30-03:00</c:v>
                  </c:pt>
                  <c:pt idx="10">
                    <c:v>2019-08-30-04:00</c:v>
                  </c:pt>
                  <c:pt idx="11">
                    <c:v>2019-08-30-05:00</c:v>
                  </c:pt>
                  <c:pt idx="12">
                    <c:v>2019-08-30-06:00</c:v>
                  </c:pt>
                  <c:pt idx="13">
                    <c:v>2019-08-30-07:00</c:v>
                  </c:pt>
                  <c:pt idx="14">
                    <c:v>2019-08-30-08:00</c:v>
                  </c:pt>
                  <c:pt idx="15">
                    <c:v>2019-08-30-09:00</c:v>
                  </c:pt>
                  <c:pt idx="16">
                    <c:v>2019-08-30-10:00</c:v>
                  </c:pt>
                  <c:pt idx="17">
                    <c:v>2019-08-30-11:00</c:v>
                  </c:pt>
                  <c:pt idx="18">
                    <c:v>2019-08-30-12:00</c:v>
                  </c:pt>
                  <c:pt idx="19">
                    <c:v>2019-08-30-13:00</c:v>
                  </c:pt>
                  <c:pt idx="20">
                    <c:v>2019-08-30-14:00</c:v>
                  </c:pt>
                  <c:pt idx="21">
                    <c:v>2019-08-30-15:00</c:v>
                  </c:pt>
                  <c:pt idx="22">
                    <c:v>2019-08-30-16:00</c:v>
                  </c:pt>
                  <c:pt idx="23">
                    <c:v>2019-08-30-17:00</c:v>
                  </c:pt>
                  <c:pt idx="24">
                    <c:v>2019-08-30-18:00</c:v>
                  </c:pt>
                  <c:pt idx="25">
                    <c:v>2019-08-30-19:00</c:v>
                  </c:pt>
                  <c:pt idx="26">
                    <c:v>2019-08-30-20:00</c:v>
                  </c:pt>
                  <c:pt idx="27">
                    <c:v>2019-08-30-21:00</c:v>
                  </c:pt>
                  <c:pt idx="28">
                    <c:v>2019-08-30-22:00</c:v>
                  </c:pt>
                  <c:pt idx="29">
                    <c:v>9999-99-99-99:99</c:v>
                  </c:pt>
                </c:lvl>
              </c:multiLvlStrCache>
            </c:multiLvlStrRef>
          </c:cat>
          <c:val>
            <c:numRef>
              <c:f>Run_BASE!$C$2:$C$35</c:f>
              <c:numCache>
                <c:formatCode>0.00000</c:formatCode>
                <c:ptCount val="32"/>
                <c:pt idx="10">
                  <c:v>1.10533571243286</c:v>
                </c:pt>
                <c:pt idx="11">
                  <c:v>1.10482025146484</c:v>
                </c:pt>
                <c:pt idx="12">
                  <c:v>1.1042895317077599</c:v>
                </c:pt>
                <c:pt idx="13">
                  <c:v>1.10446000099182</c:v>
                </c:pt>
                <c:pt idx="14">
                  <c:v>1.10427129268646</c:v>
                </c:pt>
                <c:pt idx="15">
                  <c:v>1.10471904277802</c:v>
                </c:pt>
                <c:pt idx="16">
                  <c:v>1.1037012338638299</c:v>
                </c:pt>
                <c:pt idx="17">
                  <c:v>1.1037278175353999</c:v>
                </c:pt>
                <c:pt idx="18">
                  <c:v>1.1039557456970199</c:v>
                </c:pt>
                <c:pt idx="19">
                  <c:v>1.1040236949920701</c:v>
                </c:pt>
                <c:pt idx="20">
                  <c:v>1.1038632392883301</c:v>
                </c:pt>
                <c:pt idx="21">
                  <c:v>1.10356020927429</c:v>
                </c:pt>
                <c:pt idx="22">
                  <c:v>1.1037904024124101</c:v>
                </c:pt>
                <c:pt idx="23">
                  <c:v>1.10425877571106</c:v>
                </c:pt>
                <c:pt idx="24">
                  <c:v>1.10105299949646</c:v>
                </c:pt>
                <c:pt idx="25">
                  <c:v>1.0990066528320299</c:v>
                </c:pt>
                <c:pt idx="26">
                  <c:v>1.0984908342361499</c:v>
                </c:pt>
                <c:pt idx="27">
                  <c:v>1.09679710865021</c:v>
                </c:pt>
                <c:pt idx="28">
                  <c:v>1.0979371070861801</c:v>
                </c:pt>
                <c:pt idx="29">
                  <c:v>1.09847295284271</c:v>
                </c:pt>
                <c:pt idx="30">
                  <c:v>1.0975255966186499</c:v>
                </c:pt>
                <c:pt idx="31">
                  <c:v>1.09767365455627</c:v>
                </c:pt>
              </c:numCache>
            </c:numRef>
          </c:val>
          <c:smooth val="0"/>
        </c:ser>
        <c:dLbls>
          <c:showLegendKey val="0"/>
          <c:showVal val="0"/>
          <c:showCatName val="0"/>
          <c:showSerName val="0"/>
          <c:showPercent val="0"/>
          <c:showBubbleSize val="0"/>
        </c:dLbls>
        <c:marker val="1"/>
        <c:smooth val="0"/>
        <c:axId val="-895440384"/>
        <c:axId val="-895434944"/>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multiLvlStrRef>
              <c:f>Run_BASE!$A$2:$A$35</c:f>
              <c:multiLvlStrCache>
                <c:ptCount val="32"/>
                <c:lvl>
                  <c:pt idx="29">
                    <c:v>29</c:v>
                  </c:pt>
                  <c:pt idx="30">
                    <c:v>30</c:v>
                  </c:pt>
                  <c:pt idx="31">
                    <c:v>31</c:v>
                  </c:pt>
                </c:lvl>
                <c:lvl>
                  <c:pt idx="0">
                    <c:v>2019-08-29-18:00</c:v>
                  </c:pt>
                  <c:pt idx="1">
                    <c:v>2019-08-29-19:00</c:v>
                  </c:pt>
                  <c:pt idx="2">
                    <c:v>2019-08-29-20:00</c:v>
                  </c:pt>
                  <c:pt idx="3">
                    <c:v>2019-08-29-21:00</c:v>
                  </c:pt>
                  <c:pt idx="4">
                    <c:v>2019-08-29-22:00</c:v>
                  </c:pt>
                  <c:pt idx="5">
                    <c:v>2019-08-29-23:00</c:v>
                  </c:pt>
                  <c:pt idx="6">
                    <c:v>2019-08-30-00:00</c:v>
                  </c:pt>
                  <c:pt idx="7">
                    <c:v>2019-08-30-01:00</c:v>
                  </c:pt>
                  <c:pt idx="8">
                    <c:v>2019-08-30-02:00</c:v>
                  </c:pt>
                  <c:pt idx="9">
                    <c:v>2019-08-30-03:00</c:v>
                  </c:pt>
                  <c:pt idx="10">
                    <c:v>2019-08-30-04:00</c:v>
                  </c:pt>
                  <c:pt idx="11">
                    <c:v>2019-08-30-05:00</c:v>
                  </c:pt>
                  <c:pt idx="12">
                    <c:v>2019-08-30-06:00</c:v>
                  </c:pt>
                  <c:pt idx="13">
                    <c:v>2019-08-30-07:00</c:v>
                  </c:pt>
                  <c:pt idx="14">
                    <c:v>2019-08-30-08:00</c:v>
                  </c:pt>
                  <c:pt idx="15">
                    <c:v>2019-08-30-09:00</c:v>
                  </c:pt>
                  <c:pt idx="16">
                    <c:v>2019-08-30-10:00</c:v>
                  </c:pt>
                  <c:pt idx="17">
                    <c:v>2019-08-30-11:00</c:v>
                  </c:pt>
                  <c:pt idx="18">
                    <c:v>2019-08-30-12:00</c:v>
                  </c:pt>
                  <c:pt idx="19">
                    <c:v>2019-08-30-13:00</c:v>
                  </c:pt>
                  <c:pt idx="20">
                    <c:v>2019-08-30-14:00</c:v>
                  </c:pt>
                  <c:pt idx="21">
                    <c:v>2019-08-30-15:00</c:v>
                  </c:pt>
                  <c:pt idx="22">
                    <c:v>2019-08-30-16:00</c:v>
                  </c:pt>
                  <c:pt idx="23">
                    <c:v>2019-08-30-17:00</c:v>
                  </c:pt>
                  <c:pt idx="24">
                    <c:v>2019-08-30-18:00</c:v>
                  </c:pt>
                  <c:pt idx="25">
                    <c:v>2019-08-30-19:00</c:v>
                  </c:pt>
                  <c:pt idx="26">
                    <c:v>2019-08-30-20:00</c:v>
                  </c:pt>
                  <c:pt idx="27">
                    <c:v>2019-08-30-21:00</c:v>
                  </c:pt>
                  <c:pt idx="28">
                    <c:v>2019-08-30-22:00</c:v>
                  </c:pt>
                  <c:pt idx="29">
                    <c:v>9999-99-99-99:99</c:v>
                  </c:pt>
                </c:lvl>
              </c:multiLvlStrCache>
            </c:multiLvlStrRef>
          </c:cat>
          <c:val>
            <c:numRef>
              <c:f>Run_BASE!$D$2:$D$35</c:f>
              <c:numCache>
                <c:formatCode>0.00000</c:formatCode>
                <c:ptCount val="32"/>
                <c:pt idx="10">
                  <c:v>1.573562622E-5</c:v>
                </c:pt>
                <c:pt idx="11">
                  <c:v>9.7751617499999995E-6</c:v>
                </c:pt>
                <c:pt idx="12">
                  <c:v>3.9577484130000002E-5</c:v>
                </c:pt>
                <c:pt idx="13">
                  <c:v>1.1003017425E-4</c:v>
                </c:pt>
                <c:pt idx="14">
                  <c:v>1.2874603272E-4</c:v>
                </c:pt>
                <c:pt idx="15">
                  <c:v>9.5367430999999995E-7</c:v>
                </c:pt>
                <c:pt idx="16">
                  <c:v>2.1219253540000001E-5</c:v>
                </c:pt>
                <c:pt idx="17">
                  <c:v>2.777576446E-5</c:v>
                </c:pt>
                <c:pt idx="18">
                  <c:v>1.4579296112E-4</c:v>
                </c:pt>
                <c:pt idx="19">
                  <c:v>7.3671340949999997E-5</c:v>
                </c:pt>
                <c:pt idx="20">
                  <c:v>1.3673305511E-4</c:v>
                </c:pt>
                <c:pt idx="21">
                  <c:v>1.1026859283E-4</c:v>
                </c:pt>
                <c:pt idx="22">
                  <c:v>6.04391098E-5</c:v>
                </c:pt>
                <c:pt idx="23">
                  <c:v>7.1167945860000002E-5</c:v>
                </c:pt>
                <c:pt idx="24">
                  <c:v>9.7036361689999996E-5</c:v>
                </c:pt>
                <c:pt idx="25">
                  <c:v>1.9669532776000001E-4</c:v>
                </c:pt>
                <c:pt idx="26">
                  <c:v>1.5914440154999999E-4</c:v>
                </c:pt>
                <c:pt idx="27">
                  <c:v>2.2292137146E-4</c:v>
                </c:pt>
                <c:pt idx="28">
                  <c:v>3.6716461181000002E-4</c:v>
                </c:pt>
              </c:numCache>
            </c:numRef>
          </c:val>
          <c:smooth val="0"/>
        </c:ser>
        <c:dLbls>
          <c:showLegendKey val="0"/>
          <c:showVal val="0"/>
          <c:showCatName val="0"/>
          <c:showSerName val="0"/>
          <c:showPercent val="0"/>
          <c:showBubbleSize val="0"/>
        </c:dLbls>
        <c:marker val="1"/>
        <c:smooth val="0"/>
        <c:axId val="-865338336"/>
        <c:axId val="-865349216"/>
      </c:lineChart>
      <c:catAx>
        <c:axId val="-89544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34944"/>
        <c:crosses val="autoZero"/>
        <c:auto val="1"/>
        <c:lblAlgn val="ctr"/>
        <c:lblOffset val="100"/>
        <c:noMultiLvlLbl val="0"/>
      </c:catAx>
      <c:valAx>
        <c:axId val="-8954349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40384"/>
        <c:crosses val="autoZero"/>
        <c:crossBetween val="between"/>
      </c:valAx>
      <c:valAx>
        <c:axId val="-8653492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338336"/>
        <c:crosses val="max"/>
        <c:crossBetween val="between"/>
      </c:valAx>
      <c:catAx>
        <c:axId val="-865338336"/>
        <c:scaling>
          <c:orientation val="minMax"/>
        </c:scaling>
        <c:delete val="1"/>
        <c:axPos val="b"/>
        <c:numFmt formatCode="General" sourceLinked="1"/>
        <c:majorTickMark val="out"/>
        <c:minorTickMark val="none"/>
        <c:tickLblPos val="nextTo"/>
        <c:crossAx val="-865349216"/>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RunErrVsMSER!$A$5:$A$6</c:f>
              <c:strCache>
                <c:ptCount val="1"/>
                <c:pt idx="0">
                  <c:v>3332788.5</c:v>
                </c:pt>
              </c:strCache>
            </c:strRef>
          </c:cat>
          <c:val>
            <c:numRef>
              <c:f>RunErrVsMSER!$B$5:$B$6</c:f>
              <c:numCache>
                <c:formatCode>General</c:formatCode>
                <c:ptCount val="1"/>
                <c:pt idx="0">
                  <c:v>1.685286885568581E-2</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RunErrVsMSER!$A$5:$A$6</c:f>
              <c:strCache>
                <c:ptCount val="1"/>
                <c:pt idx="0">
                  <c:v>3332788.5</c:v>
                </c:pt>
              </c:strCache>
            </c:strRef>
          </c:cat>
          <c:val>
            <c:numRef>
              <c:f>RunErrVsMSER!$C$5:$C$6</c:f>
              <c:numCache>
                <c:formatCode>General</c:formatCode>
                <c:ptCount val="1"/>
                <c:pt idx="0">
                  <c:v>1.797020921924887E-4</c:v>
                </c:pt>
              </c:numCache>
            </c:numRef>
          </c:val>
          <c:smooth val="0"/>
        </c:ser>
        <c:dLbls>
          <c:showLegendKey val="0"/>
          <c:showVal val="0"/>
          <c:showCatName val="0"/>
          <c:showSerName val="0"/>
          <c:showPercent val="0"/>
          <c:showBubbleSize val="0"/>
        </c:dLbls>
        <c:marker val="1"/>
        <c:smooth val="0"/>
        <c:axId val="-895439840"/>
        <c:axId val="-895436576"/>
      </c:lineChart>
      <c:catAx>
        <c:axId val="-895439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36576"/>
        <c:crosses val="autoZero"/>
        <c:auto val="1"/>
        <c:lblAlgn val="ctr"/>
        <c:lblOffset val="100"/>
        <c:noMultiLvlLbl val="0"/>
      </c:catAx>
      <c:valAx>
        <c:axId val="-895436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39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895429504"/>
        <c:axId val="-895432224"/>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895437664"/>
        <c:axId val="-895431680"/>
      </c:lineChart>
      <c:catAx>
        <c:axId val="-89542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32224"/>
        <c:crosses val="autoZero"/>
        <c:auto val="1"/>
        <c:lblAlgn val="ctr"/>
        <c:lblOffset val="100"/>
        <c:noMultiLvlLbl val="0"/>
      </c:catAx>
      <c:valAx>
        <c:axId val="-89543222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29504"/>
        <c:crosses val="autoZero"/>
        <c:crossBetween val="between"/>
      </c:valAx>
      <c:valAx>
        <c:axId val="-8954316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37664"/>
        <c:crosses val="max"/>
        <c:crossBetween val="between"/>
      </c:valAx>
      <c:catAx>
        <c:axId val="-895437664"/>
        <c:scaling>
          <c:orientation val="minMax"/>
        </c:scaling>
        <c:delete val="1"/>
        <c:axPos val="b"/>
        <c:numFmt formatCode="General" sourceLinked="1"/>
        <c:majorTickMark val="out"/>
        <c:minorTickMark val="none"/>
        <c:tickLblPos val="nextTo"/>
        <c:crossAx val="-8954316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895433312"/>
        <c:axId val="-895442016"/>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895427872"/>
        <c:axId val="-895430592"/>
      </c:lineChart>
      <c:catAx>
        <c:axId val="-89543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42016"/>
        <c:crosses val="autoZero"/>
        <c:auto val="1"/>
        <c:lblAlgn val="ctr"/>
        <c:lblOffset val="100"/>
        <c:noMultiLvlLbl val="0"/>
      </c:catAx>
      <c:valAx>
        <c:axId val="-895442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33312"/>
        <c:crosses val="autoZero"/>
        <c:crossBetween val="between"/>
      </c:valAx>
      <c:valAx>
        <c:axId val="-8954305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27872"/>
        <c:crosses val="max"/>
        <c:crossBetween val="between"/>
      </c:valAx>
      <c:catAx>
        <c:axId val="-895427872"/>
        <c:scaling>
          <c:orientation val="minMax"/>
        </c:scaling>
        <c:delete val="1"/>
        <c:axPos val="b"/>
        <c:numFmt formatCode="General" sourceLinked="1"/>
        <c:majorTickMark val="out"/>
        <c:minorTickMark val="none"/>
        <c:tickLblPos val="nextTo"/>
        <c:crossAx val="-8954305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895439296"/>
        <c:axId val="-895427328"/>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884620944"/>
        <c:axId val="-895442560"/>
      </c:lineChart>
      <c:catAx>
        <c:axId val="-89543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27328"/>
        <c:crosses val="autoZero"/>
        <c:auto val="1"/>
        <c:lblAlgn val="ctr"/>
        <c:lblOffset val="100"/>
        <c:noMultiLvlLbl val="0"/>
      </c:catAx>
      <c:valAx>
        <c:axId val="-895427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439296"/>
        <c:crosses val="autoZero"/>
        <c:crossBetween val="between"/>
      </c:valAx>
      <c:valAx>
        <c:axId val="-8954425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620944"/>
        <c:crosses val="max"/>
        <c:crossBetween val="between"/>
      </c:valAx>
      <c:catAx>
        <c:axId val="-884620944"/>
        <c:scaling>
          <c:orientation val="minMax"/>
        </c:scaling>
        <c:delete val="1"/>
        <c:axPos val="b"/>
        <c:numFmt formatCode="General" sourceLinked="1"/>
        <c:majorTickMark val="out"/>
        <c:minorTickMark val="none"/>
        <c:tickLblPos val="nextTo"/>
        <c:crossAx val="-8954425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884618768"/>
        <c:axId val="-88463128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884628016"/>
        <c:axId val="-884622576"/>
      </c:lineChart>
      <c:catAx>
        <c:axId val="-88461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631280"/>
        <c:crosses val="autoZero"/>
        <c:auto val="1"/>
        <c:lblAlgn val="ctr"/>
        <c:lblOffset val="100"/>
        <c:noMultiLvlLbl val="0"/>
      </c:catAx>
      <c:valAx>
        <c:axId val="-8846312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618768"/>
        <c:crosses val="autoZero"/>
        <c:crossBetween val="between"/>
      </c:valAx>
      <c:valAx>
        <c:axId val="-88462257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628016"/>
        <c:crosses val="max"/>
        <c:crossBetween val="between"/>
      </c:valAx>
      <c:catAx>
        <c:axId val="-884628016"/>
        <c:scaling>
          <c:orientation val="minMax"/>
        </c:scaling>
        <c:delete val="1"/>
        <c:axPos val="b"/>
        <c:numFmt formatCode="General" sourceLinked="1"/>
        <c:majorTickMark val="out"/>
        <c:minorTickMark val="none"/>
        <c:tickLblPos val="nextTo"/>
        <c:crossAx val="-8846225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6"/>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07.879979745368" createdVersion="5" refreshedVersion="5" minRefreshableVersion="3" recordCount="3946">
  <cacheSource type="external" connectionId="3"/>
  <cacheFields count="7">
    <cacheField name="SIMULATIONID" numFmtId="0" sqlType="6">
      <sharedItems containsSemiMixedTypes="0" containsString="0" containsNumber="1" containsInteger="1" minValue="1" maxValue="101" count="43">
        <n v="10"/>
        <n v="5"/>
        <n v="4"/>
        <n v="1"/>
        <n v="20"/>
        <n v="3"/>
        <n v="9"/>
        <n v="12"/>
        <n v="15"/>
        <n v="96" u="1"/>
        <n v="100" u="1"/>
        <n v="83" u="1"/>
        <n v="40" u="1"/>
        <n v="87" u="1"/>
        <n v="66" u="1"/>
        <n v="95" u="1"/>
        <n v="2" u="1"/>
        <n v="99" u="1"/>
        <n v="6" u="1"/>
        <n v="48" u="1"/>
        <n v="82" u="1"/>
        <n v="50" u="1"/>
        <n v="86" u="1"/>
        <n v="7" u="1"/>
        <n v="94" u="1"/>
        <n v="21" u="1"/>
        <n v="98" u="1"/>
        <n v="77" u="1"/>
        <n v="22" u="1"/>
        <n v="81" u="1"/>
        <n v="8" u="1"/>
        <n v="85" u="1"/>
        <n v="89" u="1"/>
        <n v="97" u="1"/>
        <n v="101" u="1"/>
        <n v="80" u="1"/>
        <n v="49" u="1"/>
        <n v="84" u="1"/>
        <n v="11" u="1"/>
        <n v="51" u="1"/>
        <n v="88" u="1"/>
        <n v="31" u="1"/>
        <n v="32" u="1"/>
      </sharedItems>
    </cacheField>
    <cacheField name="PROCESSID" numFmtId="0" sqlType="6">
      <sharedItems containsSemiMixedTypes="0" containsString="0" containsNumber="1" containsInteger="1" minValue="32" maxValue="89824" count="589">
        <n v="1252"/>
        <n v="1936"/>
        <n v="3068"/>
        <n v="3140"/>
        <n v="3816"/>
        <n v="4052"/>
        <n v="4100"/>
        <n v="5704"/>
        <n v="5752"/>
        <n v="6168"/>
        <n v="6792"/>
        <n v="7156"/>
        <n v="7192"/>
        <n v="7232"/>
        <n v="7268"/>
        <n v="7472"/>
        <n v="7628"/>
        <n v="8244"/>
        <n v="8312"/>
        <n v="8372"/>
        <n v="9056"/>
        <n v="9236"/>
        <n v="9572"/>
        <n v="9628"/>
        <n v="10308"/>
        <n v="10328"/>
        <n v="10408"/>
        <n v="10780"/>
        <n v="10936"/>
        <n v="10952"/>
        <n v="11004"/>
        <n v="11736"/>
        <n v="11756"/>
        <n v="11908"/>
        <n v="12012"/>
        <n v="12284"/>
        <n v="13212"/>
        <n v="13404"/>
        <n v="13484"/>
        <n v="13568"/>
        <n v="13688"/>
        <n v="13928"/>
        <n v="13976"/>
        <n v="14148"/>
        <n v="14280"/>
        <n v="14296"/>
        <n v="8816" u="1"/>
        <n v="7464" u="1"/>
        <n v="10124" u="1"/>
        <n v="3700" u="1"/>
        <n v="6495" u="1"/>
        <n v="2140" u="1"/>
        <n v="1964" u="1"/>
        <n v="4935" u="1"/>
        <n v="6952" u="1"/>
        <n v="6692" u="1"/>
        <n v="6172" u="1"/>
        <n v="1444" u="1"/>
        <n v="9163" u="1"/>
        <n v="11180" u="1"/>
        <n v="5392" u="1"/>
        <n v="9620" u="1"/>
        <n v="1184" u="1"/>
        <n v="4612" u="1"/>
        <n v="4352" u="1"/>
        <n v="3964" u="1"/>
        <n v="11448" u="1"/>
        <n v="7283" u="1"/>
        <n v="9888" u="1"/>
        <n v="9368" u="1"/>
        <n v="1576" u="1"/>
        <n v="5920" u="1"/>
        <n v="462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4684" u="1"/>
        <n v="4164" u="1"/>
        <n v="3740" u="1"/>
        <n v="8135" u="1"/>
        <n v="73624" u="1"/>
        <n v="8992" u="1"/>
        <n v="528" u="1"/>
        <n v="8072" u="1"/>
        <n v="5992" u="1"/>
        <n v="5732" u="1"/>
        <n v="5212" u="1"/>
        <n v="9780" u="1"/>
        <n v="9260" u="1"/>
        <n v="984"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354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3560" u="1"/>
        <n v="11912" u="1"/>
        <n v="9832" u="1"/>
        <n v="9312" u="1"/>
        <n v="548" u="1"/>
        <n v="6932" u="1"/>
        <n v="6152" u="1"/>
        <n v="5892" u="1"/>
        <n v="11140" u="1"/>
        <n v="5372" u="1"/>
        <n v="9580" u="1"/>
        <n v="8540" u="1"/>
        <n v="61028" u="1"/>
        <n v="11408" u="1"/>
        <n v="2524" u="1"/>
        <n v="9848" u="1"/>
        <n v="7980" u="1"/>
        <n v="7460" u="1"/>
        <n v="8556" u="1"/>
        <n v="47036" u="1"/>
        <n v="2528" u="1"/>
        <n v="9344" u="1"/>
        <n v="8304" u="1"/>
        <n v="5648" u="1"/>
        <n v="8572" u="1"/>
        <n v="3832" u="1"/>
        <n v="14040" u="1"/>
        <n v="7476" u="1"/>
        <n v="6176" u="1"/>
        <n v="5656" u="1"/>
        <n v="5396" u="1"/>
        <n v="4616" u="1"/>
        <n v="3576" u="1"/>
        <n v="3056" u="1"/>
        <n v="9896" u="1"/>
        <n v="8856" u="1"/>
        <n v="1772" u="1"/>
        <n v="9644" u="1"/>
        <n v="9124" u="1"/>
        <n v="9912" u="1"/>
        <n v="2280" u="1"/>
        <n v="8012" u="1"/>
        <n v="3907" u="1"/>
        <n v="6712" u="1"/>
        <n v="5932" u="1"/>
        <n v="11740" u="1"/>
        <n v="4112" u="1"/>
        <n v="944" u="1"/>
        <n v="10968" u="1"/>
        <n v="7760" u="1"/>
        <n v="6460" u="1"/>
        <n v="1516" u="1"/>
        <n v="5940" u="1"/>
        <n v="10196" u="1"/>
        <n v="8636" u="1"/>
        <n v="232" u="1"/>
        <n v="14104" u="1"/>
        <n v="880" u="1"/>
        <n v="1908" u="1"/>
        <n v="6208" u="1"/>
        <n v="5688" u="1"/>
        <n v="1388" u="1"/>
        <n v="8195" u="1"/>
        <n v="9172" u="1"/>
        <n v="13868" u="1"/>
        <n v="11268" u="1"/>
        <n v="5176" u="1"/>
        <n v="10228" u="1"/>
        <n v="3076" u="1"/>
        <n v="99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11460" u="1"/>
        <n v="5532" u="1"/>
        <n v="10420" u="1"/>
        <n v="9900" u="1"/>
        <n v="9380" u="1"/>
        <n v="12768" u="1"/>
        <n v="2864" u="1"/>
        <n v="2344" u="1"/>
        <n v="8140" u="1"/>
        <n v="7620" u="1"/>
        <n v="7360" u="1"/>
        <n v="6320" u="1"/>
        <n v="1416" u="1"/>
        <n v="8356" u="1"/>
        <n v="11744" u="1"/>
        <n v="6651" u="1"/>
        <n v="8624" u="1"/>
        <n v="8148" u="1"/>
        <n v="7888" u="1"/>
        <n v="476" u="1"/>
        <n v="1548" u="1"/>
        <n v="10972"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13132" u="1"/>
        <n v="5848" u="1"/>
        <n v="8972" u="1"/>
        <n v="8200" u="1"/>
        <n v="7936" u="1"/>
        <n v="5856" u="1"/>
        <n v="11588" u="1"/>
        <n v="11068" u="1"/>
        <n v="5076" u="1"/>
        <n v="9508" u="1"/>
        <n v="8988" u="1"/>
        <n v="8216" u="1"/>
        <n v="7944" u="1"/>
        <n v="6644" u="1"/>
        <n v="6384" u="1"/>
        <n v="5084" u="1"/>
        <n v="10044" u="1"/>
        <n v="42336" u="1"/>
        <n v="2707" u="1"/>
        <n v="10580" u="1"/>
        <n v="8500" u="1"/>
        <n v="3424" u="1"/>
        <n v="9288"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456" maxValue="15804"/>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28" maxValue="10762"/>
    </cacheField>
    <cacheField name="MSE_T" numFmtId="0" sqlType="6">
      <sharedItems containsSemiMixedTypes="0" containsString="0" containsNumber="1" minValue="1.11926501631388E-5" maxValue="1.2289104051887999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09.608939814818" createdVersion="5" refreshedVersion="5" minRefreshableVersion="3" recordCount="128">
  <cacheSource type="external" connectionId="8"/>
  <cacheFields count="19">
    <cacheField name="PROCESSID" numFmtId="0" sqlType="6">
      <sharedItems containsSemiMixedTypes="0" containsString="0" containsNumber="1" containsInteger="1" minValue="32" maxValue="16204" count="188">
        <n v="10468"/>
        <n v="10040" u="1"/>
        <n v="11460" u="1"/>
        <n v="14092" u="1"/>
        <n v="7204" u="1"/>
        <n v="7488" u="1"/>
        <n v="11612" u="1"/>
        <n v="1196" u="1"/>
        <n v="3468" u="1"/>
        <n v="13108" u="1"/>
        <n v="14812" u="1"/>
        <n v="1596" u="1"/>
        <n v="5576" u="1"/>
        <n v="12048" u="1"/>
        <n v="10988" u="1"/>
        <n v="13544" u="1"/>
        <n v="12484" u="1"/>
        <n v="12276" u="1"/>
        <n v="13128" u="1"/>
        <n v="548" u="1"/>
        <n v="5624" u="1"/>
        <n v="7896" u="1"/>
        <n v="11576" u="1"/>
        <n v="4100" u="1"/>
        <n v="8244" u="1"/>
        <n v="12788" u="1"/>
        <n v="13924" u="1"/>
        <n v="10308" u="1"/>
        <n v="11444" u="1"/>
        <n v="12012" u="1"/>
        <n v="11804" u="1"/>
        <n v="15004" u="1"/>
        <n v="4432" u="1"/>
        <n v="11464" u="1"/>
        <n v="2740" u="1"/>
        <n v="4508" u="1"/>
        <n v="8776" u="1"/>
        <n v="9628" u="1"/>
        <n v="11900" u="1"/>
        <n v="12828" u="1"/>
        <n v="8172" u="1"/>
        <n v="9288" u="1"/>
        <n v="12128" u="1"/>
        <n v="13548" u="1"/>
        <n v="5512" u="1"/>
        <n v="13132" u="1"/>
        <n v="1244" u="1"/>
        <n v="10368" u="1"/>
        <n v="10936" u="1"/>
        <n v="11788" u="1"/>
        <n v="2944" u="1"/>
        <n v="3512" u="1"/>
        <n v="8740" u="1"/>
        <n v="12787" u="1"/>
        <n v="13284" u="1"/>
        <n v="13568" u="1"/>
        <n v="11372" u="1"/>
        <n v="13928" u="1"/>
        <n v="3692" u="1"/>
        <n v="11164" u="1"/>
        <n v="11448" u="1"/>
        <n v="15140" u="1"/>
        <n v="656" u="1"/>
        <n v="4888" u="1"/>
        <n v="9896" u="1"/>
        <n v="14156" u="1"/>
        <n v="6952" u="1"/>
        <n v="8088" u="1"/>
        <n v="1488" u="1"/>
        <n v="4052" u="1"/>
        <n v="8912" u="1"/>
        <n v="13172" u="1"/>
        <n v="9840" u="1"/>
        <n v="10408" u="1"/>
        <n v="12396" u="1"/>
        <n v="244" u="1"/>
        <n v="10768" u="1"/>
        <n v="12472" u="1"/>
        <n v="13892" u="1"/>
        <n v="1268" u="1"/>
        <n v="6536" u="1"/>
        <n v="14252" u="1"/>
        <n v="1952" u="1"/>
        <n v="3560" u="1"/>
        <n v="7568" u="1"/>
        <n v="11204" u="1"/>
        <n v="11772" u="1"/>
        <n v="16032" u="1"/>
        <n v="2088" u="1"/>
        <n v="6896" u="1"/>
        <n v="10712" u="1"/>
        <n v="3740" u="1"/>
        <n v="6792" u="1"/>
        <n v="7928" u="1"/>
        <n v="13912" u="1"/>
        <n v="3972" u="1"/>
        <n v="13136" u="1"/>
        <n v="13988" u="1"/>
        <n v="14272" u="1"/>
        <n v="4880" u="1"/>
        <n v="5164" u="1"/>
        <n v="9236" u="1"/>
        <n v="12360" u="1"/>
        <n v="13212" u="1"/>
        <n v="8536" u="1"/>
        <n v="9104" u="1"/>
        <n v="12796" u="1"/>
        <n v="13648" u="1"/>
        <n v="16204" u="1"/>
        <n v="5704" u="1"/>
        <n v="12588" u="1"/>
        <n v="6168" u="1"/>
        <n v="12948" u="1"/>
        <n v="13232" u="1"/>
        <n v="14368" u="1"/>
        <n v="2240" u="1"/>
        <n v="7484" u="1"/>
        <n v="11036" u="1"/>
        <n v="14160" u="1"/>
        <n v="8272" u="1"/>
        <n v="12816" u="1"/>
        <n v="13668" u="1"/>
        <n v="14520" u="1"/>
        <n v="11756" u="1"/>
        <n v="12040" u="1"/>
        <n v="13176" u="1"/>
        <n v="13744" u="1"/>
        <n v="5648" u="1"/>
        <n v="10488" u="1"/>
        <n v="11908" u="1"/>
        <n v="8576" u="1"/>
        <n v="10280" u="1"/>
        <n v="13688" u="1"/>
        <n v="10356" u="1"/>
        <n v="1252" u="1"/>
        <n v="1936" u="1"/>
        <n v="14200" u="1"/>
        <n v="8312" u="1"/>
        <n v="10300" u="1"/>
        <n v="14844" u="1"/>
        <n v="2572" u="1"/>
        <n v="8148" u="1"/>
        <n v="12724" u="1"/>
        <n v="14144" u="1"/>
        <n v="4532" u="1"/>
        <n v="5100" u="1"/>
        <n v="12800" u="1"/>
        <n v="9468" u="1"/>
        <n v="7732" u="1"/>
        <n v="9828" u="1"/>
        <n v="7628" u="1"/>
        <n v="15300" u="1"/>
        <n v="15944" u="1"/>
        <n v="4296" u="1"/>
        <n v="10340" u="1"/>
        <n v="11192" u="1"/>
        <n v="13180" u="1"/>
        <n v="8428" u="1"/>
        <n v="1224" u="1"/>
        <n v="8220" u="1"/>
        <n v="11912" u="1"/>
        <n v="232" u="1"/>
        <n v="8580" u="1"/>
        <n v="13124" u="1"/>
        <n v="13976" u="1"/>
        <n v="5300" u="1"/>
        <n v="8372" u="1"/>
        <n v="10076" u="1"/>
        <n v="14620" u="1"/>
        <n v="15548" u="1"/>
        <n v="8240" u="1"/>
        <n v="9944" u="1"/>
        <n v="12500" u="1"/>
        <n v="12576" u="1"/>
        <n v="12860" u="1"/>
        <n v="14848" u="1"/>
        <n v="3496" u="1"/>
        <n v="7156" u="1"/>
        <n v="14924" u="1"/>
        <n v="1468" u="1"/>
        <n v="14148" u="1"/>
        <n v="32" u="1"/>
        <n v="1020" u="1"/>
        <n v="3392" u="1"/>
        <n v="4960" u="1"/>
        <n v="7232" u="1"/>
        <n v="9964" u="1"/>
        <n v="10248" u="1"/>
      </sharedItems>
    </cacheField>
    <cacheField name="THREADID" numFmtId="0" sqlType="6">
      <sharedItems containsSemiMixedTypes="0" containsString="0" containsNumber="1" containsInteger="1" minValue="100" maxValue="16264" count="416">
        <n v="9752"/>
        <n v="8620" u="1"/>
        <n v="10324" u="1"/>
        <n v="11460" u="1"/>
        <n v="12312" u="1"/>
        <n v="14584" u="1"/>
        <n v="14868" u="1"/>
        <n v="2720" u="1"/>
        <n v="10116" u="1"/>
        <n v="13808" u="1"/>
        <n v="4088" u="1"/>
        <n v="4364" u="1"/>
        <n v="11328" u="1"/>
        <n v="15304" u="1"/>
        <n v="15872" u="1"/>
        <n v="100" u="1"/>
        <n v="2332" u="1"/>
        <n v="4828" u="1"/>
        <n v="8564" u="1"/>
        <n v="11972" u="1"/>
        <n v="12824" u="1"/>
        <n v="14244" u="1"/>
        <n v="2848" u="1"/>
        <n v="3416" u="1"/>
        <n v="4156" u="1"/>
        <n v="5576" u="1"/>
        <n v="5860" u="1"/>
        <n v="7280" u="1"/>
        <n v="8924" u="1"/>
        <n v="10628" u="1"/>
        <n v="12616" u="1"/>
        <n v="14036" u="1"/>
        <n v="2512" u="1"/>
        <n v="4620" u="1"/>
        <n v="4904" u="1"/>
        <n v="11840" u="1"/>
        <n v="12976" u="1"/>
        <n v="14112" u="1"/>
        <n v="14964" u="1"/>
        <n v="1828" u="1"/>
        <n v="2176" u="1"/>
        <n v="7072" u="1"/>
        <n v="9928" u="1"/>
        <n v="10496" u="1"/>
        <n v="14472" u="1"/>
        <n v="6684" u="1"/>
        <n v="9436" u="1"/>
        <n v="10856" u="1"/>
        <n v="11424" u="1"/>
        <n v="12276" u="1"/>
        <n v="13128" u="1"/>
        <n v="1492" u="1"/>
        <n v="8000" u="1"/>
        <n v="8660" u="1"/>
        <n v="10648" u="1"/>
        <n v="11500" u="1"/>
        <n v="11784" u="1"/>
        <n v="12352" u="1"/>
        <n v="12636" u="1"/>
        <n v="6192" u="1"/>
        <n v="8452" u="1"/>
        <n v="9304" u="1"/>
        <n v="10440" u="1"/>
        <n v="11860" u="1"/>
        <n v="14984" u="1"/>
        <n v="2252" u="1"/>
        <n v="7792" u="1"/>
        <n v="8076" u="1"/>
        <n v="11936" u="1"/>
        <n v="12788" u="1"/>
        <n v="14492" u="1"/>
        <n v="15912" u="1"/>
        <n v="2768" u="1"/>
        <n v="6836" u="1"/>
        <n v="9740" u="1"/>
        <n v="11160" u="1"/>
        <n v="11444" u="1"/>
        <n v="11728" u="1"/>
        <n v="12012" u="1"/>
        <n v="12864" u="1"/>
        <n v="4176" u="1"/>
        <n v="11520" u="1"/>
        <n v="12088" u="1"/>
        <n v="12372" u="1"/>
        <n v="13224" u="1"/>
        <n v="13508" u="1"/>
        <n v="14076" u="1"/>
        <n v="4640" u="1"/>
        <n v="4924" u="1"/>
        <n v="7196" u="1"/>
        <n v="7480" u="1"/>
        <n v="10744" u="1"/>
        <n v="13584" u="1"/>
        <n v="15572" u="1"/>
        <n v="420" u="1"/>
        <n v="7376" u="1"/>
        <n v="10820" u="1"/>
        <n v="11388" u="1"/>
        <n v="11672" u="1"/>
        <n v="11956" u="1"/>
        <n v="13660" u="1"/>
        <n v="4432" u="1"/>
        <n v="5568" u="1"/>
        <n v="8624" u="1"/>
        <n v="12884" u="1"/>
        <n v="13168" u="1"/>
        <n v="14020" u="1"/>
        <n v="14304" u="1"/>
        <n v="15156" u="1"/>
        <n v="3644" u="1"/>
        <n v="8416" u="1"/>
        <n v="10120" u="1"/>
        <n v="3592" u="1"/>
        <n v="5928" u="1"/>
        <n v="7632" u="1"/>
        <n v="11332" u="1"/>
        <n v="12184" u="1"/>
        <n v="13604" u="1"/>
        <n v="2688" u="1"/>
        <n v="3824" u="1"/>
        <n v="9136" u="1"/>
        <n v="9420" u="1"/>
        <n v="11692" u="1"/>
        <n v="12828" u="1"/>
        <n v="4300" u="1"/>
        <n v="6856" u="1"/>
        <n v="7424" u="1"/>
        <n v="14892" u="1"/>
        <n v="1464" u="1"/>
        <n v="6752" u="1"/>
        <n v="9288" u="1"/>
        <n v="10992" u="1"/>
        <n v="11844" u="1"/>
        <n v="12696" u="1"/>
        <n v="13548" u="1"/>
        <n v="4660" u="1"/>
        <n v="12204" u="1"/>
        <n v="13908" u="1"/>
        <n v="14192" u="1"/>
        <n v="15044" u="1"/>
        <n v="15328" u="1"/>
        <n v="8588" u="1"/>
        <n v="10008" u="1"/>
        <n v="11144" u="1"/>
        <n v="11712" u="1"/>
        <n v="12564" u="1"/>
        <n v="13416" u="1"/>
        <n v="13700" u="1"/>
        <n v="14268" u="1"/>
        <n v="2996" u="1"/>
        <n v="5020" u="1"/>
        <n v="5872" u="1"/>
        <n v="8144" u="1"/>
        <n v="9232" u="1"/>
        <n v="10936" u="1"/>
        <n v="13492" u="1"/>
        <n v="10160" u="1"/>
        <n v="13284" u="1"/>
        <n v="14420" u="1"/>
        <n v="6232" u="1"/>
        <n v="6800" u="1"/>
        <n v="7652" u="1"/>
        <n v="15064" u="1"/>
        <n v="15348" u="1"/>
        <n v="2840" u="1"/>
        <n v="4140" u="1"/>
        <n v="5276" u="1"/>
        <n v="5844" u="1"/>
        <n v="10312" u="1"/>
        <n v="11732" u="1"/>
        <n v="13720" u="1"/>
        <n v="14004" u="1"/>
        <n v="15708" u="1"/>
        <n v="6024" u="1"/>
        <n v="8400" u="1"/>
        <n v="13228" u="1"/>
        <n v="13512" u="1"/>
        <n v="6488" u="1"/>
        <n v="8476" u="1"/>
        <n v="10464" u="1"/>
        <n v="10748" u="1"/>
        <n v="11884" u="1"/>
        <n v="2400" u="1"/>
        <n v="6100" u="1"/>
        <n v="6668" u="1"/>
        <n v="8552" u="1"/>
        <n v="9972" u="1"/>
        <n v="10540" u="1"/>
        <n v="10824" u="1"/>
        <n v="11392" u="1"/>
        <n v="3200" u="1"/>
        <n v="12320" u="1"/>
        <n v="12888" u="1"/>
        <n v="7776" u="1"/>
        <n v="9348" u="1"/>
        <n v="11052" u="1"/>
        <n v="15028" u="1"/>
        <n v="4548" u="1"/>
        <n v="5400" u="1"/>
        <n v="7388" u="1"/>
        <n v="10560" u="1"/>
        <n v="12548" u="1"/>
        <n v="15672" u="1"/>
        <n v="1668" u="1"/>
        <n v="1952" u="1"/>
        <n v="2992" u="1"/>
        <n v="4728" u="1"/>
        <n v="10636" u="1"/>
        <n v="12908" u="1"/>
        <n v="14044" u="1"/>
        <n v="15464" u="1"/>
        <n v="2088" u="1"/>
        <n v="5476" u="1"/>
        <n v="11564" u="1"/>
        <n v="12416" u="1"/>
        <n v="12700" u="1"/>
        <n v="13836" u="1"/>
        <n v="14120" u="1"/>
        <n v="14688" u="1"/>
        <n v="6508" u="1"/>
        <n v="6792" u="1"/>
        <n v="8800" u="1"/>
        <n v="12208" u="1"/>
        <n v="13060" u="1"/>
        <n v="14196" u="1"/>
        <n v="15900" u="1"/>
        <n v="7824" u="1"/>
        <n v="12568" u="1"/>
        <n v="13420" u="1"/>
        <n v="2216" u="1"/>
        <n v="3920" u="1"/>
        <n v="8668" u="1"/>
        <n v="12928" u="1"/>
        <n v="13780" u="1"/>
        <n v="7332" u="1"/>
        <n v="10448" u="1"/>
        <n v="14140" u="1"/>
        <n v="15844" u="1"/>
        <n v="4388" u="1"/>
        <n v="12796" u="1"/>
        <n v="15352" u="1"/>
        <n v="8896" u="1"/>
        <n v="11452" u="1"/>
        <n v="14008" u="1"/>
        <n v="14576" u="1"/>
        <n v="2576" u="1"/>
        <n v="4180" u="1"/>
        <n v="5032" u="1"/>
        <n v="5884" u="1"/>
        <n v="8972" u="1"/>
        <n v="10960" u="1"/>
        <n v="12948" u="1"/>
        <n v="14368" u="1"/>
        <n v="14652" u="1"/>
        <n v="6632" u="1"/>
        <n v="10752" u="1"/>
        <n v="11320" u="1"/>
        <n v="14160" u="1"/>
        <n v="1692" u="1"/>
        <n v="7380" u="1"/>
        <n v="9124" u="1"/>
        <n v="9408" u="1"/>
        <n v="10544" u="1"/>
        <n v="11680" u="1"/>
        <n v="13100" u="1"/>
        <n v="15088" u="1"/>
        <n v="4436" u="1"/>
        <n v="5572" u="1"/>
        <n v="6140" u="1"/>
        <n v="10052" u="1"/>
        <n v="10620" u="1"/>
        <n v="10904" u="1"/>
        <n v="14596" u="1"/>
        <n v="764" u="1"/>
        <n v="1924" u="1"/>
        <n v="2936" u="1"/>
        <n v="3504" u="1"/>
        <n v="5752" u="1"/>
        <n v="6036" u="1"/>
        <n v="13820" u="1"/>
        <n v="6784" u="1"/>
        <n v="9996" u="1"/>
        <n v="10564" u="1"/>
        <n v="12836" u="1"/>
        <n v="1136" u="1"/>
        <n v="4588" u="1"/>
        <n v="8936" u="1"/>
        <n v="10356" u="1"/>
        <n v="14616" u="1"/>
        <n v="7608" u="1"/>
        <n v="9012" u="1"/>
        <n v="9864" u="1"/>
        <n v="11568" u="1"/>
        <n v="11852" u="1"/>
        <n v="12136" u="1"/>
        <n v="12420" u="1"/>
        <n v="12704" u="1"/>
        <n v="15828" u="1"/>
        <n v="2392" u="1"/>
        <n v="4380" u="1"/>
        <n v="4664" u="1"/>
        <n v="7788" u="1"/>
        <n v="11644" u="1"/>
        <n v="12496" u="1"/>
        <n v="14200" u="1"/>
        <n v="15052" u="1"/>
        <n v="15904" u="1"/>
        <n v="544" u="1"/>
        <n v="6548" u="1"/>
        <n v="12004" u="1"/>
        <n v="12572" u="1"/>
        <n v="13140" u="1"/>
        <n v="13424" u="1"/>
        <n v="16264" u="1"/>
        <n v="1032" u="1"/>
        <n v="1600" u="1"/>
        <n v="9240" u="1"/>
        <n v="10660" u="1"/>
        <n v="12080" u="1"/>
        <n v="13784" u="1"/>
        <n v="944" u="1"/>
        <n v="2000" u="1"/>
        <n v="7192" u="1"/>
        <n v="10168" u="1"/>
        <n v="12156" u="1"/>
        <n v="5384" u="1"/>
        <n v="8540" u="1"/>
        <n v="13652" u="1"/>
        <n v="4144" u="1"/>
        <n v="7268" u="1"/>
        <n v="11740" u="1"/>
        <n v="14864" u="1"/>
        <n v="2080" u="1"/>
        <n v="3500" u="1"/>
        <n v="10680" u="1"/>
        <n v="12384" u="1"/>
        <n v="13236" u="1"/>
        <n v="8768" u="1"/>
        <n v="10188" u="1"/>
        <n v="12744" u="1"/>
        <n v="15300" u="1"/>
        <n v="15584" u="1"/>
        <n v="10548" u="1"/>
        <n v="11116" u="1"/>
        <n v="12252" u="1"/>
        <n v="13388" u="1"/>
        <n v="14240" u="1"/>
        <n v="2492" u="1"/>
        <n v="4580" u="1"/>
        <n v="5716" u="1"/>
        <n v="10340" u="1"/>
        <n v="11760" u="1"/>
        <n v="12328" u="1"/>
        <n v="14884" u="1"/>
        <n v="3008" u="1"/>
        <n v="11268" u="1"/>
        <n v="12404" u="1"/>
        <n v="12972" u="1"/>
        <n v="13256" u="1"/>
        <n v="14108" u="1"/>
        <n v="3808" u="1"/>
        <n v="4092" u="1"/>
        <n v="6644" u="1"/>
        <n v="11912" u="1"/>
        <n v="12480" u="1"/>
        <n v="14752" u="1"/>
        <n v="1908" u="1"/>
        <n v="3756" u="1"/>
        <n v="6256" u="1"/>
        <n v="9148" u="1"/>
        <n v="11420" u="1"/>
        <n v="12272" u="1"/>
        <n v="14544" u="1"/>
        <n v="3136" u="1"/>
        <n v="11212" u="1"/>
        <n v="1288" u="1"/>
        <n v="5196" u="1"/>
        <n v="6616" u="1"/>
        <n v="9016" u="1"/>
        <n v="9584" u="1"/>
        <n v="11288" u="1"/>
        <n v="11856" u="1"/>
        <n v="13844" u="1"/>
        <n v="240" u="1"/>
        <n v="2748" u="1"/>
        <n v="5376" u="1"/>
        <n v="12784" u="1"/>
        <n v="13636" u="1"/>
        <n v="14204" u="1"/>
        <n v="15624" u="1"/>
        <n v="4136" u="1"/>
        <n v="5556" u="1"/>
        <n v="6692" u="1"/>
        <n v="10872" u="1"/>
        <n v="12292" u="1"/>
        <n v="13144" u="1"/>
        <n v="13712" u="1"/>
        <n v="14280" u="1"/>
        <n v="2928" u="1"/>
        <n v="3212" u="1"/>
        <n v="6304" u="1"/>
        <n v="10664" u="1"/>
        <n v="12084" u="1"/>
        <n v="12936" u="1"/>
        <n v="16060" u="1"/>
        <n v="5632" u="1"/>
        <n v="5916" u="1"/>
        <n v="9036" u="1"/>
        <n v="10456" u="1"/>
        <n v="12444" u="1"/>
        <n v="13012" u="1"/>
        <n v="13296" u="1"/>
        <n v="13580" u="1"/>
        <n v="10248" u="1"/>
        <n v="10816" u="1"/>
        <n v="12520" u="1"/>
      </sharedItems>
    </cacheField>
    <cacheField name="NETPROCESSID" numFmtId="0" sqlType="6">
      <sharedItems containsSemiMixedTypes="0" containsString="0" containsNumber="1" containsInteger="1" minValue="0" maxValue="16204" count="125">
        <n v="13172"/>
        <n v="0" u="1"/>
        <n v="10040" u="1"/>
        <n v="11460" u="1"/>
        <n v="1196" u="1"/>
        <n v="3468" u="1"/>
        <n v="1596" u="1"/>
        <n v="13128" u="1"/>
        <n v="548" u="1"/>
        <n v="7896" u="1"/>
        <n v="4100" u="1"/>
        <n v="8244" u="1"/>
        <n v="12788" u="1"/>
        <n v="13924" u="1"/>
        <n v="10308" u="1"/>
        <n v="11444" u="1"/>
        <n v="12012" u="1"/>
        <n v="11804" u="1"/>
        <n v="15004" u="1"/>
        <n v="2740" u="1"/>
        <n v="8776" u="1"/>
        <n v="9628" u="1"/>
        <n v="11900" u="1"/>
        <n v="8172" u="1"/>
        <n v="9288" u="1"/>
        <n v="12128" u="1"/>
        <n v="13132" u="1"/>
        <n v="1244" u="1"/>
        <n v="10936" u="1"/>
        <n v="12787" u="1"/>
        <n v="13568" u="1"/>
        <n v="11372" u="1"/>
        <n v="13928" u="1"/>
        <n v="11164" u="1"/>
        <n v="11448" u="1"/>
        <n v="15140" u="1"/>
        <n v="9896" u="1"/>
        <n v="14156" u="1"/>
        <n v="6952" u="1"/>
        <n v="8088" u="1"/>
        <n v="1488" u="1"/>
        <n v="4052" u="1"/>
        <n v="9840" u="1"/>
        <n v="10408" u="1"/>
        <n v="12396" u="1"/>
        <n v="10768" u="1"/>
        <n v="12472" u="1"/>
        <n v="13892" u="1"/>
        <n v="1268" u="1"/>
        <n v="6536" u="1"/>
        <n v="14252" u="1"/>
        <n v="1952" u="1"/>
        <n v="3560" u="1"/>
        <n v="11204" u="1"/>
        <n v="11772" u="1"/>
        <n v="16032" u="1"/>
        <n v="2088" u="1"/>
        <n v="6896" u="1"/>
        <n v="10712" u="1"/>
        <n v="3740" u="1"/>
        <n v="6792" u="1"/>
        <n v="7928" u="1"/>
        <n v="13912" u="1"/>
        <n v="3972" u="1"/>
        <n v="13136" u="1"/>
        <n v="14272" u="1"/>
        <n v="4880" u="1"/>
        <n v="5164" u="1"/>
        <n v="9236" u="1"/>
        <n v="12360" u="1"/>
        <n v="13212"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9468" u="1"/>
        <n v="7732" u="1"/>
        <n v="7628" u="1"/>
        <n v="15300" u="1"/>
        <n v="15944" u="1"/>
        <n v="4296" u="1"/>
        <n v="10340" u="1"/>
        <n v="11192" u="1"/>
        <n v="13180" u="1"/>
        <n v="8220" u="1"/>
        <n v="232" u="1"/>
        <n v="13124" u="1"/>
        <n v="13976" u="1"/>
        <n v="5300" u="1"/>
        <n v="837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12428" maxValue="12428" count="1">
        <n v="12428"/>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416">
        <n v="3332788.5"/>
        <n v="1.40667275991291E-3" u="1"/>
        <n v="3.4421812742948502E-3" u="1"/>
        <n v="5.3092553280293898E-3" u="1"/>
        <n v="1.03508932515979E-2" u="1"/>
        <n v="0.35031244158744801" u="1"/>
        <n v="3.4163412638008599E-3" u="1"/>
        <n v="3.9897677488624998E-3" u="1"/>
        <n v="7.8718364238738996E-3" u="1"/>
        <n v="1.5283592976629699E-2" u="1"/>
        <n v="3.0486937612295199E-2" u="1"/>
        <n v="3.0084284953773E-3" u="1"/>
        <n v="3.9937901310622701E-3" u="1"/>
        <n v="8.7416665628552402E-3" u="1"/>
        <n v="2.2975675761699701E-2" u="1"/>
        <n v="4.2674262076616301E-2" u="1"/>
        <n v="5.8150403201579999E-2" u="1"/>
        <n v="8.9994928566738996E-4" u="1"/>
        <n v="3.1015491113066699E-3" u="1"/>
        <n v="8.6381314322352392E-3" u="1"/>
        <n v="2.25038770586252E-2" u="1"/>
        <n v="3.8119740784168202E-2" u="1"/>
        <n v="6.4356178045272799E-2" u="1"/>
        <n v="0.10138213634491" u="1"/>
        <n v="1.1016039934475E-5" u="1"/>
        <n v="1.9471190171316301E-3" u="1"/>
        <n v="3.8867346942424802E-2" u="1"/>
        <n v="7.6322459790389998E-5" u="1"/>
        <n v="1.90345896407962E-3" u="1"/>
        <n v="2.7106031775474501E-3" u="1"/>
        <n v="3.0158564914017898E-3" u="1"/>
        <n v="1.53448209166527E-2" u="1"/>
        <n v="2.2532440721988699E-2" u="1"/>
        <n v="3.7642791867256199E-2" u="1"/>
        <n v="5.1368441432714497E-2" u="1"/>
        <n v="6.6915199160575894E-2" u="1"/>
        <n v="8.6389429867267595E-2" u="1"/>
        <n v="4.4462294317781898E-4" u="1"/>
        <n v="3.0670089181512599E-3" u="1"/>
        <n v="8.21292586624622E-3" u="1"/>
        <n v="1.04233548045158E-2" u="1"/>
        <n v="1.7888940870761899E-2" u="1"/>
        <n v="2.2501410916447601E-2" u="1"/>
        <n v="2.9715454205870601E-2" u="1"/>
        <n v="6.08423799276352E-2" u="1"/>
        <n v="6.1713308095932E-2" u="1"/>
        <n v="1.5883942833170299E-3" u="1"/>
        <n v="7.0053087256383205E-5" u="1"/>
        <n v="2.9882385861128599E-3" u="1"/>
        <n v="1.00045399740338E-2" u="1"/>
        <n v="1.73080060631037E-2" u="1"/>
        <n v="2.2594336420297598E-2" u="1"/>
        <n v="1.86572468373924E-3" u="1"/>
        <n v="3.3038298133760699E-3" u="1"/>
        <n v="3.97422863170505E-3" u="1"/>
        <n v="6.9832704029977304E-3" u="1"/>
        <n v="1.0491791181266299E-2" u="1"/>
        <n v="1.53880240395665E-2" u="1"/>
        <n v="4.1017923504114203E-3" u="1"/>
        <n v="6.0566286556422702E-3" u="1"/>
        <n v="2.01588179916143E-2" u="1"/>
        <n v="2.68606469035149E-2" u="1"/>
        <n v="3.6068167537450797E-2" u="1"/>
        <n v="7.5520485639572102E-2" u="1"/>
        <n v="1.15088922902942E-2" u="1"/>
        <n v="1.1541279964149E-2" u="1"/>
        <n v="1.7584817484021201E-2" u="1"/>
        <n v="0.115814872086048" u="1"/>
        <n v="659.06604003906295" u="1"/>
        <n v="3.03932535462081E-3" u="1"/>
        <n v="3.9786188863217796E-3" u="1"/>
        <n v="8.4908008575439505E-3" u="1"/>
        <n v="5.8038525283336598E-2" u="1"/>
        <n v="5.9592876583337798E-2" u="1"/>
        <n v="7.3794566094875294E-2" u="1"/>
        <n v="3.0214919243007898E-3" u="1"/>
        <n v="4.0535959415137802E-3" u="1"/>
        <n v="2.2478383034467701E-2" u="1"/>
        <n v="4.2870700359344503E-2" u="1"/>
        <n v="7.1495920419692993E-2" u="1"/>
        <n v="8.2927334005944404E-5" u="1"/>
        <n v="4.5273881405591999E-3" u="1"/>
        <n v="2.8935341164469702E-2" u="1"/>
        <n v="3.07346433401108E-2" u="1"/>
        <n v="3.7255253642797498E-2" u="1"/>
        <n v="5.56239411234856E-2" u="1"/>
        <n v="6.4242273569107097E-2" u="1"/>
        <n v="1.13144114948227E-5" u="1"/>
        <n v="1.6078896587714601E-3" u="1"/>
        <n v="2.45746807195246E-3" u="1"/>
        <n v="3.4378890413790898E-3" u="1"/>
        <n v="8.2427337765693699E-3" u="1"/>
        <n v="3.63388127880171E-4" u="1"/>
        <n v="3.01800575107336E-3" u="1"/>
        <n v="8.3254622295498796E-3" u="1"/>
        <n v="1.09370723366737E-2" u="1"/>
        <n v="2.25128121674061E-2" u="1"/>
        <n v="3.7979118525981903E-2" u="1"/>
        <n v="0.13075289130210899" u="1"/>
        <n v="1.4107666211202699E-3" u="1"/>
        <n v="3.9897868409752802E-3" u="1"/>
        <n v="1.7809288576245301E-2" u="1"/>
        <n v="1.3925399398431199E-3" u="1"/>
        <n v="9.0716267004609108E-3" u="1"/>
        <n v="1.72464270144701E-2" u="1"/>
        <n v="2.2499192506074898E-2" u="1"/>
        <n v="2.26767994463444E-2" u="1"/>
        <n v="2.27122996002436E-2" u="1"/>
        <n v="3.8183368742466001E-2" u="1"/>
        <n v="4.5291692018508897E-2" u="1"/>
        <n v="5.6875217705965E-2" u="1"/>
        <n v="3.5967424046248202E-3" u="1"/>
        <n v="3.9636236615479001E-3" u="1"/>
        <n v="1.5215536579489699E-2" u="1"/>
        <n v="2.24683340638876E-2" u="1"/>
        <n v="3.5986114293336903E-2" u="1"/>
        <n v="2.4844959843903802E-3" u="1"/>
        <n v="4.7599021345377003E-3" u="1"/>
        <n v="3.1359547283500398E-3" u="1"/>
        <n v="8.0824280157685297E-3" u="1"/>
        <n v="1.0310555808246099E-2" u="1"/>
        <n v="1.14679774269462E-2" u="1"/>
        <n v="2.0256491377949701E-2" u="1"/>
        <n v="2.7223862707614899E-2" u="1"/>
        <n v="3.0547736212611198E-2" u="1"/>
        <n v="3.5984296351671198E-2" u="1"/>
        <n v="0.11119163036346399" u="1"/>
        <n v="0.124338671565056" u="1"/>
        <n v="9.6917196060530801E-5" u="1"/>
        <n v="1.4004986733198201E-3" u="1"/>
        <n v="1.4019998488947699E-3" u="1"/>
        <n v="9.4983465969562496E-3" u="1"/>
        <n v="7.9939942224882502E-5" u="1"/>
        <n v="1.33707222994417E-3" u="1"/>
        <n v="2.5233626365661599E-3" u="1"/>
        <n v="3.0262013897299801E-3" u="1"/>
        <n v="3.0381444375962002E-3" u="1"/>
        <n v="3.04485019296408E-3" u="1"/>
        <n v="3.8639567792415602E-3" u="1"/>
        <n v="8.2017742097377794E-3" u="1"/>
        <n v="1.11488094553351E-2" u="1"/>
        <n v="3.0936501920223201E-2" u="1"/>
        <n v="3.6040931940078701E-2" u="1"/>
        <n v="3.7194777280092198E-2" u="1"/>
        <n v="6.9442920386791201E-2" u="1"/>
        <n v="1.9411931280046699E-3" u="1"/>
        <n v="2.9258474241942202E-3" u="1"/>
        <n v="1.1277460493147399E-2" u="1"/>
        <n v="4.4225484132766703E-2" u="1"/>
        <n v="5.5689834058284801E-2" u="1"/>
        <n v="0.124162152409554" u="1"/>
        <n v="7.1389418735634495E-5" u="1"/>
        <n v="1.6000303439795999E-3" u="1"/>
        <n v="1.9330194918438801E-3" u="1"/>
        <n v="2.9666482005268301E-3" u="1"/>
        <n v="3.00177093595266E-3" u="1"/>
        <n v="4.59832511842251E-3" u="1"/>
        <n v="4.7788950614631202E-3" u="1"/>
        <n v="5.8062713593244601E-2" u="1"/>
        <n v="1.04364100843668E-2" u="1"/>
        <n v="6.9644287228584303E-2" u="1"/>
        <n v="0.114510044455528" u="1"/>
        <n v="659.066162109375" u="1"/>
        <n v="99983704" u="1"/>
        <n v="7.2502727562095997E-5" u="1"/>
        <n v="1.14963790401816E-2" u="1"/>
        <n v="3.4825425595045097E-2" u="1"/>
        <n v="4.92829643189907E-2" u="1"/>
        <n v="6.7341998219490107E-2" u="1"/>
        <n v="8.6723277345299703E-3" u="1"/>
        <n v="1.05005791410804E-2" u="1"/>
        <n v="1.0761433281004399E-2" u="1"/>
        <n v="1.12526193261147E-2" u="1"/>
        <n v="0.12049327045679099" u="1"/>
        <n v="1.4336109161377E-2" u="1"/>
        <n v="1.7666639760136601E-2" u="1"/>
        <n v="3.7701874971389798E-2" u="1"/>
        <n v="1.3975850306451299E-3" u="1"/>
        <n v="3.32746049389243E-3" u="1"/>
        <n v="4.7846185043454196E-3" u="1"/>
        <n v="7.8899646177887899E-3" u="1"/>
        <n v="8.4153041243553196E-3" u="1"/>
        <n v="1.0692243464291099E-2" u="1"/>
        <n v="3.6100439727306401E-2" u="1"/>
        <n v="6.7959867417812306E-2" u="1"/>
        <n v="6.8664595484733595E-2" u="1"/>
        <n v="0.14146538078784901" u="1"/>
        <n v="1.60215760115534E-3" u="1"/>
        <n v="6.0924282297492001E-3" u="1"/>
        <n v="1.2628244236111599E-2" u="1"/>
        <n v="4.0284588932991E-2" u="1"/>
        <n v="9.4659408205188797E-5" u="1"/>
        <n v="2.2807196364738001E-4" u="1"/>
        <n v="2.7501201257109599E-3" u="1"/>
        <n v="4.8113185912370703E-2" u="1"/>
        <n v="5.8821089565753902E-2" u="1"/>
        <n v="0.26762863993644698" u="1"/>
        <n v="833189.75" u="1"/>
        <n v="1.1877576820552301E-2" u="1"/>
        <n v="1.7812889069318799E-2" u="1"/>
        <n v="6.3527066959068201E-4" u="1"/>
        <n v="1.31679512560368E-3" u="1"/>
        <n v="3.01326555199921E-3" u="1"/>
        <n v="5.8454042300581897E-3" u="1"/>
        <n v="4.4687058776617099E-2" u="1"/>
        <n v="4.9126382917165798E-2" u="1"/>
        <n v="7.8136071562767001E-2" u="1"/>
        <n v="0.112694442272186" u="1"/>
        <n v="2.2744202578906E-4" u="1"/>
        <n v="3.0096268747001899E-3" u="1"/>
        <n v="3.0297932680696201E-3" u="1"/>
        <n v="3.5157960373908299E-3" u="1"/>
        <n v="4.0845577605068701E-3" u="1"/>
        <n v="2.2698862478136999E-2" u="1"/>
        <n v="2.6362562552094501E-2" u="1"/>
        <n v="7.2920337319374098E-2" u="1"/>
        <n v="3.0196299776434898E-3" u="1"/>
        <n v="1.9191913306713101E-2" u="1"/>
        <n v="1.977314427495E-2" u="1"/>
        <n v="2.2450482472777401E-2" u="1"/>
        <n v="3.3198992605321098E-4" u="1"/>
        <n v="2.9932782053947401E-3" u="1"/>
        <n v="3.03685874678195E-3" u="1"/>
        <n v="3.0746106058359098E-3" u="1"/>
        <n v="3.97346587851644E-3" u="1"/>
        <n v="8.1430068239569699E-3" u="1"/>
        <n v="2.24957726895809E-2" u="1"/>
        <n v="3.4613508731126799E-2" u="1"/>
        <n v="4.45838831365108E-2" u="1"/>
        <n v="4.87713478505611E-2" u="1"/>
        <n v="1.3975246110931E-3" u="1"/>
        <n v="1.5403536381199999E-3" u="1"/>
        <n v="3.0571939423680301E-3" u="1"/>
        <n v="5.5706850253045602E-3" u="1"/>
        <n v="2.65710186213255E-2" u="1"/>
        <n v="4.7367401421070099E-2" u="1"/>
        <n v="3332780.25" u="1"/>
        <n v="2.085598744452E-2" u="1"/>
        <n v="2.2532479837536801E-2" u="1"/>
        <n v="3.1851120293140397E-2" u="1"/>
        <n v="3.6043547093868297E-2" u="1"/>
        <n v="5.5239617824554402E-2" u="1"/>
        <n v="5.8186624199152E-2" u="1"/>
        <n v="0.24374139308929399" u="1"/>
        <n v="2.1358935628086298E-3" u="1"/>
        <n v="3.0119891744106999E-3" u="1"/>
        <n v="9.3915509060025198E-3" u="1"/>
        <n v="2.2559328004717799E-2" u="1"/>
        <n v="4.0530070662498502E-2" u="1"/>
        <n v="4.9228273332119002E-2" u="1"/>
        <n v="9.74057329585776E-5" u="1"/>
        <n v="3.0078948475420501E-3" u="1"/>
        <n v="3.1334829982370099E-3" u="1"/>
        <n v="3.9694658480584604E-3" u="1"/>
        <n v="1.40489614568651E-3" u="1"/>
        <n v="2.9889964498579502E-3" u="1"/>
        <n v="4.1126757860183698E-3" u="1"/>
        <n v="7.9689249396324192E-3" u="1"/>
        <n v="3.1033072620630299E-2" u="1"/>
        <n v="1.3408453669398999E-3" u="1"/>
        <n v="2.4879705160856199E-3" u="1"/>
        <n v="3.0094101093709499E-3" u="1"/>
        <n v="4.2317351326346397E-3" u="1"/>
        <n v="1.1108611710369601E-2" u="1"/>
        <n v="3.2580479979515103E-2" u="1"/>
        <n v="7.2467938065528897E-2" u="1"/>
        <n v="0.11429512500762901" u="1"/>
        <n v="0.25696560740470897" u="1"/>
        <n v="2.9596248641610098E-3" u="1"/>
        <n v="3.0591832473874101E-3" u="1"/>
        <n v="6.9194003008306E-3" u="1"/>
        <n v="2.9535794630646699E-2" u="1"/>
        <n v="0.12200907617807399" u="1"/>
        <n v="1.8454075325280401E-4" u="1"/>
        <n v="1.39846513047814E-3" u="1"/>
        <n v="1.3989728176966301E-3" u="1"/>
        <n v="3.4180120564997201E-3" u="1"/>
        <n v="1.75455901771784E-2" u="1"/>
        <n v="5.4145250469446203E-2" u="1"/>
        <n v="5.45318871736526E-2" u="1"/>
        <n v="7.6230123639106806E-2" u="1"/>
        <n v="1.39062013477087E-3" u="1"/>
        <n v="1.4017969369888299E-3" u="1"/>
        <n v="2.48329737223685E-3" u="1"/>
        <n v="3.9464952424168604E-3" u="1"/>
        <n v="1.3850997202098401E-2" u="1"/>
        <n v="1.5292624011635799E-2" u="1"/>
        <n v="1.6072748228907599E-2" u="1"/>
        <n v="3.61375398933887E-2" u="1"/>
        <n v="4.4733155518770201E-3" u="1"/>
        <n v="5.4849866777658497E-2" u="1"/>
        <n v="6.8663796409964596E-3" u="1"/>
        <n v="1.75455491989851E-2" u="1"/>
        <n v="2.0555919036269198E-2" u="1"/>
        <n v="2.7540927752852402E-2" u="1"/>
        <n v="7.0816077291965498E-2" u="1"/>
        <n v="8.7210784840863198E-5" u="1"/>
        <n v="1.14018577733077E-4" u="1"/>
        <n v="2.76553560979664E-4" u="1"/>
        <n v="7.0024412125349001E-3" u="1"/>
        <n v="1.7574185505509401E-2" u="1"/>
        <n v="2.2113565355539301E-2" u="1"/>
        <n v="3.2849919050931903E-2" u="1"/>
        <n v="3.0324605759233202E-3" u="1"/>
        <n v="3.9172647520899799E-3" u="1"/>
        <n v="3.8408942520618397E-2" u="1"/>
        <n v="5.7619608938694E-2" u="1"/>
        <n v="1.2279257643967899E-3" u="1"/>
        <n v="2.4764209520071702E-3" u="1"/>
        <n v="3.3336195629090101E-3" u="1"/>
        <n v="1.1242379434406801E-2" u="1"/>
        <n v="2.2574020549654999E-2" u="1"/>
        <n v="3.1958598643541301E-2" u="1"/>
        <n v="4.0571484714746503E-2" u="1"/>
        <n v="1.14042610221077E-4" u="1"/>
        <n v="2.2776419296860698E-2" u="1"/>
        <n v="0.140096619725227" u="1"/>
        <n v="0.523553907871246" u="1"/>
        <n v="3.0147465877234901E-3" u="1"/>
        <n v="1.12362252548337E-2" u="1"/>
        <n v="1.1237488128244899E-2" u="1"/>
        <n v="2.24979910999537E-2" u="1"/>
        <n v="6.9406494498252896E-2" u="1"/>
        <n v="1.5110269887372899E-3" u="1"/>
        <n v="6.3931094482541102E-3" u="1"/>
        <n v="8.8948598131537403E-3" u="1"/>
        <n v="1.0531181469559701E-2" u="1"/>
        <n v="1.92068479955196E-2" u="1"/>
        <n v="4.25912579521537E-3" u="1"/>
        <n v="1.15201715379953E-2" u="1"/>
        <n v="2.2569116204977001E-2" u="1"/>
        <n v="2.6401599869132E-2" u="1"/>
        <n v="3.4885127097368199E-2" u="1"/>
        <n v="5.6154452264308902E-2" u="1"/>
        <n v="6.8420514464378399E-2" u="1"/>
        <n v="6.8784775212407103E-3" u="1"/>
        <n v="7.0187780074775202E-3" u="1"/>
        <n v="8.7330099195241893E-3" u="1"/>
        <n v="1.0649603791534901E-2" u="1"/>
        <n v="1.92174389958382E-2" u="1"/>
        <n v="2.2463271394372E-2" u="1"/>
        <n v="3.4027781337499598E-2" u="1"/>
        <n v="3.50526385009289E-2" u="1"/>
        <n v="0.13907459378242501" u="1"/>
        <n v="3.00995609723032E-3" u="1"/>
        <n v="3.4438928123563502E-3" u="1"/>
        <n v="4.1631506755948101E-3" u="1"/>
        <n v="8.3025656640529598E-3" u="1"/>
        <n v="8.7112560868263193E-3" u="1"/>
        <n v="1.1516430415213099E-2" u="1"/>
        <n v="2.2488504648208601E-2" u="1"/>
        <n v="2.25627645850182E-2" u="1"/>
        <n v="4.5931581407785402E-2" u="1"/>
        <n v="1.9090729765593999E-3" u="1"/>
        <n v="5.5968053638935098E-3" u="1"/>
        <n v="5.63797494396567E-3" u="1"/>
        <n v="6.8605691194534302E-3" u="1"/>
        <n v="7.8898863866925205E-3" u="1"/>
        <n v="3.1855270266532898E-2" u="1"/>
        <n v="2.7548284269869302E-3" u="1"/>
        <n v="3.00051318481565E-3" u="1"/>
        <n v="5.0046145915985099E-3" u="1"/>
        <n v="5.84252178668976E-3" u="1"/>
        <n v="6.9227553904056497E-3" u="1"/>
        <n v="1.03827472776175E-2" u="1"/>
        <n v="2.5772130116820301E-2" u="1"/>
        <n v="2.6771625503897702E-2" u="1"/>
        <n v="4.8864398151636103E-2" u="1"/>
        <n v="6.8816736340522794E-2" u="1"/>
        <n v="0.53331744670867898" u="1"/>
        <n v="1.0407860390842001E-2" u="1"/>
        <n v="2.9702358879148999E-3" u="1"/>
        <n v="6.99910968542099E-2" u="1"/>
        <n v="0.51187664270401001" u="1"/>
        <n v="2.9992938507348299E-3" u="1"/>
        <n v="1.0360063984990101E-2" u="1"/>
        <n v="1.74205601215363E-2" u="1"/>
        <n v="2.87296026945114E-2" u="1"/>
        <n v="3.0106580816209299E-3" u="1"/>
        <n v="3.02081881090999E-3" u="1"/>
        <n v="7.0136059075593896E-3" u="1"/>
        <n v="2.0238088443875299E-2" u="1"/>
        <n v="5.7758677750825903E-2" u="1"/>
        <n v="5.5969487875699997E-3" u="1"/>
        <n v="8.4512569010257704E-3" u="1"/>
        <n v="2.2792423143982901E-2" u="1"/>
        <n v="3.6292392760515199E-2" u="1"/>
        <n v="7.0659146877005696E-4" u="1"/>
        <n v="1.3990575680509201E-3" u="1"/>
        <n v="2.9819766059517899E-3" u="1"/>
        <n v="1.0105469264090099E-2" u="1"/>
        <n v="1.0390235111117399E-2" u="1"/>
        <n v="3.6073479801416397E-2" u="1"/>
        <n v="3.02125979214907E-3" u="1"/>
        <n v="6.21872721239924E-3" u="1"/>
        <n v="8.6677838116884197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1.8908673897385601E-2" u="1"/>
        <n v="0.41545334458351102" u="1"/>
        <n v="3.3334938343614301E-3" u="1"/>
        <n v="1.06531232595444E-2" u="1"/>
        <n v="1.7586076632142102E-2" u="1"/>
        <n v="3.1329814344644498E-2" u="1"/>
        <n v="4.9421489238739E-2" u="1"/>
        <n v="5.8242712169885601E-2"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4470" u="1"/>
        <n v="8816" u="1"/>
        <n v="14867" u="1"/>
        <n v="4210" u="1"/>
        <n v="8296" u="1"/>
        <n v="10313" u="1"/>
        <n v="14347" u="1"/>
        <n v="517" u="1"/>
        <n v="5967" u="1"/>
        <n v="7984" u="1"/>
        <n v="9793" u="1"/>
        <n v="5707" u="1"/>
        <n v="7724" u="1"/>
        <n v="9273" u="1"/>
        <n v="482" u="1"/>
        <n v="5447" u="1"/>
        <n v="8753" u="1"/>
        <n v="10770" u="1"/>
        <n v="14804" u="1"/>
        <n v="1832" u="1"/>
        <n v="5187" u="1"/>
        <n v="8233" u="1"/>
        <n v="10250" u="1"/>
        <n v="1767" u="1"/>
        <n v="3503" u="1"/>
        <n v="4927" u="1"/>
        <n v="9730" u="1"/>
        <n v="1702" u="1"/>
        <n v="3373" u="1"/>
        <n v="9210" u="1"/>
        <n v="11227" u="1"/>
        <n v="1637" u="1"/>
        <n v="3243" u="1"/>
        <n v="6424" u="1"/>
        <n v="8690" u="1"/>
        <n v="10707" u="1"/>
        <n v="3113" u="1"/>
        <n v="6164" u="1"/>
        <n v="10187" u="1"/>
        <n v="2983" u="1"/>
        <n v="5904" u="1"/>
        <n v="9667" u="1"/>
        <n v="11684" u="1"/>
        <n v="94" u="1"/>
        <n v="5644" u="1"/>
        <n v="9147" u="1"/>
        <n v="11164" u="1"/>
        <n v="352" u="1"/>
        <n v="5384" u="1"/>
        <n v="10644" u="1"/>
        <n v="12661" u="1"/>
        <n v="7141" u="1"/>
        <n v="10124" u="1"/>
        <n v="12141" u="1"/>
        <n v="1247" u="1"/>
        <n v="6881" u="1"/>
        <n v="9604" u="1"/>
        <n v="11621" u="1"/>
        <n v="1182" u="1"/>
        <n v="6621" u="1"/>
        <n v="11101" u="1"/>
        <n v="13118" u="1"/>
        <n v="1117" u="1"/>
        <n v="2203" u="1"/>
        <n v="6361" u="1"/>
        <n v="10581" u="1"/>
        <n v="12598" u="1"/>
        <n v="1052" u="1"/>
        <n v="2073" u="1"/>
        <n v="4090" u="1"/>
        <n v="6101" u="1"/>
        <n v="12078" u="1"/>
        <n v="3960" u="1"/>
        <n v="11558" u="1"/>
        <n v="13575" u="1"/>
        <n v="3830" u="1"/>
        <n v="7598" u="1"/>
        <n v="11038" u="1"/>
        <n v="13055" u="1"/>
        <n v="239" u="1"/>
        <n v="3700" u="1"/>
        <n v="7338" u="1"/>
        <n v="12535" u="1"/>
        <n v="3570" u="1"/>
        <n v="7078" u="1"/>
        <n v="12015" u="1"/>
        <n v="14032" u="1"/>
        <n v="6818" u="1"/>
        <n v="11495" u="1"/>
        <n v="13512" u="1"/>
        <n v="843" u="1"/>
        <n v="4541" u="1"/>
        <n v="6558" u="1"/>
        <n v="12992" u="1"/>
        <n v="15009" u="1"/>
        <n v="4281" u="1"/>
        <n v="8438" u="1"/>
        <n v="12472" u="1"/>
        <n v="14489" u="1"/>
        <n v="20662" u="1"/>
        <n v="778" u="1"/>
        <n v="8055" u="1"/>
        <n v="11952" u="1"/>
        <n v="13969" u="1"/>
        <n v="7795" u="1"/>
        <n v="13449" u="1"/>
        <n v="713" u="1"/>
        <n v="2790" u="1"/>
        <n v="7535" u="1"/>
        <n v="8895" u="1"/>
        <n v="12929" u="1"/>
        <n v="14946" u="1"/>
        <n v="2660" u="1"/>
        <n v="5258" u="1"/>
        <n v="7275" u="1"/>
        <n v="8375" u="1"/>
        <n v="14426" u="1"/>
        <n v="2530" u="1"/>
        <n v="4998" u="1"/>
        <n v="13906" u="1"/>
        <n v="2400" u="1"/>
        <n v="4738" u="1"/>
        <n v="9352" u="1"/>
        <n v="13386" u="1"/>
        <n v="4478" u="1"/>
        <n v="8832" u="1"/>
        <n v="14883" u="1"/>
        <n v="4218" u="1"/>
        <n v="8312" u="1"/>
        <n v="14363" u="1"/>
        <n v="518" u="1"/>
        <n v="7992" u="1"/>
        <n v="9809" u="1"/>
        <n v="13843" u="1"/>
        <n v="5715" u="1"/>
        <n v="7732" u="1"/>
        <n v="9289" u="1"/>
        <n v="5455" u="1"/>
        <n v="8769" u="1"/>
        <n v="10786" u="1"/>
        <n v="14820" u="1"/>
        <n v="1834" u="1"/>
        <n v="5195" u="1"/>
        <n v="8249" u="1"/>
        <n v="10266" u="1"/>
        <n v="14300" u="1"/>
        <n v="1769" u="1"/>
        <n v="4935" u="1"/>
        <n v="9746" u="1"/>
        <n v="1704" u="1"/>
        <n v="3377" u="1"/>
        <n v="4675" u="1"/>
        <n v="9226" u="1"/>
        <n v="11243" u="1"/>
        <n v="1639" u="1"/>
        <n v="3247" u="1"/>
        <n v="6432" u="1"/>
        <n v="8706" u="1"/>
        <n v="10723" u="1"/>
        <n v="1574" u="1"/>
        <n v="3117" u="1"/>
        <n v="6172" u="1"/>
        <n v="10203" u="1"/>
        <n v="2987" u="1"/>
        <n v="5912" u="1"/>
        <n v="9683" u="1"/>
        <n v="11700" u="1"/>
        <n v="5652" u="1"/>
        <n v="9163" u="1"/>
        <n v="11180" u="1"/>
        <n v="5392" u="1"/>
        <n v="10660" u="1"/>
        <n v="10140" u="1"/>
        <n v="12157" u="1"/>
        <n v="320" u="1"/>
        <n v="1249" u="1"/>
        <n v="6889" u="1"/>
        <n v="9620" u="1"/>
        <n v="11637" u="1"/>
        <n v="1184" u="1"/>
        <n v="6629" u="1"/>
        <n v="11117" u="1"/>
        <n v="1119" u="1"/>
        <n v="2207" u="1"/>
        <n v="6369" u="1"/>
        <n v="10597" u="1"/>
        <n v="12614" u="1"/>
        <n v="16912" u="1"/>
        <n v="1054" u="1"/>
        <n v="2077" u="1"/>
        <n v="6109" u="1"/>
        <n v="10077" u="1"/>
        <n v="12094" u="1"/>
        <n v="3964" u="1"/>
        <n v="5849" u="1"/>
        <n v="11574" u="1"/>
        <n v="13591" u="1"/>
        <n v="3834" u="1"/>
        <n v="7606" u="1"/>
        <n v="11054" u="1"/>
        <n v="13071" u="1"/>
        <n v="3704" u="1"/>
        <n v="7346" u="1"/>
        <n v="12551" u="1"/>
        <n v="3574" u="1"/>
        <n v="7086" u="1"/>
        <n v="12031" u="1"/>
        <n v="14048" u="1"/>
        <n v="223" u="1"/>
        <n v="6826" u="1"/>
        <n v="11511" u="1"/>
        <n v="13528" u="1"/>
        <n v="844" u="1"/>
        <n v="4549" u="1"/>
        <n v="6566" u="1"/>
        <n v="13008" u="1"/>
        <n v="4289" u="1"/>
        <n v="12488" u="1"/>
        <n v="14505" u="1"/>
        <n v="779" u="1"/>
        <n v="8063" u="1"/>
        <n v="11968" u="1"/>
        <n v="13985" u="1"/>
        <n v="7803" u="1"/>
        <n v="13465" u="1"/>
        <n v="714" u="1"/>
        <n v="2794" u="1"/>
        <n v="7543" u="1"/>
        <n v="12945" u="1"/>
        <n v="14962" u="1"/>
        <n v="21608" u="1"/>
        <n v="2664" u="1"/>
        <n v="7283" u="1"/>
        <n v="8391" u="1"/>
        <n v="12425" u="1"/>
        <n v="14442" u="1"/>
        <n v="2534" u="1"/>
        <n v="5006" u="1"/>
        <n v="7023" u="1"/>
        <n v="13922" u="1"/>
        <n v="158" u="1"/>
        <n v="2404" u="1"/>
        <n v="4746" u="1"/>
        <n v="9368" u="1"/>
        <n v="13402" u="1"/>
        <n v="2274" u="1"/>
        <n v="4486" u="1"/>
        <n v="8848" u="1"/>
        <n v="14899" u="1"/>
        <n v="4226" u="1"/>
        <n v="8328" u="1"/>
        <n v="14379" u="1"/>
        <n v="519" u="1"/>
        <n v="8000" u="1"/>
        <n v="9825" u="1"/>
        <n v="13859" u="1"/>
        <n v="5723" u="1"/>
        <n v="7740" u="1"/>
        <n v="9305" u="1"/>
        <n v="483" u="1"/>
        <n v="5463" u="1"/>
        <n v="8785" u="1"/>
        <n v="14836" u="1"/>
        <n v="1836" u="1"/>
        <n v="5203" u="1"/>
        <n v="8265" u="1"/>
        <n v="10282" u="1"/>
        <n v="14316" u="1"/>
        <n v="1771" u="1"/>
        <n v="4943" u="1"/>
        <n v="9762" u="1"/>
        <n v="1706" u="1"/>
        <n v="3381" u="1"/>
        <n v="4683" u="1"/>
        <n v="9242" u="1"/>
        <n v="1641" u="1"/>
        <n v="3251" u="1"/>
        <n v="8722" u="1"/>
        <n v="10739" u="1"/>
        <n v="14773" u="1"/>
        <n v="1576" u="1"/>
        <n v="3121" u="1"/>
        <n v="6180" u="1"/>
        <n v="8202" u="1"/>
        <n v="10219" u="1"/>
        <n v="2991" u="1"/>
        <n v="5920" u="1"/>
        <n v="9699" u="1"/>
        <n v="11716" u="1"/>
        <n v="2861" u="1"/>
        <n v="5660" u="1"/>
        <n v="9179" u="1"/>
        <n v="11196" u="1"/>
        <n v="353" u="1"/>
        <n v="5400" u="1"/>
        <n v="10676" u="1"/>
        <n v="10156" u="1"/>
        <n v="12173" u="1"/>
        <n v="1251" u="1"/>
        <n v="6897" u="1"/>
        <n v="9636" u="1"/>
        <n v="11653" u="1"/>
        <n v="1186" u="1"/>
        <n v="6637" u="1"/>
        <n v="11133" u="1"/>
        <n v="1121" u="1"/>
        <n v="2211" u="1"/>
        <n v="6377" u="1"/>
        <n v="10613" u="1"/>
        <n v="12630" u="1"/>
        <n v="1056" u="1"/>
        <n v="2081" u="1"/>
        <n v="6117" u="1"/>
        <n v="10093" u="1"/>
        <n v="12110" u="1"/>
        <n v="3968" u="1"/>
        <n v="5857" u="1"/>
        <n v="11590" u="1"/>
        <n v="3838" u="1"/>
        <n v="11070" u="1"/>
        <n v="13087" u="1"/>
        <n v="3708" u="1"/>
        <n v="7354" u="1"/>
        <n v="10550" u="1"/>
        <n v="12567" u="1"/>
        <n v="3578" u="1"/>
        <n v="7094" u="1"/>
        <n v="12047" u="1"/>
        <n v="14064" u="1"/>
        <n v="3448" u="1"/>
        <n v="6834" u="1"/>
        <n v="11527" u="1"/>
        <n v="13544" u="1"/>
        <n v="4557" u="1"/>
        <n v="6574" u="1"/>
        <n v="13024" u="1"/>
        <n v="207" u="1"/>
        <n v="4297" u="1"/>
        <n v="12504" u="1"/>
        <n v="14521" u="1"/>
        <n v="780" u="1"/>
        <n v="8071" u="1"/>
        <n v="11984" u="1"/>
        <n v="14001" u="1"/>
        <n v="7811" u="1"/>
        <n v="13481" u="1"/>
        <n v="20663" u="1"/>
        <n v="715" u="1"/>
        <n v="2798" u="1"/>
        <n v="7551" u="1"/>
        <n v="12961" u="1"/>
        <n v="14978" u="1"/>
        <n v="2668" u="1"/>
        <n v="7291" u="1"/>
        <n v="8407" u="1"/>
        <n v="12441" u="1"/>
        <n v="14458" u="1"/>
        <n v="2538" u="1"/>
        <n v="5014" u="1"/>
        <n v="7031" u="1"/>
        <n v="13938" u="1"/>
        <n v="2408" u="1"/>
        <n v="4754" u="1"/>
        <n v="13418" u="1"/>
        <n v="2278" u="1"/>
        <n v="4494" u="1"/>
        <n v="8864" u="1"/>
        <n v="12898" u="1"/>
        <n v="14915" u="1"/>
        <n v="142" u="1"/>
        <n v="4234" u="1"/>
        <n v="8344" u="1"/>
        <n v="14395" u="1"/>
        <n v="520" u="1"/>
        <n v="4035" u="1"/>
        <n v="8008" u="1"/>
        <n v="9841" u="1"/>
        <n v="13875" u="1"/>
        <n v="5731" u="1"/>
        <n v="7748" u="1"/>
        <n v="9321" u="1"/>
        <n v="5471" u="1"/>
        <n v="8801" u="1"/>
        <n v="14852" u="1"/>
        <n v="1838" u="1"/>
        <n v="5211" u="1"/>
        <n v="8281" u="1"/>
        <n v="10298" u="1"/>
        <n v="14332" u="1"/>
        <n v="451" u="1"/>
        <n v="1773" u="1"/>
        <n v="4951" u="1"/>
        <n v="9778" u="1"/>
        <n v="1708" u="1"/>
        <n v="3385" u="1"/>
        <n v="4691" u="1"/>
        <n v="9258" u="1"/>
        <n v="1643" u="1"/>
        <n v="3255" u="1"/>
        <n v="8738" u="1"/>
        <n v="10755" u="1"/>
        <n v="14789" u="1"/>
        <n v="1578" u="1"/>
        <n v="3125" u="1"/>
        <n v="6188" u="1"/>
        <n v="8218" u="1"/>
        <n v="10235" u="1"/>
        <n v="2995" u="1"/>
        <n v="5928" u="1"/>
        <n v="9715" u="1"/>
        <n v="2865" u="1"/>
        <n v="5668" u="1"/>
        <n v="9195" u="1"/>
        <n v="11212" u="1"/>
        <n v="5408" u="1"/>
        <n v="8675" u="1"/>
        <n v="10692" u="1"/>
        <n v="5148" u="1"/>
        <n v="10172" u="1"/>
        <n v="12189" u="1"/>
        <n v="321" u="1"/>
        <n v="6905" u="1"/>
        <n v="9652" u="1"/>
        <n v="11669" u="1"/>
        <n v="1188" u="1"/>
        <n v="6645" u="1"/>
        <n v="11149" u="1"/>
        <n v="1123" u="1"/>
        <n v="2215" u="1"/>
        <n v="6385" u="1"/>
        <n v="10629" u="1"/>
        <n v="12646" u="1"/>
        <n v="70" u="1"/>
        <n v="1058" u="1"/>
        <n v="2085" u="1"/>
        <n v="6125" u="1"/>
        <n v="10109" u="1"/>
        <n v="12126" u="1"/>
        <n v="3972" u="1"/>
        <n v="5865" u="1"/>
        <n v="11606" u="1"/>
        <n v="16913" u="1"/>
        <n v="976" u="1"/>
        <n v="3842" u="1"/>
        <n v="11086" u="1"/>
        <n v="13103" u="1"/>
        <n v="3712" u="1"/>
        <n v="7362" u="1"/>
        <n v="10566" u="1"/>
        <n v="12583" u="1"/>
        <n v="3582" u="1"/>
        <n v="7102" u="1"/>
        <n v="12063" u="1"/>
        <n v="3452" u="1"/>
        <n v="6842" u="1"/>
        <n v="11543" u="1"/>
        <n v="13560" u="1"/>
        <n v="6582" u="1"/>
        <n v="11023" u="1"/>
        <n v="13040" u="1"/>
        <n v="4305" u="1"/>
        <n v="6322" u="1"/>
        <n v="12520" u="1"/>
        <n v="14537" u="1"/>
        <n v="781" u="1"/>
        <n v="8079" u="1"/>
        <n v="12000" u="1"/>
        <n v="14017" u="1"/>
        <n v="7819" u="1"/>
        <n v="13497" u="1"/>
        <n v="716" u="1"/>
        <n v="2802" u="1"/>
        <n v="7559" u="1"/>
        <n v="12977" u="1"/>
        <n v="14994" u="1"/>
        <n v="2672" u="1"/>
        <n v="7299" u="1"/>
        <n v="8423" u="1"/>
        <n v="12457" u="1"/>
        <n v="14474" u="1"/>
        <n v="2542" u="1"/>
        <n v="5022" u="1"/>
        <n v="7039" u="1"/>
        <n v="13954" u="1"/>
        <n v="21609" u="1"/>
        <n v="2412" u="1"/>
        <n v="4762" u="1"/>
        <n v="13434" u="1"/>
        <n v="2282" u="1"/>
        <n v="4502" u="1"/>
        <n v="8880" u="1"/>
        <n v="12914" u="1"/>
        <n v="14931" u="1"/>
        <n v="4242" u="1"/>
        <n v="8360" u="1"/>
        <n v="14411" u="1"/>
        <n v="521" u="1"/>
        <n v="4039" u="1"/>
        <n v="8016" u="1"/>
        <n v="13891" u="1"/>
        <n v="127" u="1"/>
        <n v="7756" u="1"/>
        <n v="9337" u="1"/>
        <n v="13371" u="1"/>
        <n v="484" u="1"/>
        <n v="5479" u="1"/>
        <n v="7496" u="1"/>
        <n v="8817" u="1"/>
        <n v="14868" u="1"/>
        <n v="5219" u="1"/>
        <n v="8297" u="1"/>
        <n v="10314" u="1"/>
        <n v="14348" u="1"/>
        <n v="1775" u="1"/>
        <n v="4959" u="1"/>
        <n v="9794" u="1"/>
        <n v="1710" u="1"/>
        <n v="4699" u="1"/>
        <n v="9274" u="1"/>
        <n v="1645" u="1"/>
        <n v="3259" u="1"/>
        <n v="4439" u="1"/>
        <n v="8754" u="1"/>
        <n v="10771" u="1"/>
        <n v="14805" u="1"/>
        <n v="1580" u="1"/>
        <n v="3129" u="1"/>
        <n v="6196" u="1"/>
        <n v="8234" u="1"/>
        <n v="10251" u="1"/>
        <n v="1515" u="1"/>
        <n v="2999" u="1"/>
        <n v="5936" u="1"/>
        <n v="9731" u="1"/>
        <n v="2869" u="1"/>
        <n v="5676" u="1"/>
        <n v="9211" u="1"/>
        <n v="11228" u="1"/>
        <n v="354" u="1"/>
        <n v="5416" u="1"/>
        <n v="8691" u="1"/>
        <n v="10708" u="1"/>
        <n v="5156" u="1"/>
        <n v="10188" u="1"/>
        <n v="9668" u="1"/>
        <n v="11685" u="1"/>
        <n v="1190" u="1"/>
        <n v="6653" u="1"/>
        <n v="9148" u="1"/>
        <n v="11165" u="1"/>
        <n v="1125" u="1"/>
        <n v="6393" u="1"/>
        <n v="10645" u="1"/>
        <n v="12662" u="1"/>
        <n v="1060" u="1"/>
        <n v="2089" u="1"/>
        <n v="6133" u="1"/>
        <n v="10125" u="1"/>
        <n v="12142" u="1"/>
        <n v="16176" u="1"/>
        <n v="5873" u="1"/>
        <n v="9605" u="1"/>
        <n v="11622" u="1"/>
        <n v="63" u="1"/>
        <n v="977" u="1"/>
        <n v="3846" u="1"/>
        <n v="5613" u="1"/>
        <n v="11102" u="1"/>
        <n v="13119" u="1"/>
        <n v="3716" u="1"/>
        <n v="7370" u="1"/>
        <n v="10582" u="1"/>
        <n v="12599" u="1"/>
        <n v="3586" u="1"/>
        <n v="7110" u="1"/>
        <n v="12079" u="1"/>
        <n v="3456" u="1"/>
        <n v="6850" u="1"/>
        <n v="11559" u="1"/>
        <n v="13576" u="1"/>
        <n v="6590" u="1"/>
        <n v="11039" u="1"/>
        <n v="13056" u="1"/>
        <n v="4313" u="1"/>
        <n v="6330" u="1"/>
        <n v="12536" u="1"/>
        <n v="782" u="1"/>
        <n v="12016" u="1"/>
        <n v="14033" u="1"/>
        <n v="7827" u="1"/>
        <n v="11496" u="1"/>
        <n v="13513" u="1"/>
        <n v="717" u="1"/>
        <n v="7567" u="1"/>
        <n v="12993" u="1"/>
        <n v="15010" u="1"/>
        <n v="2676" u="1"/>
        <n v="7307" u="1"/>
        <n v="12473" u="1"/>
        <n v="14490" u="1"/>
        <n v="20664" u="1"/>
        <n v="2546" u="1"/>
        <n v="7047" u="1"/>
        <n v="11953" u="1"/>
        <n v="13970" u="1"/>
        <n v="2416" u="1"/>
        <n v="4770" u="1"/>
        <n v="6787" u="1"/>
        <n v="13450" u="1"/>
        <n v="2286" u="1"/>
        <n v="4510" u="1"/>
        <n v="8896" u="1"/>
        <n v="12930" u="1"/>
        <n v="14947" u="1"/>
        <n v="2156" u="1"/>
        <n v="4250" u="1"/>
        <n v="8376" u="1"/>
        <n v="14427" u="1"/>
        <n v="4043" u="1"/>
        <n v="8024" u="1"/>
        <n v="13907" u="1"/>
        <n v="7764" u="1"/>
        <n v="9353" u="1"/>
        <n v="13387" u="1"/>
        <n v="5487" u="1"/>
        <n v="7504" u="1"/>
        <n v="8833" u="1"/>
        <n v="14884" u="1"/>
        <n v="5227" u="1"/>
        <n v="8313" u="1"/>
        <n v="14364" u="1"/>
        <n v="452" u="1"/>
        <n v="1777" u="1"/>
        <n v="4967" u="1"/>
        <n v="9810" u="1"/>
        <n v="13844" u="1"/>
        <n v="1712" u="1"/>
        <n v="4707" u="1"/>
        <n v="9290" u="1"/>
        <n v="1647" u="1"/>
        <n v="3263" u="1"/>
        <n v="4447" u="1"/>
        <n v="8770" u="1"/>
        <n v="14821" u="1"/>
        <n v="1582" u="1"/>
        <n v="3133" u="1"/>
        <n v="8250" u="1"/>
        <n v="10267" u="1"/>
        <n v="14301" u="1"/>
        <n v="1517" u="1"/>
        <n v="3003" u="1"/>
        <n v="5944" u="1"/>
        <n v="7961" u="1"/>
        <n v="9747" u="1"/>
        <n v="2873" u="1"/>
        <n v="5684" u="1"/>
        <n v="9227" u="1"/>
        <n v="11244" u="1"/>
        <n v="2743" u="1"/>
        <n v="5424" u="1"/>
        <n v="8707" u="1"/>
        <n v="10724" u="1"/>
        <n v="5164" u="1"/>
        <n v="10204" u="1"/>
        <n v="322" u="1"/>
        <n v="9684" u="1"/>
        <n v="11701" u="1"/>
        <n v="1192" u="1"/>
        <n v="6661" u="1"/>
        <n v="9164" u="1"/>
        <n v="11181" u="1"/>
        <n v="1127" u="1"/>
        <n v="6401" u="1"/>
        <n v="10661" u="1"/>
        <n v="1062" u="1"/>
        <n v="2093" u="1"/>
        <n v="6141" u="1"/>
        <n v="10141" u="1"/>
        <n v="12158" u="1"/>
        <n v="5881" u="1"/>
        <n v="9621" u="1"/>
        <n v="11638" u="1"/>
        <n v="978" u="1"/>
        <n v="3850" u="1"/>
        <n v="5621" u="1"/>
        <n v="11118" u="1"/>
        <n v="3720" u="1"/>
        <n v="10598" u="1"/>
        <n v="12615" u="1"/>
        <n v="16914" u="1"/>
        <n v="59" u="1"/>
        <n v="3590" u="1"/>
        <n v="7118" u="1"/>
        <n v="10078" u="1"/>
        <n v="12095" u="1"/>
        <n v="224" u="1"/>
        <n v="3460" u="1"/>
        <n v="6858" u="1"/>
        <n v="11575" u="1"/>
        <n v="13592" u="1"/>
        <n v="3330" u="1"/>
        <n v="6598" u="1"/>
        <n v="11055" u="1"/>
        <n v="13072" u="1"/>
        <n v="4321" u="1"/>
        <n v="6338" u="1"/>
        <n v="12552" u="1"/>
        <n v="783" u="1"/>
        <n v="12032" u="1"/>
        <n v="14049" u="1"/>
        <n v="7835" u="1"/>
        <n v="11512" u="1"/>
        <n v="13529" u="1"/>
        <n v="718" u="1"/>
        <n v="7575" u="1"/>
        <n v="13009" u="1"/>
        <n v="2680" u="1"/>
        <n v="7315" u="1"/>
        <n v="12489" u="1"/>
        <n v="14506" u="1"/>
        <n v="653" u="1"/>
        <n v="2550" u="1"/>
        <n v="7055" u="1"/>
        <n v="11969" u="1"/>
        <n v="13986" u="1"/>
        <n v="2420" u="1"/>
        <n v="4778" u="1"/>
        <n v="6795" u="1"/>
        <n v="13466" u="1"/>
        <n v="2290" u="1"/>
        <n v="4518" u="1"/>
        <n v="12946" u="1"/>
        <n v="14963" u="1"/>
        <n v="21610" u="1"/>
        <n v="2160" u="1"/>
        <n v="4258" u="1"/>
        <n v="8392" u="1"/>
        <n v="12426" u="1"/>
        <n v="14443" u="1"/>
        <n v="4047" u="1"/>
        <n v="8032" u="1"/>
        <n v="13923" u="1"/>
        <n v="3917" u="1"/>
        <n v="7772" u="1"/>
        <n v="9369" u="1"/>
        <n v="13403" u="1"/>
        <n v="485" u="1"/>
        <n v="5495" u="1"/>
        <n v="7512" u="1"/>
        <n v="8849" u="1"/>
        <n v="14900" u="1"/>
        <n v="5235" u="1"/>
        <n v="8329" u="1"/>
        <n v="14380" u="1"/>
        <n v="1779" u="1"/>
        <n v="4975" u="1"/>
        <n v="9826" u="1"/>
        <n v="13860" u="1"/>
        <n v="1714" u="1"/>
        <n v="4715" u="1"/>
        <n v="9306" u="1"/>
        <n v="1649" u="1"/>
        <n v="3267" u="1"/>
        <n v="4455" u="1"/>
        <n v="8786" u="1"/>
        <n v="14837" u="1"/>
        <n v="1584" u="1"/>
        <n v="3137" u="1"/>
        <n v="8266" u="1"/>
        <n v="10283" u="1"/>
        <n v="14317" u="1"/>
        <n v="1519" u="1"/>
        <n v="3007" u="1"/>
        <n v="5952" u="1"/>
        <n v="7969" u="1"/>
        <n v="9763" u="1"/>
        <n v="2877" u="1"/>
        <n v="5692" u="1"/>
        <n v="9243" u="1"/>
        <n v="355" u="1"/>
        <n v="2747" u="1"/>
        <n v="5432" u="1"/>
        <n v="8723" u="1"/>
        <n v="10740" u="1"/>
        <n v="14774" u="1"/>
        <n v="5172" u="1"/>
        <n v="8203" u="1"/>
        <n v="10220" u="1"/>
        <n v="4912" u="1"/>
        <n v="9700" u="1"/>
        <n v="11717" u="1"/>
        <n v="6669" u="1"/>
        <n v="9180" u="1"/>
        <n v="11197" u="1"/>
        <n v="290" u="1"/>
        <n v="1129" u="1"/>
        <n v="6409" u="1"/>
        <n v="10677" u="1"/>
        <n v="1064" u="1"/>
        <n v="2097" u="1"/>
        <n v="6149" u="1"/>
        <n v="10157" u="1"/>
        <n v="12174" u="1"/>
        <n v="5889" u="1"/>
        <n v="9637" u="1"/>
        <n v="11654" u="1"/>
        <n v="979" u="1"/>
        <n v="3854" u="1"/>
        <n v="5629" u="1"/>
        <n v="11134" u="1"/>
        <n v="3724" u="1"/>
        <n v="10614" u="1"/>
        <n v="12631" u="1"/>
        <n v="3594" u="1"/>
        <n v="7126" u="1"/>
        <n v="10094" u="1"/>
        <n v="12111" u="1"/>
        <n v="3464" u="1"/>
        <n v="6866" u="1"/>
        <n v="11591" u="1"/>
        <n v="3334" u="1"/>
        <n v="6606" u="1"/>
        <n v="11071" u="1"/>
        <n v="13088" u="1"/>
        <n v="208" u="1"/>
        <n v="6346" u="1"/>
        <n v="10551" u="1"/>
        <n v="12568" u="1"/>
        <n v="784" u="1"/>
        <n v="6086" u="1"/>
        <n v="12048" u="1"/>
        <n v="14065" u="1"/>
        <n v="7843" u="1"/>
        <n v="11528" u="1"/>
        <n v="13545" u="1"/>
        <n v="719" u="1"/>
        <n v="7583" u="1"/>
        <n v="13025" u="1"/>
        <n v="2684" u="1"/>
        <n v="7323" u="1"/>
        <n v="12505" u="1"/>
        <n v="14522" u="1"/>
        <n v="654" u="1"/>
        <n v="2554" u="1"/>
        <n v="7063" u="1"/>
        <n v="11985" u="1"/>
        <n v="14002" u="1"/>
        <n v="2424" u="1"/>
        <n v="4786" u="1"/>
        <n v="6803" u="1"/>
        <n v="13482" u="1"/>
        <n v="20665" u="1"/>
        <n v="2294" u="1"/>
        <n v="4526" u="1"/>
        <n v="12962" u="1"/>
        <n v="14979" u="1"/>
        <n v="143" u="1"/>
        <n v="2164" u="1"/>
        <n v="4266" u="1"/>
        <n v="8408" u="1"/>
        <n v="12442" u="1"/>
        <n v="14459" u="1"/>
        <n v="4051" u="1"/>
        <n v="8040" u="1"/>
        <n v="13939" u="1"/>
        <n v="3921" u="1"/>
        <n v="7780" u="1"/>
        <n v="13419" u="1"/>
        <n v="7520" u="1"/>
        <n v="8865" u="1"/>
        <n v="12899" u="1"/>
        <n v="14916" u="1"/>
        <n v="5243" u="1"/>
        <n v="7260" u="1"/>
        <n v="8345" u="1"/>
        <n v="14396" u="1"/>
        <n v="453" u="1"/>
        <n v="4983" u="1"/>
        <n v="9842" u="1"/>
        <n v="13876" u="1"/>
        <n v="1716" u="1"/>
        <n v="4723" u="1"/>
        <n v="9322" u="1"/>
        <n v="1651" u="1"/>
        <n v="3271" u="1"/>
        <n v="4463" u="1"/>
        <n v="8802" u="1"/>
        <n v="14853" u="1"/>
        <n v="103" u="1"/>
        <n v="1586" u="1"/>
        <n v="3141" u="1"/>
        <n v="4203" u="1"/>
        <n v="8282" u="1"/>
        <n v="10299" u="1"/>
        <n v="14333" u="1"/>
        <n v="1521" u="1"/>
        <n v="3011" u="1"/>
        <n v="5960" u="1"/>
        <n v="7977" u="1"/>
        <n v="9779" u="1"/>
        <n v="1456" u="1"/>
        <n v="2881" u="1"/>
        <n v="5700" u="1"/>
        <n v="9259" u="1"/>
        <n v="2751" u="1"/>
        <n v="5440" u="1"/>
        <n v="8739" u="1"/>
        <n v="10756" u="1"/>
        <n v="14790" u="1"/>
        <n v="5180" u="1"/>
        <n v="8219" u="1"/>
        <n v="10236" u="1"/>
        <n v="323" u="1"/>
        <n v="4920" u="1"/>
        <n v="9716" u="1"/>
        <n v="9196" u="1"/>
        <n v="11213" u="1"/>
        <n v="1131" u="1"/>
        <n v="6417" u="1"/>
        <n v="8676" u="1"/>
        <n v="10693" u="1"/>
        <n v="1066" u="1"/>
        <n v="6157" u="1"/>
        <n v="10173" u="1"/>
        <n v="12190" u="1"/>
        <n v="5897" u="1"/>
        <n v="9653" u="1"/>
        <n v="11670" u="1"/>
        <n v="980" u="1"/>
        <n v="3858" u="1"/>
        <n v="5637" u="1"/>
        <n v="11150" u="1"/>
        <n v="3728" u="1"/>
        <n v="5377" u="1"/>
        <n v="10630" u="1"/>
        <n v="12647" u="1"/>
        <n v="3598" u="1"/>
        <n v="7134" u="1"/>
        <n v="10110" u="1"/>
        <n v="12127" u="1"/>
        <n v="3468" u="1"/>
        <n v="6874" u="1"/>
        <n v="11607" u="1"/>
        <n v="16915" u="1"/>
        <n v="3338" u="1"/>
        <n v="6614" u="1"/>
        <n v="11087" u="1"/>
        <n v="13104" u="1"/>
        <n v="6354" u="1"/>
        <n v="10567" u="1"/>
        <n v="12584" u="1"/>
        <n v="785" u="1"/>
        <n v="6094" u="1"/>
        <n v="12064" u="1"/>
        <n v="192" u="1"/>
        <n v="11544" u="1"/>
        <n v="13561" u="1"/>
        <n v="720" u="1"/>
        <n v="7591" u="1"/>
        <n v="11024" u="1"/>
        <n v="13041" u="1"/>
        <n v="7331" u="1"/>
        <n v="12521" u="1"/>
        <n v="14538" u="1"/>
        <n v="655" u="1"/>
        <n v="2558" u="1"/>
        <n v="7071" u="1"/>
        <n v="12001" u="1"/>
        <n v="14018" u="1"/>
        <n v="2428" u="1"/>
        <n v="4794" u="1"/>
        <n v="6811" u="1"/>
        <n v="13498" u="1"/>
        <n v="2298" u="1"/>
        <n v="4534" u="1"/>
        <n v="6551" u="1"/>
        <n v="12978" u="1"/>
        <n v="14995" u="1"/>
        <n v="2168" u="1"/>
        <n v="4274" u="1"/>
        <n v="8424" u="1"/>
        <n v="12458" u="1"/>
        <n v="14475" u="1"/>
        <n v="2043" u="1"/>
        <n v="4055" u="1"/>
        <n v="8048" u="1"/>
        <n v="13955" u="1"/>
        <n v="3925" u="1"/>
        <n v="7788" u="1"/>
        <n v="13435" u="1"/>
        <n v="486" u="1"/>
        <n v="7528" u="1"/>
        <n v="8881" u="1"/>
        <n v="12915" u="1"/>
        <n v="14932" u="1"/>
        <n v="5251" u="1"/>
        <n v="7268" u="1"/>
        <n v="8361" u="1"/>
        <n v="14412" u="1"/>
        <n v="4991" u="1"/>
        <n v="13892" u="1"/>
        <n v="1718" u="1"/>
        <n v="4731" u="1"/>
        <n v="9338" u="1"/>
        <n v="13372" u="1"/>
        <n v="1653" u="1"/>
        <n v="4471" u="1"/>
        <n v="8818" u="1"/>
        <n v="14869" u="1"/>
        <n v="1588" u="1"/>
        <n v="3145" u="1"/>
        <n v="4211" u="1"/>
        <n v="8298" u="1"/>
        <n v="10315" u="1"/>
        <n v="14349" u="1"/>
        <n v="1523" u="1"/>
        <n v="3015" u="1"/>
        <n v="5968" u="1"/>
        <n v="7985" u="1"/>
        <n v="9795" u="1"/>
        <n v="13829" u="1"/>
        <n v="95" u="1"/>
        <n v="1458" u="1"/>
        <n v="2885" u="1"/>
        <n v="5708" u="1"/>
        <n v="7725" u="1"/>
        <n v="9275" u="1"/>
        <n v="2755" u="1"/>
        <n v="5448" u="1"/>
        <n v="8755" u="1"/>
        <n v="10772" u="1"/>
        <n v="14806" u="1"/>
        <n v="2625" u="1"/>
        <n v="5188" u="1"/>
        <n v="8235" u="1"/>
        <n v="10252" u="1"/>
        <n v="4928" u="1"/>
        <n v="9732" u="1"/>
        <n v="9212" u="1"/>
        <n v="11229" u="1"/>
        <n v="291" u="1"/>
        <n v="1133" u="1"/>
        <n v="6425" u="1"/>
        <n v="8692" u="1"/>
        <n v="10709" u="1"/>
        <n v="1068" u="1"/>
        <n v="6165" u="1"/>
        <n v="10189" u="1"/>
        <n v="5905" u="1"/>
        <n v="9669" u="1"/>
        <n v="11686" u="1"/>
        <n v="981" u="1"/>
        <n v="5645" u="1"/>
        <n v="9149" u="1"/>
        <n v="11166" u="1"/>
        <n v="3732" u="1"/>
        <n v="5385" u="1"/>
        <n v="10646" u="1"/>
        <n v="12663" u="1"/>
        <n v="3602" u="1"/>
        <n v="10126" u="1"/>
        <n v="12143" u="1"/>
        <n v="16177" u="1"/>
        <n v="3472" u="1"/>
        <n v="6882" u="1"/>
        <n v="9606" u="1"/>
        <n v="11623" u="1"/>
        <n v="3342" u="1"/>
        <n v="6622" u="1"/>
        <n v="11103" u="1"/>
        <n v="13120" u="1"/>
        <n v="3212" u="1"/>
        <n v="6362" u="1"/>
        <n v="10583" u="1"/>
        <n v="12600" u="1"/>
        <n v="6102" u="1"/>
        <n v="12080" u="1"/>
        <n v="11560" u="1"/>
        <n v="13577" u="1"/>
        <n v="721" u="1"/>
        <n v="7599" u="1"/>
        <n v="11040" u="1"/>
        <n v="13057" u="1"/>
        <n v="7339" u="1"/>
        <n v="12537" u="1"/>
        <n v="656" u="1"/>
        <n v="2562" u="1"/>
        <n v="7079" u="1"/>
        <n v="12017" u="1"/>
        <n v="14034" u="1"/>
        <n v="2432" u="1"/>
        <n v="6819" u="1"/>
        <n v="11497" u="1"/>
        <n v="13514" u="1"/>
        <n v="2302" u="1"/>
        <n v="4542" u="1"/>
        <n v="6559" u="1"/>
        <n v="12994" u="1"/>
        <n v="15011" u="1"/>
        <n v="2172" u="1"/>
        <n v="4282" u="1"/>
        <n v="12474" u="1"/>
        <n v="14491" u="1"/>
        <n v="20666" u="1"/>
        <n v="2045" u="1"/>
        <n v="4059" u="1"/>
        <n v="8056" u="1"/>
        <n v="11954" u="1"/>
        <n v="13971" u="1"/>
        <n v="3929" u="1"/>
        <n v="7796" u="1"/>
        <n v="13451" u="1"/>
        <n v="3799" u="1"/>
        <n v="7536" u="1"/>
        <n v="8897" u="1"/>
        <n v="12931" u="1"/>
        <n v="14948" u="1"/>
        <n v="5259" u="1"/>
        <n v="7276" u="1"/>
        <n v="8377" u="1"/>
        <n v="14428" u="1"/>
        <n v="454" u="1"/>
        <n v="4999" u="1"/>
        <n v="13908" u="1"/>
        <n v="1720" u="1"/>
        <n v="4739" u="1"/>
        <n v="9354" u="1"/>
        <n v="13388" u="1"/>
        <n v="1655" u="1"/>
        <n v="4479" u="1"/>
        <n v="8834" u="1"/>
        <n v="14885" u="1"/>
        <n v="1590" u="1"/>
        <n v="3149" u="1"/>
        <n v="4219" u="1"/>
        <n v="8314" u="1"/>
        <n v="14365" u="1"/>
        <n v="1525" u="1"/>
        <n v="3019" u="1"/>
        <n v="7993" u="1"/>
        <n v="9811" u="1"/>
        <n v="13845" u="1"/>
        <n v="1460" u="1"/>
        <n v="2889" u="1"/>
        <n v="5716" u="1"/>
        <n v="7733" u="1"/>
        <n v="9291" u="1"/>
        <n v="2759" u="1"/>
        <n v="5456" u="1"/>
        <n v="8771" u="1"/>
        <n v="14822" u="1"/>
        <n v="87" u="1"/>
        <n v="2629" u="1"/>
        <n v="5196" u="1"/>
        <n v="8251" u="1"/>
        <n v="10268" u="1"/>
        <n v="14302" u="1"/>
        <n v="324" u="1"/>
        <n v="4936" u="1"/>
        <n v="9748" u="1"/>
        <n v="4676" u="1"/>
        <n v="9228" u="1"/>
        <n v="11245" u="1"/>
        <n v="6433" u="1"/>
        <n v="8708" u="1"/>
        <n v="10725" u="1"/>
        <n v="1070" u="1"/>
        <n v="6173" u="1"/>
        <n v="10205" u="1"/>
        <n v="5913" u="1"/>
        <n v="9685" u="1"/>
        <n v="11702" u="1"/>
        <n v="982" u="1"/>
        <n v="5653" u="1"/>
        <n v="9165" u="1"/>
        <n v="11182" u="1"/>
        <n v="3736" u="1"/>
        <n v="5393" u="1"/>
        <n v="10662" u="1"/>
        <n v="3606" u="1"/>
        <n v="10142" u="1"/>
        <n v="12159" u="1"/>
        <n v="225" u="1"/>
        <n v="3476" u="1"/>
        <n v="6890" u="1"/>
        <n v="9622" u="1"/>
        <n v="11639" u="1"/>
        <n v="3346" u="1"/>
        <n v="6630" u="1"/>
        <n v="11119" u="1"/>
        <n v="3216" u="1"/>
        <n v="6370" u="1"/>
        <n v="10599" u="1"/>
        <n v="12616" u="1"/>
        <n v="6110" u="1"/>
        <n v="10079" u="1"/>
        <n v="12096" u="1"/>
        <n v="5850" u="1"/>
        <n v="11576" u="1"/>
        <n v="13593" u="1"/>
        <n v="722" u="1"/>
        <n v="7607" u="1"/>
        <n v="11056" u="1"/>
        <n v="13073" u="1"/>
        <n v="7347" u="1"/>
        <n v="12553" u="1"/>
        <n v="43" u="1"/>
        <n v="657" u="1"/>
        <n v="2566" u="1"/>
        <n v="7087" u="1"/>
        <n v="12033" u="1"/>
        <n v="14050" u="1"/>
        <n v="2436" u="1"/>
        <n v="6827" u="1"/>
        <n v="11513" u="1"/>
        <n v="13530" u="1"/>
        <n v="2306" u="1"/>
        <n v="4550" u="1"/>
        <n v="6567" u="1"/>
        <n v="13010" u="1"/>
        <n v="2176" u="1"/>
        <n v="4290" u="1"/>
        <n v="12490" u="1"/>
        <n v="14507" u="1"/>
        <n v="2047" u="1"/>
        <n v="4063" u="1"/>
        <n v="8064" u="1"/>
        <n v="11970" u="1"/>
        <n v="13987" u="1"/>
        <n v="3933" u="1"/>
        <n v="7804" u="1"/>
        <n v="13467" u="1"/>
        <n v="487" u="1"/>
        <n v="3803" u="1"/>
        <n v="7544" u="1"/>
        <n v="12947" u="1"/>
        <n v="14964" u="1"/>
        <n v="7284" u="1"/>
        <n v="8393" u="1"/>
        <n v="12427" u="1"/>
        <n v="14444" u="1"/>
        <n v="5007" u="1"/>
        <n v="7024" u="1"/>
        <n v="13924" u="1"/>
        <n v="4747" u="1"/>
        <n v="9370" u="1"/>
        <n v="13404" u="1"/>
        <n v="422" u="1"/>
        <n v="1657" u="1"/>
        <n v="4487" u="1"/>
        <n v="8850" u="1"/>
        <n v="14901" u="1"/>
        <n v="1592" u="1"/>
        <n v="3153" u="1"/>
        <n v="4227" u="1"/>
        <n v="8330" u="1"/>
        <n v="14381" u="1"/>
        <n v="1527" u="1"/>
        <n v="3023" u="1"/>
        <n v="8001" u="1"/>
        <n v="9827" u="1"/>
        <n v="13861" u="1"/>
        <n v="1462" u="1"/>
        <n v="2893" u="1"/>
        <n v="5724" u="1"/>
        <n v="7741" u="1"/>
        <n v="9307" u="1"/>
        <n v="1397" u="1"/>
        <n v="2763" u="1"/>
        <n v="5464" u="1"/>
        <n v="8787" u="1"/>
        <n v="14838" u="1"/>
        <n v="2633" u="1"/>
        <n v="5204" u="1"/>
        <n v="8267" u="1"/>
        <n v="10284" u="1"/>
        <n v="14318" u="1"/>
        <n v="4944" u="1"/>
        <n v="9764" u="1"/>
        <n v="4684" u="1"/>
        <n v="9244" u="1"/>
        <n v="292" u="1"/>
        <n v="8724" u="1"/>
        <n v="10741" u="1"/>
        <n v="14775" u="1"/>
        <n v="1072" u="1"/>
        <n v="6181" u="1"/>
        <n v="8204" u="1"/>
        <n v="10221" u="1"/>
        <n v="5921" u="1"/>
        <n v="9701" u="1"/>
        <n v="11718" u="1"/>
        <n v="983" u="1"/>
        <n v="5661" u="1"/>
        <n v="9181" u="1"/>
        <n v="11198" u="1"/>
        <n v="3740" u="1"/>
        <n v="5401" u="1"/>
        <n v="10678" u="1"/>
        <n v="918" u="1"/>
        <n v="3610" u="1"/>
        <n v="10158" u="1"/>
        <n v="12175" u="1"/>
        <n v="3480" u="1"/>
        <n v="6898" u="1"/>
        <n v="9638" u="1"/>
        <n v="11655" u="1"/>
        <n v="3350" u="1"/>
        <n v="6638" u="1"/>
        <n v="11135" u="1"/>
        <n v="209" u="1"/>
        <n v="3220" u="1"/>
        <n v="6378" u="1"/>
        <n v="10615" u="1"/>
        <n v="12632" u="1"/>
        <n v="6118" u="1"/>
        <n v="10095" u="1"/>
        <n v="12112" u="1"/>
        <n v="5858" u="1"/>
        <n v="11592" u="1"/>
        <n v="723" u="1"/>
        <n v="11072" u="1"/>
        <n v="13089" u="1"/>
        <n v="7355" u="1"/>
        <n v="10552" u="1"/>
        <n v="12569" u="1"/>
        <n v="658" u="1"/>
        <n v="7095" u="1"/>
        <n v="12049" u="1"/>
        <n v="14066" u="1"/>
        <n v="2440" u="1"/>
        <n v="6835" u="1"/>
        <n v="11529" u="1"/>
        <n v="13546" u="1"/>
        <n v="39" u="1"/>
        <n v="2310" u="1"/>
        <n v="4558" u="1"/>
        <n v="6575" u="1"/>
        <n v="13026" u="1"/>
        <n v="144" u="1"/>
        <n v="2180" u="1"/>
        <n v="4298" u="1"/>
        <n v="12506" u="1"/>
        <n v="14523" u="1"/>
        <n v="2050" u="1"/>
        <n v="4067" u="1"/>
        <n v="8072" u="1"/>
        <n v="11986" u="1"/>
        <n v="14003" u="1"/>
        <n v="1984" u="1"/>
        <n v="3937" u="1"/>
        <n v="7812" u="1"/>
        <n v="13483" u="1"/>
        <n v="20667" u="1"/>
        <n v="3807" u="1"/>
        <n v="7552" u="1"/>
        <n v="12963" u="1"/>
        <n v="14980" u="1"/>
        <n v="7292" u="1"/>
        <n v="8409" u="1"/>
        <n v="12443" u="1"/>
        <n v="14460" u="1"/>
        <n v="455" u="1"/>
        <n v="5015" u="1"/>
        <n v="7032" u="1"/>
        <n v="13940" u="1"/>
        <n v="4755" u="1"/>
        <n v="13420" u="1"/>
        <n v="1659" u="1"/>
        <n v="4495" u="1"/>
        <n v="8866" u="1"/>
        <n v="12900" u="1"/>
        <n v="14917" u="1"/>
        <n v="1594" u="1"/>
        <n v="4235" u="1"/>
        <n v="8346" u="1"/>
        <n v="14397" u="1"/>
        <n v="1529" u="1"/>
        <n v="3027" u="1"/>
        <n v="8009" u="1"/>
        <n v="9843" u="1"/>
        <n v="13877" u="1"/>
        <n v="1464" u="1"/>
        <n v="2897" u="1"/>
        <n v="5732" u="1"/>
        <n v="7749" u="1"/>
        <n v="9323" u="1"/>
        <n v="1399" u="1"/>
        <n v="2767" u="1"/>
        <n v="5472" u="1"/>
        <n v="8803" u="1"/>
        <n v="14854" u="1"/>
        <n v="2637" u="1"/>
        <n v="5212" u="1"/>
        <n v="8283" u="1"/>
        <n v="10300" u="1"/>
        <n v="14334" u="1"/>
        <n v="325" u="1"/>
        <n v="2507" u="1"/>
        <n v="4952" u="1"/>
        <n v="9780" u="1"/>
        <n v="4692" u="1"/>
        <n v="9260" u="1"/>
        <n v="8740" u="1"/>
        <n v="10757" u="1"/>
        <n v="14791" u="1"/>
        <n v="1074" u="1"/>
        <n v="6189" u="1"/>
        <n v="8220" u="1"/>
        <n v="10237" u="1"/>
        <n v="260" u="1"/>
        <n v="5929" u="1"/>
        <n v="9717" u="1"/>
        <n v="984" u="1"/>
        <n v="5669" u="1"/>
        <n v="9197" u="1"/>
        <n v="11214" u="1"/>
        <n v="5409" u="1"/>
        <n v="8677" u="1"/>
        <n v="10694" u="1"/>
        <n v="919" u="1"/>
        <n v="3614" u="1"/>
        <n v="5149" u="1"/>
        <n v="10174" u="1"/>
        <n v="12191" u="1"/>
        <n v="3484" u="1"/>
        <n v="6906" u="1"/>
        <n v="9654" u="1"/>
        <n v="11671" u="1"/>
        <n v="3354" u="1"/>
        <n v="6646" u="1"/>
        <n v="9134" u="1"/>
        <n v="11151" u="1"/>
        <n v="3224" u="1"/>
        <n v="6386" u="1"/>
        <n v="10631" u="1"/>
        <n v="12648" u="1"/>
        <n v="3094" u="1"/>
        <n v="6126" u="1"/>
        <n v="10111" u="1"/>
        <n v="12128" u="1"/>
        <n v="193" u="1"/>
        <n v="5866" u="1"/>
        <n v="11608" u="1"/>
        <n v="724" u="1"/>
        <n v="11088" u="1"/>
        <n v="13105" u="1"/>
        <n v="7363" u="1"/>
        <n v="10568" u="1"/>
        <n v="12585" u="1"/>
        <n v="659" u="1"/>
        <n v="7103" u="1"/>
        <n v="12065" u="1"/>
        <n v="2444" u="1"/>
        <n v="6843" u="1"/>
        <n v="11545" u="1"/>
        <n v="13562" u="1"/>
        <n v="2314" u="1"/>
        <n v="6583" u="1"/>
        <n v="11025" u="1"/>
        <n v="13042" u="1"/>
        <n v="2184" u="1"/>
        <n v="4306" u="1"/>
        <n v="6323" u="1"/>
        <n v="12522" u="1"/>
        <n v="14539" u="1"/>
        <n v="35" u="1"/>
        <n v="2054" u="1"/>
        <n v="4071" u="1"/>
        <n v="8080" u="1"/>
        <n v="12002" u="1"/>
        <n v="14019" u="1"/>
        <n v="128" u="1"/>
        <n v="1986" u="1"/>
        <n v="3941" u="1"/>
        <n v="7820" u="1"/>
        <n v="11482" u="1"/>
        <n v="13499" u="1"/>
        <n v="3811" u="1"/>
        <n v="7560" u="1"/>
        <n v="12979" u="1"/>
        <n v="14996" u="1"/>
        <n v="3681" u="1"/>
        <n v="7300" u="1"/>
        <n v="8425" u="1"/>
        <n v="12459" u="1"/>
        <n v="14476" u="1"/>
        <n v="5023" u="1"/>
        <n v="7040" u="1"/>
        <n v="13956" u="1"/>
        <n v="4763" u="1"/>
        <n v="13436" u="1"/>
        <n v="423" u="1"/>
        <n v="1661" u="1"/>
        <n v="4503" u="1"/>
        <n v="8882" u="1"/>
        <n v="12916" u="1"/>
        <n v="14933" u="1"/>
        <n v="1596" u="1"/>
        <n v="4243" u="1"/>
        <n v="8362" u="1"/>
        <n v="14413" u="1"/>
        <n v="1531" u="1"/>
        <n v="3031" u="1"/>
        <n v="8017" u="1"/>
        <n v="13893" u="1"/>
        <n v="1466" u="1"/>
        <n v="2901" u="1"/>
        <n v="7757" u="1"/>
        <n v="9339" u="1"/>
        <n v="13373" u="1"/>
        <n v="1401" u="1"/>
        <n v="2771" u="1"/>
        <n v="5480" u="1"/>
        <n v="7497" u="1"/>
        <n v="8819" u="1"/>
        <n v="14870" u="1"/>
        <n v="2641" u="1"/>
        <n v="5220" u="1"/>
        <n v="8299" u="1"/>
        <n v="10316" u="1"/>
        <n v="14350" u="1"/>
        <n v="24418" u="1"/>
        <n v="2511" u="1"/>
        <n v="4960" u="1"/>
        <n v="9796" u="1"/>
        <n v="13830" u="1"/>
        <n v="4700" u="1"/>
        <n v="9276" u="1"/>
        <n v="293" u="1"/>
        <n v="4440" u="1"/>
        <n v="8756" u="1"/>
        <n v="10773" u="1"/>
        <n v="14807" u="1"/>
        <n v="6197" u="1"/>
        <n v="8236" u="1"/>
        <n v="10253" u="1"/>
        <n v="5937" u="1"/>
        <n v="9733" u="1"/>
        <n v="985" u="1"/>
        <n v="5677" u="1"/>
        <n v="9213" u="1"/>
        <n v="11230" u="1"/>
        <n v="5417" u="1"/>
        <n v="8693" u="1"/>
        <n v="10710" u="1"/>
        <n v="920" u="1"/>
        <n v="3618" u="1"/>
        <n v="5157" u="1"/>
        <n v="10190" u="1"/>
        <n v="3488" u="1"/>
        <n v="9670" u="1"/>
        <n v="11687" u="1"/>
        <n v="3358" u="1"/>
        <n v="6654" u="1"/>
        <n v="9150" u="1"/>
        <n v="11167" u="1"/>
        <n v="3228" u="1"/>
        <n v="6394" u="1"/>
        <n v="10647" u="1"/>
        <n v="12664" u="1"/>
        <n v="3098" u="1"/>
        <n v="6134" u="1"/>
        <n v="10127" u="1"/>
        <n v="12144" u="1"/>
        <n v="16178" u="1"/>
        <n v="5874" u="1"/>
        <n v="9607" u="1"/>
        <n v="11624" u="1"/>
        <n v="725" u="1"/>
        <n v="5614" u="1"/>
        <n v="11104" u="1"/>
        <n v="13121" u="1"/>
        <n v="7371" u="1"/>
        <n v="10584" u="1"/>
        <n v="12601" u="1"/>
        <n v="660" u="1"/>
        <n v="7111" u="1"/>
        <n v="12081" u="1"/>
        <n v="2448" u="1"/>
        <n v="6851" u="1"/>
        <n v="11561" u="1"/>
        <n v="13578" u="1"/>
        <n v="595" u="1"/>
        <n v="2318" u="1"/>
        <n v="6591" u="1"/>
        <n v="11041" u="1"/>
        <n v="13058" u="1"/>
        <n v="2188" u="1"/>
        <n v="4314" u="1"/>
        <n v="6331" u="1"/>
        <n v="12538" u="1"/>
        <n v="2058" u="1"/>
        <n v="4075" u="1"/>
        <n v="12018" u="1"/>
        <n v="14035" u="1"/>
        <n v="1988" u="1"/>
        <n v="3945" u="1"/>
        <n v="7828" u="1"/>
        <n v="11498" u="1"/>
        <n v="13515" u="1"/>
        <n v="3815" u="1"/>
        <n v="7568" u="1"/>
        <n v="12995" u="1"/>
        <n v="120" u="1"/>
        <n v="3685" u="1"/>
        <n v="7308" u="1"/>
        <n v="12475" u="1"/>
        <n v="14492" u="1"/>
        <n v="20668" u="1"/>
        <n v="456" u="1"/>
        <n v="7048" u="1"/>
        <n v="11955" u="1"/>
        <n v="13972" u="1"/>
        <n v="4771" u="1"/>
        <n v="6788" u="1"/>
        <n v="13452" u="1"/>
        <n v="4511" u="1"/>
        <n v="8898" u="1"/>
        <n v="12932" u="1"/>
        <n v="14949" u="1"/>
        <n v="1598" u="1"/>
        <n v="4251" u="1"/>
        <n v="8378" u="1"/>
        <n v="14429" u="1"/>
        <n v="1533" u="1"/>
        <n v="3035" u="1"/>
        <n v="8025" u="1"/>
        <n v="13909" u="1"/>
        <n v="1468" u="1"/>
        <n v="2905" u="1"/>
        <n v="7765" u="1"/>
        <n v="9355" u="1"/>
        <n v="13389" u="1"/>
        <n v="1403" u="1"/>
        <n v="2775" u="1"/>
        <n v="5488" u="1"/>
        <n v="7505" u="1"/>
        <n v="8835" u="1"/>
        <n v="14886" u="1"/>
        <n v="2645" u="1"/>
        <n v="5228" u="1"/>
        <n v="8315" u="1"/>
        <n v="14366" u="1"/>
        <n v="326" u="1"/>
        <n v="2515" u="1"/>
        <n v="4968" u="1"/>
        <n v="9812" u="1"/>
        <n v="13846" u="1"/>
        <n v="4708" u="1"/>
        <n v="9292" u="1"/>
        <n v="4448" u="1"/>
        <n v="8772" u="1"/>
        <n v="14823" u="1"/>
        <n v="8252" u="1"/>
        <n v="10269" u="1"/>
        <n v="14303" u="1"/>
        <n v="261" u="1"/>
        <n v="5945" u="1"/>
        <n v="7962" u="1"/>
        <n v="9749" u="1"/>
        <n v="986" u="1"/>
        <n v="5685" u="1"/>
        <n v="9229" u="1"/>
        <n v="11246" u="1"/>
        <n v="5425" u="1"/>
        <n v="8709" u="1"/>
        <n v="10726" u="1"/>
        <n v="921" u="1"/>
        <n v="3622" u="1"/>
        <n v="5165" u="1"/>
        <n v="10206" u="1"/>
        <n v="3492" u="1"/>
        <n v="9686" u="1"/>
        <n v="11703" u="1"/>
        <n v="3362" u="1"/>
        <n v="6662" u="1"/>
        <n v="9166" u="1"/>
        <n v="11183" u="1"/>
        <n v="3232" u="1"/>
        <n v="6402" u="1"/>
        <n v="10663" u="1"/>
        <n v="3102" u="1"/>
        <n v="6142" u="1"/>
        <n v="10143" u="1"/>
        <n v="12160" u="1"/>
        <n v="5882" u="1"/>
        <n v="9623" u="1"/>
        <n v="11640" u="1"/>
        <n v="726" u="1"/>
        <n v="5622" u="1"/>
        <n v="11120" u="1"/>
        <n v="10600" u="1"/>
        <n v="12617" u="1"/>
        <n v="661" u="1"/>
        <n v="7119" u="1"/>
        <n v="10080" u="1"/>
        <n v="12097" u="1"/>
        <n v="6859" u="1"/>
        <n v="11577" u="1"/>
        <n v="13594" u="1"/>
        <n v="596" u="1"/>
        <n v="2322" u="1"/>
        <n v="6599" u="1"/>
        <n v="11057" u="1"/>
        <n v="13074" u="1"/>
        <n v="2192" u="1"/>
        <n v="4322" u="1"/>
        <n v="6339" u="1"/>
        <n v="12554" u="1"/>
        <n v="2062" u="1"/>
        <n v="4079" u="1"/>
        <n v="12034" u="1"/>
        <n v="14051" u="1"/>
        <n v="1990" u="1"/>
        <n v="3949" u="1"/>
        <n v="7836" u="1"/>
        <n v="11514" u="1"/>
        <n v="13531" u="1"/>
        <n v="3819" u="1"/>
        <n v="7576" u="1"/>
        <n v="13011" u="1"/>
        <n v="3689" u="1"/>
        <n v="7316" u="1"/>
        <n v="12491" u="1"/>
        <n v="14508" u="1"/>
        <n v="7056" u="1"/>
        <n v="11971" u="1"/>
        <n v="13988" u="1"/>
        <n v="4779" u="1"/>
        <n v="6796" u="1"/>
        <n v="13468" u="1"/>
        <n v="424" u="1"/>
        <n v="4519" u="1"/>
        <n v="12948" u="1"/>
        <n v="14965" u="1"/>
        <n v="1600" u="1"/>
        <n v="4259" u="1"/>
        <n v="8394" u="1"/>
        <n v="12428" u="1"/>
        <n v="14445" u="1"/>
        <n v="1535" u="1"/>
        <n v="8033" u="1"/>
        <n v="13925" u="1"/>
        <n v="1470" u="1"/>
        <n v="2909" u="1"/>
        <n v="7773" u="1"/>
        <n v="9371" u="1"/>
        <n v="13405" u="1"/>
        <n v="1405" u="1"/>
        <n v="2779" u="1"/>
        <n v="5496" u="1"/>
        <n v="7513" u="1"/>
        <n v="8851" u="1"/>
        <n v="14902" u="1"/>
        <n v="1340" u="1"/>
        <n v="2649" u="1"/>
        <n v="5236" u="1"/>
        <n v="8331" u="1"/>
        <n v="14382" u="1"/>
        <n v="2519" u="1"/>
        <n v="4976" u="1"/>
        <n v="9828" u="1"/>
        <n v="13862" u="1"/>
        <n v="4716" u="1"/>
        <n v="9308" u="1"/>
        <n v="24419" u="1"/>
        <n v="294" u="1"/>
        <n v="4456" u="1"/>
        <n v="8788" u="1"/>
        <n v="14839" u="1"/>
        <n v="8268" u="1"/>
        <n v="10285" u="1"/>
        <n v="14319" u="1"/>
        <n v="5953" u="1"/>
        <n v="7970" u="1"/>
        <n v="9765" u="1"/>
        <n v="987" u="1"/>
        <n v="5693" u="1"/>
        <n v="9245" u="1"/>
        <n v="5433" u="1"/>
        <n v="8725" u="1"/>
        <n v="10742" u="1"/>
        <n v="14776" u="1"/>
        <n v="922" u="1"/>
        <n v="5173" u="1"/>
        <n v="8205" u="1"/>
        <n v="10222" u="1"/>
        <n v="3496" u="1"/>
        <n v="4913" u="1"/>
        <n v="9702" u="1"/>
        <n v="11719" u="1"/>
        <n v="3366" u="1"/>
        <n v="6670" u="1"/>
        <n v="9182" u="1"/>
        <n v="11199" u="1"/>
        <n v="210" u="1"/>
        <n v="3236" u="1"/>
        <n v="6410" u="1"/>
        <n v="10679" u="1"/>
        <n v="3106" u="1"/>
        <n v="6150" u="1"/>
        <n v="10159" u="1"/>
        <n v="12176" u="1"/>
        <n v="2976" u="1"/>
        <n v="5890" u="1"/>
        <n v="9639" u="1"/>
        <n v="11656" u="1"/>
        <n v="5630" u="1"/>
        <n v="11136" u="1"/>
        <n v="10616" u="1"/>
        <n v="12633" u="1"/>
        <n v="662" u="1"/>
        <n v="7127" u="1"/>
        <n v="10096" u="1"/>
        <n v="12113" u="1"/>
        <n v="6867" u="1"/>
        <n v="11593" u="1"/>
        <n v="597" u="1"/>
        <n v="2326" u="1"/>
        <n v="6607" u="1"/>
        <n v="11073" u="1"/>
        <n v="13090" u="1"/>
        <n v="2196" u="1"/>
        <n v="6347" u="1"/>
        <n v="10553" u="1"/>
        <n v="12570" u="1"/>
        <n v="2066" u="1"/>
        <n v="4083" u="1"/>
        <n v="6087" u="1"/>
        <n v="12050" u="1"/>
        <n v="14067" u="1"/>
        <n v="1992" u="1"/>
        <n v="3953" u="1"/>
        <n v="7844" u="1"/>
        <n v="11530" u="1"/>
        <n v="13547" u="1"/>
        <n v="1927" u="1"/>
        <n v="3823" u="1"/>
        <n v="7584" u="1"/>
        <n v="13027" u="1"/>
        <n v="3693" u="1"/>
        <n v="7324" u="1"/>
        <n v="12507" u="1"/>
        <n v="14524" u="1"/>
        <n v="457" u="1"/>
        <n v="3563" u="1"/>
        <n v="7064" u="1"/>
        <n v="11987" u="1"/>
        <n v="14004" u="1"/>
        <n v="4787" u="1"/>
        <n v="6804" u="1"/>
        <n v="13484" u="1"/>
        <n v="20669" u="1"/>
        <n v="4527" u="1"/>
        <n v="12964" u="1"/>
        <n v="14981" u="1"/>
        <n v="1602" u="1"/>
        <n v="4267" u="1"/>
        <n v="8410" u="1"/>
        <n v="12444" u="1"/>
        <n v="14461" u="1"/>
        <n v="392" u="1"/>
        <n v="1537" u="1"/>
        <n v="8041" u="1"/>
        <n v="13941" u="1"/>
        <n v="1472" u="1"/>
        <n v="2913" u="1"/>
        <n v="7781" u="1"/>
        <n v="13421" u="1"/>
        <n v="1407" u="1"/>
        <n v="2783" u="1"/>
        <n v="7521" u="1"/>
        <n v="8867" u="1"/>
        <n v="12901" u="1"/>
        <n v="14918" u="1"/>
        <n v="1342" u="1"/>
        <n v="2653" u="1"/>
        <n v="5244" u="1"/>
        <n v="7261" u="1"/>
        <n v="8347" u="1"/>
        <n v="14398" u="1"/>
        <n v="2523" u="1"/>
        <n v="4984" u="1"/>
        <n v="9844" u="1"/>
        <n v="13878" u="1"/>
        <n v="2393" u="1"/>
        <n v="4724" u="1"/>
        <n v="9324" u="1"/>
        <n v="4464" u="1"/>
        <n v="8804" u="1"/>
        <n v="14855" u="1"/>
        <n v="4204" u="1"/>
        <n v="8284" u="1"/>
        <n v="10301" u="1"/>
        <n v="14335" u="1"/>
        <n v="262" u="1"/>
        <n v="5961" u="1"/>
        <n v="7978" u="1"/>
        <n v="9781" u="1"/>
        <n v="988" u="1"/>
        <n v="5701" u="1"/>
        <n v="9261" u="1"/>
        <n v="5441" u="1"/>
        <n v="8741" u="1"/>
        <n v="10758" u="1"/>
        <n v="14792" u="1"/>
        <n v="923" u="1"/>
        <n v="5181" u="1"/>
        <n v="8221" u="1"/>
        <n v="10238" u="1"/>
        <n v="3500" u="1"/>
        <n v="4921" u="1"/>
        <n v="9718" u="1"/>
        <n v="3370" u="1"/>
        <n v="9198" u="1"/>
        <n v="11215" u="1"/>
        <n v="3240" u="1"/>
        <n v="6418" u="1"/>
        <n v="8678" u="1"/>
        <n v="10695" u="1"/>
        <n v="3110" u="1"/>
        <n v="6158" u="1"/>
        <n v="10175" u="1"/>
        <n v="12192" u="1"/>
        <n v="194" u="1"/>
        <n v="2980" u="1"/>
        <n v="5898" u="1"/>
        <n v="9655" u="1"/>
        <n v="11672" u="1"/>
        <n v="5638" u="1"/>
        <n v="9135" u="1"/>
        <n v="11152" u="1"/>
        <n v="5378" u="1"/>
        <n v="10632" u="1"/>
        <n v="12649" u="1"/>
        <n v="663" u="1"/>
        <n v="7135" u="1"/>
        <n v="10112" u="1"/>
        <n v="12129" u="1"/>
        <n v="6875" u="1"/>
        <n v="11609" u="1"/>
        <n v="598" u="1"/>
        <n v="2330" u="1"/>
        <n v="6615" u="1"/>
        <n v="11089" u="1"/>
        <n v="13106" u="1"/>
        <n v="2200" u="1"/>
        <n v="6355" u="1"/>
        <n v="10569" u="1"/>
        <n v="12586" u="1"/>
        <n v="2070" u="1"/>
        <n v="4087" u="1"/>
        <n v="6095" u="1"/>
        <n v="12066" u="1"/>
        <n v="129" u="1"/>
        <n v="1994" u="1"/>
        <n v="3957" u="1"/>
        <n v="11546" u="1"/>
        <n v="13563" u="1"/>
        <n v="1929" u="1"/>
        <n v="3827" u="1"/>
        <n v="7592" u="1"/>
        <n v="11026" u="1"/>
        <n v="13043" u="1"/>
        <n v="3697" u="1"/>
        <n v="7332" u="1"/>
        <n v="12523" u="1"/>
        <n v="14540" u="1"/>
        <n v="3567" u="1"/>
        <n v="7072" u="1"/>
        <n v="12003" u="1"/>
        <n v="14020" u="1"/>
        <n v="19724" u="1"/>
        <n v="6812" u="1"/>
        <n v="11483" u="1"/>
        <n v="13500" u="1"/>
        <n v="425" u="1"/>
        <n v="4535" u="1"/>
        <n v="6552" u="1"/>
        <n v="12980" u="1"/>
        <n v="14997" u="1"/>
        <n v="4275" u="1"/>
        <n v="8426" u="1"/>
        <n v="12460" u="1"/>
        <n v="14477" u="1"/>
        <n v="1539" u="1"/>
        <n v="8049" u="1"/>
        <n v="13957" u="1"/>
        <n v="1474" u="1"/>
        <n v="2917" u="1"/>
        <n v="7789" u="1"/>
        <n v="13437" u="1"/>
        <n v="1409" u="1"/>
        <n v="2787" u="1"/>
        <n v="7529" u="1"/>
        <n v="8883" u="1"/>
        <n v="12917" u="1"/>
        <n v="14934" u="1"/>
        <n v="1344" u="1"/>
        <n v="2657" u="1"/>
        <n v="5252" u="1"/>
        <n v="7269" u="1"/>
        <n v="8363" u="1"/>
        <n v="14414" u="1"/>
        <n v="2527" u="1"/>
        <n v="4992" u="1"/>
        <n v="13894" u="1"/>
        <n v="2397" u="1"/>
        <n v="4732" u="1"/>
        <n v="9340" u="1"/>
        <n v="13374" u="1"/>
        <n v="295" u="1"/>
        <n v="4472" u="1"/>
        <n v="8820" u="1"/>
        <n v="14871" u="1"/>
        <n v="4212" u="1"/>
        <n v="8300" u="1"/>
        <n v="14351" u="1"/>
        <n v="24420" u="1"/>
        <n v="7986" u="1"/>
        <n v="9797" u="1"/>
        <n v="13831" u="1"/>
        <n v="989" u="1"/>
        <n v="5709" u="1"/>
        <n v="7726" u="1"/>
        <n v="9277" u="1"/>
        <n v="5449" u="1"/>
        <n v="8757" u="1"/>
        <n v="10774" u="1"/>
        <n v="14808" u="1"/>
        <n v="924" u="1"/>
        <n v="5189" u="1"/>
        <n v="8237" u="1"/>
        <n v="10254" u="1"/>
        <n v="3504" u="1"/>
        <n v="4929" u="1"/>
        <n v="9734" u="1"/>
        <n v="859" u="1"/>
        <n v="3374" u="1"/>
        <n v="9214" u="1"/>
        <n v="11231" u="1"/>
        <n v="3244" u="1"/>
        <n v="6426" u="1"/>
        <n v="8694" u="1"/>
        <n v="10711" u="1"/>
        <n v="3114" u="1"/>
        <n v="6166" u="1"/>
        <n v="10191" u="1"/>
        <n v="2984" u="1"/>
        <n v="5906" u="1"/>
        <n v="9671" u="1"/>
        <n v="11688" u="1"/>
        <n v="5646" u="1"/>
        <n v="9151" u="1"/>
        <n v="11168" u="1"/>
        <n v="178" u="1"/>
        <n v="5386" u="1"/>
        <n v="10648" u="1"/>
        <n v="664" u="1"/>
        <n v="10128" u="1"/>
        <n v="12145" u="1"/>
        <n v="16179" u="1"/>
        <n v="6883" u="1"/>
        <n v="9608" u="1"/>
        <n v="11625" u="1"/>
        <n v="599" u="1"/>
        <n v="6623" u="1"/>
        <n v="11105" u="1"/>
        <n v="13122" u="1"/>
        <n v="2204" u="1"/>
        <n v="6363" u="1"/>
        <n v="10585" u="1"/>
        <n v="12602" u="1"/>
        <n v="2074" u="1"/>
        <n v="4091" u="1"/>
        <n v="6103" u="1"/>
        <n v="12082" u="1"/>
        <n v="1996" u="1"/>
        <n v="3961" u="1"/>
        <n v="11562" u="1"/>
        <n v="13579" u="1"/>
        <n v="1931" u="1"/>
        <n v="3831" u="1"/>
        <n v="7600" u="1"/>
        <n v="11042" u="1"/>
        <n v="13059" u="1"/>
        <n v="3701" u="1"/>
        <n v="7340" u="1"/>
        <n v="12539" u="1"/>
        <n v="458" u="1"/>
        <n v="3571" u="1"/>
        <n v="7080" u="1"/>
        <n v="12019" u="1"/>
        <n v="14036" u="1"/>
        <n v="6820" u="1"/>
        <n v="11499" u="1"/>
        <n v="13516" u="1"/>
        <n v="4543" u="1"/>
        <n v="6560" u="1"/>
        <n v="12996" u="1"/>
        <n v="4283" u="1"/>
        <n v="12476" u="1"/>
        <n v="14493" u="1"/>
        <n v="20670" u="1"/>
        <n v="393" u="1"/>
        <n v="1541" u="1"/>
        <n v="8057" u="1"/>
        <n v="11956" u="1"/>
        <n v="13973" u="1"/>
        <n v="1476" u="1"/>
        <n v="7797" u="1"/>
        <n v="13453" u="1"/>
        <n v="1411" u="1"/>
        <n v="2791" u="1"/>
        <n v="7537" u="1"/>
        <n v="8899" u="1"/>
        <n v="12933" u="1"/>
        <n v="14950" u="1"/>
        <n v="88" u="1"/>
        <n v="1346" u="1"/>
        <n v="2661" u="1"/>
        <n v="5260" u="1"/>
        <n v="7277" u="1"/>
        <n v="8379" u="1"/>
        <n v="14430" u="1"/>
        <n v="1281" u="1"/>
        <n v="2531" u="1"/>
        <n v="5000" u="1"/>
        <n v="13910" u="1"/>
        <n v="2401" u="1"/>
        <n v="4740" u="1"/>
        <n v="9356" u="1"/>
        <n v="13390" u="1"/>
        <n v="4480" u="1"/>
        <n v="8836" u="1"/>
        <n v="14887" u="1"/>
        <n v="4220" u="1"/>
        <n v="8316" u="1"/>
        <n v="14367" u="1"/>
        <n v="263" u="1"/>
        <n v="7994" u="1"/>
        <n v="9813" u="1"/>
        <n v="13847" u="1"/>
        <n v="990" u="1"/>
        <n v="5717" u="1"/>
        <n v="7734" u="1"/>
        <n v="9293" u="1"/>
        <n v="5457" u="1"/>
        <n v="8773" u="1"/>
        <n v="14824" u="1"/>
        <n v="925" u="1"/>
        <n v="5197" u="1"/>
        <n v="8253" u="1"/>
        <n v="10270" u="1"/>
        <n v="14304" u="1"/>
        <n v="4937" u="1"/>
        <n v="9750" u="1"/>
        <n v="860" u="1"/>
        <n v="3378" u="1"/>
        <n v="4677" u="1"/>
        <n v="9230" u="1"/>
        <n v="11247" u="1"/>
        <n v="3248" u="1"/>
        <n v="6434" u="1"/>
        <n v="8710" u="1"/>
        <n v="10727" u="1"/>
        <n v="3118" u="1"/>
        <n v="6174" u="1"/>
        <n v="10207" u="1"/>
        <n v="2988" u="1"/>
        <n v="5914" u="1"/>
        <n v="9687" u="1"/>
        <n v="11704" u="1"/>
        <n v="5654" u="1"/>
        <n v="9167" u="1"/>
        <n v="11184" u="1"/>
        <n v="5394" u="1"/>
        <n v="10664" u="1"/>
        <n v="665" u="1"/>
        <n v="10144" u="1"/>
        <n v="12161" u="1"/>
        <n v="6891" u="1"/>
        <n v="9624" u="1"/>
        <n v="11641" u="1"/>
        <n v="600" u="1"/>
        <n v="6631" u="1"/>
        <n v="11121" u="1"/>
        <n v="2208" u="1"/>
        <n v="6371" u="1"/>
        <n v="10601" u="1"/>
        <n v="12618" u="1"/>
        <n v="2078" u="1"/>
        <n v="6111" u="1"/>
        <n v="10081" u="1"/>
        <n v="12098" u="1"/>
        <n v="1998" u="1"/>
        <n v="3965" u="1"/>
        <n v="5851" u="1"/>
        <n v="11578" u="1"/>
        <n v="13595" u="1"/>
        <n v="1933" u="1"/>
        <n v="3835" u="1"/>
        <n v="7608" u="1"/>
        <n v="11058" u="1"/>
        <n v="13075" u="1"/>
        <n v="1868" u="1"/>
        <n v="3705" u="1"/>
        <n v="7348" u="1"/>
        <n v="12555" u="1"/>
        <n v="3575" u="1"/>
        <n v="7088" u="1"/>
        <n v="12035" u="1"/>
        <n v="14052" u="1"/>
        <n v="6828" u="1"/>
        <n v="11515" u="1"/>
        <n v="13532" u="1"/>
        <n v="426" u="1"/>
        <n v="4551" u="1"/>
        <n v="6568" u="1"/>
        <n v="13012" u="1"/>
        <n v="19725" u="1"/>
        <n v="4291" u="1"/>
        <n v="12492" u="1"/>
        <n v="14509" u="1"/>
        <n v="1543" u="1"/>
        <n v="8065" u="1"/>
        <n v="11972" u="1"/>
        <n v="13989" u="1"/>
        <n v="1478" u="1"/>
        <n v="7805" u="1"/>
        <n v="13469" u="1"/>
        <n v="1413" u="1"/>
        <n v="2795" u="1"/>
        <n v="7545" u="1"/>
        <n v="12949" u="1"/>
        <n v="14966" u="1"/>
        <n v="1348" u="1"/>
        <n v="2665" u="1"/>
        <n v="7285" u="1"/>
        <n v="8395" u="1"/>
        <n v="12429" u="1"/>
        <n v="14446" u="1"/>
        <n v="1283" u="1"/>
        <n v="2535" u="1"/>
        <n v="5008" u="1"/>
        <n v="7025" u="1"/>
        <n v="13926" u="1"/>
        <n v="80" u="1"/>
        <n v="2405" u="1"/>
        <n v="4748" u="1"/>
        <n v="9372" u="1"/>
        <n v="13406" u="1"/>
        <n v="296" u="1"/>
        <n v="2275" u="1"/>
        <n v="4488" u="1"/>
        <n v="8852" u="1"/>
        <n v="14903" u="1"/>
        <n v="4228" u="1"/>
        <n v="8332" u="1"/>
        <n v="14383" u="1"/>
        <n v="8002" u="1"/>
        <n v="9829" u="1"/>
        <n v="13863" u="1"/>
        <n v="991" u="1"/>
        <n v="5725" u="1"/>
        <n v="7742" u="1"/>
        <n v="9309" u="1"/>
        <n v="24421" u="1"/>
        <n v="5465" u="1"/>
        <n v="8789" u="1"/>
        <n v="14840" u="1"/>
        <n v="926" u="1"/>
        <n v="5205" u="1"/>
        <n v="8269" u="1"/>
        <n v="10286" u="1"/>
        <n v="14320" u="1"/>
        <n v="4945" u="1"/>
        <n v="9766" u="1"/>
        <n v="861" u="1"/>
        <n v="3382" u="1"/>
        <n v="4685" u="1"/>
        <n v="9246" u="1"/>
        <n v="3252" u="1"/>
        <n v="8726" u="1"/>
        <n v="10743" u="1"/>
        <n v="14777" u="1"/>
        <n v="3122" u="1"/>
        <n v="6182" u="1"/>
        <n v="8206" u="1"/>
        <n v="10223" u="1"/>
        <n v="2992" u="1"/>
        <n v="5922" u="1"/>
        <n v="9703" u="1"/>
        <n v="11720" u="1"/>
        <n v="2862" u="1"/>
        <n v="5662" u="1"/>
        <n v="9183" u="1"/>
        <n v="11200" u="1"/>
        <n v="5402" u="1"/>
        <n v="10680" u="1"/>
        <n v="666" u="1"/>
        <n v="5142" u="1"/>
        <n v="10160" u="1"/>
        <n v="12177" u="1"/>
        <n v="6899" u="1"/>
        <n v="9640" u="1"/>
        <n v="11657" u="1"/>
        <n v="601" u="1"/>
        <n v="6639" u="1"/>
        <n v="11137" u="1"/>
        <n v="2212" u="1"/>
        <n v="6379" u="1"/>
        <n v="10617" u="1"/>
        <n v="12634" u="1"/>
        <n v="536" u="1"/>
        <n v="2082" u="1"/>
        <n v="6119" u="1"/>
        <n v="10097" u="1"/>
        <n v="12114" u="1"/>
        <n v="2000" u="1"/>
        <n v="3969" u="1"/>
        <n v="5859" u="1"/>
        <n v="11594" u="1"/>
        <n v="1935" u="1"/>
        <n v="3839" u="1"/>
        <n v="11074" u="1"/>
        <n v="13091" u="1"/>
        <n v="1870" u="1"/>
        <n v="3709" u="1"/>
        <n v="7356" u="1"/>
        <n v="10554" u="1"/>
        <n v="12571" u="1"/>
        <n v="3579" u="1"/>
        <n v="7096" u="1"/>
        <n v="12051" u="1"/>
        <n v="14068" u="1"/>
        <n v="3449" u="1"/>
        <n v="6836" u="1"/>
        <n v="11531" u="1"/>
        <n v="13548" u="1"/>
        <n v="4559" u="1"/>
        <n v="6576" u="1"/>
        <n v="13028" u="1"/>
        <n v="4299" u="1"/>
        <n v="6316" u="1"/>
        <n v="12508" u="1"/>
        <n v="14525" u="1"/>
        <n v="394" u="1"/>
        <n v="8073" u="1"/>
        <n v="11988" u="1"/>
        <n v="14005" u="1"/>
        <n v="1480" u="1"/>
        <n v="7813" u="1"/>
        <n v="13485" u="1"/>
        <n v="20671" u="1"/>
        <n v="1415" u="1"/>
        <n v="2799" u="1"/>
        <n v="7553" u="1"/>
        <n v="12965" u="1"/>
        <n v="14982" u="1"/>
        <n v="1350" u="1"/>
        <n v="2669" u="1"/>
        <n v="7293" u="1"/>
        <n v="8411" u="1"/>
        <n v="12445" u="1"/>
        <n v="14462" u="1"/>
        <n v="1285" u="1"/>
        <n v="2539" u="1"/>
        <n v="5016" u="1"/>
        <n v="7033" u="1"/>
        <n v="13942" u="1"/>
        <n v="2409" u="1"/>
        <n v="4756" u="1"/>
        <n v="13422" u="1"/>
        <n v="2279" u="1"/>
        <n v="4496" u="1"/>
        <n v="8868" u="1"/>
        <n v="12902" u="1"/>
        <n v="14919" u="1"/>
        <n v="72" u="1"/>
        <n v="4236" u="1"/>
        <n v="8348" u="1"/>
        <n v="14399" u="1"/>
        <n v="264" u="1"/>
        <n v="4036" u="1"/>
        <n v="8010" u="1"/>
        <n v="9845" u="1"/>
        <n v="13879" u="1"/>
        <n v="5733" u="1"/>
        <n v="7750" u="1"/>
        <n v="9325" u="1"/>
        <n v="13359" u="1"/>
        <n v="5473" u="1"/>
        <n v="7490" u="1"/>
        <n v="8805" u="1"/>
        <n v="14856" u="1"/>
        <n v="927" u="1"/>
        <n v="5213" u="1"/>
        <n v="8285" u="1"/>
        <n v="10302" u="1"/>
        <n v="14336" u="1"/>
        <n v="4953" u="1"/>
        <n v="9782" u="1"/>
        <n v="862" u="1"/>
        <n v="3386" u="1"/>
        <n v="4693" u="1"/>
        <n v="9262" u="1"/>
        <n v="3256" u="1"/>
        <n v="8742" u="1"/>
        <n v="10759" u="1"/>
        <n v="14793" u="1"/>
        <n v="3126" u="1"/>
        <n v="6190" u="1"/>
        <n v="8222" u="1"/>
        <n v="10239" u="1"/>
        <n v="195" u="1"/>
        <n v="2996" u="1"/>
        <n v="5930" u="1"/>
        <n v="9719" u="1"/>
        <n v="2866" u="1"/>
        <n v="5670" u="1"/>
        <n v="9199" u="1"/>
        <n v="11216" u="1"/>
        <n v="5410" u="1"/>
        <n v="8679" u="1"/>
        <n v="10696" u="1"/>
        <n v="667" u="1"/>
        <n v="5150" u="1"/>
        <n v="10176" u="1"/>
        <n v="12193" u="1"/>
        <n v="6907" u="1"/>
        <n v="9656" u="1"/>
        <n v="11673" u="1"/>
        <n v="15707" u="1"/>
        <n v="602" u="1"/>
        <n v="6647" u="1"/>
        <n v="9136" u="1"/>
        <n v="11153" u="1"/>
        <n v="6387" u="1"/>
        <n v="10633" u="1"/>
        <n v="12650" u="1"/>
        <n v="537" u="1"/>
        <n v="2086" u="1"/>
        <n v="6127" u="1"/>
        <n v="10113" u="1"/>
        <n v="12130" u="1"/>
        <n v="2002" u="1"/>
        <n v="3973" u="1"/>
        <n v="5867" u="1"/>
        <n v="11610" u="1"/>
        <n v="1937" u="1"/>
        <n v="3843" u="1"/>
        <n v="11090" u="1"/>
        <n v="13107" u="1"/>
        <n v="1872" u="1"/>
        <n v="3713" u="1"/>
        <n v="7364" u="1"/>
        <n v="10570" u="1"/>
        <n v="12587" u="1"/>
        <n v="3583" u="1"/>
        <n v="7104" u="1"/>
        <n v="12067" u="1"/>
        <n v="3453" u="1"/>
        <n v="6844" u="1"/>
        <n v="11547" u="1"/>
        <n v="13564" u="1"/>
        <n v="427" u="1"/>
        <n v="6584" u="1"/>
        <n v="11027" u="1"/>
        <n v="13044" u="1"/>
        <n v="4307" u="1"/>
        <n v="6324" u="1"/>
        <n v="12524" u="1"/>
        <n v="14541" u="1"/>
        <n v="12004" u="1"/>
        <n v="14021" u="1"/>
        <n v="19726" u="1"/>
        <n v="1482" u="1"/>
        <n v="7821" u="1"/>
        <n v="11484" u="1"/>
        <n v="13501" u="1"/>
        <n v="1417" u="1"/>
        <n v="7561" u="1"/>
        <n v="12981" u="1"/>
        <n v="14998" u="1"/>
        <n v="1352" u="1"/>
        <n v="2673" u="1"/>
        <n v="7301" u="1"/>
        <n v="8427" u="1"/>
        <n v="12461" u="1"/>
        <n v="14478" u="1"/>
        <n v="1287" u="1"/>
        <n v="2543" u="1"/>
        <n v="5024" u="1"/>
        <n v="7041" u="1"/>
        <n v="13958" u="1"/>
        <n v="1222" u="1"/>
        <n v="2413" u="1"/>
        <n v="4764" u="1"/>
        <n v="13438" u="1"/>
        <n v="2283" u="1"/>
        <n v="4504" u="1"/>
        <n v="8884" u="1"/>
        <n v="12918" u="1"/>
        <n v="14935" u="1"/>
        <n v="4244" u="1"/>
        <n v="8364" u="1"/>
        <n v="14415" u="1"/>
        <n v="4040" u="1"/>
        <n v="8018" u="1"/>
        <n v="13895" u="1"/>
        <n v="7758" u="1"/>
        <n v="9341" u="1"/>
        <n v="13375" u="1"/>
        <n v="244" u="1"/>
        <n v="5481" u="1"/>
        <n v="7498" u="1"/>
        <n v="8821" u="1"/>
        <n v="14872" u="1"/>
        <n v="928" u="1"/>
        <n v="5221" u="1"/>
        <n v="8301" u="1"/>
        <n v="14352" u="1"/>
        <n v="24422" u="1"/>
        <n v="4961" u="1"/>
        <n v="9798" u="1"/>
        <n v="13832" u="1"/>
        <n v="863" u="1"/>
        <n v="4701" u="1"/>
        <n v="9278" u="1"/>
        <n v="3260" u="1"/>
        <n v="4441" u="1"/>
        <n v="8758" u="1"/>
        <n v="10775" u="1"/>
        <n v="14809" u="1"/>
        <n v="3130" u="1"/>
        <n v="6198" u="1"/>
        <n v="8238" u="1"/>
        <n v="10255" u="1"/>
        <n v="3000" u="1"/>
        <n v="5938" u="1"/>
        <n v="9735" u="1"/>
        <n v="2870" u="1"/>
        <n v="5678" u="1"/>
        <n v="9215" u="1"/>
        <n v="11232" u="1"/>
        <n v="179" u="1"/>
        <n v="5418" u="1"/>
        <n v="8695" u="1"/>
        <n v="10712" u="1"/>
        <n v="668" u="1"/>
        <n v="5158" u="1"/>
        <n v="10192" u="1"/>
        <n v="9672" u="1"/>
        <n v="11689" u="1"/>
        <n v="603" u="1"/>
        <n v="6655" u="1"/>
        <n v="9152" u="1"/>
        <n v="11169" u="1"/>
        <n v="6395" u="1"/>
        <n v="10649" u="1"/>
        <n v="538" u="1"/>
        <n v="2090" u="1"/>
        <n v="6135" u="1"/>
        <n v="10129" u="1"/>
        <n v="12146" u="1"/>
        <n v="16180" u="1"/>
        <n v="2004" u="1"/>
        <n v="5875" u="1"/>
        <n v="9609" u="1"/>
        <n v="11626" u="1"/>
        <n v="1939" u="1"/>
        <n v="3847" u="1"/>
        <n v="5615" u="1"/>
        <n v="11106" u="1"/>
        <n v="13123" u="1"/>
        <n v="121" u="1"/>
        <n v="1874" u="1"/>
        <n v="3717" u="1"/>
        <n v="7372" u="1"/>
        <n v="10586" u="1"/>
        <n v="12603" u="1"/>
        <n v="1809" u="1"/>
        <n v="3587" u="1"/>
        <n v="7112" u="1"/>
        <n v="12083" u="1"/>
        <n v="3457" u="1"/>
        <n v="6852" u="1"/>
        <n v="11563" u="1"/>
        <n v="13580" u="1"/>
        <n v="6592" u="1"/>
        <n v="11043" u="1"/>
        <n v="13060" u="1"/>
        <n v="4315" u="1"/>
        <n v="6332" u="1"/>
        <n v="12540" u="1"/>
        <n v="395" u="1"/>
        <n v="12020" u="1"/>
        <n v="14037" u="1"/>
        <n v="1484" u="1"/>
        <n v="7829" u="1"/>
        <n v="11500" u="1"/>
        <n v="13517" u="1"/>
        <n v="1419" u="1"/>
        <n v="7569" u="1"/>
        <n v="12997" u="1"/>
        <n v="1354" u="1"/>
        <n v="2677" u="1"/>
        <n v="7309" u="1"/>
        <n v="12477" u="1"/>
        <n v="14494" u="1"/>
        <n v="1289" u="1"/>
        <n v="2547" u="1"/>
        <n v="7049" u="1"/>
        <n v="11957" u="1"/>
        <n v="13974" u="1"/>
        <n v="1224" u="1"/>
        <n v="2417" u="1"/>
        <n v="4772" u="1"/>
        <n v="6789" u="1"/>
        <n v="13454" u="1"/>
        <n v="2287" u="1"/>
        <n v="4512" u="1"/>
        <n v="8900" u="1"/>
        <n v="12934" u="1"/>
        <n v="14951" u="1"/>
        <n v="2157" u="1"/>
        <n v="4252" u="1"/>
        <n v="8380" u="1"/>
        <n v="14431" u="1"/>
        <n v="265" u="1"/>
        <n v="4044" u="1"/>
        <n v="8026" u="1"/>
        <n v="13911" u="1"/>
        <n v="7766" u="1"/>
        <n v="9357" u="1"/>
        <n v="13391" u="1"/>
        <n v="5489" u="1"/>
        <n v="7506" u="1"/>
        <n v="8837" u="1"/>
        <n v="14888" u="1"/>
        <n v="929" u="1"/>
        <n v="5229" u="1"/>
        <n v="8317" u="1"/>
        <n v="14368" u="1"/>
        <n v="4969" u="1"/>
        <n v="9814" u="1"/>
        <n v="13848" u="1"/>
        <n v="864" u="1"/>
        <n v="4709" u="1"/>
        <n v="9294" u="1"/>
        <n v="3264" u="1"/>
        <n v="4449" u="1"/>
        <n v="8774" u="1"/>
        <n v="14825" u="1"/>
        <n v="3134" u="1"/>
        <n v="8254" u="1"/>
        <n v="10271" u="1"/>
        <n v="14305" u="1"/>
        <n v="3004" u="1"/>
        <n v="5946" u="1"/>
        <n v="7963" u="1"/>
        <n v="9751" u="1"/>
        <n v="2874" u="1"/>
        <n v="5686" u="1"/>
        <n v="9231" u="1"/>
        <n v="11248" u="1"/>
        <n v="2744" u="1"/>
        <n v="5426" u="1"/>
        <n v="8711" u="1"/>
        <n v="10728" u="1"/>
        <n v="5166" u="1"/>
        <n v="10208" u="1"/>
        <n v="163" u="1"/>
        <n v="9688" u="1"/>
        <n v="11705" u="1"/>
        <n v="604" u="1"/>
        <n v="6663" u="1"/>
        <n v="9168" u="1"/>
        <n v="11185" u="1"/>
        <n v="6403" u="1"/>
        <n v="10665" u="1"/>
        <n v="539" u="1"/>
        <n v="2094" u="1"/>
        <n v="6143" u="1"/>
        <n v="10145" u="1"/>
        <n v="12162" u="1"/>
        <n v="2006" u="1"/>
        <n v="5883" u="1"/>
        <n v="9625" u="1"/>
        <n v="11642" u="1"/>
        <n v="1941" u="1"/>
        <n v="3851" u="1"/>
        <n v="5623" u="1"/>
        <n v="11122" u="1"/>
        <n v="1876" u="1"/>
        <n v="3721" u="1"/>
        <n v="10602" u="1"/>
        <n v="12619" u="1"/>
        <n v="1811" u="1"/>
        <n v="3591" u="1"/>
        <n v="7120" u="1"/>
        <n v="10082" u="1"/>
        <n v="12099" u="1"/>
        <n v="113" u="1"/>
        <n v="3461" u="1"/>
        <n v="6860" u="1"/>
        <n v="11579" u="1"/>
        <n v="13596" u="1"/>
        <n v="428" u="1"/>
        <n v="3331" u="1"/>
        <n v="6600" u="1"/>
        <n v="11059" u="1"/>
        <n v="13076" u="1"/>
        <n v="4323" u="1"/>
        <n v="6340" u="1"/>
        <n v="12556" u="1"/>
        <n v="12036" u="1"/>
        <n v="14053" u="1"/>
        <n v="1486" u="1"/>
        <n v="7837" u="1"/>
        <n v="11516" u="1"/>
        <n v="13533" u="1"/>
        <n v="363" u="1"/>
        <n v="1421" u="1"/>
        <n v="7577" u="1"/>
        <n v="13013" u="1"/>
        <n v="19727" u="1"/>
        <n v="1356" u="1"/>
        <n v="2681" u="1"/>
        <n v="7317" u="1"/>
        <n v="12493" u="1"/>
        <n v="14510" u="1"/>
        <n v="1291" u="1"/>
        <n v="2551" u="1"/>
        <n v="7057" u="1"/>
        <n v="11973" u="1"/>
        <n v="13990" u="1"/>
        <n v="1226" u="1"/>
        <n v="2421" u="1"/>
        <n v="4780" u="1"/>
        <n v="6797" u="1"/>
        <n v="13470" u="1"/>
        <n v="2291" u="1"/>
        <n v="4520" u="1"/>
        <n v="12950" u="1"/>
        <n v="14967" u="1"/>
        <n v="2161" u="1"/>
        <n v="4260" u="1"/>
        <n v="8396" u="1"/>
        <n v="12430" u="1"/>
        <n v="14447" u="1"/>
        <n v="4048" u="1"/>
        <n v="8034" u="1"/>
        <n v="13927" u="1"/>
        <n v="3918" u="1"/>
        <n v="7774" u="1"/>
        <n v="9373" u="1"/>
        <n v="13407" u="1"/>
        <n v="5497" u="1"/>
        <n v="7514" u="1"/>
        <n v="8853" u="1"/>
        <n v="14904" u="1"/>
        <n v="930" u="1"/>
        <n v="5237" u="1"/>
        <n v="8333" u="1"/>
        <n v="14384" u="1"/>
        <n v="4977" u="1"/>
        <n v="9830" u="1"/>
        <n v="13864" u="1"/>
        <n v="56" u="1"/>
        <n v="865" u="1"/>
        <n v="4717" u="1"/>
        <n v="9310" u="1"/>
        <n v="24423" u="1"/>
        <n v="3268" u="1"/>
        <n v="4457" u="1"/>
        <n v="8790" u="1"/>
        <n v="14841" u="1"/>
        <n v="800" u="1"/>
        <n v="3138" u="1"/>
        <n v="8270" u="1"/>
        <n v="10287" u="1"/>
        <n v="14321" u="1"/>
        <n v="3008" u="1"/>
        <n v="5954" u="1"/>
        <n v="7971" u="1"/>
        <n v="9767" u="1"/>
        <n v="2878" u="1"/>
        <n v="5694" u="1"/>
        <n v="9247" u="1"/>
        <n v="2748" u="1"/>
        <n v="5434" u="1"/>
        <n v="8727" u="1"/>
        <n v="10744" u="1"/>
        <n v="14778" u="1"/>
        <n v="5174" u="1"/>
        <n v="8207" u="1"/>
        <n v="10224" u="1"/>
        <n v="4914" u="1"/>
        <n v="9704" u="1"/>
        <n v="11721" u="1"/>
        <n v="605" u="1"/>
        <n v="6671" u="1"/>
        <n v="9184" u="1"/>
        <n v="11201" u="1"/>
        <n v="6411" u="1"/>
        <n v="10681" u="1"/>
        <n v="540" u="1"/>
        <n v="6151" u="1"/>
        <n v="10161" u="1"/>
        <n v="12178" u="1"/>
        <n v="2008" u="1"/>
        <n v="5891" u="1"/>
        <n v="9641" u="1"/>
        <n v="11658" u="1"/>
        <n v="1943" u="1"/>
        <n v="3855" u="1"/>
        <n v="5631" u="1"/>
        <n v="11138" u="1"/>
        <n v="1878" u="1"/>
        <n v="3725" u="1"/>
        <n v="10618" u="1"/>
        <n v="12635" u="1"/>
        <n v="1813" u="1"/>
        <n v="3595" u="1"/>
        <n v="7128" u="1"/>
        <n v="10098" u="1"/>
        <n v="12115" u="1"/>
        <n v="3465" u="1"/>
        <n v="6868" u="1"/>
        <n v="11595" u="1"/>
        <n v="3335" u="1"/>
        <n v="6608" u="1"/>
        <n v="11075" u="1"/>
        <n v="13092" u="1"/>
        <n v="105" u="1"/>
        <n v="6348" u="1"/>
        <n v="10555" u="1"/>
        <n v="12572" u="1"/>
        <n v="396" u="1"/>
        <n v="6088" u="1"/>
        <n v="12052" u="1"/>
        <n v="14069" u="1"/>
        <n v="7845" u="1"/>
        <n v="11532" u="1"/>
        <n v="13549" u="1"/>
        <n v="1423" u="1"/>
        <n v="7585" u="1"/>
        <n v="11012" u="1"/>
        <n v="13029" u="1"/>
        <n v="1358" u="1"/>
        <n v="7325" u="1"/>
        <n v="12509" u="1"/>
        <n v="14526" u="1"/>
        <n v="1293" u="1"/>
        <n v="2555" u="1"/>
        <n v="7065" u="1"/>
        <n v="11989" u="1"/>
        <n v="14006" u="1"/>
        <n v="1228" u="1"/>
        <n v="2425" u="1"/>
        <n v="4788" u="1"/>
        <n v="6805" u="1"/>
        <n v="13486" u="1"/>
        <n v="1163" u="1"/>
        <n v="2295" u="1"/>
        <n v="4528" u="1"/>
        <n v="12966" u="1"/>
        <n v="14983" u="1"/>
        <n v="2165" u="1"/>
        <n v="4268" u="1"/>
        <n v="8412" u="1"/>
        <n v="12446" u="1"/>
        <n v="14463" u="1"/>
        <n v="266" u="1"/>
        <n v="4052" u="1"/>
        <n v="8042" u="1"/>
        <n v="13943" u="1"/>
        <n v="3922" u="1"/>
        <n v="7782" u="1"/>
        <n v="13423" u="1"/>
        <n v="7522" u="1"/>
        <n v="8869" u="1"/>
        <n v="12903" u="1"/>
        <n v="14920" u="1"/>
        <n v="931" u="1"/>
        <n v="5245" u="1"/>
        <n v="7262" u="1"/>
        <n v="8349" u="1"/>
        <n v="14400" u="1"/>
        <n v="4985" u="1"/>
        <n v="9846" u="1"/>
        <n v="13880" u="1"/>
        <n v="866" u="1"/>
        <n v="4725" u="1"/>
        <n v="9326" u="1"/>
        <n v="13360" u="1"/>
        <n v="4465" u="1"/>
        <n v="8806" u="1"/>
        <n v="14857" u="1"/>
        <n v="52" u="1"/>
        <n v="801" u="1"/>
        <n v="3142" u="1"/>
        <n v="4205" u="1"/>
        <n v="8286" u="1"/>
        <n v="10303" u="1"/>
        <n v="14337" u="1"/>
        <n v="3012" u="1"/>
        <n v="5962" u="1"/>
        <n v="7979" u="1"/>
        <n v="9783" u="1"/>
        <n v="2882" u="1"/>
        <n v="5702" u="1"/>
        <n v="9263" u="1"/>
        <n v="2752" u="1"/>
        <n v="5442" u="1"/>
        <n v="8743" u="1"/>
        <n v="10760" u="1"/>
        <n v="14794" u="1"/>
        <n v="5182" u="1"/>
        <n v="8223" u="1"/>
        <n v="10240" u="1"/>
        <n v="4922" u="1"/>
        <n v="9720" u="1"/>
        <n v="606" u="1"/>
        <n v="9200" u="1"/>
        <n v="11217" u="1"/>
        <n v="6419" u="1"/>
        <n v="8680" u="1"/>
        <n v="10697" u="1"/>
        <n v="541" u="1"/>
        <n v="6159" u="1"/>
        <n v="10177" u="1"/>
        <n v="12194" u="1"/>
        <n v="2010" u="1"/>
        <n v="5899" u="1"/>
        <n v="9657" u="1"/>
        <n v="11674" u="1"/>
        <n v="15708" u="1"/>
        <n v="1945" u="1"/>
        <n v="5639" u="1"/>
        <n v="9137" u="1"/>
        <n v="11154" u="1"/>
        <n v="1880" u="1"/>
        <n v="3729" u="1"/>
        <n v="5379" u="1"/>
        <n v="10634" u="1"/>
        <n v="12651" u="1"/>
        <n v="1815" u="1"/>
        <n v="3599" u="1"/>
        <n v="7136" u="1"/>
        <n v="10114" u="1"/>
        <n v="12131" u="1"/>
        <n v="1750" u="1"/>
        <n v="3469" u="1"/>
        <n v="6876" u="1"/>
        <n v="11611" u="1"/>
        <n v="3339" u="1"/>
        <n v="6616" u="1"/>
        <n v="11091" u="1"/>
        <n v="13108" u="1"/>
        <n v="6356" u="1"/>
        <n v="10571" u="1"/>
        <n v="12588" u="1"/>
        <n v="6096" u="1"/>
        <n v="12068" u="1"/>
        <n v="11548" u="1"/>
        <n v="13565" u="1"/>
        <n v="364" u="1"/>
        <n v="1425" u="1"/>
        <n v="7593" u="1"/>
        <n v="11028" u="1"/>
        <n v="13045" u="1"/>
        <n v="1360" u="1"/>
        <n v="7333" u="1"/>
        <n v="12525" u="1"/>
        <n v="1295" u="1"/>
        <n v="2559" u="1"/>
        <n v="7073" u="1"/>
        <n v="12005" u="1"/>
        <n v="14022" u="1"/>
        <n v="19728" u="1"/>
        <n v="1230" u="1"/>
        <n v="2429" u="1"/>
        <n v="6813" u="1"/>
        <n v="11485" u="1"/>
        <n v="13502" u="1"/>
        <n v="1165" u="1"/>
        <n v="2299" u="1"/>
        <n v="4536" u="1"/>
        <n v="6553" u="1"/>
        <n v="12982" u="1"/>
        <n v="14999" u="1"/>
        <n v="2169" u="1"/>
        <n v="4276" u="1"/>
        <n v="8428" u="1"/>
        <n v="12462" u="1"/>
        <n v="14479" u="1"/>
        <n v="4056" u="1"/>
        <n v="8050" u="1"/>
        <n v="13959" u="1"/>
        <n v="3926" u="1"/>
        <n v="7790" u="1"/>
        <n v="13439" u="1"/>
        <n v="245" u="1"/>
        <n v="7530" u="1"/>
        <n v="8885" u="1"/>
        <n v="12919" u="1"/>
        <n v="14936" u="1"/>
        <n v="932" u="1"/>
        <n v="5253" u="1"/>
        <n v="7270" u="1"/>
        <n v="8365" u="1"/>
        <n v="14416" u="1"/>
        <n v="4993" u="1"/>
        <n v="13896" u="1"/>
        <n v="867" u="1"/>
        <n v="4733" u="1"/>
        <n v="9342" u="1"/>
        <n v="13376" u="1"/>
        <n v="4473" u="1"/>
        <n v="8822" u="1"/>
        <n v="14873" u="1"/>
        <n v="802" u="1"/>
        <n v="3146" u="1"/>
        <n v="4213" u="1"/>
        <n v="8302" u="1"/>
        <n v="14353" u="1"/>
        <n v="24424" u="1"/>
        <n v="3016" u="1"/>
        <n v="7987" u="1"/>
        <n v="9799" u="1"/>
        <n v="13833" u="1"/>
        <n v="48" u="1"/>
        <n v="2886" u="1"/>
        <n v="5710" u="1"/>
        <n v="7727" u="1"/>
        <n v="9279" u="1"/>
        <n v="180" u="1"/>
        <n v="2756" u="1"/>
        <n v="5450" u="1"/>
        <n v="8759" u="1"/>
        <n v="10776" u="1"/>
        <n v="14810" u="1"/>
        <n v="2626" u="1"/>
        <n v="5190" u="1"/>
        <n v="8239" u="1"/>
        <n v="10256" u="1"/>
        <n v="4930" u="1"/>
        <n v="9736" u="1"/>
        <n v="607" u="1"/>
        <n v="9216" u="1"/>
        <n v="11233" u="1"/>
        <n v="6427" u="1"/>
        <n v="8696" u="1"/>
        <n v="10713" u="1"/>
        <n v="542" u="1"/>
        <n v="6167" u="1"/>
        <n v="10193" u="1"/>
        <n v="2012" u="1"/>
        <n v="5907" u="1"/>
        <n v="9673" u="1"/>
        <n v="11690" u="1"/>
        <n v="1947" u="1"/>
        <n v="5647" u="1"/>
        <n v="9153" u="1"/>
        <n v="11170" u="1"/>
        <n v="1882" u="1"/>
        <n v="3733" u="1"/>
        <n v="5387" u="1"/>
        <n v="10650" u="1"/>
        <n v="1817" u="1"/>
        <n v="3603" u="1"/>
        <n v="10130" u="1"/>
        <n v="12147" u="1"/>
        <n v="1752" u="1"/>
        <n v="3473" u="1"/>
        <n v="6884" u="1"/>
        <n v="9610" u="1"/>
        <n v="11627" u="1"/>
        <n v="3343" u="1"/>
        <n v="6624" u="1"/>
        <n v="11107" u="1"/>
        <n v="13124" u="1"/>
        <n v="3213" u="1"/>
        <n v="6364" u="1"/>
        <n v="10587" u="1"/>
        <n v="12604" u="1"/>
        <n v="397" u="1"/>
        <n v="6104" u="1"/>
        <n v="12084" u="1"/>
        <n v="11564" u="1"/>
        <n v="13581" u="1"/>
        <n v="1427" u="1"/>
        <n v="7601" u="1"/>
        <n v="11044" u="1"/>
        <n v="13061" u="1"/>
        <n v="1362" u="1"/>
        <n v="7341" u="1"/>
        <n v="12541" u="1"/>
        <n v="1297" u="1"/>
        <n v="2563" u="1"/>
        <n v="7081" u="1"/>
        <n v="12021" u="1"/>
        <n v="14038" u="1"/>
        <n v="1232" u="1"/>
        <n v="2433" u="1"/>
        <n v="6821" u="1"/>
        <n v="11501" u="1"/>
        <n v="13518" u="1"/>
        <n v="1167" u="1"/>
        <n v="2303" u="1"/>
        <n v="4544" u="1"/>
        <n v="6561" u="1"/>
        <n v="12998" u="1"/>
        <n v="2173" u="1"/>
        <n v="4284" u="1"/>
        <n v="12478" u="1"/>
        <n v="14495" u="1"/>
        <n v="267" u="1"/>
        <n v="4060" u="1"/>
        <n v="8058" u="1"/>
        <n v="11958" u="1"/>
        <n v="13975" u="1"/>
        <n v="3930" u="1"/>
        <n v="7798" u="1"/>
        <n v="13455" u="1"/>
        <n v="3800" u="1"/>
        <n v="7538" u="1"/>
        <n v="8901" u="1"/>
        <n v="12935" u="1"/>
        <n v="14952" u="1"/>
        <n v="5261" u="1"/>
        <n v="7278" u="1"/>
        <n v="8381" u="1"/>
        <n v="14432" u="1"/>
        <n v="229" u="1"/>
        <n v="5001" u="1"/>
        <n v="13912" u="1"/>
        <n v="868" u="1"/>
        <n v="4741" u="1"/>
        <n v="9358" u="1"/>
        <n v="13392" u="1"/>
        <n v="4481" u="1"/>
        <n v="8838" u="1"/>
        <n v="14889" u="1"/>
        <n v="23479" u="1"/>
        <n v="803" u="1"/>
        <n v="3150" u="1"/>
        <n v="4221" u="1"/>
        <n v="8318" u="1"/>
        <n v="14369" u="1"/>
        <n v="3020" u="1"/>
        <n v="7995" u="1"/>
        <n v="9815" u="1"/>
        <n v="13849" u="1"/>
        <n v="2890" u="1"/>
        <n v="5718" u="1"/>
        <n v="7735" u="1"/>
        <n v="9295" u="1"/>
        <n v="2760" u="1"/>
        <n v="5458" u="1"/>
        <n v="8775" u="1"/>
        <n v="14826" u="1"/>
        <n v="2630" u="1"/>
        <n v="5198" u="1"/>
        <n v="8255" u="1"/>
        <n v="10272" u="1"/>
        <n v="14306" u="1"/>
        <n v="164" u="1"/>
        <n v="4938" u="1"/>
        <n v="9752" u="1"/>
        <n v="608" u="1"/>
        <n v="4678" u="1"/>
        <n v="9232" u="1"/>
        <n v="11249" u="1"/>
        <n v="6435" u="1"/>
        <n v="8712" u="1"/>
        <n v="10729" u="1"/>
        <n v="543" u="1"/>
        <n v="6175" u="1"/>
        <n v="10209" u="1"/>
        <n v="2014" u="1"/>
        <n v="5915" u="1"/>
        <n v="9689" u="1"/>
        <n v="11706" u="1"/>
        <n v="495" u="1"/>
        <n v="1949" u="1"/>
        <n v="5655" u="1"/>
        <n v="9169" u="1"/>
        <n v="11186" u="1"/>
        <n v="1884" u="1"/>
        <n v="3737" u="1"/>
        <n v="5395" u="1"/>
        <n v="10666" u="1"/>
        <n v="1819" u="1"/>
        <n v="3607" u="1"/>
        <n v="10146" u="1"/>
        <n v="12163" u="1"/>
        <n v="1754" u="1"/>
        <n v="3477" u="1"/>
        <n v="6892" u="1"/>
        <n v="9626" u="1"/>
        <n v="11643" u="1"/>
        <n v="3347" u="1"/>
        <n v="6632" u="1"/>
        <n v="11123" u="1"/>
        <n v="3217" u="1"/>
        <n v="6372" u="1"/>
        <n v="10603" u="1"/>
        <n v="12620" u="1"/>
        <n v="6112" u="1"/>
        <n v="10083" u="1"/>
        <n v="12100" u="1"/>
        <n v="5852" u="1"/>
        <n v="11580" u="1"/>
        <n v="13597" u="1"/>
        <n v="365" u="1"/>
        <n v="7609" u="1"/>
        <n v="11060" u="1"/>
        <n v="13077" u="1"/>
        <n v="1364" u="1"/>
        <n v="7349" u="1"/>
        <n v="12557" u="1"/>
        <n v="1299" u="1"/>
        <n v="2567" u="1"/>
        <n v="7089" u="1"/>
        <n v="12037" u="1"/>
        <n v="14054" u="1"/>
        <n v="81" u="1"/>
        <n v="1234" u="1"/>
        <n v="2437" u="1"/>
        <n v="6829" u="1"/>
        <n v="11517" u="1"/>
        <n v="13534" u="1"/>
        <n v="1169" u="1"/>
        <n v="2307" u="1"/>
        <n v="4552" u="1"/>
        <n v="6569" u="1"/>
        <n v="13014" u="1"/>
        <n v="19729" u="1"/>
        <n v="1104" u="1"/>
        <n v="2177" u="1"/>
        <n v="4292" u="1"/>
        <n v="12494" u="1"/>
        <n v="14511" u="1"/>
        <n v="4064" u="1"/>
        <n v="8066" u="1"/>
        <n v="11974" u="1"/>
        <n v="13991" u="1"/>
        <n v="3934" u="1"/>
        <n v="7806" u="1"/>
        <n v="13471" u="1"/>
        <n v="3804" u="1"/>
        <n v="7546" u="1"/>
        <n v="12951" u="1"/>
        <n v="14968" u="1"/>
        <n v="7286" u="1"/>
        <n v="8397" u="1"/>
        <n v="12431" u="1"/>
        <n v="14448" u="1"/>
        <n v="5009" u="1"/>
        <n v="7026" u="1"/>
        <n v="13928" u="1"/>
        <n v="869" u="1"/>
        <n v="4749" u="1"/>
        <n v="9374" u="1"/>
        <n v="13408" u="1"/>
        <n v="4489" u="1"/>
        <n v="8854" u="1"/>
        <n v="14905" u="1"/>
        <n v="804" u="1"/>
        <n v="3154" u="1"/>
        <n v="4229" u="1"/>
        <n v="8334" u="1"/>
        <n v="14385" u="1"/>
        <n v="3024" u="1"/>
        <n v="8003" u="1"/>
        <n v="9831" u="1"/>
        <n v="13865" u="1"/>
        <n v="2894" u="1"/>
        <n v="5726" u="1"/>
        <n v="7743" u="1"/>
        <n v="9311" u="1"/>
        <n v="24425" u="1"/>
        <n v="2764" u="1"/>
        <n v="5466" u="1"/>
        <n v="8791" u="1"/>
        <n v="14842" u="1"/>
        <n v="2634" u="1"/>
        <n v="5206" u="1"/>
        <n v="8271" u="1"/>
        <n v="10288" u="1"/>
        <n v="14322" u="1"/>
        <n v="4946" u="1"/>
        <n v="9768" u="1"/>
        <n v="609" u="1"/>
        <n v="4686" u="1"/>
        <n v="9248" u="1"/>
        <n v="148" u="1"/>
        <n v="8728" u="1"/>
        <n v="10745" u="1"/>
        <n v="14779" u="1"/>
        <n v="544" u="1"/>
        <n v="6183" u="1"/>
        <n v="8208" u="1"/>
        <n v="10225" u="1"/>
        <n v="5923" u="1"/>
        <n v="9705" u="1"/>
        <n v="11722" u="1"/>
        <n v="1951" u="1"/>
        <n v="5663" u="1"/>
        <n v="9185" u="1"/>
        <n v="11202" u="1"/>
        <n v="1886" u="1"/>
        <n v="3741" u="1"/>
        <n v="5403" u="1"/>
        <n v="8665" u="1"/>
        <n v="10682" u="1"/>
        <n v="1821" u="1"/>
        <n v="3611" u="1"/>
        <n v="5143" u="1"/>
        <n v="10162" u="1"/>
        <n v="12179" u="1"/>
        <n v="1756" u="1"/>
        <n v="3481" u="1"/>
        <n v="6900" u="1"/>
        <n v="9642" u="1"/>
        <n v="11659" u="1"/>
        <n v="1691" u="1"/>
        <n v="3351" u="1"/>
        <n v="6640" u="1"/>
        <n v="11139" u="1"/>
        <n v="3221" u="1"/>
        <n v="6380" u="1"/>
        <n v="10619" u="1"/>
        <n v="12636" u="1"/>
        <n v="398" u="1"/>
        <n v="6120" u="1"/>
        <n v="10099" u="1"/>
        <n v="12116" u="1"/>
        <n v="5860" u="1"/>
        <n v="11596" u="1"/>
        <n v="11076" u="1"/>
        <n v="13093" u="1"/>
        <n v="1366" u="1"/>
        <n v="7357" u="1"/>
        <n v="10556" u="1"/>
        <n v="12573" u="1"/>
        <n v="1301" u="1"/>
        <n v="7097" u="1"/>
        <n v="12053" u="1"/>
        <n v="14070" u="1"/>
        <n v="1236" u="1"/>
        <n v="2441" u="1"/>
        <n v="6837" u="1"/>
        <n v="11533" u="1"/>
        <n v="13550" u="1"/>
        <n v="1171" u="1"/>
        <n v="2311" u="1"/>
        <n v="6577" u="1"/>
        <n v="11013" u="1"/>
        <n v="13030" u="1"/>
        <n v="73" u="1"/>
        <n v="1106" u="1"/>
        <n v="2181" u="1"/>
        <n v="4300" u="1"/>
        <n v="6317" u="1"/>
        <n v="12510" u="1"/>
        <n v="14527" u="1"/>
        <n v="2051" u="1"/>
        <n v="4068" u="1"/>
        <n v="8074" u="1"/>
        <n v="11990" u="1"/>
        <n v="14007" u="1"/>
        <n v="3938" u="1"/>
        <n v="7814" u="1"/>
        <n v="13487" u="1"/>
        <n v="3808" u="1"/>
        <n v="7554" u="1"/>
        <n v="12967" u="1"/>
        <n v="14984" u="1"/>
        <n v="7294" u="1"/>
        <n v="8413" u="1"/>
        <n v="12447" u="1"/>
        <n v="14464" u="1"/>
        <n v="5017" u="1"/>
        <n v="7034" u="1"/>
        <n v="13944" u="1"/>
        <n v="870" u="1"/>
        <n v="4757" u="1"/>
        <n v="13424" u="1"/>
        <n v="4497" u="1"/>
        <n v="8870" u="1"/>
        <n v="12904" u="1"/>
        <n v="14921" u="1"/>
        <n v="805" u="1"/>
        <n v="4237" u="1"/>
        <n v="8350" u="1"/>
        <n v="14401" u="1"/>
        <n v="3028" u="1"/>
        <n v="8011" u="1"/>
        <n v="9847" u="1"/>
        <n v="13881" u="1"/>
        <n v="23480" u="1"/>
        <n v="2898" u="1"/>
        <n v="7751" u="1"/>
        <n v="9327" u="1"/>
        <n v="13361" u="1"/>
        <n v="2768" u="1"/>
        <n v="5474" u="1"/>
        <n v="7491" u="1"/>
        <n v="8807" u="1"/>
        <n v="14858" u="1"/>
        <n v="2638" u="1"/>
        <n v="5214" u="1"/>
        <n v="8287" u="1"/>
        <n v="10304" u="1"/>
        <n v="14338" u="1"/>
        <n v="2508" u="1"/>
        <n v="4954" u="1"/>
        <n v="9784" u="1"/>
        <n v="4694" u="1"/>
        <n v="9264" u="1"/>
        <n v="8744" u="1"/>
        <n v="10761" u="1"/>
        <n v="14795" u="1"/>
        <n v="545" u="1"/>
        <n v="6191" u="1"/>
        <n v="8224" u="1"/>
        <n v="10241" u="1"/>
        <n v="5931" u="1"/>
        <n v="9721" u="1"/>
        <n v="496" u="1"/>
        <n v="1953" u="1"/>
        <n v="5671" u="1"/>
        <n v="9201" u="1"/>
        <n v="11218" u="1"/>
        <n v="1888" u="1"/>
        <n v="5411" u="1"/>
        <n v="8681" u="1"/>
        <n v="10698" u="1"/>
        <n v="1823" u="1"/>
        <n v="3615" u="1"/>
        <n v="5151" u="1"/>
        <n v="10178" u="1"/>
        <n v="1758" u="1"/>
        <n v="3485" u="1"/>
        <n v="9658" u="1"/>
        <n v="11675" u="1"/>
        <n v="15709" u="1"/>
        <n v="1693" u="1"/>
        <n v="3355" u="1"/>
        <n v="6648" u="1"/>
        <n v="9138" u="1"/>
        <n v="11155" u="1"/>
        <n v="3225" u="1"/>
        <n v="6388" u="1"/>
        <n v="10635" u="1"/>
        <n v="12652" u="1"/>
        <n v="3095" u="1"/>
        <n v="6128" u="1"/>
        <n v="10115" u="1"/>
        <n v="12132" u="1"/>
        <n v="5868" u="1"/>
        <n v="11612" u="1"/>
        <n v="366" u="1"/>
        <n v="11092" u="1"/>
        <n v="13109" u="1"/>
        <n v="1368" u="1"/>
        <n v="7365" u="1"/>
        <n v="10572" u="1"/>
        <n v="12589" u="1"/>
        <n v="1303" u="1"/>
        <n v="7105" u="1"/>
        <n v="12069" u="1"/>
        <n v="1238" u="1"/>
        <n v="2445" u="1"/>
        <n v="6845" u="1"/>
        <n v="11549" u="1"/>
        <n v="13566" u="1"/>
        <n v="1173" u="1"/>
        <n v="2315" u="1"/>
        <n v="6585" u="1"/>
        <n v="11029" u="1"/>
        <n v="13046" u="1"/>
        <n v="1108" u="1"/>
        <n v="2185" u="1"/>
        <n v="4308" u="1"/>
        <n v="6325" u="1"/>
        <n v="12526" u="1"/>
        <n v="2055" u="1"/>
        <n v="4072" u="1"/>
        <n v="12006" u="1"/>
        <n v="14023" u="1"/>
        <n v="19730" u="1"/>
        <n v="65" u="1"/>
        <n v="3942" u="1"/>
        <n v="7822" u="1"/>
        <n v="11486" u="1"/>
        <n v="13503" u="1"/>
        <n v="246" u="1"/>
        <n v="3812" u="1"/>
        <n v="7562" u="1"/>
        <n v="12983" u="1"/>
        <n v="15000" u="1"/>
        <n v="3682" u="1"/>
        <n v="7302" u="1"/>
        <n v="8429" u="1"/>
        <n v="12463" u="1"/>
        <n v="14480" u="1"/>
        <n v="5025" u="1"/>
        <n v="7042" u="1"/>
        <n v="13960" u="1"/>
        <n v="871" u="1"/>
        <n v="4765" u="1"/>
        <n v="13440" u="1"/>
        <n v="4505" u="1"/>
        <n v="8886" u="1"/>
        <n v="12920" u="1"/>
        <n v="14937" u="1"/>
        <n v="806" u="1"/>
        <n v="4245" u="1"/>
        <n v="8366" u="1"/>
        <n v="14417" u="1"/>
        <n v="3032" u="1"/>
        <n v="8019" u="1"/>
        <n v="13897" u="1"/>
        <n v="2902" u="1"/>
        <n v="7759" u="1"/>
        <n v="9343" u="1"/>
        <n v="13377" u="1"/>
        <n v="2772" u="1"/>
        <n v="5482" u="1"/>
        <n v="7499" u="1"/>
        <n v="8823" u="1"/>
        <n v="14874" u="1"/>
        <n v="2642" u="1"/>
        <n v="5222" u="1"/>
        <n v="8303" u="1"/>
        <n v="14354" u="1"/>
        <n v="24426" u="1"/>
        <n v="2512" u="1"/>
        <n v="4962" u="1"/>
        <n v="9800" u="1"/>
        <n v="13834" u="1"/>
        <n v="4702" u="1"/>
        <n v="9280" u="1"/>
        <n v="4442" u="1"/>
        <n v="8760" u="1"/>
        <n v="10777" u="1"/>
        <n v="14811" u="1"/>
        <n v="546" u="1"/>
        <n v="6199" u="1"/>
        <n v="8240" u="1"/>
        <n v="10257" u="1"/>
        <n v="5939" u="1"/>
        <n v="9737" u="1"/>
        <n v="32" u="1"/>
        <n v="1955" u="1"/>
        <n v="5679" u="1"/>
        <n v="9217" u="1"/>
        <n v="11234" u="1"/>
        <n v="1890" u="1"/>
        <n v="5419" u="1"/>
        <n v="8697" u="1"/>
        <n v="10714" u="1"/>
        <n v="1825" u="1"/>
        <n v="3619" u="1"/>
        <n v="5159" u="1"/>
        <n v="10194" u="1"/>
        <n v="1760" u="1"/>
        <n v="3489" u="1"/>
        <n v="9674" u="1"/>
        <n v="11691" u="1"/>
        <n v="1695" u="1"/>
        <n v="3359" u="1"/>
        <n v="6656" u="1"/>
        <n v="9154" u="1"/>
        <n v="11171" u="1"/>
        <n v="3229" u="1"/>
        <n v="6396" u="1"/>
        <n v="10651" u="1"/>
        <n v="399" u="1"/>
        <n v="3099" u="1"/>
        <n v="6136" u="1"/>
        <n v="10131" u="1"/>
        <n v="12148" u="1"/>
        <n v="5876" u="1"/>
        <n v="9611" u="1"/>
        <n v="11628" u="1"/>
        <n v="5616" u="1"/>
        <n v="11108" u="1"/>
        <n v="13125" u="1"/>
        <n v="7373" u="1"/>
        <n v="10588" u="1"/>
        <n v="12605" u="1"/>
        <n v="334" u="1"/>
        <n v="1305" u="1"/>
        <n v="7113" u="1"/>
        <n v="12085" u="1"/>
        <n v="1240" u="1"/>
        <n v="2449" u="1"/>
        <n v="6853" u="1"/>
        <n v="11565" u="1"/>
        <n v="13582" u="1"/>
        <n v="1175" u="1"/>
        <n v="2319" u="1"/>
        <n v="6593" u="1"/>
        <n v="11045" u="1"/>
        <n v="13062" u="1"/>
        <n v="1110" u="1"/>
        <n v="2189" u="1"/>
        <n v="4316" u="1"/>
        <n v="6333" u="1"/>
        <n v="12542" u="1"/>
        <n v="18785" u="1"/>
        <n v="1045" u="1"/>
        <n v="2059" u="1"/>
        <n v="4076" u="1"/>
        <n v="12022" u="1"/>
        <n v="14039" u="1"/>
        <n v="3946" u="1"/>
        <n v="7830" u="1"/>
        <n v="11502" u="1"/>
        <n v="13519" u="1"/>
        <n v="3816" u="1"/>
        <n v="7570" u="1"/>
        <n v="12999" u="1"/>
        <n v="3686" u="1"/>
        <n v="7310" u="1"/>
        <n v="12479" u="1"/>
        <n v="14496" u="1"/>
        <n v="230" u="1"/>
        <n v="7050" u="1"/>
        <n v="11959" u="1"/>
        <n v="13976" u="1"/>
        <n v="872" u="1"/>
        <n v="4773" u="1"/>
        <n v="6790" u="1"/>
        <n v="13456" u="1"/>
        <n v="4513" u="1"/>
        <n v="8902" u="1"/>
        <n v="12936" u="1"/>
        <n v="14953" u="1"/>
        <n v="807" u="1"/>
        <n v="4253" u="1"/>
        <n v="8382" u="1"/>
        <n v="14433" u="1"/>
        <n v="3036" u="1"/>
        <n v="8027" u="1"/>
        <n v="13913" u="1"/>
        <n v="742" u="1"/>
        <n v="2906" u="1"/>
        <n v="7767" u="1"/>
        <n v="9359" u="1"/>
        <n v="13393" u="1"/>
        <n v="2776" u="1"/>
        <n v="5490" u="1"/>
        <n v="7507" u="1"/>
        <n v="8839" u="1"/>
        <n v="14890" u="1"/>
        <n v="23481" u="1"/>
        <n v="2646" u="1"/>
        <n v="5230" u="1"/>
        <n v="8319" u="1"/>
        <n v="14370" u="1"/>
        <n v="165" u="1"/>
        <n v="2516" u="1"/>
        <n v="4970" u="1"/>
        <n v="9816" u="1"/>
        <n v="13850" u="1"/>
        <n v="4710" u="1"/>
        <n v="9296" u="1"/>
        <n v="4450" u="1"/>
        <n v="8776" u="1"/>
        <n v="14827" u="1"/>
        <n v="547" u="1"/>
        <n v="8256" u="1"/>
        <n v="10273" u="1"/>
        <n v="14307" u="1"/>
        <n v="5947" u="1"/>
        <n v="7964" u="1"/>
        <n v="9753" u="1"/>
        <n v="497" u="1"/>
        <n v="5687" u="1"/>
        <n v="9233" u="1"/>
        <n v="11250" u="1"/>
        <n v="1892" u="1"/>
        <n v="5427" u="1"/>
        <n v="8713" u="1"/>
        <n v="10730" u="1"/>
        <n v="1827" u="1"/>
        <n v="3623" u="1"/>
        <n v="5167" u="1"/>
        <n v="10210" u="1"/>
        <n v="114" u="1"/>
        <n v="1762" u="1"/>
        <n v="3493" u="1"/>
        <n v="9690" u="1"/>
        <n v="11707" u="1"/>
        <n v="1697" u="1"/>
        <n v="3363" u="1"/>
        <n v="6664" u="1"/>
        <n v="9170" u="1"/>
        <n v="11187" u="1"/>
        <n v="1632" u="1"/>
        <n v="3233" u="1"/>
        <n v="6404" u="1"/>
        <n v="10667" u="1"/>
        <n v="3103" u="1"/>
        <n v="6144" u="1"/>
        <n v="10147" u="1"/>
        <n v="12164" u="1"/>
        <n v="5884" u="1"/>
        <n v="9627" u="1"/>
        <n v="11644" u="1"/>
        <n v="367" u="1"/>
        <n v="5624" u="1"/>
        <n v="11124" u="1"/>
        <n v="10604" u="1"/>
        <n v="12621" u="1"/>
        <n v="1307" u="1"/>
        <n v="7121" u="1"/>
        <n v="10084" u="1"/>
        <n v="12101" u="1"/>
        <n v="1242" u="1"/>
        <n v="6861" u="1"/>
        <n v="11581" u="1"/>
        <n v="13598" u="1"/>
        <n v="1177" u="1"/>
        <n v="2323" u="1"/>
        <n v="6601" u="1"/>
        <n v="11061" u="1"/>
        <n v="13078" u="1"/>
        <n v="1112" u="1"/>
        <n v="2193" u="1"/>
        <n v="4324" u="1"/>
        <n v="6341" u="1"/>
        <n v="12558" u="1"/>
        <n v="1047" u="1"/>
        <n v="2063" u="1"/>
        <n v="4080" u="1"/>
        <n v="6081" u="1"/>
        <n v="12038" u="1"/>
        <n v="14055" u="1"/>
        <n v="3950" u="1"/>
        <n v="7838" u="1"/>
        <n v="11518" u="1"/>
        <n v="13535" u="1"/>
        <n v="3820" u="1"/>
        <n v="7578" u="1"/>
        <n v="13015" u="1"/>
        <n v="19731" u="1"/>
        <n v="3690" u="1"/>
        <n v="7318" u="1"/>
        <n v="12495" u="1"/>
        <n v="14512" u="1"/>
        <n v="7058" u="1"/>
        <n v="11975" u="1"/>
        <n v="13992" u="1"/>
        <n v="873" u="1"/>
        <n v="4781" u="1"/>
        <n v="6798" u="1"/>
        <n v="13472" u="1"/>
        <n v="214" u="1"/>
        <n v="4521" u="1"/>
        <n v="12952" u="1"/>
        <n v="14969" u="1"/>
        <n v="808" u="1"/>
        <n v="4261" u="1"/>
        <n v="8398" u="1"/>
        <n v="12432" u="1"/>
        <n v="14449" u="1"/>
        <n v="8035" u="1"/>
        <n v="13929" u="1"/>
        <n v="743" u="1"/>
        <n v="2910" u="1"/>
        <n v="7775" u="1"/>
        <n v="9375" u="1"/>
        <n v="13409" u="1"/>
        <n v="2780" u="1"/>
        <n v="5498" u="1"/>
        <n v="7515" u="1"/>
        <n v="8855" u="1"/>
        <n v="14906" u="1"/>
        <n v="2650" u="1"/>
        <n v="5238" u="1"/>
        <n v="7255" u="1"/>
        <n v="8335" u="1"/>
        <n v="14386" u="1"/>
        <n v="2520" u="1"/>
        <n v="4978" u="1"/>
        <n v="9832" u="1"/>
        <n v="13866" u="1"/>
        <n v="2390" u="1"/>
        <n v="4718" u="1"/>
        <n v="9312" u="1"/>
        <n v="24427" u="1"/>
        <n v="149" u="1"/>
        <n v="4458" u="1"/>
        <n v="8792" u="1"/>
        <n v="14843" u="1"/>
        <n v="548" u="1"/>
        <n v="8272" u="1"/>
        <n v="10289" u="1"/>
        <n v="14323" u="1"/>
        <n v="5955" u="1"/>
        <n v="7972" u="1"/>
        <n v="9769" u="1"/>
        <n v="5695" u="1"/>
        <n v="9249" u="1"/>
        <n v="1894" u="1"/>
        <n v="5435" u="1"/>
        <n v="8729" u="1"/>
        <n v="10746" u="1"/>
        <n v="14780" u="1"/>
        <n v="1829" u="1"/>
        <n v="5175" u="1"/>
        <n v="8209" u="1"/>
        <n v="10226" u="1"/>
        <n v="1764" u="1"/>
        <n v="3497" u="1"/>
        <n v="4915" u="1"/>
        <n v="9706" u="1"/>
        <n v="11723" u="1"/>
        <n v="1699" u="1"/>
        <n v="3367" u="1"/>
        <n v="6672" u="1"/>
        <n v="9186" u="1"/>
        <n v="11203" u="1"/>
        <n v="15237" u="1"/>
        <n v="106" u="1"/>
        <n v="1634" u="1"/>
        <n v="3237" u="1"/>
        <n v="6412" u="1"/>
        <n v="8666" u="1"/>
        <n v="10683" u="1"/>
        <n v="3107" u="1"/>
        <n v="6152" u="1"/>
        <n v="10163" u="1"/>
        <n v="12180" u="1"/>
        <n v="2977" u="1"/>
        <n v="5892" u="1"/>
        <n v="9643" u="1"/>
        <n v="11660" u="1"/>
        <n v="5632" u="1"/>
        <n v="11140" u="1"/>
        <n v="10620" u="1"/>
        <n v="12637" u="1"/>
        <n v="335" u="1"/>
        <n v="1309" u="1"/>
        <n v="7129" u="1"/>
        <n v="10100" u="1"/>
        <n v="12117" u="1"/>
        <n v="1244" u="1"/>
        <n v="6869" u="1"/>
        <n v="11597" u="1"/>
        <n v="1179" u="1"/>
        <n v="2327" u="1"/>
        <n v="6609" u="1"/>
        <n v="11077" u="1"/>
        <n v="13094" u="1"/>
        <n v="1114" u="1"/>
        <n v="2197" u="1"/>
        <n v="6349" u="1"/>
        <n v="10557" u="1"/>
        <n v="12574" u="1"/>
        <n v="1049" u="1"/>
        <n v="2067" u="1"/>
        <n v="4084" u="1"/>
        <n v="6089" u="1"/>
        <n v="12054" u="1"/>
        <n v="14071" u="1"/>
        <n v="3954" u="1"/>
        <n v="11534" u="1"/>
        <n v="13551" u="1"/>
        <n v="18786" u="1"/>
        <n v="3824" u="1"/>
        <n v="7586" u="1"/>
        <n v="11014" u="1"/>
        <n v="13031" u="1"/>
        <n v="3694" u="1"/>
        <n v="7326" u="1"/>
        <n v="12511" u="1"/>
        <n v="14528" u="1"/>
        <n v="3564" u="1"/>
        <n v="7066" u="1"/>
        <n v="11991" u="1"/>
        <n v="14008" u="1"/>
        <n v="4789" u="1"/>
        <n v="6806" u="1"/>
        <n v="13488" u="1"/>
        <n v="4529" u="1"/>
        <n v="12968" u="1"/>
        <n v="14985" u="1"/>
        <n v="809" u="1"/>
        <n v="4269" u="1"/>
        <n v="8414" u="1"/>
        <n v="12448" u="1"/>
        <n v="14465" u="1"/>
        <n v="8043" u="1"/>
        <n v="13945" u="1"/>
        <n v="744" u="1"/>
        <n v="2914" u="1"/>
        <n v="7783" u="1"/>
        <n v="13425" u="1"/>
        <n v="2784" u="1"/>
        <n v="7523" u="1"/>
        <n v="8871" u="1"/>
        <n v="12905" u="1"/>
        <n v="14922" u="1"/>
        <n v="2654" u="1"/>
        <n v="5246" u="1"/>
        <n v="7263" u="1"/>
        <n v="8351" u="1"/>
        <n v="14402" u="1"/>
        <n v="2524" u="1"/>
        <n v="4986" u="1"/>
        <n v="13882" u="1"/>
        <n v="23482" u="1"/>
        <n v="2394" u="1"/>
        <n v="4726" u="1"/>
        <n v="9328" u="1"/>
        <n v="13362" u="1"/>
        <n v="4466" u="1"/>
        <n v="8808" u="1"/>
        <n v="14859" u="1"/>
        <n v="549" u="1"/>
        <n v="4206" u="1"/>
        <n v="8288" u="1"/>
        <n v="10305" u="1"/>
        <n v="14339" u="1"/>
        <n v="5963" u="1"/>
        <n v="7980" u="1"/>
        <n v="9785" u="1"/>
        <n v="498" u="1"/>
        <n v="5703" u="1"/>
        <n v="9265" u="1"/>
        <n v="1896" u="1"/>
        <n v="5443" u="1"/>
        <n v="8745" u="1"/>
        <n v="10762" u="1"/>
        <n v="14796" u="1"/>
        <n v="1831" u="1"/>
        <n v="5183" u="1"/>
        <n v="8225" u="1"/>
        <n v="10242" u="1"/>
        <n v="1766" u="1"/>
        <n v="3501" u="1"/>
        <n v="4923" u="1"/>
        <n v="9722" u="1"/>
        <n v="1701" u="1"/>
        <n v="3371" u="1"/>
        <n v="9202" u="1"/>
        <n v="11219" u="1"/>
        <n v="1636" u="1"/>
        <n v="3241" u="1"/>
        <n v="6420" u="1"/>
        <n v="8682" u="1"/>
        <n v="10699" u="1"/>
        <n v="3111" u="1"/>
        <n v="6160" u="1"/>
        <n v="10179" u="1"/>
        <n v="98" u="1"/>
        <n v="2981" u="1"/>
        <n v="5900" u="1"/>
        <n v="9659" u="1"/>
        <n v="11676" u="1"/>
        <n v="15710" u="1"/>
        <n v="368" u="1"/>
        <n v="5640" u="1"/>
        <n v="9139" u="1"/>
        <n v="11156" u="1"/>
        <n v="5380" u="1"/>
        <n v="10636" u="1"/>
        <n v="12653" u="1"/>
        <n v="7137" u="1"/>
        <n v="10116" u="1"/>
        <n v="12133" u="1"/>
        <n v="1246" u="1"/>
        <n v="6877" u="1"/>
        <n v="11613" u="1"/>
        <n v="1181" u="1"/>
        <n v="2331" u="1"/>
        <n v="6617" u="1"/>
        <n v="11093" u="1"/>
        <n v="13110" u="1"/>
        <n v="1116" u="1"/>
        <n v="2201" u="1"/>
        <n v="6357" u="1"/>
        <n v="10573" u="1"/>
        <n v="12590" u="1"/>
        <n v="1051" u="1"/>
        <n v="2071" u="1"/>
        <n v="4088" u="1"/>
        <n v="6097" u="1"/>
        <n v="12070" u="1"/>
        <n v="3958" u="1"/>
        <n v="11550" u="1"/>
        <n v="13567" u="1"/>
        <n v="247" u="1"/>
        <n v="3828" u="1"/>
        <n v="7594" u="1"/>
        <n v="11030" u="1"/>
        <n v="13047" u="1"/>
        <n v="3698" u="1"/>
        <n v="7334" u="1"/>
        <n v="12527" u="1"/>
        <n v="3568" u="1"/>
        <n v="7074" u="1"/>
        <n v="12007" u="1"/>
        <n v="14024" u="1"/>
        <n v="19732" u="1"/>
        <n v="6814" u="1"/>
        <n v="11487" u="1"/>
        <n v="13504" u="1"/>
        <n v="4537" u="1"/>
        <n v="6554" u="1"/>
        <n v="12984" u="1"/>
        <n v="15001" u="1"/>
        <n v="810" u="1"/>
        <n v="4277" u="1"/>
        <n v="8430" u="1"/>
        <n v="12464" u="1"/>
        <n v="14481" u="1"/>
        <n v="8051" u="1"/>
        <n v="13961" u="1"/>
        <n v="745" u="1"/>
        <n v="2918" u="1"/>
        <n v="7791" u="1"/>
        <n v="13441" u="1"/>
        <n v="2788" u="1"/>
        <n v="7531" u="1"/>
        <n v="8887" u="1"/>
        <n v="12921" u="1"/>
        <n v="14938" u="1"/>
        <n v="2658" u="1"/>
        <n v="5254" u="1"/>
        <n v="7271" u="1"/>
        <n v="8367" u="1"/>
        <n v="14418" u="1"/>
        <n v="2528" u="1"/>
        <n v="4994" u="1"/>
        <n v="13898" u="1"/>
        <n v="2398" u="1"/>
        <n v="4734" u="1"/>
        <n v="9344" u="1"/>
        <n v="13378" u="1"/>
        <n v="4474" u="1"/>
        <n v="8824" u="1"/>
        <n v="14875" u="1"/>
        <n v="550" u="1"/>
        <n v="4214" u="1"/>
        <n v="8304" u="1"/>
        <n v="14355" u="1"/>
        <n v="7988" u="1"/>
        <n v="9801" u="1"/>
        <n v="13835" u="1"/>
        <n v="5711" u="1"/>
        <n v="7728" u="1"/>
        <n v="9281" u="1"/>
        <n v="5451" u="1"/>
        <n v="8761" u="1"/>
        <n v="10778" u="1"/>
        <n v="14812" u="1"/>
        <n v="466" u="1"/>
        <n v="1833" u="1"/>
        <n v="5191" u="1"/>
        <n v="8241" u="1"/>
        <n v="10258" u="1"/>
        <n v="1768" u="1"/>
        <n v="3505" u="1"/>
        <n v="4931" u="1"/>
        <n v="9738" u="1"/>
        <n v="1703" u="1"/>
        <n v="3375" u="1"/>
        <n v="9218" u="1"/>
        <n v="11235" u="1"/>
        <n v="1638" u="1"/>
        <n v="3245" u="1"/>
        <n v="6428" u="1"/>
        <n v="8698" u="1"/>
        <n v="10715" u="1"/>
        <n v="3115" u="1"/>
        <n v="6168" u="1"/>
        <n v="10195" u="1"/>
        <n v="2985" u="1"/>
        <n v="5908" u="1"/>
        <n v="9675" u="1"/>
        <n v="11692" u="1"/>
        <n v="5648" u="1"/>
        <n v="9155" u="1"/>
        <n v="11172" u="1"/>
        <n v="5388" u="1"/>
        <n v="10652" u="1"/>
        <n v="336" u="1"/>
        <n v="10132" u="1"/>
        <n v="12149" u="1"/>
        <n v="1248" u="1"/>
        <n v="6885" u="1"/>
        <n v="9612" u="1"/>
        <n v="11629" u="1"/>
        <n v="1183" u="1"/>
        <n v="6625" u="1"/>
        <n v="11109" u="1"/>
        <n v="13126" u="1"/>
        <n v="1118" u="1"/>
        <n v="2205" u="1"/>
        <n v="6365" u="1"/>
        <n v="10589" u="1"/>
        <n v="12606" u="1"/>
        <n v="1053" u="1"/>
        <n v="2075" u="1"/>
        <n v="4092" u="1"/>
        <n v="6105" u="1"/>
        <n v="12086" u="1"/>
        <n v="1006" u="1"/>
        <n v="3962" u="1"/>
        <n v="11566" u="1"/>
        <n v="13583" u="1"/>
        <n v="3832" u="1"/>
        <n v="7602" u="1"/>
        <n v="11046" u="1"/>
        <n v="13063" u="1"/>
        <n v="3702" u="1"/>
        <n v="7342" u="1"/>
        <n v="12543" u="1"/>
        <n v="18787" u="1"/>
        <n v="231" u="1"/>
        <n v="3572" u="1"/>
        <n v="7082" u="1"/>
        <n v="12023" u="1"/>
        <n v="14040" u="1"/>
        <n v="6822" u="1"/>
        <n v="11503" u="1"/>
        <n v="13520" u="1"/>
        <n v="4545" u="1"/>
        <n v="6562" u="1"/>
        <n v="13000" u="1"/>
        <n v="811" u="1"/>
        <n v="4285" u="1"/>
        <n v="12480" u="1"/>
        <n v="14497" u="1"/>
        <n v="8059" u="1"/>
        <n v="11960" u="1"/>
        <n v="13977" u="1"/>
        <n v="746" u="1"/>
        <n v="7799" u="1"/>
        <n v="13457" u="1"/>
        <n v="2792" u="1"/>
        <n v="7539" u="1"/>
        <n v="8903" u="1"/>
        <n v="12937" u="1"/>
        <n v="14954" u="1"/>
        <n v="2662" u="1"/>
        <n v="5262" u="1"/>
        <n v="7279" u="1"/>
        <n v="8383" u="1"/>
        <n v="14434" u="1"/>
        <n v="166" u="1"/>
        <n v="2532" u="1"/>
        <n v="5002" u="1"/>
        <n v="13914" u="1"/>
        <n v="2402" u="1"/>
        <n v="4742" u="1"/>
        <n v="9360" u="1"/>
        <n v="13394" u="1"/>
        <n v="2272" u="1"/>
        <n v="4482" u="1"/>
        <n v="8840" u="1"/>
        <n v="14891" u="1"/>
        <n v="23483" u="1"/>
        <n v="4222" u="1"/>
        <n v="8320" u="1"/>
        <n v="14371" u="1"/>
        <n v="7996" u="1"/>
        <n v="9817" u="1"/>
        <n v="13851" u="1"/>
        <n v="499" u="1"/>
        <n v="5719" u="1"/>
        <n v="7736" u="1"/>
        <n v="9297" u="1"/>
        <n v="5459" u="1"/>
        <n v="8777" u="1"/>
        <n v="14828" u="1"/>
        <n v="1835" u="1"/>
        <n v="5199" u="1"/>
        <n v="8257" u="1"/>
        <n v="10274" u="1"/>
        <n v="14308" u="1"/>
        <n v="1770" u="1"/>
        <n v="4939" u="1"/>
        <n v="9754" u="1"/>
        <n v="1705" u="1"/>
        <n v="3379" u="1"/>
        <n v="4679" u="1"/>
        <n v="9234" u="1"/>
        <n v="11251" u="1"/>
        <n v="1640" u="1"/>
        <n v="3249" u="1"/>
        <n v="6436" u="1"/>
        <n v="8714" u="1"/>
        <n v="10731" u="1"/>
        <n v="1575" u="1"/>
        <n v="3119" u="1"/>
        <n v="6176" u="1"/>
        <n v="10211" u="1"/>
        <n v="2989" u="1"/>
        <n v="5916" u="1"/>
        <n v="9691" u="1"/>
        <n v="11708" u="1"/>
        <n v="369" u="1"/>
        <n v="2859" u="1"/>
        <n v="5656" u="1"/>
        <n v="9171" u="1"/>
        <n v="11188" u="1"/>
        <n v="5396" u="1"/>
        <n v="10668" u="1"/>
        <n v="10148" u="1"/>
        <n v="12165" u="1"/>
        <n v="1250" u="1"/>
        <n v="6893" u="1"/>
        <n v="9628" u="1"/>
        <n v="11645" u="1"/>
        <n v="304" u="1"/>
        <n v="1185" u="1"/>
        <n v="6633" u="1"/>
        <n v="11125" u="1"/>
        <n v="1120" u="1"/>
        <n v="2209" u="1"/>
        <n v="6373" u="1"/>
        <n v="10605" u="1"/>
        <n v="12622" u="1"/>
        <n v="1055" u="1"/>
        <n v="2079" u="1"/>
        <n v="6113" u="1"/>
        <n v="10085" u="1"/>
        <n v="12102" u="1"/>
        <n v="1007" u="1"/>
        <n v="3966" u="1"/>
        <n v="5853" u="1"/>
        <n v="11582" u="1"/>
        <n v="13599" u="1"/>
        <n v="3836" u="1"/>
        <n v="7610" u="1"/>
        <n v="11062" u="1"/>
        <n v="13079" u="1"/>
        <n v="3706" u="1"/>
        <n v="7350" u="1"/>
        <n v="12559" u="1"/>
        <n v="3576" u="1"/>
        <n v="7090" u="1"/>
        <n v="12039" u="1"/>
        <n v="14056" u="1"/>
        <n v="3446" u="1"/>
        <n v="6830" u="1"/>
        <n v="11519" u="1"/>
        <n v="13536" u="1"/>
        <n v="215" u="1"/>
        <n v="4553" u="1"/>
        <n v="6570" u="1"/>
        <n v="13016" u="1"/>
        <n v="812" u="1"/>
        <n v="4293" u="1"/>
        <n v="12496" u="1"/>
        <n v="14513" u="1"/>
        <n v="8067" u="1"/>
        <n v="11976" u="1"/>
        <n v="13993" u="1"/>
        <n v="747" u="1"/>
        <n v="7807" u="1"/>
        <n v="13473" u="1"/>
        <n v="2796" u="1"/>
        <n v="7547" u="1"/>
        <n v="12953" u="1"/>
        <n v="14970" u="1"/>
        <n v="2666" u="1"/>
        <n v="7287" u="1"/>
        <n v="8399" u="1"/>
        <n v="12433" u="1"/>
        <n v="14450" u="1"/>
        <n v="2536" u="1"/>
        <n v="5010" u="1"/>
        <n v="7027" u="1"/>
        <n v="13930" u="1"/>
        <n v="2406" u="1"/>
        <n v="4750" u="1"/>
        <n v="9376" u="1"/>
        <n v="13410" u="1"/>
        <n v="150" u="1"/>
        <n v="2276" u="1"/>
        <n v="4490" u="1"/>
        <n v="8856" u="1"/>
        <n v="12890" u="1"/>
        <n v="14907" u="1"/>
        <n v="4230" u="1"/>
        <n v="8336" u="1"/>
        <n v="14387" u="1"/>
        <n v="4033" u="1"/>
        <n v="8004" u="1"/>
        <n v="9833" u="1"/>
        <n v="13867" u="1"/>
        <n v="5727" u="1"/>
        <n v="7744" u="1"/>
        <n v="9313" u="1"/>
        <n v="5467" u="1"/>
        <n v="8793" u="1"/>
        <n v="14844" u="1"/>
        <n v="467" u="1"/>
        <n v="1837" u="1"/>
        <n v="5207" u="1"/>
        <n v="8273" u="1"/>
        <n v="10290" u="1"/>
        <n v="14324" u="1"/>
        <n v="1772" u="1"/>
        <n v="4947" u="1"/>
        <n v="9770" u="1"/>
        <n v="1707" u="1"/>
        <n v="3383" u="1"/>
        <n v="4687" u="1"/>
        <n v="9250" u="1"/>
        <n v="1642" u="1"/>
        <n v="3253" u="1"/>
        <n v="8730" u="1"/>
        <n v="10747" u="1"/>
        <n v="14781" u="1"/>
        <n v="1577" u="1"/>
        <n v="3123" u="1"/>
        <n v="6184" u="1"/>
        <n v="8210" u="1"/>
        <n v="10227" u="1"/>
        <n v="2993" u="1"/>
        <n v="5924" u="1"/>
        <n v="9707" u="1"/>
        <n v="11724" u="1"/>
        <n v="2863" u="1"/>
        <n v="5664" u="1"/>
        <n v="9187" u="1"/>
        <n v="11204" u="1"/>
        <n v="15238" u="1"/>
        <n v="5404" u="1"/>
        <n v="8667" u="1"/>
        <n v="10684" u="1"/>
        <n v="337" u="1"/>
        <n v="5144" u="1"/>
        <n v="10164" u="1"/>
        <n v="12181" u="1"/>
        <n v="6901" u="1"/>
        <n v="9644" u="1"/>
        <n v="11661" u="1"/>
        <n v="1187" u="1"/>
        <n v="6641" u="1"/>
        <n v="11141" u="1"/>
        <n v="1122" u="1"/>
        <n v="2213" u="1"/>
        <n v="6381" u="1"/>
        <n v="10621" u="1"/>
        <n v="12638" u="1"/>
        <n v="1057" u="1"/>
        <n v="2083" u="1"/>
        <n v="6121" u="1"/>
        <n v="10101" u="1"/>
        <n v="12118" u="1"/>
        <n v="1008" u="1"/>
        <n v="3970" u="1"/>
        <n v="5861" u="1"/>
        <n v="11598" u="1"/>
        <n v="3840" u="1"/>
        <n v="11078" u="1"/>
        <n v="13095" u="1"/>
        <n v="3710" u="1"/>
        <n v="7358" u="1"/>
        <n v="10558" u="1"/>
        <n v="12575" u="1"/>
        <n v="3580" u="1"/>
        <n v="7098" u="1"/>
        <n v="12055" u="1"/>
        <n v="14072" u="1"/>
        <n v="3450" u="1"/>
        <n v="6838" u="1"/>
        <n v="11535" u="1"/>
        <n v="13552" u="1"/>
        <n v="18788" u="1"/>
        <n v="6578" u="1"/>
        <n v="11015" u="1"/>
        <n v="13032" u="1"/>
        <n v="813" u="1"/>
        <n v="4301" u="1"/>
        <n v="6318" u="1"/>
        <n v="12512" u="1"/>
        <n v="14529" u="1"/>
        <n v="8075" u="1"/>
        <n v="11992" u="1"/>
        <n v="14009" u="1"/>
        <n v="748" u="1"/>
        <n v="7815" u="1"/>
        <n v="13489" u="1"/>
        <n v="2800" u="1"/>
        <n v="7555" u="1"/>
        <n v="12969" u="1"/>
        <n v="14986" u="1"/>
        <n v="683" u="1"/>
        <n v="2670" u="1"/>
        <n v="7295" u="1"/>
        <n v="8415" u="1"/>
        <n v="12449" u="1"/>
        <n v="14466" u="1"/>
        <n v="2540" u="1"/>
        <n v="5018" u="1"/>
        <n v="7035" u="1"/>
        <n v="13946" u="1"/>
        <n v="2410" u="1"/>
        <n v="4758" u="1"/>
        <n v="13426" u="1"/>
        <n v="2280" u="1"/>
        <n v="4498" u="1"/>
        <n v="8872" u="1"/>
        <n v="12906" u="1"/>
        <n v="14923" u="1"/>
        <n v="4238" u="1"/>
        <n v="8352" u="1"/>
        <n v="14403" u="1"/>
        <n v="134" u="1"/>
        <n v="4037" u="1"/>
        <n v="8012" u="1"/>
        <n v="13883" u="1"/>
        <n v="23484" u="1"/>
        <n v="500" u="1"/>
        <n v="7752" u="1"/>
        <n v="9329" u="1"/>
        <n v="13363" u="1"/>
        <n v="5475" u="1"/>
        <n v="7492" u="1"/>
        <n v="8809" u="1"/>
        <n v="14860" u="1"/>
        <n v="5215" u="1"/>
        <n v="8289" u="1"/>
        <n v="10306" u="1"/>
        <n v="14340" u="1"/>
        <n v="1774" u="1"/>
        <n v="4955" u="1"/>
        <n v="9786" u="1"/>
        <n v="1709" u="1"/>
        <n v="3387" u="1"/>
        <n v="4695" u="1"/>
        <n v="9266" u="1"/>
        <n v="1644" u="1"/>
        <n v="3257" u="1"/>
        <n v="8746" u="1"/>
        <n v="10763" u="1"/>
        <n v="14797" u="1"/>
        <n v="1579" u="1"/>
        <n v="3127" u="1"/>
        <n v="6192" u="1"/>
        <n v="8226" u="1"/>
        <n v="10243" u="1"/>
        <n v="2997" u="1"/>
        <n v="5932" u="1"/>
        <n v="9723" u="1"/>
        <n v="370" u="1"/>
        <n v="2867" u="1"/>
        <n v="5672" u="1"/>
        <n v="9203" u="1"/>
        <n v="11220" u="1"/>
        <n v="5412" u="1"/>
        <n v="8683" u="1"/>
        <n v="10700" u="1"/>
        <n v="5152" u="1"/>
        <n v="10180" u="1"/>
        <n v="9660" u="1"/>
        <n v="11677" u="1"/>
        <n v="305" u="1"/>
        <n v="1189" u="1"/>
        <n v="6649" u="1"/>
        <n v="9140" u="1"/>
        <n v="11157" u="1"/>
        <n v="1124" u="1"/>
        <n v="6389" u="1"/>
        <n v="10637" u="1"/>
        <n v="12654" u="1"/>
        <n v="1059" u="1"/>
        <n v="2087" u="1"/>
        <n v="6129" u="1"/>
        <n v="10117" u="1"/>
        <n v="12134" u="1"/>
        <n v="66" u="1"/>
        <n v="1009" u="1"/>
        <n v="3974" u="1"/>
        <n v="5869" u="1"/>
        <n v="11614" u="1"/>
        <n v="3844" u="1"/>
        <n v="11094" u="1"/>
        <n v="13111" u="1"/>
        <n v="3714" u="1"/>
        <n v="7366" u="1"/>
        <n v="10574" u="1"/>
        <n v="12591" u="1"/>
        <n v="3584" u="1"/>
        <n v="7106" u="1"/>
        <n v="12071" u="1"/>
        <n v="3454" u="1"/>
        <n v="6846" u="1"/>
        <n v="11551" u="1"/>
        <n v="13568" u="1"/>
        <n v="6586" u="1"/>
        <n v="11031" u="1"/>
        <n v="13048" u="1"/>
        <n v="814" u="1"/>
        <n v="4309" u="1"/>
        <n v="6326" u="1"/>
        <n v="12528" u="1"/>
        <n v="12008" u="1"/>
        <n v="14025" u="1"/>
        <n v="749" u="1"/>
        <n v="7823" u="1"/>
        <n v="11488" u="1"/>
        <n v="13505" u="1"/>
        <n v="7563" u="1"/>
        <n v="12985" u="1"/>
        <n v="15002" u="1"/>
        <n v="684" u="1"/>
        <n v="2674" u="1"/>
        <n v="7303" u="1"/>
        <n v="8431" u="1"/>
        <n v="12465" u="1"/>
        <n v="14482" u="1"/>
        <n v="2544" u="1"/>
        <n v="5026" u="1"/>
        <n v="7043" u="1"/>
        <n v="13962" u="1"/>
        <n v="2414" u="1"/>
        <n v="4766" u="1"/>
        <n v="13442" u="1"/>
        <n v="2284" u="1"/>
        <n v="4506" u="1"/>
        <n v="8888" u="1"/>
        <n v="12922" u="1"/>
        <n v="14939" u="1"/>
        <n v="4246" u="1"/>
        <n v="8368" u="1"/>
        <n v="14419" u="1"/>
        <n v="4041" u="1"/>
        <n v="8020" u="1"/>
        <n v="13899" u="1"/>
        <n v="7760" u="1"/>
        <n v="9345" u="1"/>
        <n v="13379" u="1"/>
        <n v="5483" u="1"/>
        <n v="7500" u="1"/>
        <n v="8825" u="1"/>
        <n v="14876" u="1"/>
        <n v="468" u="1"/>
        <n v="5223" u="1"/>
        <n v="8305" u="1"/>
        <n v="14356" u="1"/>
        <n v="1776" u="1"/>
        <n v="4963" u="1"/>
        <n v="9802" u="1"/>
        <n v="13836" u="1"/>
        <n v="1711" u="1"/>
        <n v="4703" u="1"/>
        <n v="9282" u="1"/>
        <n v="1646" u="1"/>
        <n v="3261" u="1"/>
        <n v="4443" u="1"/>
        <n v="8762" u="1"/>
        <n v="10779" u="1"/>
        <n v="14813" u="1"/>
        <n v="1581" u="1"/>
        <n v="3131" u="1"/>
        <n v="6200" u="1"/>
        <n v="8242" u="1"/>
        <n v="10259" u="1"/>
        <n v="1516" u="1"/>
        <n v="3001" u="1"/>
        <n v="5940" u="1"/>
        <n v="9739" u="1"/>
        <n v="2871" u="1"/>
        <n v="5680" u="1"/>
        <n v="9219" u="1"/>
        <n v="11236" u="1"/>
        <n v="5420" u="1"/>
        <n v="8699" u="1"/>
        <n v="10716" u="1"/>
        <n v="338" u="1"/>
        <n v="5160" u="1"/>
        <n v="10196" u="1"/>
        <n v="9676" u="1"/>
        <n v="11693" u="1"/>
        <n v="1191" u="1"/>
        <n v="6657" u="1"/>
        <n v="9156" u="1"/>
        <n v="11173" u="1"/>
        <n v="1126" u="1"/>
        <n v="6397" u="1"/>
        <n v="10653" u="1"/>
        <n v="1061" u="1"/>
        <n v="2091" u="1"/>
        <n v="6137" u="1"/>
        <n v="10133" u="1"/>
        <n v="12150" u="1"/>
        <n v="1010" u="1"/>
        <n v="5877" u="1"/>
        <n v="9613" u="1"/>
        <n v="11630" u="1"/>
        <n v="3848" u="1"/>
        <n v="5617" u="1"/>
        <n v="11110" u="1"/>
        <n v="13127" u="1"/>
        <n v="61" u="1"/>
        <n v="3718" u="1"/>
        <n v="7374" u="1"/>
        <n v="10590" u="1"/>
        <n v="12607" u="1"/>
        <n v="232" u="1"/>
        <n v="3588" u="1"/>
        <n v="7114" u="1"/>
        <n v="12087" u="1"/>
        <n v="3458" u="1"/>
        <n v="6854" u="1"/>
        <n v="11567" u="1"/>
        <n v="13584" u="1"/>
        <n v="3328" u="1"/>
        <n v="6594" u="1"/>
        <n v="11047" u="1"/>
        <n v="13064" u="1"/>
        <n v="4317" u="1"/>
        <n v="6334" u="1"/>
        <n v="12544" u="1"/>
        <n v="18789" u="1"/>
        <n v="12024" u="1"/>
        <n v="14041" u="1"/>
        <n v="750" u="1"/>
        <n v="7831" u="1"/>
        <n v="11504" u="1"/>
        <n v="13521" u="1"/>
        <n v="7571" u="1"/>
        <n v="13001" u="1"/>
        <n v="685" u="1"/>
        <n v="2678" u="1"/>
        <n v="7311" u="1"/>
        <n v="12481" u="1"/>
        <n v="14498" u="1"/>
        <n v="2548" u="1"/>
        <n v="7051" u="1"/>
        <n v="11961" u="1"/>
        <n v="13978" u="1"/>
        <n v="2418" u="1"/>
        <n v="4774" u="1"/>
        <n v="6791" u="1"/>
        <n v="13458" u="1"/>
        <n v="2288" u="1"/>
        <n v="4514" u="1"/>
        <n v="8904" u="1"/>
        <n v="12938" u="1"/>
        <n v="14955" u="1"/>
        <n v="2158" u="1"/>
        <n v="4254" u="1"/>
        <n v="8384" u="1"/>
        <n v="14435" u="1"/>
        <n v="4045" u="1"/>
        <n v="8028" u="1"/>
        <n v="13915" u="1"/>
        <n v="501" u="1"/>
        <n v="3915" u="1"/>
        <n v="7768" u="1"/>
        <n v="9361" u="1"/>
        <n v="13395" u="1"/>
        <n v="5491" u="1"/>
        <n v="7508" u="1"/>
        <n v="8841" u="1"/>
        <n v="14892" u="1"/>
        <n v="23485" u="1"/>
        <n v="5231" u="1"/>
        <n v="8321" u="1"/>
        <n v="14372" u="1"/>
        <n v="1778" u="1"/>
        <n v="4971" u="1"/>
        <n v="9818" u="1"/>
        <n v="13852" u="1"/>
        <n v="436" u="1"/>
        <n v="1713" u="1"/>
        <n v="4711" u="1"/>
        <n v="9298" u="1"/>
        <n v="1648" u="1"/>
        <n v="3265" u="1"/>
        <n v="4451" u="1"/>
        <n v="8778" u="1"/>
        <n v="14829" u="1"/>
        <n v="1583" u="1"/>
        <n v="3135" u="1"/>
        <n v="8258" u="1"/>
        <n v="10275" u="1"/>
        <n v="14309" u="1"/>
        <n v="1518" u="1"/>
        <n v="3005" u="1"/>
        <n v="5948" u="1"/>
        <n v="7965" u="1"/>
        <n v="9755" u="1"/>
        <n v="2875" u="1"/>
        <n v="5688" u="1"/>
        <n v="9235" u="1"/>
        <n v="11252" u="1"/>
        <n v="2745" u="1"/>
        <n v="5428" u="1"/>
        <n v="8715" u="1"/>
        <n v="10732" u="1"/>
        <n v="5168" u="1"/>
        <n v="8195" u="1"/>
        <n v="10212" u="1"/>
        <n v="4908" u="1"/>
        <n v="9692" u="1"/>
        <n v="11709" u="1"/>
        <n v="306" u="1"/>
        <n v="6665" u="1"/>
        <n v="9172" u="1"/>
        <n v="11189" u="1"/>
        <n v="1128" u="1"/>
        <n v="6405" u="1"/>
        <n v="10669" u="1"/>
        <n v="1063" u="1"/>
        <n v="2095" u="1"/>
        <n v="6145" u="1"/>
        <n v="10149" u="1"/>
        <n v="12166" u="1"/>
        <n v="1011" u="1"/>
        <n v="5885" u="1"/>
        <n v="9629" u="1"/>
        <n v="11646" u="1"/>
        <n v="3852" u="1"/>
        <n v="5625" u="1"/>
        <n v="11126" u="1"/>
        <n v="3722" u="1"/>
        <n v="10606" u="1"/>
        <n v="12623" u="1"/>
        <n v="3592" u="1"/>
        <n v="7122" u="1"/>
        <n v="10086" u="1"/>
        <n v="12103" u="1"/>
        <n v="57" u="1"/>
        <n v="3462" u="1"/>
        <n v="6862" u="1"/>
        <n v="11583" u="1"/>
        <n v="13600" u="1"/>
        <n v="216" u="1"/>
        <n v="3332" u="1"/>
        <n v="6602" u="1"/>
        <n v="11063" u="1"/>
        <n v="13080" u="1"/>
        <n v="4325" u="1"/>
        <n v="6342" u="1"/>
        <n v="10543" u="1"/>
        <n v="12560" u="1"/>
        <n v="6082" u="1"/>
        <n v="12040" u="1"/>
        <n v="14057" u="1"/>
        <n v="751" u="1"/>
        <n v="7839" u="1"/>
        <n v="11520" u="1"/>
        <n v="13537" u="1"/>
        <n v="7579" u="1"/>
        <n v="13017" u="1"/>
        <n v="686" u="1"/>
        <n v="2682" u="1"/>
        <n v="7319" u="1"/>
        <n v="12497" u="1"/>
        <n v="14514" u="1"/>
        <n v="2552" u="1"/>
        <n v="7059" u="1"/>
        <n v="11977" u="1"/>
        <n v="13994" u="1"/>
        <n v="2422" u="1"/>
        <n v="4782" u="1"/>
        <n v="6799" u="1"/>
        <n v="13474" u="1"/>
        <n v="151" u="1"/>
        <n v="2292" u="1"/>
        <n v="4522" u="1"/>
        <n v="12954" u="1"/>
        <n v="14971" u="1"/>
        <n v="2162" u="1"/>
        <n v="4262" u="1"/>
        <n v="8400" u="1"/>
        <n v="12434" u="1"/>
        <n v="14451" u="1"/>
        <n v="4049" u="1"/>
        <n v="8036" u="1"/>
        <n v="13931" u="1"/>
        <n v="3919" u="1"/>
        <n v="7776" u="1"/>
        <n v="9377" u="1"/>
        <n v="13411" u="1"/>
        <n v="22540" u="1"/>
        <n v="7516" u="1"/>
        <n v="8857" u="1"/>
        <n v="12891" u="1"/>
        <n v="14908" u="1"/>
        <n v="469" u="1"/>
        <n v="5239" u="1"/>
        <n v="7256" u="1"/>
        <n v="8337" u="1"/>
        <n v="14388" u="1"/>
        <n v="4979" u="1"/>
        <n v="9834" u="1"/>
        <n v="13868" u="1"/>
        <n v="1715" u="1"/>
        <n v="4719" u="1"/>
        <n v="9314" u="1"/>
        <n v="1650" u="1"/>
        <n v="3269" u="1"/>
        <n v="4459" u="1"/>
        <n v="8794" u="1"/>
        <n v="14845" u="1"/>
        <n v="1585" u="1"/>
        <n v="3139" u="1"/>
        <n v="8274" u="1"/>
        <n v="10291" u="1"/>
        <n v="14325" u="1"/>
        <n v="1520" u="1"/>
        <n v="3009" u="1"/>
        <n v="5956" u="1"/>
        <n v="7973" u="1"/>
        <n v="9771" u="1"/>
        <n v="2879" u="1"/>
        <n v="5696" u="1"/>
        <n v="9251" u="1"/>
        <n v="2749" u="1"/>
        <n v="5436" u="1"/>
        <n v="8731" u="1"/>
        <n v="10748" u="1"/>
        <n v="14782" u="1"/>
        <n v="339" u="1"/>
        <n v="5176" u="1"/>
        <n v="8211" u="1"/>
        <n v="10228" u="1"/>
        <n v="4916" u="1"/>
        <n v="9708" u="1"/>
        <n v="11725" u="1"/>
        <n v="9188" u="1"/>
        <n v="11205" u="1"/>
        <n v="15239" u="1"/>
        <n v="1130" u="1"/>
        <n v="6413" u="1"/>
        <n v="8668" u="1"/>
        <n v="10685" u="1"/>
        <n v="1065" u="1"/>
        <n v="6153" u="1"/>
        <n v="10165" u="1"/>
        <n v="12182" u="1"/>
        <n v="1012" u="1"/>
        <n v="5893" u="1"/>
        <n v="9645" u="1"/>
        <n v="11662" u="1"/>
        <n v="3856" u="1"/>
        <n v="5633" u="1"/>
        <n v="11142" u="1"/>
        <n v="947" u="1"/>
        <n v="3726" u="1"/>
        <n v="10622" u="1"/>
        <n v="12639" u="1"/>
        <n v="3596" u="1"/>
        <n v="7130" u="1"/>
        <n v="10102" u="1"/>
        <n v="12119" u="1"/>
        <n v="3466" u="1"/>
        <n v="6870" u="1"/>
        <n v="11599" u="1"/>
        <n v="3336" u="1"/>
        <n v="6610" u="1"/>
        <n v="11079" u="1"/>
        <n v="13096" u="1"/>
        <n v="6350" u="1"/>
        <n v="10559" u="1"/>
        <n v="12576" u="1"/>
        <n v="200" u="1"/>
        <n v="6090" u="1"/>
        <n v="12056" u="1"/>
        <n v="752" u="1"/>
        <n v="11536" u="1"/>
        <n v="13553" u="1"/>
        <n v="18790" u="1"/>
        <n v="7587" u="1"/>
        <n v="11016" u="1"/>
        <n v="13033" u="1"/>
        <n v="687" u="1"/>
        <n v="7327" u="1"/>
        <n v="12513" u="1"/>
        <n v="14530" u="1"/>
        <n v="2556" u="1"/>
        <n v="7067" u="1"/>
        <n v="11993" u="1"/>
        <n v="14010" u="1"/>
        <n v="2426" u="1"/>
        <n v="4790" u="1"/>
        <n v="6807" u="1"/>
        <n v="13490" u="1"/>
        <n v="2296" u="1"/>
        <n v="4530" u="1"/>
        <n v="12970" u="1"/>
        <n v="14987" u="1"/>
        <n v="2166" u="1"/>
        <n v="4270" u="1"/>
        <n v="8416" u="1"/>
        <n v="12450" u="1"/>
        <n v="14467" u="1"/>
        <n v="135" u="1"/>
        <n v="4053" u="1"/>
        <n v="8044" u="1"/>
        <n v="13947" u="1"/>
        <n v="502" u="1"/>
        <n v="3923" u="1"/>
        <n v="7784" u="1"/>
        <n v="13427" u="1"/>
        <n v="7524" u="1"/>
        <n v="8873" u="1"/>
        <n v="12907" u="1"/>
        <n v="14924" u="1"/>
        <n v="5247" u="1"/>
        <n v="7264" u="1"/>
        <n v="8353" u="1"/>
        <n v="14404" u="1"/>
        <n v="4987" u="1"/>
        <n v="13884" u="1"/>
        <n v="23486" u="1"/>
        <n v="437" u="1"/>
        <n v="1717" u="1"/>
        <n v="4727" u="1"/>
        <n v="9330" u="1"/>
        <n v="13364" u="1"/>
        <n v="1652" u="1"/>
        <n v="4467" u="1"/>
        <n v="8810" u="1"/>
        <n v="14861" u="1"/>
        <n v="1587" u="1"/>
        <n v="3143" u="1"/>
        <n v="4207" u="1"/>
        <n v="8290" u="1"/>
        <n v="10307" u="1"/>
        <n v="14341" u="1"/>
        <n v="99" u="1"/>
        <n v="1522" u="1"/>
        <n v="3013" u="1"/>
        <n v="5964" u="1"/>
        <n v="7981" u="1"/>
        <n v="9787" u="1"/>
        <n v="1457" u="1"/>
        <n v="2883" u="1"/>
        <n v="5704" u="1"/>
        <n v="9267" u="1"/>
        <n v="2753" u="1"/>
        <n v="5444" u="1"/>
        <n v="8747" u="1"/>
        <n v="10764" u="1"/>
        <n v="14798" u="1"/>
        <n v="5184" u="1"/>
        <n v="8227" u="1"/>
        <n v="10244" u="1"/>
        <n v="4924" u="1"/>
        <n v="9724" u="1"/>
        <n v="307" u="1"/>
        <n v="9204" u="1"/>
        <n v="11221" u="1"/>
        <n v="1132" u="1"/>
        <n v="6421" u="1"/>
        <n v="8684" u="1"/>
        <n v="10701" u="1"/>
        <n v="1067" u="1"/>
        <n v="6161" u="1"/>
        <n v="10181" u="1"/>
        <n v="1013" u="1"/>
        <n v="5901" u="1"/>
        <n v="9661" u="1"/>
        <n v="11678" u="1"/>
        <n v="5641" u="1"/>
        <n v="9141" u="1"/>
        <n v="11158" u="1"/>
        <n v="948" u="1"/>
        <n v="3730" u="1"/>
        <n v="5381" u="1"/>
        <n v="10638" u="1"/>
        <n v="12655" u="1"/>
        <n v="3600" u="1"/>
        <n v="7138" u="1"/>
        <n v="10118" u="1"/>
        <n v="12135" u="1"/>
        <n v="3470" u="1"/>
        <n v="6878" u="1"/>
        <n v="11615" u="1"/>
        <n v="3340" u="1"/>
        <n v="6618" u="1"/>
        <n v="11095" u="1"/>
        <n v="13112" u="1"/>
        <n v="6358" u="1"/>
        <n v="10575" u="1"/>
        <n v="12592" u="1"/>
        <n v="6098" u="1"/>
        <n v="12072" u="1"/>
        <n v="753" u="1"/>
        <n v="11552" u="1"/>
        <n v="13569" u="1"/>
        <n v="7595" u="1"/>
        <n v="11032" u="1"/>
        <n v="13049" u="1"/>
        <n v="688" u="1"/>
        <n v="7335" u="1"/>
        <n v="12529" u="1"/>
        <n v="2560" u="1"/>
        <n v="7075" u="1"/>
        <n v="12009" u="1"/>
        <n v="14026" u="1"/>
        <n v="2430" u="1"/>
        <n v="6815" u="1"/>
        <n v="11489" u="1"/>
        <n v="13506" u="1"/>
        <n v="2300" u="1"/>
        <n v="4538" u="1"/>
        <n v="6555" u="1"/>
        <n v="12986" u="1"/>
        <n v="15003" u="1"/>
        <n v="2170" u="1"/>
        <n v="4278" u="1"/>
        <n v="8432" u="1"/>
        <n v="12466" u="1"/>
        <n v="14483" u="1"/>
        <n v="2044" u="1"/>
        <n v="4057" u="1"/>
        <n v="8052" u="1"/>
        <n v="13963" u="1"/>
        <n v="3927" u="1"/>
        <n v="7792" u="1"/>
        <n v="13443" u="1"/>
        <n v="7532" u="1"/>
        <n v="8889" u="1"/>
        <n v="12923" u="1"/>
        <n v="14940" u="1"/>
        <n v="470" u="1"/>
        <n v="5255" u="1"/>
        <n v="7272" u="1"/>
        <n v="8369" u="1"/>
        <n v="14420" u="1"/>
        <n v="22541" u="1"/>
        <n v="4995" u="1"/>
        <n v="13900" u="1"/>
        <n v="1719" u="1"/>
        <n v="4735" u="1"/>
        <n v="9346" u="1"/>
        <n v="13380" u="1"/>
        <n v="1654" u="1"/>
        <n v="4475" u="1"/>
        <n v="8826" u="1"/>
        <n v="14877" u="1"/>
        <n v="1589" u="1"/>
        <n v="3147" u="1"/>
        <n v="4215" u="1"/>
        <n v="8306" u="1"/>
        <n v="14357" u="1"/>
        <n v="1524" u="1"/>
        <n v="3017" u="1"/>
        <n v="7989" u="1"/>
        <n v="9803" u="1"/>
        <n v="13837" u="1"/>
        <n v="1459" u="1"/>
        <n v="2887" u="1"/>
        <n v="5712" u="1"/>
        <n v="7729" u="1"/>
        <n v="9283" u="1"/>
        <n v="91" u="1"/>
        <n v="2757" u="1"/>
        <n v="5452" u="1"/>
        <n v="8763" u="1"/>
        <n v="10780" u="1"/>
        <n v="14814" u="1"/>
        <n v="340" u="1"/>
        <n v="2627" u="1"/>
        <n v="5192" u="1"/>
        <n v="8243" u="1"/>
        <n v="10260" u="1"/>
        <n v="4932" u="1"/>
        <n v="9740" u="1"/>
        <n v="9220" u="1"/>
        <n v="11237" u="1"/>
        <n v="1134" u="1"/>
        <n v="6429" u="1"/>
        <n v="8700" u="1"/>
        <n v="10717" u="1"/>
        <n v="275" u="1"/>
        <n v="1069" u="1"/>
        <n v="6169" u="1"/>
        <n v="10197" u="1"/>
        <n v="1014" u="1"/>
        <n v="5909" u="1"/>
        <n v="9677" u="1"/>
        <n v="11694" u="1"/>
        <n v="5649" u="1"/>
        <n v="9157" u="1"/>
        <n v="11174" u="1"/>
        <n v="949" u="1"/>
        <n v="3734" u="1"/>
        <n v="5389" u="1"/>
        <n v="10654" u="1"/>
        <n v="3604" u="1"/>
        <n v="10134" u="1"/>
        <n v="12151" u="1"/>
        <n v="3474" u="1"/>
        <n v="6886" u="1"/>
        <n v="9614" u="1"/>
        <n v="11631" u="1"/>
        <n v="3344" u="1"/>
        <n v="6626" u="1"/>
        <n v="11111" u="1"/>
        <n v="13128" u="1"/>
        <n v="3214" u="1"/>
        <n v="6366" u="1"/>
        <n v="10591" u="1"/>
        <n v="12608" u="1"/>
        <n v="6106" u="1"/>
        <n v="12088" u="1"/>
        <n v="754" u="1"/>
        <n v="11568" u="1"/>
        <n v="13585" u="1"/>
        <n v="7603" u="1"/>
        <n v="11048" u="1"/>
        <n v="13065" u="1"/>
        <n v="45" u="1"/>
        <n v="689" u="1"/>
        <n v="7343" u="1"/>
        <n v="12545" u="1"/>
        <n v="18791" u="1"/>
        <n v="2564" u="1"/>
        <n v="7083" u="1"/>
        <n v="12025" u="1"/>
        <n v="14042" u="1"/>
        <n v="624" u="1"/>
        <n v="2434" u="1"/>
        <n v="6823" u="1"/>
        <n v="11505" u="1"/>
        <n v="13522" u="1"/>
        <n v="2304" u="1"/>
        <n v="4546" u="1"/>
        <n v="6563" u="1"/>
        <n v="13002" u="1"/>
        <n v="2174" u="1"/>
        <n v="4286" u="1"/>
        <n v="12482" u="1"/>
        <n v="14499" u="1"/>
        <n v="2046" u="1"/>
        <n v="4061" u="1"/>
        <n v="8060" u="1"/>
        <n v="11962" u="1"/>
        <n v="13979" u="1"/>
        <n v="3931" u="1"/>
        <n v="7800" u="1"/>
        <n v="13459" u="1"/>
        <n v="3801" u="1"/>
        <n v="7540" u="1"/>
        <n v="8905" u="1"/>
        <n v="12939" u="1"/>
        <n v="14956" u="1"/>
        <n v="5263" u="1"/>
        <n v="7280" u="1"/>
        <n v="8385" u="1"/>
        <n v="14436" u="1"/>
        <n v="5003" u="1"/>
        <n v="7020" u="1"/>
        <n v="13916" u="1"/>
        <n v="438" u="1"/>
        <n v="4743" u="1"/>
        <n v="9362" u="1"/>
        <n v="13396" u="1"/>
        <n v="1656" u="1"/>
        <n v="4483" u="1"/>
        <n v="8842" u="1"/>
        <n v="14893" u="1"/>
        <n v="23487" u="1"/>
        <n v="1591" u="1"/>
        <n v="3151" u="1"/>
        <n v="4223" u="1"/>
        <n v="8322" u="1"/>
        <n v="14373" u="1"/>
        <n v="1526" u="1"/>
        <n v="3021" u="1"/>
        <n v="7997" u="1"/>
        <n v="9819" u="1"/>
        <n v="13853" u="1"/>
        <n v="1461" u="1"/>
        <n v="2891" u="1"/>
        <n v="5720" u="1"/>
        <n v="7737" u="1"/>
        <n v="9299" u="1"/>
        <n v="2761" u="1"/>
        <n v="5460" u="1"/>
        <n v="8779" u="1"/>
        <n v="14830" u="1"/>
        <n v="2631" u="1"/>
        <n v="5200" u="1"/>
        <n v="8259" u="1"/>
        <n v="10276" u="1"/>
        <n v="14310" u="1"/>
        <n v="83" u="1"/>
        <n v="4940" u="1"/>
        <n v="9756" u="1"/>
        <n v="308" u="1"/>
        <n v="4680" u="1"/>
        <n v="9236" u="1"/>
        <n v="11253" u="1"/>
        <n v="6437" u="1"/>
        <n v="8716" u="1"/>
        <n v="10733" u="1"/>
        <n v="1071" u="1"/>
        <n v="6177" u="1"/>
        <n v="8196" u="1"/>
        <n v="10213" u="1"/>
        <n v="1015" u="1"/>
        <n v="5917" u="1"/>
        <n v="9693" u="1"/>
        <n v="11710" u="1"/>
        <n v="5657" u="1"/>
        <n v="9173" u="1"/>
        <n v="11190" u="1"/>
        <n v="950" u="1"/>
        <n v="3738" u="1"/>
        <n v="5397" u="1"/>
        <n v="10670" u="1"/>
        <n v="3608" u="1"/>
        <n v="10150" u="1"/>
        <n v="12167" u="1"/>
        <n v="3478" u="1"/>
        <n v="6894" u="1"/>
        <n v="9630" u="1"/>
        <n v="11647" u="1"/>
        <n v="217" u="1"/>
        <n v="3348" u="1"/>
        <n v="6634" u="1"/>
        <n v="11127" u="1"/>
        <n v="3218" u="1"/>
        <n v="6374" u="1"/>
        <n v="10607" u="1"/>
        <n v="12624" u="1"/>
        <n v="6114" u="1"/>
        <n v="10087" u="1"/>
        <n v="12104" u="1"/>
        <n v="755" u="1"/>
        <n v="5854" u="1"/>
        <n v="11584" u="1"/>
        <n v="13601" u="1"/>
        <n v="7611" u="1"/>
        <n v="11064" u="1"/>
        <n v="13081" u="1"/>
        <n v="17846" u="1"/>
        <n v="690" u="1"/>
        <n v="7351" u="1"/>
        <n v="10544" u="1"/>
        <n v="12561" u="1"/>
        <n v="7091" u="1"/>
        <n v="12041" u="1"/>
        <n v="14058" u="1"/>
        <n v="41" u="1"/>
        <n v="625" u="1"/>
        <n v="2438" u="1"/>
        <n v="6831" u="1"/>
        <n v="11521" u="1"/>
        <n v="13538" u="1"/>
        <n v="2308" u="1"/>
        <n v="4554" u="1"/>
        <n v="6571" u="1"/>
        <n v="13018" u="1"/>
        <n v="2178" u="1"/>
        <n v="4294" u="1"/>
        <n v="12498" u="1"/>
        <n v="14515" u="1"/>
        <n v="2048" u="1"/>
        <n v="4065" u="1"/>
        <n v="8068" u="1"/>
        <n v="11978" u="1"/>
        <n v="13995" u="1"/>
        <n v="3935" u="1"/>
        <n v="7808" u="1"/>
        <n v="13475" u="1"/>
        <n v="3805" u="1"/>
        <n v="7548" u="1"/>
        <n v="12955" u="1"/>
        <n v="14972" u="1"/>
        <n v="471" u="1"/>
        <n v="7288" u="1"/>
        <n v="8401" u="1"/>
        <n v="12435" u="1"/>
        <n v="14452" u="1"/>
        <n v="5011" u="1"/>
        <n v="7028" u="1"/>
        <n v="13932" u="1"/>
        <n v="4751" u="1"/>
        <n v="13412" u="1"/>
        <n v="22542" u="1"/>
        <n v="1658" u="1"/>
        <n v="4491" u="1"/>
        <n v="8858" u="1"/>
        <n v="12892" u="1"/>
        <n v="14909" u="1"/>
        <n v="1593" u="1"/>
        <n v="4231" u="1"/>
        <n v="8338" u="1"/>
        <n v="14389" u="1"/>
        <n v="1528" u="1"/>
        <n v="3025" u="1"/>
        <n v="8005" u="1"/>
        <n v="9835" u="1"/>
        <n v="13869" u="1"/>
        <n v="1463" u="1"/>
        <n v="2895" u="1"/>
        <n v="5728" u="1"/>
        <n v="7745" u="1"/>
        <n v="9315" u="1"/>
        <n v="1398" u="1"/>
        <n v="2765" u="1"/>
        <n v="5468" u="1"/>
        <n v="8795" u="1"/>
        <n v="14846" u="1"/>
        <n v="2635" u="1"/>
        <n v="5208" u="1"/>
        <n v="8275" u="1"/>
        <n v="10292" u="1"/>
        <n v="14326" u="1"/>
        <n v="4948" u="1"/>
        <n v="9772" u="1"/>
        <n v="4688" u="1"/>
        <n v="9252" u="1"/>
        <n v="8732" u="1"/>
        <n v="10749" u="1"/>
        <n v="14783" u="1"/>
        <n v="276" u="1"/>
        <n v="1073" u="1"/>
        <n v="6185" u="1"/>
        <n v="8212" u="1"/>
        <n v="10229" u="1"/>
        <n v="1016" u="1"/>
        <n v="5925" u="1"/>
        <n v="9709" u="1"/>
        <n v="5665" u="1"/>
        <n v="9189" u="1"/>
        <n v="11206" u="1"/>
        <n v="15240" u="1"/>
        <n v="951" u="1"/>
        <n v="5405" u="1"/>
        <n v="8669" u="1"/>
        <n v="10686" u="1"/>
        <n v="3612" u="1"/>
        <n v="5145" u="1"/>
        <n v="10166" u="1"/>
        <n v="12183" u="1"/>
        <n v="3482" u="1"/>
        <n v="6902" u="1"/>
        <n v="9646" u="1"/>
        <n v="11663" u="1"/>
        <n v="3352" u="1"/>
        <n v="6642" u="1"/>
        <n v="11143" u="1"/>
        <n v="3222" u="1"/>
        <n v="6382" u="1"/>
        <n v="10623" u="1"/>
        <n v="12640" u="1"/>
        <n v="201" u="1"/>
        <n v="6122" u="1"/>
        <n v="10103" u="1"/>
        <n v="12120" u="1"/>
        <n v="756" u="1"/>
        <n v="5862" u="1"/>
        <n v="11600" u="1"/>
        <n v="11080" u="1"/>
        <n v="13097" u="1"/>
        <n v="691" u="1"/>
        <n v="7359" u="1"/>
        <n v="10560" u="1"/>
        <n v="12577" u="1"/>
        <n v="7099" u="1"/>
        <n v="12057" u="1"/>
        <n v="626" u="1"/>
        <n v="2442" u="1"/>
        <n v="6839" u="1"/>
        <n v="11537" u="1"/>
        <n v="13554" u="1"/>
        <n v="18792" u="1"/>
        <n v="2312" u="1"/>
        <n v="6579" u="1"/>
        <n v="11017" u="1"/>
        <n v="13034" u="1"/>
        <n v="37" u="1"/>
        <n v="2182" u="1"/>
        <n v="4302" u="1"/>
        <n v="6319" u="1"/>
        <n v="12514" u="1"/>
        <n v="14531" u="1"/>
        <n v="136" u="1"/>
        <n v="2052" u="1"/>
        <n v="4069" u="1"/>
        <n v="8076" u="1"/>
        <n v="11994" u="1"/>
        <n v="14011" u="1"/>
        <n v="1985" u="1"/>
        <n v="3939" u="1"/>
        <n v="7816" u="1"/>
        <n v="13491" u="1"/>
        <n v="3809" u="1"/>
        <n v="7556" u="1"/>
        <n v="12971" u="1"/>
        <n v="14988" u="1"/>
        <n v="7296" u="1"/>
        <n v="8417" u="1"/>
        <n v="12451" u="1"/>
        <n v="14468" u="1"/>
        <n v="5019" u="1"/>
        <n v="7036" u="1"/>
        <n v="13948" u="1"/>
        <n v="439" u="1"/>
        <n v="4759" u="1"/>
        <n v="13428" u="1"/>
        <n v="1660" u="1"/>
        <n v="4499" u="1"/>
        <n v="8874" u="1"/>
        <n v="12908" u="1"/>
        <n v="14925" u="1"/>
        <n v="1595" u="1"/>
        <n v="4239" u="1"/>
        <n v="8354" u="1"/>
        <n v="14405" u="1"/>
        <n v="1530" u="1"/>
        <n v="3029" u="1"/>
        <n v="8013" u="1"/>
        <n v="13885" u="1"/>
        <n v="23488" u="1"/>
        <n v="1465" u="1"/>
        <n v="2899" u="1"/>
        <n v="7753" u="1"/>
        <n v="9331" u="1"/>
        <n v="13365" u="1"/>
        <n v="1400" u="1"/>
        <n v="2769" u="1"/>
        <n v="5476" u="1"/>
        <n v="7493" u="1"/>
        <n v="8811" u="1"/>
        <n v="14862" u="1"/>
        <n v="2639" u="1"/>
        <n v="5216" u="1"/>
        <n v="8291" u="1"/>
        <n v="10308" u="1"/>
        <n v="14342" u="1"/>
        <n v="2509" u="1"/>
        <n v="4956" u="1"/>
        <n v="9788" u="1"/>
        <n v="309" u="1"/>
        <n v="4696" u="1"/>
        <n v="9268" u="1"/>
        <n v="8748" u="1"/>
        <n v="10765" u="1"/>
        <n v="14799" u="1"/>
        <n v="1075" u="1"/>
        <n v="6193" u="1"/>
        <n v="8228" u="1"/>
        <n v="10245" u="1"/>
        <n v="1017" u="1"/>
        <n v="5933" u="1"/>
        <n v="9725" u="1"/>
        <n v="5673" u="1"/>
        <n v="9205" u="1"/>
        <n v="11222" u="1"/>
        <n v="952" u="1"/>
        <n v="5413" u="1"/>
        <n v="8685" u="1"/>
        <n v="10702" u="1"/>
        <n v="3616" u="1"/>
        <n v="5153" u="1"/>
        <n v="10182" u="1"/>
        <n v="3486" u="1"/>
        <n v="9662" u="1"/>
        <n v="11679" u="1"/>
        <n v="3356" u="1"/>
        <n v="6650" u="1"/>
        <n v="9142" u="1"/>
        <n v="11159" u="1"/>
        <n v="3226" u="1"/>
        <n v="6390" u="1"/>
        <n v="10639" u="1"/>
        <n v="12656" u="1"/>
        <n v="3096" u="1"/>
        <n v="6130" u="1"/>
        <n v="10119" u="1"/>
        <n v="12136" u="1"/>
        <n v="5870" u="1"/>
        <n v="11616" u="1"/>
        <n v="185" u="1"/>
        <n v="11096" u="1"/>
        <n v="13113" u="1"/>
        <n v="692" u="1"/>
        <n v="7367" u="1"/>
        <n v="10576" u="1"/>
        <n v="12593" u="1"/>
        <n v="7107" u="1"/>
        <n v="12073" u="1"/>
        <n v="17847" u="1"/>
        <n v="627" u="1"/>
        <n v="2446" u="1"/>
        <n v="6847" u="1"/>
        <n v="11553" u="1"/>
        <n v="13570" u="1"/>
        <n v="2316" u="1"/>
        <n v="6587" u="1"/>
        <n v="11033" u="1"/>
        <n v="13050" u="1"/>
        <n v="2186" u="1"/>
        <n v="4310" u="1"/>
        <n v="6327" u="1"/>
        <n v="12530" u="1"/>
        <n v="2056" u="1"/>
        <n v="4073" u="1"/>
        <n v="12010" u="1"/>
        <n v="14027" u="1"/>
        <n v="1987" u="1"/>
        <n v="3943" u="1"/>
        <n v="7824" u="1"/>
        <n v="11490" u="1"/>
        <n v="13507" u="1"/>
        <n v="124" u="1"/>
        <n v="3813" u="1"/>
        <n v="7564" u="1"/>
        <n v="12987" u="1"/>
        <n v="15004" u="1"/>
        <n v="472" u="1"/>
        <n v="3683" u="1"/>
        <n v="7304" u="1"/>
        <n v="8433" u="1"/>
        <n v="12467" u="1"/>
        <n v="14484" u="1"/>
        <n v="5027" u="1"/>
        <n v="7044" u="1"/>
        <n v="13964" u="1"/>
        <n v="4767" u="1"/>
        <n v="13444" u="1"/>
        <n v="1662" u="1"/>
        <n v="4507" u="1"/>
        <n v="8890" u="1"/>
        <n v="12924" u="1"/>
        <n v="14941" u="1"/>
        <n v="407" u="1"/>
        <n v="1597" u="1"/>
        <n v="4247" u="1"/>
        <n v="8370" u="1"/>
        <n v="14421" u="1"/>
        <n v="22543" u="1"/>
        <n v="1532" u="1"/>
        <n v="3033" u="1"/>
        <n v="8021" u="1"/>
        <n v="13901" u="1"/>
        <n v="1467" u="1"/>
        <n v="2903" u="1"/>
        <n v="7761" u="1"/>
        <n v="9347" u="1"/>
        <n v="13381" u="1"/>
        <n v="1402" u="1"/>
        <n v="2773" u="1"/>
        <n v="5484" u="1"/>
        <n v="7501" u="1"/>
        <n v="8827" u="1"/>
        <n v="14878" u="1"/>
        <n v="2643" u="1"/>
        <n v="5224" u="1"/>
        <n v="8307" u="1"/>
        <n v="14358" u="1"/>
        <n v="2513" u="1"/>
        <n v="4964" u="1"/>
        <n v="9804" u="1"/>
        <n v="13838" u="1"/>
        <n v="4704" u="1"/>
        <n v="9284" u="1"/>
        <n v="4444" u="1"/>
        <n v="8764" u="1"/>
        <n v="10781" u="1"/>
        <n v="14815" u="1"/>
        <n v="277" u="1"/>
        <n v="6201" u="1"/>
        <n v="8244" u="1"/>
        <n v="10261" u="1"/>
        <n v="1018" u="1"/>
        <n v="5941" u="1"/>
        <n v="9741" u="1"/>
        <n v="5681" u="1"/>
        <n v="9221" u="1"/>
        <n v="11238" u="1"/>
        <n v="953" u="1"/>
        <n v="5421" u="1"/>
        <n v="8701" u="1"/>
        <n v="10718" u="1"/>
        <n v="3620" u="1"/>
        <n v="5161" u="1"/>
        <n v="10198" u="1"/>
        <n v="888" u="1"/>
        <n v="3490" u="1"/>
        <n v="9678" u="1"/>
        <n v="11695" u="1"/>
        <n v="3360" u="1"/>
        <n v="6658" u="1"/>
        <n v="9158" u="1"/>
        <n v="11175" u="1"/>
        <n v="3230" u="1"/>
        <n v="6398" u="1"/>
        <n v="10655" u="1"/>
        <n v="3100" u="1"/>
        <n v="6138" u="1"/>
        <n v="10135" u="1"/>
        <n v="12152" u="1"/>
        <n v="5878" u="1"/>
        <n v="9615" u="1"/>
        <n v="11632" u="1"/>
        <n v="5618" u="1"/>
        <n v="11112" u="1"/>
        <n v="13129" u="1"/>
        <n v="693" u="1"/>
        <n v="7375" u="1"/>
        <n v="10592" u="1"/>
        <n v="12609" u="1"/>
        <n v="7115" u="1"/>
        <n v="12089" u="1"/>
        <n v="628" u="1"/>
        <n v="2450" u="1"/>
        <n v="6855" u="1"/>
        <n v="11569" u="1"/>
        <n v="13586" u="1"/>
        <n v="2320" u="1"/>
        <n v="6595" u="1"/>
        <n v="11049" u="1"/>
        <n v="13066" u="1"/>
        <n v="2190" u="1"/>
        <n v="4318" u="1"/>
        <n v="6335" u="1"/>
        <n v="12546" u="1"/>
        <n v="18793" u="1"/>
        <n v="2060" u="1"/>
        <n v="4077" u="1"/>
        <n v="12026" u="1"/>
        <n v="14043" u="1"/>
        <n v="1989" u="1"/>
        <n v="3947" u="1"/>
        <n v="7832" u="1"/>
        <n v="11506" u="1"/>
        <n v="13523" u="1"/>
        <n v="3817" u="1"/>
        <n v="7572" u="1"/>
        <n v="13003" u="1"/>
        <n v="3687" u="1"/>
        <n v="7312" u="1"/>
        <n v="12483" u="1"/>
        <n v="14500" u="1"/>
        <n v="116" u="1"/>
        <n v="7052" u="1"/>
        <n v="11963" u="1"/>
        <n v="13980" u="1"/>
        <n v="440" u="1"/>
        <n v="4775" u="1"/>
        <n v="6792" u="1"/>
        <n v="13460" u="1"/>
        <n v="4515" u="1"/>
        <n v="8906" u="1"/>
        <n v="12940" u="1"/>
        <n v="14957" u="1"/>
        <n v="1599" u="1"/>
        <n v="4255" u="1"/>
        <n v="8386" u="1"/>
        <n v="12420" u="1"/>
        <n v="14437" u="1"/>
        <n v="1534" u="1"/>
        <n v="8029" u="1"/>
        <n v="13917" u="1"/>
        <n v="1469" u="1"/>
        <n v="2907" u="1"/>
        <n v="7769" u="1"/>
        <n v="9363" u="1"/>
        <n v="13397" u="1"/>
        <n v="1404" u="1"/>
        <n v="2777" u="1"/>
        <n v="5492" u="1"/>
        <n v="7509" u="1"/>
        <n v="8843" u="1"/>
        <n v="14894" u="1"/>
        <n v="1339" u="1"/>
        <n v="2647" u="1"/>
        <n v="5232" u="1"/>
        <n v="8323" u="1"/>
        <n v="14374" u="1"/>
        <n v="2517" u="1"/>
        <n v="4972" u="1"/>
        <n v="9820" u="1"/>
        <n v="13854" u="1"/>
        <n v="310" u="1"/>
        <n v="4712" u="1"/>
        <n v="9300" u="1"/>
        <n v="4452" u="1"/>
        <n v="8780" u="1"/>
        <n v="14831" u="1"/>
        <n v="8260" u="1"/>
        <n v="10277" u="1"/>
        <n v="14311" u="1"/>
        <n v="1019" u="1"/>
        <n v="5949" u="1"/>
        <n v="7966" u="1"/>
        <n v="9757" u="1"/>
        <n v="5689" u="1"/>
        <n v="9237" u="1"/>
        <n v="11254" u="1"/>
        <n v="954" u="1"/>
        <n v="5429" u="1"/>
        <n v="8717" u="1"/>
        <n v="10734" u="1"/>
        <n v="14768" u="1"/>
        <n v="5169" u="1"/>
        <n v="8197" u="1"/>
        <n v="10214" u="1"/>
        <n v="889" u="1"/>
        <n v="3494" u="1"/>
        <n v="4909" u="1"/>
        <n v="9694" u="1"/>
        <n v="11711" u="1"/>
        <n v="3364" u="1"/>
        <n v="6666" u="1"/>
        <n v="9174" u="1"/>
        <n v="11191" u="1"/>
        <n v="3234" u="1"/>
        <n v="6406" u="1"/>
        <n v="10671" u="1"/>
        <n v="3104" u="1"/>
        <n v="6146" u="1"/>
        <n v="10151" u="1"/>
        <n v="12168" u="1"/>
        <n v="5886" u="1"/>
        <n v="9631" u="1"/>
        <n v="11648" u="1"/>
        <n v="5626" u="1"/>
        <n v="11128" u="1"/>
        <n v="694" u="1"/>
        <n v="10608" u="1"/>
        <n v="12625" u="1"/>
        <n v="7123" u="1"/>
        <n v="10088" u="1"/>
        <n v="12105" u="1"/>
        <n v="629" u="1"/>
        <n v="6863" u="1"/>
        <n v="11585" u="1"/>
        <n v="13602" u="1"/>
        <n v="2324" u="1"/>
        <n v="6603" u="1"/>
        <n v="11065" u="1"/>
        <n v="13082" u="1"/>
        <n v="17848" u="1"/>
        <n v="2194" u="1"/>
        <n v="6343" u="1"/>
        <n v="10545" u="1"/>
        <n v="12562" u="1"/>
        <n v="2064" u="1"/>
        <n v="4081" u="1"/>
        <n v="6083" u="1"/>
        <n v="12042" u="1"/>
        <n v="14059" u="1"/>
        <n v="1991" u="1"/>
        <n v="3951" u="1"/>
        <n v="7840" u="1"/>
        <n v="11522" u="1"/>
        <n v="13539" u="1"/>
        <n v="1926" u="1"/>
        <n v="3821" u="1"/>
        <n v="7580" u="1"/>
        <n v="13019" u="1"/>
        <n v="3691" u="1"/>
        <n v="7320" u="1"/>
        <n v="12499" u="1"/>
        <n v="14516" u="1"/>
        <n v="7060" u="1"/>
        <n v="11979" u="1"/>
        <n v="13996" u="1"/>
        <n v="4783" u="1"/>
        <n v="6800" u="1"/>
        <n v="13476" u="1"/>
        <n v="4523" u="1"/>
        <n v="12956" u="1"/>
        <n v="14973" u="1"/>
        <n v="408" u="1"/>
        <n v="1601" u="1"/>
        <n v="4263" u="1"/>
        <n v="8402" u="1"/>
        <n v="12436" u="1"/>
        <n v="14453" u="1"/>
        <n v="1536" u="1"/>
        <n v="8037" u="1"/>
        <n v="13933" u="1"/>
        <n v="1471" u="1"/>
        <n v="2911" u="1"/>
        <n v="7777" u="1"/>
        <n v="13413" u="1"/>
        <n v="22544" u="1"/>
        <n v="1406" u="1"/>
        <n v="2781" u="1"/>
        <n v="7517" u="1"/>
        <n v="8859" u="1"/>
        <n v="12893" u="1"/>
        <n v="14910" u="1"/>
        <n v="1341" u="1"/>
        <n v="2651" u="1"/>
        <n v="5240" u="1"/>
        <n v="7257" u="1"/>
        <n v="8339" u="1"/>
        <n v="14390" u="1"/>
        <n v="2521" u="1"/>
        <n v="4980" u="1"/>
        <n v="9836" u="1"/>
        <n v="13870" u="1"/>
        <n v="2391" u="1"/>
        <n v="4720" u="1"/>
        <n v="9316" u="1"/>
        <n v="4460" u="1"/>
        <n v="8796" u="1"/>
        <n v="14847" u="1"/>
        <n v="278" u="1"/>
        <n v="8276" u="1"/>
        <n v="10293" u="1"/>
        <n v="14327" u="1"/>
        <n v="1020" u="1"/>
        <n v="5957" u="1"/>
        <n v="7974" u="1"/>
        <n v="9773" u="1"/>
        <n v="5697" u="1"/>
        <n v="9253" u="1"/>
        <n v="955" u="1"/>
        <n v="5437" u="1"/>
        <n v="8733" u="1"/>
        <n v="10750" u="1"/>
        <n v="14784" u="1"/>
        <n v="5177" u="1"/>
        <n v="8213" u="1"/>
        <n v="10230" u="1"/>
        <n v="890" u="1"/>
        <n v="3498" u="1"/>
        <n v="4917" u="1"/>
        <n v="9710" u="1"/>
        <n v="3368" u="1"/>
        <n v="9190" u="1"/>
        <n v="11207" u="1"/>
        <n v="15241" u="1"/>
        <n v="3238" u="1"/>
        <n v="6414" u="1"/>
        <n v="8670" u="1"/>
        <n v="10687" u="1"/>
        <n v="202" u="1"/>
        <n v="3108" u="1"/>
        <n v="6154" u="1"/>
        <n v="10167" u="1"/>
        <n v="12184" u="1"/>
        <n v="2978" u="1"/>
        <n v="5894" u="1"/>
        <n v="9647" u="1"/>
        <n v="11664" u="1"/>
        <n v="5634" u="1"/>
        <n v="11144" u="1"/>
        <n v="695" u="1"/>
        <n v="10624" u="1"/>
        <n v="12641" u="1"/>
        <n v="7131" u="1"/>
        <n v="10104" u="1"/>
        <n v="12121" u="1"/>
        <n v="630" u="1"/>
        <n v="6871" u="1"/>
        <n v="11601" u="1"/>
        <n v="2328" u="1"/>
        <n v="6611" u="1"/>
        <n v="11081" u="1"/>
        <n v="13098" u="1"/>
        <n v="565" u="1"/>
        <n v="2198" u="1"/>
        <n v="6351" u="1"/>
        <n v="10561" u="1"/>
        <n v="12578" u="1"/>
        <n v="2068" u="1"/>
        <n v="4085" u="1"/>
        <n v="6091" u="1"/>
        <n v="12058" u="1"/>
        <n v="1993" u="1"/>
        <n v="3955" u="1"/>
        <n v="11538" u="1"/>
        <n v="13555" u="1"/>
        <n v="1928" u="1"/>
        <n v="3825" u="1"/>
        <n v="7588" u="1"/>
        <n v="11018" u="1"/>
        <n v="13035" u="1"/>
        <n v="3695" u="1"/>
        <n v="7328" u="1"/>
        <n v="12515" u="1"/>
        <n v="14532" u="1"/>
        <n v="3565" u="1"/>
        <n v="7068" u="1"/>
        <n v="11995" u="1"/>
        <n v="14012" u="1"/>
        <n v="441" u="1"/>
        <n v="4791" u="1"/>
        <n v="6808" u="1"/>
        <n v="13492" u="1"/>
        <n v="4531" u="1"/>
        <n v="12972" u="1"/>
        <n v="14989" u="1"/>
        <n v="1603" u="1"/>
        <n v="4271" u="1"/>
        <n v="8418" u="1"/>
        <n v="12452" u="1"/>
        <n v="14469" u="1"/>
        <n v="1538" u="1"/>
        <n v="8045" u="1"/>
        <n v="13949" u="1"/>
        <n v="1473" u="1"/>
        <n v="2915" u="1"/>
        <n v="7785" u="1"/>
        <n v="13429" u="1"/>
        <n v="1408" u="1"/>
        <n v="2785" u="1"/>
        <n v="7525" u="1"/>
        <n v="8875" u="1"/>
        <n v="12909" u="1"/>
        <n v="14926" u="1"/>
        <n v="1343" u="1"/>
        <n v="2655" u="1"/>
        <n v="5248" u="1"/>
        <n v="7265" u="1"/>
        <n v="8355" u="1"/>
        <n v="14406" u="1"/>
        <n v="2525" u="1"/>
        <n v="4988" u="1"/>
        <n v="13886" u="1"/>
        <n v="311" u="1"/>
        <n v="2395" u="1"/>
        <n v="4728" u="1"/>
        <n v="9332" u="1"/>
        <n v="13366" u="1"/>
        <n v="4468" u="1"/>
        <n v="8812" u="1"/>
        <n v="14863" u="1"/>
        <n v="4208" u="1"/>
        <n v="8292" u="1"/>
        <n v="10309" u="1"/>
        <n v="14343" u="1"/>
        <n v="5965" u="1"/>
        <n v="7982" u="1"/>
        <n v="9789" u="1"/>
        <n v="251" u="1"/>
        <n v="5705" u="1"/>
        <n v="9269" u="1"/>
        <n v="956" u="1"/>
        <n v="5445" u="1"/>
        <n v="8749" u="1"/>
        <n v="10766" u="1"/>
        <n v="14800" u="1"/>
        <n v="5185" u="1"/>
        <n v="8229" u="1"/>
        <n v="10246" u="1"/>
        <n v="891" u="1"/>
        <n v="3502" u="1"/>
        <n v="4925" u="1"/>
        <n v="9726" u="1"/>
        <n v="3372" u="1"/>
        <n v="9206" u="1"/>
        <n v="11223" u="1"/>
        <n v="3242" u="1"/>
        <n v="6422" u="1"/>
        <n v="8686" u="1"/>
        <n v="10703" u="1"/>
        <n v="3112" u="1"/>
        <n v="6162" u="1"/>
        <n v="10183" u="1"/>
        <n v="2982" u="1"/>
        <n v="5902" u="1"/>
        <n v="9663" u="1"/>
        <n v="11680" u="1"/>
        <n v="186" u="1"/>
        <n v="5642" u="1"/>
        <n v="9143" u="1"/>
        <n v="11160" u="1"/>
        <n v="696" u="1"/>
        <n v="5382" u="1"/>
        <n v="10640" u="1"/>
        <n v="12657" u="1"/>
        <n v="7139" u="1"/>
        <n v="10120" u="1"/>
        <n v="12137" u="1"/>
        <n v="631" u="1"/>
        <n v="6879" u="1"/>
        <n v="11617" u="1"/>
        <n v="2332" u="1"/>
        <n v="6619" u="1"/>
        <n v="11097" u="1"/>
        <n v="13114" u="1"/>
        <n v="566" u="1"/>
        <n v="2202" u="1"/>
        <n v="6359" u="1"/>
        <n v="10577" u="1"/>
        <n v="12594" u="1"/>
        <n v="2072" u="1"/>
        <n v="4089" u="1"/>
        <n v="6099" u="1"/>
        <n v="12074" u="1"/>
        <n v="17849" u="1"/>
        <n v="1995" u="1"/>
        <n v="3959" u="1"/>
        <n v="11554" u="1"/>
        <n v="13571" u="1"/>
        <n v="1930" u="1"/>
        <n v="3829" u="1"/>
        <n v="7596" u="1"/>
        <n v="11034" u="1"/>
        <n v="13051" u="1"/>
        <n v="3699" u="1"/>
        <n v="7336" u="1"/>
        <n v="12531" u="1"/>
        <n v="3569" u="1"/>
        <n v="7076" u="1"/>
        <n v="12011" u="1"/>
        <n v="14028" u="1"/>
        <n v="6816" u="1"/>
        <n v="11491" u="1"/>
        <n v="13508" u="1"/>
        <n v="4539" u="1"/>
        <n v="6556" u="1"/>
        <n v="12988" u="1"/>
        <n v="15005" u="1"/>
        <n v="409" u="1"/>
        <n v="4279" u="1"/>
        <n v="8434" u="1"/>
        <n v="12468" u="1"/>
        <n v="14485" u="1"/>
        <n v="1540" u="1"/>
        <n v="8053" u="1"/>
        <n v="13965" u="1"/>
        <n v="1475" u="1"/>
        <n v="2919" u="1"/>
        <n v="7793" u="1"/>
        <n v="13445" u="1"/>
        <n v="92" u="1"/>
        <n v="1410" u="1"/>
        <n v="2789" u="1"/>
        <n v="7533" u="1"/>
        <n v="8891" u="1"/>
        <n v="12925" u="1"/>
        <n v="14942" u="1"/>
        <n v="1345" u="1"/>
        <n v="2659" u="1"/>
        <n v="5256" u="1"/>
        <n v="7273" u="1"/>
        <n v="8371" u="1"/>
        <n v="14422" u="1"/>
        <n v="22545" u="1"/>
        <n v="1280" u="1"/>
        <n v="2529" u="1"/>
        <n v="4996" u="1"/>
        <n v="13902" u="1"/>
        <n v="2399" u="1"/>
        <n v="4736" u="1"/>
        <n v="9348" u="1"/>
        <n v="13382" u="1"/>
        <n v="4476" u="1"/>
        <n v="8828" u="1"/>
        <n v="14879" u="1"/>
        <n v="279" u="1"/>
        <n v="4216" u="1"/>
        <n v="8308" u="1"/>
        <n v="14359" u="1"/>
        <n v="7990" u="1"/>
        <n v="9805" u="1"/>
        <n v="13839" u="1"/>
        <n v="5713" u="1"/>
        <n v="7730" u="1"/>
        <n v="9285" u="1"/>
        <n v="957" u="1"/>
        <n v="5453" u="1"/>
        <n v="8765" u="1"/>
        <n v="10782" u="1"/>
        <n v="14816" u="1"/>
        <n v="5193" u="1"/>
        <n v="8245" u="1"/>
        <n v="10262" u="1"/>
        <n v="892" u="1"/>
        <n v="3506" u="1"/>
        <n v="4933" u="1"/>
        <n v="9742" u="1"/>
        <n v="3376" u="1"/>
        <n v="4673" u="1"/>
        <n v="9222" u="1"/>
        <n v="11239" u="1"/>
        <n v="3246" u="1"/>
        <n v="6430" u="1"/>
        <n v="8702" u="1"/>
        <n v="10719" u="1"/>
        <n v="3116" u="1"/>
        <n v="6170" u="1"/>
        <n v="10199" u="1"/>
        <n v="2986" u="1"/>
        <n v="5910" u="1"/>
        <n v="9679" u="1"/>
        <n v="11696" u="1"/>
        <n v="5650" u="1"/>
        <n v="9159" u="1"/>
        <n v="11176" u="1"/>
        <n v="697" u="1"/>
        <n v="5390" u="1"/>
        <n v="10656" u="1"/>
        <n v="170" u="1"/>
        <n v="10136" u="1"/>
        <n v="12153" u="1"/>
        <n v="632" u="1"/>
        <n v="6887" u="1"/>
        <n v="9616" u="1"/>
        <n v="11633" u="1"/>
        <n v="6627" u="1"/>
        <n v="11113" u="1"/>
        <n v="13130" u="1"/>
        <n v="567" u="1"/>
        <n v="2206" u="1"/>
        <n v="6367" u="1"/>
        <n v="10593" u="1"/>
        <n v="12610" u="1"/>
        <n v="2076" u="1"/>
        <n v="4093" u="1"/>
        <n v="6107" u="1"/>
        <n v="10073" u="1"/>
        <n v="12090" u="1"/>
        <n v="1997" u="1"/>
        <n v="3963" u="1"/>
        <n v="5847" u="1"/>
        <n v="11570" u="1"/>
        <n v="13587" u="1"/>
        <n v="1932" u="1"/>
        <n v="3833" u="1"/>
        <n v="7604" u="1"/>
        <n v="11050" u="1"/>
        <n v="13067" u="1"/>
        <n v="1867" u="1"/>
        <n v="3703" u="1"/>
        <n v="7344" u="1"/>
        <n v="12547" u="1"/>
        <n v="3573" u="1"/>
        <n v="7084" u="1"/>
        <n v="12027" u="1"/>
        <n v="14044" u="1"/>
        <n v="442" u="1"/>
        <n v="6824" u="1"/>
        <n v="11507" u="1"/>
        <n v="13524" u="1"/>
        <n v="4547" u="1"/>
        <n v="6564" u="1"/>
        <n v="13004" u="1"/>
        <n v="4287" u="1"/>
        <n v="12484" u="1"/>
        <n v="14501" u="1"/>
        <n v="1542" u="1"/>
        <n v="8061" u="1"/>
        <n v="11964" u="1"/>
        <n v="13981" u="1"/>
        <n v="1477" u="1"/>
        <n v="7801" u="1"/>
        <n v="13461" u="1"/>
        <n v="1412" u="1"/>
        <n v="2793" u="1"/>
        <n v="7541" u="1"/>
        <n v="8907" u="1"/>
        <n v="12941" u="1"/>
        <n v="14958" u="1"/>
        <n v="1347" u="1"/>
        <n v="2663" u="1"/>
        <n v="7281" u="1"/>
        <n v="8387" u="1"/>
        <n v="12421" u="1"/>
        <n v="14438" u="1"/>
        <n v="84" u="1"/>
        <n v="1282" u="1"/>
        <n v="2533" u="1"/>
        <n v="5004" u="1"/>
        <n v="7021" u="1"/>
        <n v="13918" u="1"/>
        <n v="2403" u="1"/>
        <n v="4744" u="1"/>
        <n v="9364" u="1"/>
        <n v="13398" u="1"/>
        <n v="2273" u="1"/>
        <n v="4484" u="1"/>
        <n v="8844" u="1"/>
        <n v="14895" u="1"/>
        <n v="4224" u="1"/>
        <n v="8324" u="1"/>
        <n v="14375" u="1"/>
        <n v="7998" u="1"/>
        <n v="9821" u="1"/>
        <n v="13855" u="1"/>
        <n v="5721" u="1"/>
        <n v="7738" u="1"/>
        <n v="9301" u="1"/>
        <n v="958" u="1"/>
        <n v="5461" u="1"/>
        <n v="8781" u="1"/>
        <n v="14832" u="1"/>
        <n v="5201" u="1"/>
        <n v="8261" u="1"/>
        <n v="10278" u="1"/>
        <n v="14312" u="1"/>
        <n v="893" u="1"/>
        <n v="4941" u="1"/>
        <n v="9758" u="1"/>
        <n v="3380" u="1"/>
        <n v="4681" u="1"/>
        <n v="9238" u="1"/>
        <n v="11255" u="1"/>
        <n v="3250" u="1"/>
        <n v="8718" u="1"/>
        <n v="10735" u="1"/>
        <n v="14769" u="1"/>
        <n v="3120" u="1"/>
        <n v="6178" u="1"/>
        <n v="8198" u="1"/>
        <n v="10215" u="1"/>
        <n v="2990" u="1"/>
        <n v="5918" u="1"/>
        <n v="9695" u="1"/>
        <n v="11712" u="1"/>
        <n v="2860" u="1"/>
        <n v="5658" u="1"/>
        <n v="9175" u="1"/>
        <n v="11192" u="1"/>
        <n v="5398" u="1"/>
        <n v="10672" u="1"/>
        <n v="10152" u="1"/>
        <n v="12169" u="1"/>
        <n v="633" u="1"/>
        <n v="6895" u="1"/>
        <n v="9632" u="1"/>
        <n v="11649" u="1"/>
        <n v="6635" u="1"/>
        <n v="11129" u="1"/>
        <n v="568" u="1"/>
        <n v="2210" u="1"/>
        <n v="6375" u="1"/>
        <n v="10609" u="1"/>
        <n v="12626" u="1"/>
        <n v="2080" u="1"/>
        <n v="6115" u="1"/>
        <n v="10089" u="1"/>
        <n v="12106" u="1"/>
        <n v="1999" u="1"/>
        <n v="3967" u="1"/>
        <n v="5855" u="1"/>
        <n v="11586" u="1"/>
        <n v="1934" u="1"/>
        <n v="3837" u="1"/>
        <n v="11066" u="1"/>
        <n v="13083" u="1"/>
        <n v="17850" u="1"/>
        <n v="1869" u="1"/>
        <n v="3707" u="1"/>
        <n v="7352" u="1"/>
        <n v="10546" u="1"/>
        <n v="12563" u="1"/>
        <n v="3577" u="1"/>
        <n v="7092" u="1"/>
        <n v="12043" u="1"/>
        <n v="14060" u="1"/>
        <n v="3447" u="1"/>
        <n v="6832" u="1"/>
        <n v="11523" u="1"/>
        <n v="13540" u="1"/>
        <n v="4555" u="1"/>
        <n v="6572" u="1"/>
        <n v="13020" u="1"/>
        <n v="410" u="1"/>
        <n v="4295" u="1"/>
        <n v="12500" u="1"/>
        <n v="14517" u="1"/>
        <n v="1544" u="1"/>
        <n v="8069" u="1"/>
        <n v="11980" u="1"/>
        <n v="13997" u="1"/>
        <n v="1479" u="1"/>
        <n v="7809" u="1"/>
        <n v="13477" u="1"/>
        <n v="1414" u="1"/>
        <n v="2797" u="1"/>
        <n v="7549" u="1"/>
        <n v="12957" u="1"/>
        <n v="14974" u="1"/>
        <n v="1349" u="1"/>
        <n v="2667" u="1"/>
        <n v="7289" u="1"/>
        <n v="8403" u="1"/>
        <n v="12437" u="1"/>
        <n v="14454" u="1"/>
        <n v="1284" u="1"/>
        <n v="2537" u="1"/>
        <n v="5012" u="1"/>
        <n v="7029" u="1"/>
        <n v="13934" u="1"/>
        <n v="2407" u="1"/>
        <n v="4752" u="1"/>
        <n v="13414" u="1"/>
        <n v="22546" u="1"/>
        <n v="76" u="1"/>
        <n v="2277" u="1"/>
        <n v="4492" u="1"/>
        <n v="8860" u="1"/>
        <n v="12894" u="1"/>
        <n v="14911" u="1"/>
        <n v="280" u="1"/>
        <n v="4232" u="1"/>
        <n v="8340" u="1"/>
        <n v="14391" u="1"/>
        <n v="4034" u="1"/>
        <n v="8006" u="1"/>
        <n v="9837" u="1"/>
        <n v="13871" u="1"/>
        <n v="5729" u="1"/>
        <n v="7746" u="1"/>
        <n v="9317" u="1"/>
        <n v="959" u="1"/>
        <n v="5469" u="1"/>
        <n v="8797" u="1"/>
        <n v="14848" u="1"/>
        <n v="5209" u="1"/>
        <n v="8277" u="1"/>
        <n v="10294" u="1"/>
        <n v="14328" u="1"/>
        <n v="894" u="1"/>
        <n v="4949" u="1"/>
        <n v="9774" u="1"/>
        <n v="3384" u="1"/>
        <n v="4689" u="1"/>
        <n v="9254" u="1"/>
        <n v="3254" u="1"/>
        <n v="8734" u="1"/>
        <n v="10751" u="1"/>
        <n v="14785" u="1"/>
        <n v="203" u="1"/>
        <n v="3124" u="1"/>
        <n v="6186" u="1"/>
        <n v="8214" u="1"/>
        <n v="10231" u="1"/>
        <n v="2994" u="1"/>
        <n v="5926" u="1"/>
        <n v="9711" u="1"/>
        <n v="2864" u="1"/>
        <n v="5666" u="1"/>
        <n v="9191" u="1"/>
        <n v="11208" u="1"/>
        <n v="5406" u="1"/>
        <n v="8671" u="1"/>
        <n v="10688" u="1"/>
        <n v="5146" u="1"/>
        <n v="10168" u="1"/>
        <n v="12185" u="1"/>
        <n v="634" u="1"/>
        <n v="6903" u="1"/>
        <n v="9648" u="1"/>
        <n v="11665" u="1"/>
        <n v="6643" u="1"/>
        <n v="11145" u="1"/>
        <n v="569" u="1"/>
        <n v="2214" u="1"/>
        <n v="6383" u="1"/>
        <n v="10625" u="1"/>
        <n v="12642" u="1"/>
        <n v="2084" u="1"/>
        <n v="6123" u="1"/>
        <n v="10105" u="1"/>
        <n v="12122" u="1"/>
        <n v="2001" u="1"/>
        <n v="3971" u="1"/>
        <n v="5863" u="1"/>
        <n v="11602" u="1"/>
        <n v="1936" u="1"/>
        <n v="3841" u="1"/>
        <n v="11082" u="1"/>
        <n v="13099" u="1"/>
        <n v="1871" u="1"/>
        <n v="3711" u="1"/>
        <n v="7360" u="1"/>
        <n v="10562" u="1"/>
        <n v="12579" u="1"/>
        <n v="3581" u="1"/>
        <n v="7100" u="1"/>
        <n v="12059" u="1"/>
        <n v="443" u="1"/>
        <n v="3451" u="1"/>
        <n v="6840" u="1"/>
        <n v="11539" u="1"/>
        <n v="13556" u="1"/>
        <n v="6580" u="1"/>
        <n v="11019" u="1"/>
        <n v="13036" u="1"/>
        <n v="4303" u="1"/>
        <n v="6320" u="1"/>
        <n v="12516" u="1"/>
        <n v="14533" u="1"/>
        <n v="8077" u="1"/>
        <n v="11996" u="1"/>
        <n v="14013" u="1"/>
        <n v="378" u="1"/>
        <n v="1481" u="1"/>
        <n v="7817" u="1"/>
        <n v="13493" u="1"/>
        <n v="1416" u="1"/>
        <n v="2801" u="1"/>
        <n v="7557" u="1"/>
        <n v="12973" u="1"/>
        <n v="14990" u="1"/>
        <n v="1351" u="1"/>
        <n v="2671" u="1"/>
        <n v="7297" u="1"/>
        <n v="8419" u="1"/>
        <n v="12453" u="1"/>
        <n v="14470" u="1"/>
        <n v="1286" u="1"/>
        <n v="2541" u="1"/>
        <n v="5020" u="1"/>
        <n v="7037" u="1"/>
        <n v="13950" u="1"/>
        <n v="21601" u="1"/>
        <n v="1221" u="1"/>
        <n v="2411" u="1"/>
        <n v="4760" u="1"/>
        <n v="13430" u="1"/>
        <n v="2281" u="1"/>
        <n v="4500" u="1"/>
        <n v="8876" u="1"/>
        <n v="12910" u="1"/>
        <n v="14927" u="1"/>
        <n v="4240" u="1"/>
        <n v="8356" u="1"/>
        <n v="14407" u="1"/>
        <n v="4038" u="1"/>
        <n v="8014" u="1"/>
        <n v="13887" u="1"/>
        <n v="252" u="1"/>
        <n v="7754" u="1"/>
        <n v="9333" u="1"/>
        <n v="13367" u="1"/>
        <n v="960" u="1"/>
        <n v="5477" u="1"/>
        <n v="7494" u="1"/>
        <n v="8813" u="1"/>
        <n v="14864" u="1"/>
        <n v="5217" u="1"/>
        <n v="8293" u="1"/>
        <n v="10310" u="1"/>
        <n v="14344" u="1"/>
        <n v="895" u="1"/>
        <n v="4957" u="1"/>
        <n v="9790" u="1"/>
        <n v="3388" u="1"/>
        <n v="4697" u="1"/>
        <n v="9270" u="1"/>
        <n v="830" u="1"/>
        <n v="3258" u="1"/>
        <n v="8750" u="1"/>
        <n v="10767" u="1"/>
        <n v="14801" u="1"/>
        <n v="3128" u="1"/>
        <n v="6194" u="1"/>
        <n v="8230" u="1"/>
        <n v="10247" u="1"/>
        <n v="2998" u="1"/>
        <n v="5934" u="1"/>
        <n v="9727" u="1"/>
        <n v="187" u="1"/>
        <n v="2868" u="1"/>
        <n v="5674" u="1"/>
        <n v="9207" u="1"/>
        <n v="11224" u="1"/>
        <n v="5414" u="1"/>
        <n v="8687" u="1"/>
        <n v="10704" u="1"/>
        <n v="5154" u="1"/>
        <n v="10184" u="1"/>
        <n v="635" u="1"/>
        <n v="9664" u="1"/>
        <n v="11681" u="1"/>
        <n v="6651" u="1"/>
        <n v="9144" u="1"/>
        <n v="11161" u="1"/>
        <n v="570" u="1"/>
        <n v="6391" u="1"/>
        <n v="10641" u="1"/>
        <n v="12658" u="1"/>
        <n v="2088" u="1"/>
        <n v="6131" u="1"/>
        <n v="10121" u="1"/>
        <n v="12138" u="1"/>
        <n v="2003" u="1"/>
        <n v="3975" u="1"/>
        <n v="5871" u="1"/>
        <n v="11618" u="1"/>
        <n v="125" u="1"/>
        <n v="1938" u="1"/>
        <n v="3845" u="1"/>
        <n v="11098" u="1"/>
        <n v="13115" u="1"/>
        <n v="1873" u="1"/>
        <n v="3715" u="1"/>
        <n v="7368" u="1"/>
        <n v="10578" u="1"/>
        <n v="12595" u="1"/>
        <n v="1808" u="1"/>
        <n v="3585" u="1"/>
        <n v="7108" u="1"/>
        <n v="12075" u="1"/>
        <n v="17851" u="1"/>
        <n v="3455" u="1"/>
        <n v="6848" u="1"/>
        <n v="11555" u="1"/>
        <n v="13572" u="1"/>
        <n v="6588" u="1"/>
        <n v="11035" u="1"/>
        <n v="13052" u="1"/>
        <n v="411" u="1"/>
        <n v="4311" u="1"/>
        <n v="6328" u="1"/>
        <n v="12532" u="1"/>
        <n v="12012" u="1"/>
        <n v="14029" u="1"/>
        <n v="1483" u="1"/>
        <n v="7825" u="1"/>
        <n v="11492" u="1"/>
        <n v="13509" u="1"/>
        <n v="1418" u="1"/>
        <n v="7565" u="1"/>
        <n v="12989" u="1"/>
        <n v="15006" u="1"/>
        <n v="1353" u="1"/>
        <n v="2675" u="1"/>
        <n v="7305" u="1"/>
        <n v="8435" u="1"/>
        <n v="12469" u="1"/>
        <n v="14486" u="1"/>
        <n v="1288" u="1"/>
        <n v="2545" u="1"/>
        <n v="5028" u="1"/>
        <n v="7045" u="1"/>
        <n v="13966" u="1"/>
        <n v="1223" u="1"/>
        <n v="2415" u="1"/>
        <n v="4768" u="1"/>
        <n v="13446" u="1"/>
        <n v="2285" u="1"/>
        <n v="4508" u="1"/>
        <n v="8892" u="1"/>
        <n v="12926" u="1"/>
        <n v="14943" u="1"/>
        <n v="281" u="1"/>
        <n v="2155" u="1"/>
        <n v="4248" u="1"/>
        <n v="8372" u="1"/>
        <n v="14423" u="1"/>
        <n v="22547" u="1"/>
        <n v="4042" u="1"/>
        <n v="8022" u="1"/>
        <n v="13903" u="1"/>
        <n v="7762" u="1"/>
        <n v="9349" u="1"/>
        <n v="13383" u="1"/>
        <n v="961" u="1"/>
        <n v="5485" u="1"/>
        <n v="7502" u="1"/>
        <n v="8829" u="1"/>
        <n v="14880" u="1"/>
        <n v="236" u="1"/>
        <n v="5225" u="1"/>
        <n v="8309" u="1"/>
        <n v="14360" u="1"/>
        <n v="896" u="1"/>
        <n v="4965" u="1"/>
        <n v="9806" u="1"/>
        <n v="13840" u="1"/>
        <n v="4705" u="1"/>
        <n v="9286" u="1"/>
        <n v="831" u="1"/>
        <n v="3262" u="1"/>
        <n v="4445" u="1"/>
        <n v="8766" u="1"/>
        <n v="10783" u="1"/>
        <n v="14817" u="1"/>
        <n v="3132" u="1"/>
        <n v="6202" u="1"/>
        <n v="8246" u="1"/>
        <n v="10263" u="1"/>
        <n v="3002" u="1"/>
        <n v="5942" u="1"/>
        <n v="7959" u="1"/>
        <n v="9743" u="1"/>
        <n v="2872" u="1"/>
        <n v="5682" u="1"/>
        <n v="9223" u="1"/>
        <n v="11240" u="1"/>
        <n v="2742" u="1"/>
        <n v="5422" u="1"/>
        <n v="8703" u="1"/>
        <n v="10720" u="1"/>
        <n v="171" u="1"/>
        <n v="5162" u="1"/>
        <n v="10200" u="1"/>
        <n v="636" u="1"/>
        <n v="9680" u="1"/>
        <n v="11697" u="1"/>
        <n v="6659" u="1"/>
        <n v="9160" u="1"/>
        <n v="11177" u="1"/>
        <n v="571" u="1"/>
        <n v="6399" u="1"/>
        <n v="10657" u="1"/>
        <n v="2092" u="1"/>
        <n v="6139" u="1"/>
        <n v="10137" u="1"/>
        <n v="12154" u="1"/>
        <n v="2005" u="1"/>
        <n v="5879" u="1"/>
        <n v="9617" u="1"/>
        <n v="11634" u="1"/>
        <n v="1940" u="1"/>
        <n v="3849" u="1"/>
        <n v="5619" u="1"/>
        <n v="11114" u="1"/>
        <n v="13131" u="1"/>
        <n v="1875" u="1"/>
        <n v="3719" u="1"/>
        <n v="7376" u="1"/>
        <n v="10594" u="1"/>
        <n v="12611" u="1"/>
        <n v="117" u="1"/>
        <n v="1810" u="1"/>
        <n v="3589" u="1"/>
        <n v="7116" u="1"/>
        <n v="10074" u="1"/>
        <n v="12091" u="1"/>
        <n v="3459" u="1"/>
        <n v="6856" u="1"/>
        <n v="11571" u="1"/>
        <n v="13588" u="1"/>
        <n v="3329" u="1"/>
        <n v="6596" u="1"/>
        <n v="11051" u="1"/>
        <n v="13068" u="1"/>
        <n v="4319" u="1"/>
        <n v="6336" u="1"/>
        <n v="12548" u="1"/>
        <n v="12028" u="1"/>
        <n v="14045" u="1"/>
        <n v="379" u="1"/>
        <n v="1485" u="1"/>
        <n v="7833" u="1"/>
        <n v="11508" u="1"/>
        <n v="13525" u="1"/>
        <n v="1420" u="1"/>
        <n v="7573" u="1"/>
        <n v="13005" u="1"/>
        <n v="1355" u="1"/>
        <n v="2679" u="1"/>
        <n v="7313" u="1"/>
        <n v="12485" u="1"/>
        <n v="14502" u="1"/>
        <n v="1290" u="1"/>
        <n v="2549" u="1"/>
        <n v="7053" u="1"/>
        <n v="11965" u="1"/>
        <n v="13982" u="1"/>
        <n v="1225" u="1"/>
        <n v="2419" u="1"/>
        <n v="4776" u="1"/>
        <n v="6793" u="1"/>
        <n v="13462" u="1"/>
        <n v="2289" u="1"/>
        <n v="4516" u="1"/>
        <n v="8908" u="1"/>
        <n v="12942" u="1"/>
        <n v="14959" u="1"/>
        <n v="21602" u="1"/>
        <n v="2159" u="1"/>
        <n v="4256" u="1"/>
        <n v="8388" u="1"/>
        <n v="12422" u="1"/>
        <n v="14439" u="1"/>
        <n v="4046" u="1"/>
        <n v="8030" u="1"/>
        <n v="13919" u="1"/>
        <n v="3916" u="1"/>
        <n v="7770" u="1"/>
        <n v="9365" u="1"/>
        <n v="13399" u="1"/>
        <n v="5493" u="1"/>
        <n v="7510" u="1"/>
        <n v="8845" u="1"/>
        <n v="14896" u="1"/>
        <n v="5233" u="1"/>
        <n v="8325" u="1"/>
        <n v="14376" u="1"/>
        <n v="897" u="1"/>
        <n v="4973" u="1"/>
        <n v="9822" u="1"/>
        <n v="13856" u="1"/>
        <n v="4713" u="1"/>
        <n v="9302" u="1"/>
        <n v="832" u="1"/>
        <n v="3266" u="1"/>
        <n v="4453" u="1"/>
        <n v="8782" u="1"/>
        <n v="14833" u="1"/>
        <n v="3136" u="1"/>
        <n v="8262" u="1"/>
        <n v="10279" u="1"/>
        <n v="14313" u="1"/>
        <n v="3006" u="1"/>
        <n v="5950" u="1"/>
        <n v="7967" u="1"/>
        <n v="9759" u="1"/>
        <n v="2876" u="1"/>
        <n v="5690" u="1"/>
        <n v="9239" u="1"/>
        <n v="2746" u="1"/>
        <n v="5430" u="1"/>
        <n v="8719" u="1"/>
        <n v="10736" u="1"/>
        <n v="14770" u="1"/>
        <n v="5170" u="1"/>
        <n v="8199" u="1"/>
        <n v="10216" u="1"/>
        <n v="637" u="1"/>
        <n v="4910" u="1"/>
        <n v="9696" u="1"/>
        <n v="11713" u="1"/>
        <n v="6667" u="1"/>
        <n v="9176" u="1"/>
        <n v="11193" u="1"/>
        <n v="572" u="1"/>
        <n v="6407" u="1"/>
        <n v="10673" u="1"/>
        <n v="2096" u="1"/>
        <n v="6147" u="1"/>
        <n v="10153" u="1"/>
        <n v="12170" u="1"/>
        <n v="2007" u="1"/>
        <n v="5887" u="1"/>
        <n v="9633" u="1"/>
        <n v="11650" u="1"/>
        <n v="1942" u="1"/>
        <n v="3853" u="1"/>
        <n v="5627" u="1"/>
        <n v="11130" u="1"/>
        <n v="1877" u="1"/>
        <n v="3723" u="1"/>
        <n v="10610" u="1"/>
        <n v="12627" u="1"/>
        <n v="1812" u="1"/>
        <n v="3593" u="1"/>
        <n v="7124" u="1"/>
        <n v="10090" u="1"/>
        <n v="12107" u="1"/>
        <n v="3463" u="1"/>
        <n v="6864" u="1"/>
        <n v="11587" u="1"/>
        <n v="109" u="1"/>
        <n v="3333" u="1"/>
        <n v="6604" u="1"/>
        <n v="11067" u="1"/>
        <n v="13084" u="1"/>
        <n v="17852" u="1"/>
        <n v="412" u="1"/>
        <n v="6344" u="1"/>
        <n v="10547" u="1"/>
        <n v="12564" u="1"/>
        <n v="6084" u="1"/>
        <n v="12044" u="1"/>
        <n v="14061" u="1"/>
        <n v="7841" u="1"/>
        <n v="11524" u="1"/>
        <n v="13541" u="1"/>
        <n v="1422" u="1"/>
        <n v="7581" u="1"/>
        <n v="13021" u="1"/>
        <n v="1357" u="1"/>
        <n v="2683" u="1"/>
        <n v="7321" u="1"/>
        <n v="12501" u="1"/>
        <n v="14518" u="1"/>
        <n v="1292" u="1"/>
        <n v="2553" u="1"/>
        <n v="7061" u="1"/>
        <n v="11981" u="1"/>
        <n v="13998" u="1"/>
        <n v="1227" u="1"/>
        <n v="2423" u="1"/>
        <n v="4784" u="1"/>
        <n v="6801" u="1"/>
        <n v="13478" u="1"/>
        <n v="2293" u="1"/>
        <n v="4524" u="1"/>
        <n v="12958" u="1"/>
        <n v="14975" u="1"/>
        <n v="282" u="1"/>
        <n v="2163" u="1"/>
        <n v="4264" u="1"/>
        <n v="8404" u="1"/>
        <n v="12438" u="1"/>
        <n v="14455" u="1"/>
        <n v="4050" u="1"/>
        <n v="8038" u="1"/>
        <n v="13935" u="1"/>
        <n v="3920" u="1"/>
        <n v="7778" u="1"/>
        <n v="13415" u="1"/>
        <n v="22548" u="1"/>
        <n v="7518" u="1"/>
        <n v="8861" u="1"/>
        <n v="12895" u="1"/>
        <n v="14912" u="1"/>
        <n v="5241" u="1"/>
        <n v="7258" u="1"/>
        <n v="8341" u="1"/>
        <n v="14392" u="1"/>
        <n v="898" u="1"/>
        <n v="4981" u="1"/>
        <n v="9838" u="1"/>
        <n v="13872" u="1"/>
        <n v="4721" u="1"/>
        <n v="9318" u="1"/>
        <n v="54" u="1"/>
        <n v="833" u="1"/>
        <n v="3270" u="1"/>
        <n v="4461" u="1"/>
        <n v="8798" u="1"/>
        <n v="14849" u="1"/>
        <n v="3140" u="1"/>
        <n v="8278" u="1"/>
        <n v="10295" u="1"/>
        <n v="14329" u="1"/>
        <n v="3010" u="1"/>
        <n v="5958" u="1"/>
        <n v="7975" u="1"/>
        <n v="9775" u="1"/>
        <n v="2880" u="1"/>
        <n v="5698" u="1"/>
        <n v="9255" u="1"/>
        <n v="2750" u="1"/>
        <n v="5438" u="1"/>
        <n v="8735" u="1"/>
        <n v="10752" u="1"/>
        <n v="14786" u="1"/>
        <n v="5178" u="1"/>
        <n v="8215" u="1"/>
        <n v="10232" u="1"/>
        <n v="638" u="1"/>
        <n v="4918" u="1"/>
        <n v="9712" u="1"/>
        <n v="9192" u="1"/>
        <n v="11209" u="1"/>
        <n v="573" u="1"/>
        <n v="6415" u="1"/>
        <n v="8672" u="1"/>
        <n v="10689" u="1"/>
        <n v="6155" u="1"/>
        <n v="10169" u="1"/>
        <n v="12186" u="1"/>
        <n v="510" u="1"/>
        <n v="2009" u="1"/>
        <n v="5895" u="1"/>
        <n v="9649" u="1"/>
        <n v="11666" u="1"/>
        <n v="1944" u="1"/>
        <n v="3857" u="1"/>
        <n v="5635" u="1"/>
        <n v="11146" u="1"/>
        <n v="1879" u="1"/>
        <n v="3727" u="1"/>
        <n v="10626" u="1"/>
        <n v="12643" u="1"/>
        <n v="1814" u="1"/>
        <n v="3597" u="1"/>
        <n v="7132" u="1"/>
        <n v="10106" u="1"/>
        <n v="12123" u="1"/>
        <n v="3467" u="1"/>
        <n v="6872" u="1"/>
        <n v="11603" u="1"/>
        <n v="16907" u="1"/>
        <n v="3337" u="1"/>
        <n v="6612" u="1"/>
        <n v="11083" u="1"/>
        <n v="13100" u="1"/>
        <n v="6352" u="1"/>
        <n v="10563" u="1"/>
        <n v="12580" u="1"/>
        <n v="6092" u="1"/>
        <n v="12060" u="1"/>
        <n v="380" u="1"/>
        <n v="11540" u="1"/>
        <n v="13557" u="1"/>
        <n v="1424" u="1"/>
        <n v="7589" u="1"/>
        <n v="11020" u="1"/>
        <n v="13037" u="1"/>
        <n v="1359" u="1"/>
        <n v="7329" u="1"/>
        <n v="12517" u="1"/>
        <n v="14534" u="1"/>
        <n v="1294" u="1"/>
        <n v="2557" u="1"/>
        <n v="7069" u="1"/>
        <n v="11997" u="1"/>
        <n v="14014" u="1"/>
        <n v="1229" u="1"/>
        <n v="2427" u="1"/>
        <n v="4792" u="1"/>
        <n v="6809" u="1"/>
        <n v="13494" u="1"/>
        <n v="1164" u="1"/>
        <n v="2297" u="1"/>
        <n v="4532" u="1"/>
        <n v="12974" u="1"/>
        <n v="14991" u="1"/>
        <n v="2167" u="1"/>
        <n v="4272" u="1"/>
        <n v="8420" u="1"/>
        <n v="12454" u="1"/>
        <n v="14471" u="1"/>
        <n v="4054" u="1"/>
        <n v="8046" u="1"/>
        <n v="13951" u="1"/>
        <n v="21603" u="1"/>
        <n v="253" u="1"/>
        <n v="3924" u="1"/>
        <n v="7786" u="1"/>
        <n v="13431" u="1"/>
        <n v="7526" u="1"/>
        <n v="8877" u="1"/>
        <n v="12911" u="1"/>
        <n v="14928" u="1"/>
        <n v="5249" u="1"/>
        <n v="7266" u="1"/>
        <n v="8357" u="1"/>
        <n v="14408" u="1"/>
        <n v="899" u="1"/>
        <n v="4989" u="1"/>
        <n v="13888" u="1"/>
        <n v="4729" u="1"/>
        <n v="9334" u="1"/>
        <n v="13368" u="1"/>
        <n v="834" u="1"/>
        <n v="4469" u="1"/>
        <n v="8814" u="1"/>
        <n v="14865" u="1"/>
        <n v="3144" u="1"/>
        <n v="4209" u="1"/>
        <n v="8294" u="1"/>
        <n v="10311" u="1"/>
        <n v="14345" u="1"/>
        <n v="50" u="1"/>
        <n v="3014" u="1"/>
        <n v="5966" u="1"/>
        <n v="7983" u="1"/>
        <n v="9791" u="1"/>
        <n v="188" u="1"/>
        <n v="2884" u="1"/>
        <n v="5706" u="1"/>
        <n v="9271" u="1"/>
        <n v="2754" u="1"/>
        <n v="5446" u="1"/>
        <n v="8751" u="1"/>
        <n v="10768" u="1"/>
        <n v="14802" u="1"/>
        <n v="2624" u="1"/>
        <n v="5186" u="1"/>
        <n v="8231" u="1"/>
        <n v="10248" u="1"/>
        <n v="4926" u="1"/>
        <n v="9728" u="1"/>
        <n v="9208" u="1"/>
        <n v="11225" u="1"/>
        <n v="574" u="1"/>
        <n v="6423" u="1"/>
        <n v="8688" u="1"/>
        <n v="10705" u="1"/>
        <n v="6163" u="1"/>
        <n v="10185" u="1"/>
        <n v="2011" u="1"/>
        <n v="5903" u="1"/>
        <n v="9665" u="1"/>
        <n v="11682" u="1"/>
        <n v="1946" u="1"/>
        <n v="5643" u="1"/>
        <n v="9145" u="1"/>
        <n v="11162" u="1"/>
        <n v="1881" u="1"/>
        <n v="3731" u="1"/>
        <n v="5383" u="1"/>
        <n v="10642" u="1"/>
        <n v="12659" u="1"/>
        <n v="1816" u="1"/>
        <n v="3601" u="1"/>
        <n v="7140" u="1"/>
        <n v="10122" u="1"/>
        <n v="12139" u="1"/>
        <n v="1751" u="1"/>
        <n v="3471" u="1"/>
        <n v="6880" u="1"/>
        <n v="11619" u="1"/>
        <n v="3341" u="1"/>
        <n v="6620" u="1"/>
        <n v="11099" u="1"/>
        <n v="13116" u="1"/>
        <n v="413" u="1"/>
        <n v="3211" u="1"/>
        <n v="6360" u="1"/>
        <n v="10579" u="1"/>
        <n v="12596" u="1"/>
        <n v="6100" u="1"/>
        <n v="12076" u="1"/>
        <n v="17853" u="1"/>
        <n v="11556" u="1"/>
        <n v="13573" u="1"/>
        <n v="1426" u="1"/>
        <n v="7597" u="1"/>
        <n v="11036" u="1"/>
        <n v="13053" u="1"/>
        <n v="348" u="1"/>
        <n v="1361" u="1"/>
        <n v="7337" u="1"/>
        <n v="12533" u="1"/>
        <n v="1296" u="1"/>
        <n v="2561" u="1"/>
        <n v="7077" u="1"/>
        <n v="12013" u="1"/>
        <n v="14030" u="1"/>
        <n v="1231" u="1"/>
        <n v="2431" u="1"/>
        <n v="6817" u="1"/>
        <n v="11493" u="1"/>
        <n v="13510" u="1"/>
        <n v="1166" u="1"/>
        <n v="2301" u="1"/>
        <n v="4540" u="1"/>
        <n v="6557" u="1"/>
        <n v="12990" u="1"/>
        <n v="15007" u="1"/>
        <n v="2171" u="1"/>
        <n v="4280" u="1"/>
        <n v="8436" u="1"/>
        <n v="12470" u="1"/>
        <n v="14487" u="1"/>
        <n v="4058" u="1"/>
        <n v="8054" u="1"/>
        <n v="13967" u="1"/>
        <n v="3928" u="1"/>
        <n v="7794" u="1"/>
        <n v="13447" u="1"/>
        <n v="3798" u="1"/>
        <n v="7534" u="1"/>
        <n v="8893" u="1"/>
        <n v="12927" u="1"/>
        <n v="14944" u="1"/>
        <n v="237" u="1"/>
        <n v="5257" u="1"/>
        <n v="7274" u="1"/>
        <n v="8373" u="1"/>
        <n v="14424" u="1"/>
        <n v="22549" u="1"/>
        <n v="900" u="1"/>
        <n v="4997" u="1"/>
        <n v="13904" u="1"/>
        <n v="4737" u="1"/>
        <n v="9350" u="1"/>
        <n v="13384" u="1"/>
        <n v="835" u="1"/>
        <n v="4477" u="1"/>
        <n v="8830" u="1"/>
        <n v="14881" u="1"/>
        <n v="3148" u="1"/>
        <n v="4217" u="1"/>
        <n v="8310" u="1"/>
        <n v="14361" u="1"/>
        <n v="3018" u="1"/>
        <n v="7991" u="1"/>
        <n v="9807" u="1"/>
        <n v="13841" u="1"/>
        <n v="2888" u="1"/>
        <n v="5714" u="1"/>
        <n v="7731" u="1"/>
        <n v="9287" u="1"/>
        <n v="46" u="1"/>
        <n v="2758" u="1"/>
        <n v="5454" u="1"/>
        <n v="8767" u="1"/>
        <n v="10784" u="1"/>
        <n v="14818" u="1"/>
        <n v="172" u="1"/>
        <n v="2628" u="1"/>
        <n v="5194" u="1"/>
        <n v="8247" u="1"/>
        <n v="10264" u="1"/>
        <n v="14298" u="1"/>
        <n v="4934" u="1"/>
        <n v="9744" u="1"/>
        <n v="4674" u="1"/>
        <n v="9224" u="1"/>
        <n v="11241" u="1"/>
        <n v="575" u="1"/>
        <n v="6431" u="1"/>
        <n v="8704" u="1"/>
        <n v="10721" u="1"/>
        <n v="6171" u="1"/>
        <n v="10201" u="1"/>
        <n v="511" u="1"/>
        <n v="2013" u="1"/>
        <n v="5911" u="1"/>
        <n v="9681" u="1"/>
        <n v="11698" u="1"/>
        <n v="1948" u="1"/>
        <n v="5651" u="1"/>
        <n v="9161" u="1"/>
        <n v="11178" u="1"/>
        <n v="1883" u="1"/>
        <n v="3735" u="1"/>
        <n v="5391" u="1"/>
        <n v="10658" u="1"/>
        <n v="1818" u="1"/>
        <n v="3605" u="1"/>
        <n v="10138" u="1"/>
        <n v="12155" u="1"/>
        <n v="1753" u="1"/>
        <n v="3475" u="1"/>
        <n v="6888" u="1"/>
        <n v="9618" u="1"/>
        <n v="11635" u="1"/>
        <n v="3345" u="1"/>
        <n v="6628" u="1"/>
        <n v="11115" u="1"/>
        <n v="13132" u="1"/>
        <n v="3215" u="1"/>
        <n v="6368" u="1"/>
        <n v="10595" u="1"/>
        <n v="12612" u="1"/>
        <n v="16908" u="1"/>
        <n v="6108" u="1"/>
        <n v="10075" u="1"/>
        <n v="12092" u="1"/>
        <n v="381" u="1"/>
        <n v="5848" u="1"/>
        <n v="11572" u="1"/>
        <n v="13589" u="1"/>
        <n v="7605" u="1"/>
        <n v="11052" u="1"/>
        <n v="13069" u="1"/>
        <n v="1363" u="1"/>
        <n v="7345" u="1"/>
        <n v="12549" u="1"/>
        <n v="1298" u="1"/>
        <n v="2565" u="1"/>
        <n v="7085" u="1"/>
        <n v="12029" u="1"/>
        <n v="14046" u="1"/>
        <n v="1233" u="1"/>
        <n v="2435" u="1"/>
        <n v="6825" u="1"/>
        <n v="11509" u="1"/>
        <n v="13526" u="1"/>
        <n v="1168" u="1"/>
        <n v="2305" u="1"/>
        <n v="4548" u="1"/>
        <n v="6565" u="1"/>
        <n v="13006" u="1"/>
        <n v="2175" u="1"/>
        <n v="4288" u="1"/>
        <n v="12486" u="1"/>
        <n v="14503" u="1"/>
        <n v="4062" u="1"/>
        <n v="8062" u="1"/>
        <n v="11966" u="1"/>
        <n v="13983" u="1"/>
        <n v="3932" u="1"/>
        <n v="7802" u="1"/>
        <n v="13463" u="1"/>
        <n v="3802" u="1"/>
        <n v="7542" u="1"/>
        <n v="12943" u="1"/>
        <n v="14960" u="1"/>
        <n v="21604" u="1"/>
        <n v="7282" u="1"/>
        <n v="8389" u="1"/>
        <n v="12423" u="1"/>
        <n v="14440" u="1"/>
        <n v="901" u="1"/>
        <n v="5005" u="1"/>
        <n v="7022" u="1"/>
        <n v="13920" u="1"/>
        <n v="4745" u="1"/>
        <n v="9366" u="1"/>
        <n v="13400" u="1"/>
        <n v="836" u="1"/>
        <n v="4485" u="1"/>
        <n v="8846" u="1"/>
        <n v="14897" u="1"/>
        <n v="3152" u="1"/>
        <n v="4225" u="1"/>
        <n v="8326" u="1"/>
        <n v="14377" u="1"/>
        <n v="771" u="1"/>
        <n v="3022" u="1"/>
        <n v="7999" u="1"/>
        <n v="9823" u="1"/>
        <n v="13857" u="1"/>
        <n v="2892" u="1"/>
        <n v="5722" u="1"/>
        <n v="7739" u="1"/>
        <n v="9303" u="1"/>
        <n v="2762" u="1"/>
        <n v="5462" u="1"/>
        <n v="8783" u="1"/>
        <n v="14834" u="1"/>
        <n v="2632" u="1"/>
        <n v="5202" u="1"/>
        <n v="8263" u="1"/>
        <n v="10280" u="1"/>
        <n v="14314" u="1"/>
        <n v="4942" u="1"/>
        <n v="9760" u="1"/>
        <n v="156" u="1"/>
        <n v="4682" u="1"/>
        <n v="9240" u="1"/>
        <n v="576" u="1"/>
        <n v="8720" u="1"/>
        <n v="10737" u="1"/>
        <n v="14771" u="1"/>
        <n v="6179" u="1"/>
        <n v="8200" u="1"/>
        <n v="10217" u="1"/>
        <n v="5919" u="1"/>
        <n v="9697" u="1"/>
        <n v="11714" u="1"/>
        <n v="1950" u="1"/>
        <n v="5659" u="1"/>
        <n v="9177" u="1"/>
        <n v="11194" u="1"/>
        <n v="1885" u="1"/>
        <n v="3739" u="1"/>
        <n v="5399" u="1"/>
        <n v="10674" u="1"/>
        <n v="1820" u="1"/>
        <n v="3609" u="1"/>
        <n v="10154" u="1"/>
        <n v="12171" u="1"/>
        <n v="1755" u="1"/>
        <n v="3479" u="1"/>
        <n v="6896" u="1"/>
        <n v="9634" u="1"/>
        <n v="11651" u="1"/>
        <n v="3349" u="1"/>
        <n v="6636" u="1"/>
        <n v="11131" u="1"/>
        <n v="414" u="1"/>
        <n v="3219" u="1"/>
        <n v="6376" u="1"/>
        <n v="10611" u="1"/>
        <n v="12628" u="1"/>
        <n v="6116" u="1"/>
        <n v="10091" u="1"/>
        <n v="12108" u="1"/>
        <n v="5856" u="1"/>
        <n v="11588" u="1"/>
        <n v="11068" u="1"/>
        <n v="13085" u="1"/>
        <n v="17854" u="1"/>
        <n v="349" u="1"/>
        <n v="1365" u="1"/>
        <n v="7353" u="1"/>
        <n v="10548" u="1"/>
        <n v="12565" u="1"/>
        <n v="1300" u="1"/>
        <n v="7093" u="1"/>
        <n v="12045" u="1"/>
        <n v="14062" u="1"/>
        <n v="1235" u="1"/>
        <n v="2439" u="1"/>
        <n v="6833" u="1"/>
        <n v="11525" u="1"/>
        <n v="13542" u="1"/>
        <n v="77" u="1"/>
        <n v="1170" u="1"/>
        <n v="2309" u="1"/>
        <n v="4556" u="1"/>
        <n v="6573" u="1"/>
        <n v="13022" u="1"/>
        <n v="1105" u="1"/>
        <n v="2179" u="1"/>
        <n v="4296" u="1"/>
        <n v="12502" u="1"/>
        <n v="14519" u="1"/>
        <n v="2049" u="1"/>
        <n v="4066" u="1"/>
        <n v="8070" u="1"/>
        <n v="11982" u="1"/>
        <n v="13999" u="1"/>
        <n v="3936" u="1"/>
        <n v="7810" u="1"/>
        <n v="13479" u="1"/>
        <n v="3806" u="1"/>
        <n v="7550" u="1"/>
        <n v="12959" u="1"/>
        <n v="14976" u="1"/>
        <n v="7290" u="1"/>
        <n v="8405" u="1"/>
        <n v="12439" u="1"/>
        <n v="14456" u="1"/>
        <n v="902" u="1"/>
        <n v="5013" u="1"/>
        <n v="7030" u="1"/>
        <n v="13936" u="1"/>
        <n v="4753" u="1"/>
        <n v="13416" u="1"/>
        <n v="837" u="1"/>
        <n v="4493" u="1"/>
        <n v="8862" u="1"/>
        <n v="12896" u="1"/>
        <n v="14913" u="1"/>
        <n v="4233" u="1"/>
        <n v="8342" u="1"/>
        <n v="14393" u="1"/>
        <n v="772" u="1"/>
        <n v="3026" u="1"/>
        <n v="8007" u="1"/>
        <n v="9839" u="1"/>
        <n v="13873" u="1"/>
        <n v="2896" u="1"/>
        <n v="5730" u="1"/>
        <n v="7747" u="1"/>
        <n v="9319" u="1"/>
        <n v="2766" u="1"/>
        <n v="5470" u="1"/>
        <n v="8799" u="1"/>
        <n v="14850" u="1"/>
        <n v="2636" u="1"/>
        <n v="5210" u="1"/>
        <n v="8279" u="1"/>
        <n v="10296" u="1"/>
        <n v="14330" u="1"/>
        <n v="4950" u="1"/>
        <n v="9776" u="1"/>
        <n v="4690" u="1"/>
        <n v="9256" u="1"/>
        <n v="577" u="1"/>
        <n v="8736" u="1"/>
        <n v="10753" u="1"/>
        <n v="14787" u="1"/>
        <n v="6187" u="1"/>
        <n v="8216" u="1"/>
        <n v="10233" u="1"/>
        <n v="512" u="1"/>
        <n v="5927" u="1"/>
        <n v="9713" u="1"/>
        <n v="1952" u="1"/>
        <n v="5667" u="1"/>
        <n v="9193" u="1"/>
        <n v="11210" u="1"/>
        <n v="1887" u="1"/>
        <n v="5407" u="1"/>
        <n v="8673" u="1"/>
        <n v="10690" u="1"/>
        <n v="1822" u="1"/>
        <n v="3613" u="1"/>
        <n v="5147" u="1"/>
        <n v="10170" u="1"/>
        <n v="12187" u="1"/>
        <n v="1757" u="1"/>
        <n v="3483" u="1"/>
        <n v="6904" u="1"/>
        <n v="9650" u="1"/>
        <n v="11667" u="1"/>
        <n v="1692" u="1"/>
        <n v="3353" u="1"/>
        <n v="6644" u="1"/>
        <n v="11147" u="1"/>
        <n v="3223" u="1"/>
        <n v="6384" u="1"/>
        <n v="10627" u="1"/>
        <n v="12644" u="1"/>
        <n v="6124" u="1"/>
        <n v="10107" u="1"/>
        <n v="12124" u="1"/>
        <n v="382" u="1"/>
        <n v="5864" u="1"/>
        <n v="11604" u="1"/>
        <n v="16909" u="1"/>
        <n v="11084" u="1"/>
        <n v="13101" u="1"/>
        <n v="1367" u="1"/>
        <n v="7361" u="1"/>
        <n v="10564" u="1"/>
        <n v="12581" u="1"/>
        <n v="1302" u="1"/>
        <n v="7101" u="1"/>
        <n v="12061" u="1"/>
        <n v="1237" u="1"/>
        <n v="2443" u="1"/>
        <n v="6841" u="1"/>
        <n v="11541" u="1"/>
        <n v="13558" u="1"/>
        <n v="1172" u="1"/>
        <n v="2313" u="1"/>
        <n v="6581" u="1"/>
        <n v="11021" u="1"/>
        <n v="13038" u="1"/>
        <n v="1107" u="1"/>
        <n v="2183" u="1"/>
        <n v="4304" u="1"/>
        <n v="6321" u="1"/>
        <n v="12518" u="1"/>
        <n v="14535" u="1"/>
        <n v="69" u="1"/>
        <n v="2053" u="1"/>
        <n v="4070" u="1"/>
        <n v="8078" u="1"/>
        <n v="11998" u="1"/>
        <n v="14015" u="1"/>
        <n v="254" u="1"/>
        <n v="3940" u="1"/>
        <n v="7818" u="1"/>
        <n v="13495" u="1"/>
        <n v="3810" u="1"/>
        <n v="7558" u="1"/>
        <n v="12975" u="1"/>
        <n v="14992" u="1"/>
        <n v="7298" u="1"/>
        <n v="8421" u="1"/>
        <n v="12455" u="1"/>
        <n v="14472" u="1"/>
        <n v="5021" u="1"/>
        <n v="7038" u="1"/>
        <n v="13952" u="1"/>
        <n v="21605" u="1"/>
        <n v="4761" u="1"/>
        <n v="13432" u="1"/>
        <n v="838" u="1"/>
        <n v="4501" u="1"/>
        <n v="8878" u="1"/>
        <n v="12912" u="1"/>
        <n v="14929" u="1"/>
        <n v="4241" u="1"/>
        <n v="8358" u="1"/>
        <n v="14409" u="1"/>
        <n v="773" u="1"/>
        <n v="3030" u="1"/>
        <n v="8015" u="1"/>
        <n v="13889" u="1"/>
        <n v="2900" u="1"/>
        <n v="7755" u="1"/>
        <n v="9335" u="1"/>
        <n v="13369" u="1"/>
        <n v="2770" u="1"/>
        <n v="5478" u="1"/>
        <n v="7495" u="1"/>
        <n v="8815" u="1"/>
        <n v="14866" u="1"/>
        <n v="2640" u="1"/>
        <n v="5218" u="1"/>
        <n v="8295" u="1"/>
        <n v="10312" u="1"/>
        <n v="14346" u="1"/>
        <n v="2510" u="1"/>
        <n v="4958" u="1"/>
        <n v="9792" u="1"/>
        <n v="4698" u="1"/>
        <n v="9272" u="1"/>
        <n v="578" u="1"/>
        <n v="4438" u="1"/>
        <n v="8752" u="1"/>
        <n v="10769" u="1"/>
        <n v="14803" u="1"/>
        <n v="6195" u="1"/>
        <n v="8232" u="1"/>
        <n v="10249" u="1"/>
        <n v="34" u="1"/>
        <n v="513" u="1"/>
        <n v="5935" u="1"/>
        <n v="9729" u="1"/>
        <n v="1954" u="1"/>
        <n v="5675" u="1"/>
        <n v="9209" u="1"/>
        <n v="11226" u="1"/>
        <n v="480" u="1"/>
        <n v="1889" u="1"/>
        <n v="5415" u="1"/>
        <n v="8689" u="1"/>
        <n v="10706" u="1"/>
        <n v="1824" u="1"/>
        <n v="3617" u="1"/>
        <n v="5155" u="1"/>
        <n v="10186" u="1"/>
        <n v="1759" u="1"/>
        <n v="3487" u="1"/>
        <n v="9666" u="1"/>
        <n v="11683" u="1"/>
        <n v="1694" u="1"/>
        <n v="3357" u="1"/>
        <n v="6652" u="1"/>
        <n v="9146" u="1"/>
        <n v="11163" u="1"/>
        <n v="3227" u="1"/>
        <n v="6392" u="1"/>
        <n v="10643" u="1"/>
        <n v="12660" u="1"/>
        <n v="3097" u="1"/>
        <n v="6132" u="1"/>
        <n v="10123" u="1"/>
        <n v="12140" u="1"/>
        <n v="5872" u="1"/>
        <n v="11620" u="1"/>
        <n v="5612" u="1"/>
        <n v="11100" u="1"/>
        <n v="13117" u="1"/>
        <n v="350" u="1"/>
        <n v="7369" u="1"/>
        <n v="10580" u="1"/>
        <n v="12597" u="1"/>
        <n v="1304" u="1"/>
        <n v="7109" u="1"/>
        <n v="12077" u="1"/>
        <n v="1239" u="1"/>
        <n v="2447" u="1"/>
        <n v="6849" u="1"/>
        <n v="11557" u="1"/>
        <n v="13574" u="1"/>
        <n v="1174" u="1"/>
        <n v="2317" u="1"/>
        <n v="6589" u="1"/>
        <n v="11037" u="1"/>
        <n v="13054" u="1"/>
        <n v="1109" u="1"/>
        <n v="2187" u="1"/>
        <n v="4312" u="1"/>
        <n v="6329" u="1"/>
        <n v="12534" u="1"/>
        <n v="2057" u="1"/>
        <n v="4074" u="1"/>
        <n v="12014" u="1"/>
        <n v="14031" u="1"/>
        <n v="3944" u="1"/>
        <n v="7826" u="1"/>
        <n v="11494" u="1"/>
        <n v="13511" u="1"/>
        <n v="3814" u="1"/>
        <n v="7566" u="1"/>
        <n v="12991" u="1"/>
        <n v="15008" u="1"/>
        <n v="238" u="1"/>
        <n v="3684" u="1"/>
        <n v="7306" u="1"/>
        <n v="8437" u="1"/>
        <n v="12471" u="1"/>
        <n v="14488" u="1"/>
        <n v="5029" u="1"/>
        <n v="7046" u="1"/>
        <n v="11951" u="1"/>
        <n v="13968" u="1"/>
        <n v="4769" u="1"/>
        <n v="6786" u="1"/>
        <n v="13448" u="1"/>
        <n v="839" u="1"/>
        <n v="4509" u="1"/>
        <n v="8894" u="1"/>
        <n v="12928" u="1"/>
        <n v="14945" u="1"/>
        <n v="4249" u="1"/>
        <n v="8374" u="1"/>
        <n v="14425" u="1"/>
        <n v="774" u="1"/>
        <n v="3034" u="1"/>
        <n v="8023" u="1"/>
        <n v="13905" u="1"/>
        <n v="2904" u="1"/>
        <n v="7763" u="1"/>
        <n v="9351" u="1"/>
        <n v="13385" u="1"/>
        <n v="2774" u="1"/>
        <n v="5486" u="1"/>
        <n v="7503" u="1"/>
        <n v="8831" u="1"/>
        <n v="14882" u="1"/>
        <n v="173" u="1"/>
        <n v="2644" u="1"/>
        <n v="5226" u="1"/>
        <n v="8311" u="1"/>
        <n v="14362" u="1"/>
        <n v="2514" u="1"/>
        <n v="4966" u="1"/>
        <n v="9808" u="1"/>
        <n v="13842" u="1"/>
        <n v="4706" u="1"/>
        <n v="9288" u="1"/>
        <n v="579" u="1"/>
        <n v="4446" u="1"/>
        <n v="8768" u="1"/>
        <n v="10785" u="1"/>
        <n v="14819" u="1"/>
        <n v="8248" u="1"/>
        <n v="10265" u="1"/>
        <n v="14299" u="1"/>
        <n v="514" u="1"/>
        <n v="5943" u="1"/>
        <n v="7960" u="1"/>
        <n v="9745" u="1"/>
        <n v="5683" u="1"/>
        <n v="9225" u="1"/>
        <n v="11242" u="1"/>
        <n v="1891" u="1"/>
        <n v="5423" u="1"/>
        <n v="8705" u="1"/>
        <n v="10722" u="1"/>
        <n v="1826" u="1"/>
        <n v="3621" u="1"/>
        <n v="5163" u="1"/>
        <n v="10202" u="1"/>
        <n v="1761" u="1"/>
        <n v="3491" u="1"/>
        <n v="9682" u="1"/>
        <n v="11699" u="1"/>
        <n v="1696" u="1"/>
        <n v="3361" u="1"/>
        <n v="6660" u="1"/>
        <n v="9162" u="1"/>
        <n v="11179" u="1"/>
        <n v="3231" u="1"/>
        <n v="6400" u="1"/>
        <n v="10659" u="1"/>
        <n v="3101" u="1"/>
        <n v="6140" u="1"/>
        <n v="10139" u="1"/>
        <n v="12156" u="1"/>
        <n v="383" u="1"/>
        <n v="5880" u="1"/>
        <n v="9619" u="1"/>
        <n v="11636" u="1"/>
        <n v="5620" u="1"/>
        <n v="11116" u="1"/>
        <n v="13133" u="1"/>
        <n v="10596" u="1"/>
        <n v="12613" u="1"/>
        <n v="16910" u="1"/>
        <n v="1306" u="1"/>
        <n v="7117" u="1"/>
        <n v="10076" u="1"/>
        <n v="12093" u="1"/>
        <n v="1241" u="1"/>
        <n v="6857" u="1"/>
        <n v="11573" u="1"/>
        <n v="13590" u="1"/>
        <n v="1176" u="1"/>
        <n v="2321" u="1"/>
        <n v="6597" u="1"/>
        <n v="11053" u="1"/>
        <n v="13070" u="1"/>
        <n v="1111" u="1"/>
        <n v="2191" u="1"/>
        <n v="4320" u="1"/>
        <n v="6337" u="1"/>
        <n v="12550" u="1"/>
        <n v="1046" u="1"/>
        <n v="2061" u="1"/>
        <n v="4078" u="1"/>
        <n v="12030" u="1"/>
        <n v="14047" u="1"/>
        <n v="3948" u="1"/>
        <n v="7834" u="1"/>
        <n v="11510" u="1"/>
        <n v="13527" u="1"/>
        <n v="3818" u="1"/>
        <n v="7574" u="1"/>
        <n v="13007" u="1"/>
        <n v="3688" u="1"/>
        <n v="7314" u="1"/>
        <n v="12487" u="1"/>
        <n v="14504" u="1"/>
        <n v="7054" u="1"/>
        <n v="11967" u="1"/>
        <n v="13984" u="1"/>
        <n v="222" u="1"/>
        <n v="4777" u="1"/>
        <n v="6794" u="1"/>
        <n v="13464" u="1"/>
        <n v="840" u="1"/>
        <n v="4517" u="1"/>
        <n v="12944" u="1"/>
        <n v="14961" u="1"/>
        <n v="21606" u="1"/>
        <n v="4257" u="1"/>
        <n v="8390" u="1"/>
        <n v="12424" u="1"/>
        <n v="14441" u="1"/>
        <n v="775" u="1"/>
        <n v="8031" u="1"/>
        <n v="13921" u="1"/>
        <n v="2908" u="1"/>
        <n v="7771" u="1"/>
        <n v="9367" u="1"/>
        <n v="13401" u="1"/>
        <n v="2778" u="1"/>
        <n v="5494" u="1"/>
        <n v="7511" u="1"/>
        <n v="8847" u="1"/>
        <n v="14898" u="1"/>
        <n v="2648" u="1"/>
        <n v="5234" u="1"/>
        <n v="8327" u="1"/>
        <n v="14378" u="1"/>
        <n v="2518" u="1"/>
        <n v="4974" u="1"/>
        <n v="9824" u="1"/>
        <n v="13858" u="1"/>
        <n v="157" u="1"/>
        <n v="4714" u="1"/>
        <n v="9304" u="1"/>
        <n v="580" u="1"/>
        <n v="4454" u="1"/>
        <n v="8784" u="1"/>
        <n v="14835" u="1"/>
        <n v="8264" u="1"/>
        <n v="10281" u="1"/>
        <n v="14315" u="1"/>
        <n v="515" u="1"/>
        <n v="5951" u="1"/>
        <n v="7968" u="1"/>
        <n v="9761" u="1"/>
        <n v="5691" u="1"/>
        <n v="9241" u="1"/>
        <n v="481" u="1"/>
        <n v="1893" u="1"/>
        <n v="5431" u="1"/>
        <n v="8721" u="1"/>
        <n v="10738" u="1"/>
        <n v="14772" u="1"/>
        <n v="1828" u="1"/>
        <n v="5171" u="1"/>
        <n v="8201" u="1"/>
        <n v="10218" u="1"/>
        <n v="1763" u="1"/>
        <n v="3495" u="1"/>
        <n v="4911" u="1"/>
        <n v="9698" u="1"/>
        <n v="11715" u="1"/>
        <n v="110" u="1"/>
        <n v="1698" u="1"/>
        <n v="3365" u="1"/>
        <n v="6668" u="1"/>
        <n v="9178" u="1"/>
        <n v="11195" u="1"/>
        <n v="1633" u="1"/>
        <n v="3235" u="1"/>
        <n v="6408" u="1"/>
        <n v="10675" u="1"/>
        <n v="3105" u="1"/>
        <n v="6148" u="1"/>
        <n v="10155" u="1"/>
        <n v="12172" u="1"/>
        <n v="5888" u="1"/>
        <n v="9635" u="1"/>
        <n v="11652" u="1"/>
        <n v="5628" u="1"/>
        <n v="11132" u="1"/>
        <n v="351" u="1"/>
        <n v="10612" u="1"/>
        <n v="12629" u="1"/>
        <n v="1308" u="1"/>
        <n v="7125" u="1"/>
        <n v="10092" u="1"/>
        <n v="12109" u="1"/>
        <n v="1243" u="1"/>
        <n v="6865" u="1"/>
        <n v="11589" u="1"/>
        <n v="1178" u="1"/>
        <n v="2325" u="1"/>
        <n v="6605" u="1"/>
        <n v="11069" u="1"/>
        <n v="13086" u="1"/>
        <n v="1113" u="1"/>
        <n v="2195" u="1"/>
        <n v="6345" u="1"/>
        <n v="10549" u="1"/>
        <n v="12566" u="1"/>
        <n v="1048" u="1"/>
        <n v="2065" u="1"/>
        <n v="4082" u="1"/>
        <n v="6085" u="1"/>
        <n v="12046" u="1"/>
        <n v="14063" u="1"/>
        <n v="3952" u="1"/>
        <n v="7842" u="1"/>
        <n v="11526" u="1"/>
        <n v="13543" u="1"/>
        <n v="3822" u="1"/>
        <n v="7582" u="1"/>
        <n v="13023" u="1"/>
        <n v="3692" u="1"/>
        <n v="7322" u="1"/>
        <n v="12503" u="1"/>
        <n v="14520" u="1"/>
        <n v="7062" u="1"/>
        <n v="11983" u="1"/>
        <n v="14000" u="1"/>
        <n v="4785" u="1"/>
        <n v="6802" u="1"/>
        <n v="13480" u="1"/>
        <n v="841" u="1"/>
        <n v="4525" u="1"/>
        <n v="12960" u="1"/>
        <n v="14977" u="1"/>
        <n v="4265" u="1"/>
        <n v="8406" u="1"/>
        <n v="12440" u="1"/>
        <n v="14457" u="1"/>
        <n v="776" u="1"/>
        <n v="8039" u="1"/>
        <n v="13937" u="1"/>
        <n v="2912" u="1"/>
        <n v="7779" u="1"/>
        <n v="13417" u="1"/>
        <n v="2782" u="1"/>
        <n v="7519" u="1"/>
        <n v="8863" u="1"/>
        <n v="12897" u="1"/>
        <n v="14914" u="1"/>
        <n v="2652" u="1"/>
        <n v="5242" u="1"/>
        <n v="7259" u="1"/>
        <n v="8343" u="1"/>
        <n v="14394" u="1"/>
        <n v="2522" u="1"/>
        <n v="4982" u="1"/>
        <n v="9840" u="1"/>
        <n v="13874" u="1"/>
        <n v="2392" u="1"/>
        <n v="4722" u="1"/>
        <n v="9320" u="1"/>
        <n v="4462" u="1"/>
        <n v="8800" u="1"/>
        <n v="14851" u="1"/>
        <n v="141" u="1"/>
        <n v="8280" u="1"/>
        <n v="10297" u="1"/>
        <n v="14331" u="1"/>
        <n v="516" u="1"/>
        <n v="5959" u="1"/>
        <n v="7976" u="1"/>
        <n v="9777" u="1"/>
        <n v="5699" u="1"/>
        <n v="9257" u="1"/>
        <n v="1895" u="1"/>
        <n v="5439" u="1"/>
        <n v="8737" u="1"/>
        <n v="10754" u="1"/>
        <n v="14788" u="1"/>
        <n v="1830" u="1"/>
        <n v="5179" u="1"/>
        <n v="8217" u="1"/>
        <n v="10234" u="1"/>
        <n v="1765" u="1"/>
        <n v="3499" u="1"/>
        <n v="4919" u="1"/>
        <n v="9714" u="1"/>
        <n v="1700" u="1"/>
        <n v="3369" u="1"/>
        <n v="9194" u="1"/>
        <n v="11211" u="1"/>
        <n v="1635" u="1"/>
        <n v="3239" u="1"/>
        <n v="6416" u="1"/>
        <n v="8674" u="1"/>
        <n v="10691" u="1"/>
        <n v="102" u="1"/>
        <n v="3109" u="1"/>
        <n v="6156" u="1"/>
        <n v="10171" u="1"/>
        <n v="12188" u="1"/>
        <n v="384" u="1"/>
        <n v="2979" u="1"/>
        <n v="5896" u="1"/>
        <n v="9651" u="1"/>
        <n v="11668" u="1"/>
        <n v="5636" u="1"/>
        <n v="11148" u="1"/>
        <n v="10628" u="1"/>
        <n v="12645" u="1"/>
        <n v="1310" u="1"/>
        <n v="7133" u="1"/>
        <n v="10108" u="1"/>
        <n v="12125" u="1"/>
        <n v="319" u="1"/>
        <n v="1245" u="1"/>
        <n v="6873" u="1"/>
        <n v="11605" u="1"/>
        <n v="16911" u="1"/>
        <n v="1180" u="1"/>
        <n v="2329" u="1"/>
        <n v="6613" u="1"/>
        <n v="11085" u="1"/>
        <n v="13102" u="1"/>
        <n v="1115" u="1"/>
        <n v="2199" u="1"/>
        <n v="6353" u="1"/>
        <n v="10565" u="1"/>
        <n v="12582" u="1"/>
        <n v="1050" u="1"/>
        <n v="2069" u="1"/>
        <n v="4086" u="1"/>
        <n v="6093" u="1"/>
        <n v="12062" u="1"/>
        <n v="3956" u="1"/>
        <n v="11542" u="1"/>
        <n v="13559" u="1"/>
        <n v="3826" u="1"/>
        <n v="7590" u="1"/>
        <n v="11022" u="1"/>
        <n v="13039" u="1"/>
        <n v="3696" u="1"/>
        <n v="7330" u="1"/>
        <n v="12519" u="1"/>
        <n v="14536" u="1"/>
        <n v="3566" u="1"/>
        <n v="7070" u="1"/>
        <n v="11999" u="1"/>
        <n v="14016" u="1"/>
        <n v="4793" u="1"/>
        <n v="6810" u="1"/>
        <n v="13496" u="1"/>
        <n v="842" u="1"/>
        <n v="4533" u="1"/>
        <n v="12976" u="1"/>
        <n v="14993" u="1"/>
        <n v="4273" u="1"/>
        <n v="8422" u="1"/>
        <n v="12456" u="1"/>
        <n v="14473" u="1"/>
        <n v="777" u="1"/>
        <n v="8047" u="1"/>
        <n v="13953" u="1"/>
        <n v="21607" u="1"/>
        <n v="2916" u="1"/>
        <n v="7787" u="1"/>
        <n v="13433" u="1"/>
        <n v="712" u="1"/>
        <n v="2786" u="1"/>
        <n v="7527" u="1"/>
        <n v="8879" u="1"/>
        <n v="12913" u="1"/>
        <n v="14930" u="1"/>
        <n v="2656" u="1"/>
        <n v="5250" u="1"/>
        <n v="7267" u="1"/>
        <n v="8359" u="1"/>
        <n v="14410" u="1"/>
        <n v="2526" u="1"/>
        <n v="4990" u="1"/>
        <n v="13890" u="1"/>
        <n v="2396" u="1"/>
        <n v="4730" u="1"/>
        <n v="9336" u="1"/>
        <n v="13370" u="1"/>
      </sharedItems>
    </cacheField>
    <cacheField name="POSLABEL" numFmtId="0" sqlType="12">
      <sharedItems containsBlank="1" count="8000">
        <s v="2019-08-29-18:00"/>
        <s v="2019-08-29-19:00"/>
        <s v="2019-08-29-20:00"/>
        <s v="2019-08-29-21:00"/>
        <s v="2019-08-29-22:00"/>
        <s v="2019-08-29-23:00"/>
        <s v="2019-08-30-00:00"/>
        <s v="2019-08-30-01:00"/>
        <s v="2019-08-30-02:00"/>
        <s v="2019-08-30-03:00"/>
        <s v="2019-08-30-04:00"/>
        <s v="2019-08-30-05:00"/>
        <s v="2019-08-30-06:00"/>
        <s v="2019-08-30-07:00"/>
        <s v="2019-08-30-08:00"/>
        <s v="2019-08-30-09:00"/>
        <s v="2019-08-30-10:00"/>
        <s v="2019-08-30-11:00"/>
        <s v="2019-08-30-12:00"/>
        <s v="2019-08-30-13:00"/>
        <s v="2019-08-30-14:00"/>
        <s v="2019-08-30-15:00"/>
        <s v="2019-08-30-16:00"/>
        <s v="2019-08-30-17:00"/>
        <s v="2019-08-30-18:00"/>
        <s v="2019-08-30-19:00"/>
        <s v="2019-08-30-20:00"/>
        <s v="2019-08-30-21:00"/>
        <s v="2019-08-30-22:00"/>
        <s v="9999-99-99-99:99"/>
        <m u="1"/>
        <s v="2016-01-31-19:00" u="1"/>
        <s v="2016-03-31-19:00" u="1"/>
        <s v="2016-05-31-19:00" u="1"/>
        <s v="2016-07-31-19:00" u="1"/>
        <s v="2016-08-31-19:00" u="1"/>
        <s v="2016-10-31-19:00" u="1"/>
        <s v="2017-02-21-19:00" u="1"/>
        <s v="2017-03-21-19:00" u="1"/>
        <s v="2017-05-21-19:00" u="1"/>
        <s v="2017-06-21-19:00" u="1"/>
        <s v="2017-08-21-19:00" u="1"/>
        <s v="2017-09-21-19:00" u="1"/>
        <s v="2017-11-21-19:00" u="1"/>
        <s v="2017-12-21-19:00" u="1"/>
        <s v="2018-01-11-19:00" u="1"/>
        <s v="2018-01-31-18:00" u="1"/>
        <s v="2018-02-11-19:00" u="1"/>
        <s v="2018-03-11-19:00" u="1"/>
        <s v="2018-04-11-19:00" u="1"/>
        <s v="2016-03-30-19:00" u="1"/>
        <s v="2016-05-30-19:00" u="1"/>
        <s v="2016-06-30-19:00" u="1"/>
        <s v="2016-08-30-19:00" u="1"/>
        <s v="2016-10-30-19:00" u="1"/>
        <s v="2016-11-30-19:00" u="1"/>
        <s v="2017-02-20-19:00" u="1"/>
        <s v="2017-03-20-19:00" u="1"/>
        <s v="2017-04-20-19:00" u="1"/>
        <s v="2017-06-20-19:00" u="1"/>
        <s v="2017-07-20-19:00" u="1"/>
        <s v="2017-08-20-19:00" u="1"/>
        <s v="2017-09-20-19:00" u="1"/>
        <s v="2017-11-20-19:00" u="1"/>
        <s v="2017-12-20-19:00" u="1"/>
        <s v="2018-01-10-19:00" u="1"/>
        <s v="2018-01-30-18:00" u="1"/>
        <s v="2018-04-10-19:00" u="1"/>
        <s v="2018-04-30-18:00" u="1"/>
        <s v="2018-05-10-19:00" u="1"/>
        <s v="2017-01-31-19:00" u="1"/>
        <s v="2017-05-31-19:00" u="1"/>
        <s v="2017-07-31-19:00" u="1"/>
        <s v="2017-08-31-19:00" u="1"/>
        <s v="2017-10-31-19:00" u="1"/>
        <s v="2018-01-21-19:00" u="1"/>
        <s v="2018-02-21-19:00" u="1"/>
        <s v="2018-03-21-19:00" u="1"/>
        <s v="2018-05-21-19:00" u="1"/>
        <s v="2017-01-30-19:00" u="1"/>
        <s v="2017-03-30-19:00" u="1"/>
        <s v="2017-04-30-19:00" u="1"/>
        <s v="2017-05-30-19:00" u="1"/>
        <s v="2017-07-30-19:00" u="1"/>
        <s v="2017-08-30-19:00" u="1"/>
        <s v="2017-10-30-19:00" u="1"/>
        <s v="2017-11-30-19:00" u="1"/>
        <s v="2018-02-20-19:00" u="1"/>
        <s v="2018-03-20-19:00" u="1"/>
        <s v="2018-05-20-19:00" u="1"/>
        <s v="2018-01-31-19:00" u="1"/>
        <s v="2018-01-30-19:00" u="1"/>
        <s v="2018-04-30-19:00" u="1"/>
        <s v="2016-02-09-00:00" u="1"/>
        <s v="2016-03-09-00:00" u="1"/>
        <s v="2016-05-09-00:00" u="1"/>
        <s v="2016-06-09-00:00" u="1"/>
        <s v="2016-08-09-00:00" u="1"/>
        <s v="2016-09-09-00:00" u="1"/>
        <s v="2016-11-09-00: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7-08-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ÍÍÍÍÍÍÍÍÍÍÍÍÍÍÍÍÍÍÍÍÍÍÍÍÍÍÍÍÍÍÍÍÍÍÍÍÍÍÍÍÍÍÍÍÍÍÍÍÍÍÍÍÍÍÍÍÍÍÍÍÍÍÍÍ" u="1"/>
        <s v="2017-01-19-00:00" u="1"/>
        <s v="2017-04-19-00:00" u="1"/>
        <s v="2017-05-19-00:00" u="1"/>
        <s v="2017-06-19-00:00" u="1"/>
        <s v="2017-07-19-00:00" u="1"/>
        <s v="2017-09-19-00:00" u="1"/>
        <s v="2016-02-17-00:00" u="1"/>
        <s v="2016-03-17-00:00" u="1"/>
        <s v="2016-05-17-00:00" u="1"/>
        <s v="2016-06-17-00:00" u="1"/>
        <s v="2016-08-17-00:00" u="1"/>
        <s v="2016-10-17-00:00" u="1"/>
        <s v="2016-11-17-00:00" u="1"/>
        <s v="2018-01-09-00:00" u="1"/>
        <s v="2018-02-09-00:00" u="1"/>
        <s v="2018-03-09-00:00" u="1"/>
        <s v="2018-04-09-00:00" u="1"/>
        <s v="2018-05-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8-07-19-00:00" u="1"/>
        <s v="2017-01-17-00:00" u="1"/>
        <s v="2017-02-17-00:00" u="1"/>
        <s v="2017-03-17-00:00" u="1"/>
        <s v="2017-04-17-00:00" u="1"/>
        <s v="2017-05-17-00:00" u="1"/>
        <s v="2017-07-17-00:00" u="1"/>
        <s v="2017-08-17-00:00" u="1"/>
        <s v="2017-10-17-00:00" u="1"/>
        <s v="2017-11-17-00:00" u="1"/>
        <s v="2018-02-07-00:00" u="1"/>
        <s v="2018-03-07-00:00" u="1"/>
        <s v="2018-05-0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7-18-00:00" u="1"/>
        <s v="2017-10-16-00:00" u="1"/>
        <s v="2017-11-16-00:00" u="1"/>
        <s v="2016-02-02-00:00" u="1"/>
        <s v="2016-03-02-00:00" u="1"/>
        <s v="2016-05-02-00:00" u="1"/>
        <s v="2016-06-02-00:00" u="1"/>
        <s v="2016-08-02-00:00" u="1"/>
        <s v="2016-09-02-00:00" u="1"/>
        <s v="2016-11-02-00:00" u="1"/>
        <s v="2016-12-02-00: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6-01-13-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7-10-03-00:00" u="1"/>
        <s v="2017-11-03-00:00" u="1"/>
        <s v="2016-11-01-00:00" u="1"/>
        <s v="2016-12-01-00: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6-01-08-10:00" u="1"/>
        <s v="2016-02-08-10:00" u="1"/>
        <s v="2016-03-08-10:00" u="1"/>
        <s v="2016-04-08-10:00" u="1"/>
        <s v="2016-06-08-10:00" u="1"/>
        <s v="2016-07-08-10:00" u="1"/>
        <s v="2016-08-08-10:00" u="1"/>
        <s v="2016-09-08-10:00" u="1"/>
        <s v="2016-11-08-10:00" u="1"/>
        <s v="2016-12-08-10: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6-01-19-10:00" u="1"/>
        <s v="2016-02-19-10:00" u="1"/>
        <s v="2016-04-19-10:00" u="1"/>
        <s v="2016-05-19-10:00" u="1"/>
        <s v="2016-07-19-10:00" u="1"/>
        <s v="2016-08-19-10:00" u="1"/>
        <s v="2016-09-19-10:00" u="1"/>
        <s v="2018-02-07-01:00" u="1"/>
        <s v="2018-02-27-00:00" u="1"/>
        <s v="2018-03-07-01:00" u="1"/>
        <s v="2018-03-27-00:00" u="1"/>
        <s v="2018-04-27-00:00" u="1"/>
        <s v="2018-05-07-01:00" u="1"/>
        <s v="2018-07-27-00:00" u="1"/>
        <s v="2017-01-09-10:00" u="1"/>
        <s v="2017-02-09-10:00" u="1"/>
        <s v="2017-03-09-10:00" u="1"/>
        <s v="2017-05-09-10:00" u="1"/>
        <s v="2017-06-09-10:00" u="1"/>
        <s v="2017-08-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7-09-13-00:00" u="1"/>
        <s v="2017-10-13-00:00" u="1"/>
        <s v="2017-11-13-00:00" u="1"/>
        <s v="2017-12-13-00:00" u="1"/>
        <s v="2016-01-11-00:00" u="1"/>
        <s v="2016-02-11-00:00" u="1"/>
        <s v="2016-03-11-00:00" u="1"/>
        <s v="2016-04-11-00:00" u="1"/>
        <s v="2016-05-11-00:00" u="1"/>
        <s v="2016-07-11-00:00" u="1"/>
        <s v="2016-08-11-00:00" u="1"/>
        <s v="2016-10-11-00:00" u="1"/>
        <s v="2016-11-11-00:00" u="1"/>
        <s v="2018-01-03-00:00" u="1"/>
        <s v="2018-04-03-00:00" u="1"/>
        <s v="2018-05-03-00:00" u="1"/>
        <s v="2017-11-01-00:00" u="1"/>
        <s v="2017-12-01-00: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1-18-01:00" u="1"/>
        <s v="2018-04-18-01:00" u="1"/>
        <s v="2018-05-18-01:00" u="1"/>
        <s v="2018-07-18-01:00" u="1"/>
        <s v="2017-01-16-01:00" u="1"/>
        <s v="2017-02-16-01:00" u="1"/>
        <s v="2017-03-16-01:00" u="1"/>
        <s v="2017-05-16-01:00" u="1"/>
        <s v="2017-06-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7-26-00: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1-02-00:00" u="1"/>
        <s v="2018-02-02-00:00" u="1"/>
        <s v="2018-03-02-00:00" u="1"/>
        <s v="2018-04-02-00:00" u="1"/>
        <s v="2018-05-02-00:00" u="1"/>
        <s v="2016-02-17-02:00" u="1"/>
        <s v="2016-03-17-02:00" u="1"/>
        <s v="2016-05-17-02:00" u="1"/>
        <s v="2016-06-17-02:00" u="1"/>
        <s v="2016-08-17-02:00" u="1"/>
        <s v="2016-10-17-02:00" u="1"/>
        <s v="2016-11-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7-01-19-10:00" u="1"/>
        <s v="2017-04-19-10:00" u="1"/>
        <s v="2017-05-19-10:00" u="1"/>
        <s v="2017-06-19-10:00" u="1"/>
        <s v="2017-07-19-10:00" u="1"/>
        <s v="2017-09-19-10:00" u="1"/>
        <s v="2016-02-17-10:00" u="1"/>
        <s v="2016-03-17-10:00" u="1"/>
        <s v="2016-05-17-10:00" u="1"/>
        <s v="2016-06-17-10:00" u="1"/>
        <s v="2016-08-17-10:00" u="1"/>
        <s v="2016-10-17-10:00" u="1"/>
        <s v="2016-11-17-10:00" u="1"/>
        <s v="2018-01-09-10:00" u="1"/>
        <s v="2018-02-09-10:00" u="1"/>
        <s v="2018-03-09-10:00" u="1"/>
        <s v="2018-04-09-10:00" u="1"/>
        <s v="2018-05-09-1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7-01-11-00:00" u="1"/>
        <s v="2017-04-11-00:00" u="1"/>
        <s v="2017-05-11-00:00" u="1"/>
        <s v="2017-07-11-00:00" u="1"/>
        <s v="2017-08-11-00:00" u="1"/>
        <s v="2017-09-11-00:00" u="1"/>
        <s v="2017-10-11-00:00" u="1"/>
        <s v="2017-12-11-00:00"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7-12-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1-16-01:00" u="1"/>
        <s v="2018-02-16-01:00" u="1"/>
        <s v="2018-03-16-01:00" u="1"/>
        <s v="2018-04-16-01:00" u="1"/>
        <s v="2018-05-16-01: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7-10-17-02:00" u="1"/>
        <s v="2017-11-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7-27-01: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9-10:00" u="1"/>
        <s v="2018-02-19-10:00" u="1"/>
        <s v="2018-03-19-10:00" u="1"/>
        <s v="2018-04-19-10:00" u="1"/>
        <s v="2018-07-19-10:00" u="1"/>
        <s v="2017-01-17-10:00" u="1"/>
        <s v="2017-02-17-10:00" u="1"/>
        <s v="2017-03-17-10:00" u="1"/>
        <s v="2017-04-17-10:00" u="1"/>
        <s v="2017-05-17-10:00" u="1"/>
        <s v="2017-07-17-10:00" u="1"/>
        <s v="2017-08-17-10:00" u="1"/>
        <s v="2017-10-17-10:00" u="1"/>
        <s v="2017-11-17-10:00" u="1"/>
        <s v="2016-01-11-01:00" u="1"/>
        <s v="2016-02-11-01: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8-07-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5-11-04-03:00" u="1"/>
        <s v="2015-11-24-02:00" u="1"/>
        <s v="2015-12-04-03:00" u="1"/>
        <s v="2015-12-24-02: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8-07-26-01:00" u="1"/>
        <s v="2017-02-08-11:00" u="1"/>
        <s v="2017-02-28-10:00" u="1"/>
        <s v="2017-03-08-11:00" u="1"/>
        <s v="2017-03-28-10:00" u="1"/>
        <s v="2017-04-28-10:00" u="1"/>
        <s v="2017-05-08-11:00" u="1"/>
        <s v="2017-06-08-11:00" u="1"/>
        <s v="2017-06-28-10:00" u="1"/>
        <s v="2017-07-28-10:00" u="1"/>
        <s v="2017-08-08-11:00" u="1"/>
        <s v="2017-08-28-10:00" u="1"/>
        <s v="2017-09-08-11:00" u="1"/>
        <s v="2017-09-28-10:00" u="1"/>
        <s v="2017-11-08-11:00" u="1"/>
        <s v="2017-11-28-10:00" u="1"/>
        <s v="2017-12-08-11:00" u="1"/>
        <s v="2017-12-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8-01-18-10:00" u="1"/>
        <s v="2018-04-18-10:00" u="1"/>
        <s v="2018-05-18-10:00" u="1"/>
        <s v="2018-07-18-10: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02-01:00" u="1"/>
        <s v="2018-01-22-00:00" u="1"/>
        <s v="2018-02-02-01:00" u="1"/>
        <s v="2018-02-22-00:00" u="1"/>
        <s v="2018-03-02-01:00" u="1"/>
        <s v="2018-03-22-00:00" u="1"/>
        <s v="2018-04-02-01:00" u="1"/>
        <s v="2018-05-02-01:00" u="1"/>
        <s v="2018-05-22-00:00" u="1"/>
        <s v="2017-10-20-00:00" u="1"/>
        <s v="2017-11-20-00:00" u="1"/>
        <s v="2017-12-2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21-01:00" u="1"/>
        <s v="2016-10-21-01:00" u="1"/>
        <s v="2016-11-01-02:00" u="1"/>
        <s v="2016-11-21-01:00" u="1"/>
        <s v="2016-12-01-02:00" u="1"/>
        <s v="2016-12-21-01:00" u="1"/>
        <s v="2018-01-17-10:00" u="1"/>
        <s v="2018-04-17-10:00" u="1"/>
        <s v="2018-05-17-10:00" u="1"/>
        <s v="2018-07-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1-13-10:00" u="1"/>
        <s v="2016-04-13-10:00" u="1"/>
        <s v="2016-05-13-10:00" u="1"/>
        <s v="2016-06-13-10:00" u="1"/>
        <s v="2016-07-13-10:00" u="1"/>
        <s v="2016-09-13-10:00" u="1"/>
        <s v="2016-10-13-10:00" u="1"/>
        <s v="2016-12-13-10:00" u="1"/>
        <s v="2018-02-01-01:00" u="1"/>
        <s v="2018-02-21-00:00" u="1"/>
        <s v="2018-03-01-01:00" u="1"/>
        <s v="2018-03-21-00:00" u="1"/>
        <s v="2018-05-01-01:00" u="1"/>
        <s v="2018-05-21-00:00" u="1"/>
        <s v="2017-01-03-10:00" u="1"/>
        <s v="2017-02-03-10:00" u="1"/>
        <s v="2017-03-03-10:00" u="1"/>
        <s v="2017-04-03-10:00" u="1"/>
        <s v="2017-05-03-10:00" u="1"/>
        <s v="2017-07-03-10:00" u="1"/>
        <s v="2017-08-03-10:00" u="1"/>
        <s v="2017-10-03-10:00" u="1"/>
        <s v="2017-11-03-10:00" u="1"/>
        <s v="2016-11-01-10:00" u="1"/>
        <s v="2016-12-01-10:00" u="1"/>
        <s v="2014-10-08-05:00" u="1"/>
        <s v="2014-10-28-04:00" u="1"/>
        <s v="2014-11-28-04:00" u="1"/>
        <s v="2014-12-08-05: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7-12-26-02:00" u="1"/>
        <s v="2016-10-04-03:00" u="1"/>
        <s v="2016-10-24-02:00" u="1"/>
        <s v="2016-11-04-03:00" u="1"/>
        <s v="2016-11-24-02:00" u="1"/>
        <s v="2018-01-16-02:00" u="1"/>
        <s v="2018-02-16-02:00" u="1"/>
        <s v="2018-03-16-02:00" u="1"/>
        <s v="2018-04-16-02:00" u="1"/>
        <s v="2018-05-16-02:00" u="1"/>
        <s v="2017-01-18-11:00" u="1"/>
        <s v="2017-04-18-11:00" u="1"/>
        <s v="2017-05-18-11:00" u="1"/>
        <s v="2017-07-18-11:00" u="1"/>
        <s v="2017-08-18-11:00" u="1"/>
        <s v="2017-09-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8-01-08-11:00" u="1"/>
        <s v="2018-02-08-11:00" u="1"/>
        <s v="2018-02-28-10:00" u="1"/>
        <s v="2018-03-08-11:00" u="1"/>
        <s v="2018-03-28-10:00" u="1"/>
        <s v="2018-05-08-11:00" u="1"/>
        <s v="2018-05-28-10:00" u="1"/>
        <s v="2017-01-02-02: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20-01:00" u="1"/>
        <s v="2016-02-08-20:00" u="1"/>
        <s v="2016-03-08-20:00" u="1"/>
        <s v="2016-04-20-01:00" u="1"/>
        <s v="2016-05-08-20:00" u="1"/>
        <s v="2016-05-20-01:00" u="1"/>
        <s v="2016-06-08-20:00" u="1"/>
        <s v="2016-06-20-01:00" u="1"/>
        <s v="2016-07-20-01:00" u="1"/>
        <s v="2016-08-08-20:00" u="1"/>
        <s v="2016-09-08-20:00" u="1"/>
        <s v="2016-09-20-01:00" u="1"/>
        <s v="2016-10-20-01:00" u="1"/>
        <s v="2016-11-08-20:00" u="1"/>
        <s v="2016-12-08-20:00" u="1"/>
        <s v="2016-12-20-01:00" u="1"/>
        <s v="2018-01-12-01:00" u="1"/>
        <s v="2018-02-12-01:00" u="1"/>
        <s v="2018-03-12-01:00" u="1"/>
        <s v="2018-04-12-01:00" u="1"/>
        <s v="2015-12-22-10:00" u="1"/>
        <s v="2017-10-10-01:00" u="1"/>
        <s v="2017-10-30-00:00" u="1"/>
        <s v="2017-11-10-01:00" u="1"/>
        <s v="2017-11-30-0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8-07-27-02: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7-01-17-11:00" u="1"/>
        <s v="2017-02-17-11:00" u="1"/>
        <s v="2017-03-17-11:00" u="1"/>
        <s v="2017-04-17-11:00" u="1"/>
        <s v="2017-05-17-11:00" u="1"/>
        <s v="2017-07-17-11:00" u="1"/>
        <s v="2017-08-17-11:00" u="1"/>
        <s v="2017-10-17-11:00" u="1"/>
        <s v="2017-11-17-11:00" u="1"/>
        <s v="2016-01-11-02:00" u="1"/>
        <s v="2016-01-19-20:00" u="1"/>
        <s v="2016-02-11-02:00" u="1"/>
        <s v="2016-03-11-02:00" u="1"/>
        <s v="2016-03-31-01:00" u="1"/>
        <s v="2016-04-11-02:00" u="1"/>
        <s v="2016-04-19-20:00" u="1"/>
        <s v="2016-05-11-02:00" u="1"/>
        <s v="2016-05-19-20:00" u="1"/>
        <s v="2016-05-31-01:00" u="1"/>
        <s v="2016-06-19-20:00" u="1"/>
        <s v="2016-07-11-02:00" u="1"/>
        <s v="2016-07-19-20:00" u="1"/>
        <s v="2016-08-11-02:00" u="1"/>
        <s v="2016-08-31-01:00" u="1"/>
        <s v="2016-09-19-20:00" u="1"/>
        <s v="2016-10-11-02:00" u="1"/>
        <s v="2016-10-31-01:00" u="1"/>
        <s v="2016-11-11-02:00" u="1"/>
        <s v="2018-02-07-11:00" u="1"/>
        <s v="2018-02-27-10:00" u="1"/>
        <s v="2018-03-07-11:00" u="1"/>
        <s v="2018-03-27-10:00" u="1"/>
        <s v="2018-04-27-10:00" u="1"/>
        <s v="2018-05-07-11:00" u="1"/>
        <s v="2018-07-27-10:00" u="1"/>
        <s v="2017-01-09-20:00" u="1"/>
        <s v="2017-02-01-02:00" u="1"/>
        <s v="2017-02-09-20:00" u="1"/>
        <s v="2017-02-21-01:00" u="1"/>
        <s v="2017-03-01-02:00" u="1"/>
        <s v="2017-03-09-20:00" u="1"/>
        <s v="2017-03-21-01:00" u="1"/>
        <s v="2017-04-09-20:00" u="1"/>
        <s v="2017-04-21-01:00" u="1"/>
        <s v="2017-05-01-02:00" u="1"/>
        <s v="2017-05-09-20:00" u="1"/>
        <s v="2017-06-01-02:00" u="1"/>
        <s v="2017-06-21-01:00" u="1"/>
        <s v="2017-07-09-20:00" u="1"/>
        <s v="2017-07-21-01:00" u="1"/>
        <s v="2017-08-01-02:00" u="1"/>
        <s v="2017-08-09-20:00" u="1"/>
        <s v="2017-08-21-01:00" u="1"/>
        <s v="2017-09-01-02:00" u="1"/>
        <s v="2017-09-21-01:00" u="1"/>
        <s v="2017-11-01-02:00" u="1"/>
        <s v="2017-11-21-01:00" u="1"/>
        <s v="2017-12-01-02:00" u="1"/>
        <s v="2017-12-21-01:00" u="1"/>
        <s v="2016-01-07-20:00" u="1"/>
        <s v="2016-02-03-11:00" u="1"/>
        <s v="2016-02-07-20:00" u="1"/>
        <s v="2016-02-23-10:00" u="1"/>
        <s v="2016-03-03-11:00" u="1"/>
        <s v="2016-03-07-20:00" u="1"/>
        <s v="2016-03-23-10:00" u="1"/>
        <s v="2016-04-07-20:00" u="1"/>
        <s v="2016-05-03-11:00" u="1"/>
        <s v="2016-05-23-10:00" u="1"/>
        <s v="2016-06-03-11:00" u="1"/>
        <s v="2016-06-07-20:00" u="1"/>
        <s v="2016-06-23-10:00" u="1"/>
        <s v="2016-07-07-20:00" u="1"/>
        <s v="2016-08-03-11:00" u="1"/>
        <s v="2016-08-07-20:00" u="1"/>
        <s v="2016-08-23-10:00" u="1"/>
        <s v="2016-09-07-20:00" u="1"/>
        <s v="2016-09-23-10:00" u="1"/>
        <s v="2016-11-07-20:00" u="1"/>
        <s v="2016-12-07-20:00" u="1"/>
        <s v="2018-01-11-01:00" u="1"/>
        <s v="2018-01-31-00:00" u="1"/>
        <s v="2018-04-11-01:00" u="1"/>
        <s v="2018-05-11-01:00" u="1"/>
        <s v="2017-01-13-10:00" u="1"/>
        <s v="2017-02-13-10:00" u="1"/>
        <s v="2017-03-13-10:00" u="1"/>
        <s v="2017-04-13-10:00" u="1"/>
        <s v="2017-06-13-10:00" u="1"/>
        <s v="2017-07-13-10:00" u="1"/>
        <s v="2017-09-13-10:00" u="1"/>
        <s v="2017-10-13-10:00" u="1"/>
        <s v="2017-11-13-10:00" u="1"/>
        <s v="2017-12-13-10:00" u="1"/>
        <s v="2016-01-11-10:00" u="1"/>
        <s v="2016-02-11-10:00" u="1"/>
        <s v="2016-03-11-10:00" u="1"/>
        <s v="2016-04-11-10:00" u="1"/>
        <s v="2016-05-11-10:00" u="1"/>
        <s v="2016-07-11-10:00" u="1"/>
        <s v="2016-08-11-10:00" u="1"/>
        <s v="2016-10-11-10:00" u="1"/>
        <s v="2016-11-11-10:00" u="1"/>
        <s v="2018-01-03-10:00" u="1"/>
        <s v="2018-04-03-10:00" u="1"/>
        <s v="2018-05-03-10:00" u="1"/>
        <s v="2017-11-01-10:00" u="1"/>
        <s v="2017-12-01-10:00" u="1"/>
        <s v="2015-10-08-05:00" u="1"/>
        <s v="2015-10-28-04:00" u="1"/>
        <s v="2015-12-08-05:00" u="1"/>
        <s v="2016-01-06-04:00" u="1"/>
        <s v="2016-01-26-03:00" u="1"/>
        <s v="2016-02-26-03:00" u="1"/>
        <s v="2016-04-06-04:00" u="1"/>
        <s v="2016-04-26-03:00" u="1"/>
        <s v="2016-05-06-04:00" u="1"/>
        <s v="2016-05-26-03:00" u="1"/>
        <s v="2016-06-06-04:00" u="1"/>
        <s v="2016-07-06-04:00" u="1"/>
        <s v="2016-07-26-03:00" u="1"/>
        <s v="2016-08-26-03:00" u="1"/>
        <s v="2016-09-06-04:00" u="1"/>
        <s v="2016-09-26-03:00" u="1"/>
        <s v="2015-12-24-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7-26-02: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8-01-18-11:00" u="1"/>
        <s v="2018-04-18-11:00" u="1"/>
        <s v="2018-05-18-11:00" u="1"/>
        <s v="2018-07-18-11:00" u="1"/>
        <s v="2017-01-12-02:00" u="1"/>
        <s v="2017-01-16-11:00" u="1"/>
        <s v="2017-02-16-11:00" u="1"/>
        <s v="2017-03-16-11:00" u="1"/>
        <s v="2017-04-12-02:00" u="1"/>
        <s v="2017-05-12-02:00" u="1"/>
        <s v="2017-05-16-11:00" u="1"/>
        <s v="2017-06-12-02:00" u="1"/>
        <s v="2017-06-16-11:00" u="1"/>
        <s v="2017-07-12-02:00" u="1"/>
        <s v="2017-08-16-11:00" u="1"/>
        <s v="2017-09-12-02:00" u="1"/>
        <s v="2017-10-16-11:00" u="1"/>
        <s v="2017-11-16-11: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0-18-20:00" u="1"/>
        <s v="2016-11-10-02:00" u="1"/>
        <s v="2016-11-30-01:00" u="1"/>
        <s v="2016-12-18-20:00" u="1"/>
        <s v="2016-12-30-01:00" u="1"/>
        <s v="2018-01-02-02: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7-26-10:00" u="1"/>
        <s v="2017-01-08-20:00" u="1"/>
        <s v="2017-01-20-01:00" u="1"/>
        <s v="2017-02-08-20:00" u="1"/>
        <s v="2017-02-20-01:00" u="1"/>
        <s v="2017-03-08-20:00" u="1"/>
        <s v="2017-03-20-01:00" u="1"/>
        <s v="2017-04-20-01:00" u="1"/>
        <s v="2017-05-08-20:00" u="1"/>
        <s v="2017-06-08-20:00" u="1"/>
        <s v="2017-06-20-01:00" u="1"/>
        <s v="2017-07-20-01:00" u="1"/>
        <s v="2017-08-08-20:00" u="1"/>
        <s v="2017-09-20-01:00" u="1"/>
        <s v="2017-10-08-20:00" u="1"/>
        <s v="2017-10-20-01:00" u="1"/>
        <s v="2017-11-08-20:00" u="1"/>
        <s v="2017-11-20-01: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8-01-02-10:00" u="1"/>
        <s v="2018-02-02-10:00" u="1"/>
        <s v="2018-03-02-10:00" u="1"/>
        <s v="2018-04-02-10:00" u="1"/>
        <s v="2018-05-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2-17-12:00" u="1"/>
        <s v="2016-03-17-12:00" u="1"/>
        <s v="2016-05-17-12:00" u="1"/>
        <s v="2016-06-17-12:00" u="1"/>
        <s v="2016-08-17-12:00" u="1"/>
        <s v="2016-10-17-12:00" u="1"/>
        <s v="2016-11-17-12:00" u="1"/>
        <s v="2018-01-05-03:00" u="1"/>
        <s v="2018-01-25-02:00" u="1"/>
        <s v="2018-02-05-03:00" u="1"/>
        <s v="2018-03-05-03:00" u="1"/>
        <s v="2018-04-05-03:00" u="1"/>
        <s v="2018-04-25-02:00" u="1"/>
        <s v="2018-05-25-02:00" u="1"/>
        <s v="2018-07-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8-07-17-11:00" u="1"/>
        <s v="2017-01-11-02:00" u="1"/>
        <s v="2017-01-19-20:00" u="1"/>
        <s v="2017-01-31-01:00" u="1"/>
        <s v="2017-02-19-20:00" u="1"/>
        <s v="2017-03-19-20:00" u="1"/>
        <s v="2017-03-31-01:00" u="1"/>
        <s v="2017-04-11-02:00" u="1"/>
        <s v="2017-04-19-20:00" u="1"/>
        <s v="2017-05-11-02:00" u="1"/>
        <s v="2017-05-31-01:00" u="1"/>
        <s v="2017-06-19-20:00" u="1"/>
        <s v="2017-07-11-02:00" u="1"/>
        <s v="2017-07-19-20:00" u="1"/>
        <s v="2017-07-31-01:00" u="1"/>
        <s v="2017-08-11-02:00" u="1"/>
        <s v="2017-08-31-01:00" u="1"/>
        <s v="2017-09-11-02:00" u="1"/>
        <s v="2017-09-19-20:00" u="1"/>
        <s v="2017-10-11-02:00" u="1"/>
        <s v="2017-10-31-01:00" u="1"/>
        <s v="2017-12-11-02:00" u="1"/>
        <s v="2016-01-17-20:00" u="1"/>
        <s v="2016-02-17-20:00" u="1"/>
        <s v="2016-03-17-20:00" u="1"/>
        <s v="2016-04-17-20:00" u="1"/>
        <s v="2016-05-17-20:00" u="1"/>
        <s v="2016-07-17-20:00" u="1"/>
        <s v="2016-08-17-20:00" u="1"/>
        <s v="2016-10-17-20:00" u="1"/>
        <s v="2016-11-17-20:00" u="1"/>
        <s v="2018-01-09-20:00" u="1"/>
        <s v="2018-02-01-02:00" u="1"/>
        <s v="2018-02-21-01:00" u="1"/>
        <s v="2018-03-01-02:00" u="1"/>
        <s v="2018-03-21-01:00" u="1"/>
        <s v="2018-04-09-20:00" u="1"/>
        <s v="2018-05-01-02:00" u="1"/>
        <s v="2018-05-09-20:00" u="1"/>
        <s v="2018-05-21-01:00" u="1"/>
        <s v="2017-01-03-11:00" u="1"/>
        <s v="2017-01-23-10:00" u="1"/>
        <s v="2017-02-03-11:00" u="1"/>
        <s v="2017-02-07-20:00" u="1"/>
        <s v="2017-02-23-10:00" u="1"/>
        <s v="2017-03-03-11:00" u="1"/>
        <s v="2017-03-07-20:00" u="1"/>
        <s v="2017-03-23-10:00" u="1"/>
        <s v="2017-04-03-11:00" u="1"/>
        <s v="2017-05-03-11:00" u="1"/>
        <s v="2017-05-07-20:00" u="1"/>
        <s v="2017-05-23-10:00" u="1"/>
        <s v="2017-06-07-20:00" u="1"/>
        <s v="2017-06-23-10:00" u="1"/>
        <s v="2017-07-03-11:00" u="1"/>
        <s v="2017-08-03-11:00" u="1"/>
        <s v="2017-08-07-20:00" u="1"/>
        <s v="2017-08-23-1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7-01-11-10:00" u="1"/>
        <s v="2017-04-11-10:00" u="1"/>
        <s v="2017-05-11-10:00" u="1"/>
        <s v="2017-07-11-10:00" u="1"/>
        <s v="2017-08-11-10:00" u="1"/>
        <s v="2017-09-11-10:00" u="1"/>
        <s v="2017-10-11-10:00" u="1"/>
        <s v="2017-12-11-10:00" u="1"/>
        <s v="2016-10-28-04:00" u="1"/>
        <s v="2016-11-08-05:00" u="1"/>
        <s v="2016-11-28-04:00" u="1"/>
        <s v="2016-12-08-05:00" u="1"/>
        <s v="2016-12-28-04:00" u="1"/>
        <s v="2016-02-16-04:00" u="1"/>
        <s v="2016-03-16-04:00" u="1"/>
        <s v="2016-05-16-04:00" u="1"/>
        <s v="2016-06-16-04:00" u="1"/>
        <s v="2016-08-16-04:00" u="1"/>
        <s v="2016-09-16-04: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7-11-14-03:00" u="1"/>
        <s v="2017-12-14-03:00" u="1"/>
        <s v="2016-02-16-12: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20-02:00" u="1"/>
        <s v="2016-01-28-20:00" u="1"/>
        <s v="2016-02-08-21:00" u="1"/>
        <s v="2016-02-28-20:00" u="1"/>
        <s v="2016-03-08-21:00" u="1"/>
        <s v="2016-03-28-20:00" u="1"/>
        <s v="2016-04-20-02:00" u="1"/>
        <s v="2016-04-28-20:00" u="1"/>
        <s v="2016-05-08-21:00" u="1"/>
        <s v="2016-05-20-02:00" u="1"/>
        <s v="2016-06-08-21:00" u="1"/>
        <s v="2016-06-20-02:00" u="1"/>
        <s v="2016-06-28-20:00" u="1"/>
        <s v="2016-07-20-02:00" u="1"/>
        <s v="2016-07-28-20:00" u="1"/>
        <s v="2016-08-08-21:00" u="1"/>
        <s v="2016-08-28-20:00" u="1"/>
        <s v="2016-09-08-21:00" u="1"/>
        <s v="2016-09-20-02:00" u="1"/>
        <s v="2016-09-28-20:00" u="1"/>
        <s v="2016-10-20-02:00" u="1"/>
        <s v="2016-11-08-21:00" u="1"/>
        <s v="2016-11-28-20:00" u="1"/>
        <s v="2016-12-08-21:00" u="1"/>
        <s v="2016-12-20-02:00" u="1"/>
        <s v="2016-12-28-20:00" u="1"/>
        <s v="2018-01-12-02:00" u="1"/>
        <s v="2018-01-16-11:00" u="1"/>
        <s v="2018-02-12-02:00" u="1"/>
        <s v="2018-02-16-11:00" u="1"/>
        <s v="2018-03-12-02:00" u="1"/>
        <s v="2018-03-16-11:00" u="1"/>
        <s v="2018-04-12-02:00" u="1"/>
        <s v="2018-04-16-11:00" u="1"/>
        <s v="2018-05-16-11:00" u="1"/>
        <s v="2017-01-10-02:00" u="1"/>
        <s v="2017-01-18-20:00" u="1"/>
        <s v="2017-01-30-01:00" u="1"/>
        <s v="2017-02-10-02:00" u="1"/>
        <s v="2017-03-10-02:00" u="1"/>
        <s v="2017-03-30-01:00" u="1"/>
        <s v="2017-04-10-02:00" u="1"/>
        <s v="2017-04-18-20:00" u="1"/>
        <s v="2017-05-10-02:00" u="1"/>
        <s v="2017-05-18-20:00" u="1"/>
        <s v="2017-05-30-01:00" u="1"/>
        <s v="2017-06-18-20:00" u="1"/>
        <s v="2017-06-30-01:00" u="1"/>
        <s v="2017-07-10-02:00" u="1"/>
        <s v="2017-07-18-20:00" u="1"/>
        <s v="2017-08-10-02:00" u="1"/>
        <s v="2017-08-30-01:00" u="1"/>
        <s v="2017-09-18-20:00" u="1"/>
        <s v="2017-10-10-02:00" u="1"/>
        <s v="2017-10-18-20:00" u="1"/>
        <s v="2017-10-30-01:00" u="1"/>
        <s v="2017-11-10-02:00" u="1"/>
        <s v="2017-11-30-01:00" u="1"/>
        <s v="2017-12-18-20:00" u="1"/>
        <s v="2016-01-12-11:00" u="1"/>
        <s v="2016-02-12-11:00" u="1"/>
        <s v="2016-04-12-11:00" u="1"/>
        <s v="2016-05-12-11:00" u="1"/>
        <s v="2016-07-12-11:00" u="1"/>
        <s v="2016-08-12-11:00" u="1"/>
        <s v="2016-09-12-11:00" u="1"/>
        <s v="2016-10-12-11:00" u="1"/>
        <s v="2016-10-16-20:00" u="1"/>
        <s v="2016-11-16-20:00" u="1"/>
        <s v="2016-12-12-11:00" u="1"/>
        <s v="2018-01-08-20:00" u="1"/>
        <s v="2018-02-08-20:00" u="1"/>
        <s v="2018-02-20-01:00" u="1"/>
        <s v="2018-03-08-20:00" u="1"/>
        <s v="2018-03-20-01:00" u="1"/>
        <s v="2018-04-08-20:00" u="1"/>
        <s v="2018-04-20-01:00" u="1"/>
        <s v="2018-05-08-20:00" u="1"/>
        <s v="2018-07-20-01: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6-10-20-10:00" u="1"/>
        <s v="2016-12-20-10:00" u="1"/>
        <s v="2018-01-12-10:00" u="1"/>
        <s v="2018-02-12-10:00" u="1"/>
        <s v="2018-03-12-10:00" u="1"/>
        <s v="2018-04-1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7-19-04:00" u="1"/>
        <s v="2014-05-23-04:00" u="1"/>
        <s v="2014-06-03-05:00" u="1"/>
        <s v="2014-06-23-04:00" u="1"/>
        <s v="2014-07-03-05:00" u="1"/>
        <s v="2014-07-23-04:00" u="1"/>
        <s v="2014-09-03-05:00" u="1"/>
        <s v="2014-09-23-04: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6-01-07-13:00" u="1"/>
        <s v="2016-01-27-12:00" u="1"/>
        <s v="2016-03-07-13:00" u="1"/>
        <s v="2016-04-07-13:00" u="1"/>
        <s v="2016-04-27-12:00" u="1"/>
        <s v="2016-05-27-12:00" u="1"/>
        <s v="2016-06-07-13:00" u="1"/>
        <s v="2016-06-27-12:00" u="1"/>
        <s v="2016-07-07-13:00" u="1"/>
        <s v="2016-07-27-12:00" u="1"/>
        <s v="2016-09-07-13:00" u="1"/>
        <s v="2016-09-27-12:00" u="1"/>
        <s v="2018-01-15-03:00" u="1"/>
        <s v="2018-02-15-03:00" u="1"/>
        <s v="2018-03-15-03:00" u="1"/>
        <s v="2018-05-15-03:00" u="1"/>
        <s v="2017-01-17-12:00" u="1"/>
        <s v="2017-02-17-12:00" u="1"/>
        <s v="2017-03-17-12:00" u="1"/>
        <s v="2017-04-17-12:00" u="1"/>
        <s v="2017-05-17-12:00" u="1"/>
        <s v="2017-07-17-12:00" u="1"/>
        <s v="2017-08-17-12:00" u="1"/>
        <s v="2017-10-17-12:00" u="1"/>
        <s v="2017-11-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8-07-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01-03:00" u="1"/>
        <s v="2017-11-21-02:00" u="1"/>
        <s v="2017-12-01-03:00" u="1"/>
        <s v="2017-12-05-12:00" u="1"/>
        <s v="2017-12-21-02: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8-01-11-02:00" u="1"/>
        <s v="2018-01-31-01:00" u="1"/>
        <s v="2018-02-19-20:00" u="1"/>
        <s v="2018-03-19-20:00" u="1"/>
        <s v="2018-04-11-02:00" u="1"/>
        <s v="2018-04-19-20:00" u="1"/>
        <s v="2018-05-11-02:00" u="1"/>
        <s v="2018-07-19-20:00" u="1"/>
        <s v="2017-01-17-20:00" u="1"/>
        <s v="2017-04-17-20:00" u="1"/>
        <s v="2017-05-17-20:00" u="1"/>
        <s v="2017-07-17-20:00" u="1"/>
        <s v="2017-08-17-20:00" u="1"/>
        <s v="2017-09-17-20:00" u="1"/>
        <s v="2017-10-17-20:00" u="1"/>
        <s v="2017-12-17-20:00" u="1"/>
        <s v="2016-01-11-11:00" u="1"/>
        <s v="2016-02-11-11:00" u="1"/>
        <s v="2016-03-11-11:00" u="1"/>
        <s v="2016-03-31-10:00" u="1"/>
        <s v="2016-04-11-11:00" u="1"/>
        <s v="2016-05-11-11:00" u="1"/>
        <s v="2016-05-31-10:00" u="1"/>
        <s v="2016-07-11-11:00" u="1"/>
        <s v="2016-08-11-11:00" u="1"/>
        <s v="2016-08-31-10:00" u="1"/>
        <s v="2016-10-11-11:00" u="1"/>
        <s v="2016-10-31-10:00" u="1"/>
        <s v="2016-11-11-11:00" u="1"/>
        <s v="2018-01-03-11:00" u="1"/>
        <s v="2018-01-07-20:00" u="1"/>
        <s v="2018-01-23-10:00" u="1"/>
        <s v="2018-02-07-20:00" u="1"/>
        <s v="2018-02-23-10:00" u="1"/>
        <s v="2018-03-07-20:00" u="1"/>
        <s v="2018-03-23-10:00" u="1"/>
        <s v="2018-04-03-11:00" u="1"/>
        <s v="2018-04-23-10:00" u="1"/>
        <s v="2018-05-03-11:00" u="1"/>
        <s v="2018-05-07-20:00" u="1"/>
        <s v="2018-05-23-10:00" u="1"/>
        <s v="2018-07-23-10:00"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1-03-20:00" u="1"/>
        <s v="2016-02-03-20:00" u="1"/>
        <s v="2016-03-03-20:00" u="1"/>
        <s v="2016-04-03-20:00" u="1"/>
        <s v="2016-05-03-20:00" u="1"/>
        <s v="2016-07-03-20:00" u="1"/>
        <s v="2016-08-03-20:00" u="1"/>
        <s v="2016-10-03-20:00" u="1"/>
        <s v="2016-11-03-20:00" u="1"/>
        <s v="2018-01-11-10:00" u="1"/>
        <s v="2018-04-11-10:00" u="1"/>
        <s v="2018-05-11-10:00" u="1"/>
        <s v="2016-10-18-05:00" u="1"/>
        <s v="2016-11-18-05:00" u="1"/>
        <s v="2017-11-08-05:00" u="1"/>
        <s v="2017-11-28-04:00" u="1"/>
        <s v="2017-12-08-05:00" u="1"/>
        <s v="2017-12-28-04:00" u="1"/>
        <s v="2015-12-24-04:00" u="1"/>
        <s v="2017-01-16-04:00" u="1"/>
        <s v="2017-02-16-04:00" u="1"/>
        <s v="2017-03-16-04:00" u="1"/>
        <s v="2017-05-16-04:00" u="1"/>
        <s v="2017-06-16-04:00" u="1"/>
        <s v="2017-08-16-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7-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5-12-24-12:00" u="1"/>
        <s v="2017-01-16-12:00" u="1"/>
        <s v="2017-02-16-12:00" u="1"/>
        <s v="2017-03-16-12:00" u="1"/>
        <s v="2017-05-16-12:00" u="1"/>
        <s v="2017-06-16-12:00" u="1"/>
        <s v="2017-08-16-12:00" u="1"/>
        <s v="2017-10-16-12:00" u="1"/>
        <s v="2017-11-16-12:00" u="1"/>
        <s v="2016-01-18-21:00" u="1"/>
        <s v="2016-02-10-03:00" u="1"/>
        <s v="2016-02-18-21:00" u="1"/>
        <s v="2016-03-10-03:00" u="1"/>
        <s v="2016-03-30-02:00" u="1"/>
        <s v="2016-04-18-21:00" u="1"/>
        <s v="2016-05-10-03:00" u="1"/>
        <s v="2016-05-18-21:00" u="1"/>
        <s v="2016-05-30-02:00" u="1"/>
        <s v="2016-06-10-03:00" u="1"/>
        <s v="2016-06-30-02:00" u="1"/>
        <s v="2016-07-18-21:00" u="1"/>
        <s v="2016-08-10-03:00" u="1"/>
        <s v="2016-08-18-21:00" u="1"/>
        <s v="2016-08-30-02:00" u="1"/>
        <s v="2016-09-18-21:00" u="1"/>
        <s v="2016-09-30-02:00" u="1"/>
        <s v="2016-10-10-03:00" u="1"/>
        <s v="2016-11-10-03:00" u="1"/>
        <s v="2016-11-30-02:00" u="1"/>
        <s v="2016-12-30-02:00" u="1"/>
        <s v="2018-01-26-11:00" u="1"/>
        <s v="2018-02-06-12:00" u="1"/>
        <s v="2018-02-26-11:00" u="1"/>
        <s v="2018-03-06-12:00" u="1"/>
        <s v="2018-03-26-11:00" u="1"/>
        <s v="2018-04-06-12:00" u="1"/>
        <s v="2018-04-26-11:00" u="1"/>
        <s v="2018-07-26-11:00" u="1"/>
        <s v="2017-01-08-21:00" u="1"/>
        <s v="2017-01-20-02:00" u="1"/>
        <s v="2017-02-08-21:00" u="1"/>
        <s v="2017-02-20-02:00" u="1"/>
        <s v="2017-02-28-20:00" u="1"/>
        <s v="2017-03-08-21:00" u="1"/>
        <s v="2017-03-20-02:00" u="1"/>
        <s v="2017-03-28-20:00" u="1"/>
        <s v="2017-04-20-02:00" u="1"/>
        <s v="2017-05-08-21:00" u="1"/>
        <s v="2017-05-28-20:00" u="1"/>
        <s v="2017-06-08-21:00" u="1"/>
        <s v="2017-06-20-02:00" u="1"/>
        <s v="2017-06-28-20:00" u="1"/>
        <s v="2017-07-20-02:00" u="1"/>
        <s v="2017-08-08-21:00" u="1"/>
        <s v="2017-08-28-20:00" u="1"/>
        <s v="2017-09-20-02:00" u="1"/>
        <s v="2017-09-28-20:00" u="1"/>
        <s v="2017-10-08-21:00" u="1"/>
        <s v="2017-10-20-02:00" u="1"/>
        <s v="2017-11-08-21:00" u="1"/>
        <s v="2017-11-20-02:00" u="1"/>
        <s v="2017-11-28-20:00" u="1"/>
        <s v="2017-12-20-02:00" u="1"/>
        <s v="2017-12-28-20:00" u="1"/>
        <s v="2016-01-06-21:00" u="1"/>
        <s v="2016-01-22-11:00" u="1"/>
        <s v="2016-01-26-20:00" u="1"/>
        <s v="2016-02-02-12:00" u="1"/>
        <s v="2016-02-22-11:00" u="1"/>
        <s v="2016-03-02-12:00" u="1"/>
        <s v="2016-03-06-21:00" u="1"/>
        <s v="2016-03-22-11:00" u="1"/>
        <s v="2016-04-06-21:00" u="1"/>
        <s v="2016-04-22-11:00" u="1"/>
        <s v="2016-04-26-20:00" u="1"/>
        <s v="2016-05-02-12:00" u="1"/>
        <s v="2016-05-26-20:00" u="1"/>
        <s v="2016-06-02-12:00" u="1"/>
        <s v="2016-06-06-21:00" u="1"/>
        <s v="2016-06-22-11:00" u="1"/>
        <s v="2016-06-26-20:00" u="1"/>
        <s v="2016-07-06-21:00" u="1"/>
        <s v="2016-07-22-11:00" u="1"/>
        <s v="2016-07-26-20:00" u="1"/>
        <s v="2016-08-02-12:00" u="1"/>
        <s v="2016-08-22-11:00" u="1"/>
        <s v="2016-09-02-12:00" u="1"/>
        <s v="2016-09-06-21:00" u="1"/>
        <s v="2016-09-22-11:00" u="1"/>
        <s v="2016-09-26-20:00" u="1"/>
        <s v="2016-10-06-21:00" u="1"/>
        <s v="2016-10-26-20:00" u="1"/>
        <s v="2016-11-06-21:00" u="1"/>
        <s v="2016-12-06-21:00" u="1"/>
        <s v="2016-12-26-20:00" u="1"/>
        <s v="2018-01-10-02:00" u="1"/>
        <s v="2018-01-18-20:00" u="1"/>
        <s v="2018-01-30-01:00" u="1"/>
        <s v="2018-02-18-20:00" u="1"/>
        <s v="2018-03-18-20:00" u="1"/>
        <s v="2018-03-30-01:00" u="1"/>
        <s v="2018-04-10-02:00" u="1"/>
        <s v="2018-04-18-20:00" u="1"/>
        <s v="2018-04-30-01:00" u="1"/>
        <s v="2018-05-10-02:00" u="1"/>
        <s v="2018-07-18-20:00" u="1"/>
        <s v="2017-01-12-11:00" u="1"/>
        <s v="2017-04-12-11:00" u="1"/>
        <s v="2017-05-12-11:00" u="1"/>
        <s v="2017-06-12-11:00" u="1"/>
        <s v="2017-07-12-11:00" u="1"/>
        <s v="2017-09-12-11:00" u="1"/>
        <s v="2017-10-12-11:00" u="1"/>
        <s v="2017-10-16-20:00" u="1"/>
        <s v="2017-11-16-20:00" u="1"/>
        <s v="2017-12-12-11:00" u="1"/>
        <s v="2016-10-10-11:00" u="1"/>
        <s v="2016-11-10-11:00" u="1"/>
        <s v="2016-11-30-10:00" u="1"/>
        <s v="2016-12-30-10:00" u="1"/>
        <s v="2018-01-02-11:00" u="1"/>
        <s v="2018-01-22-10:00" u="1"/>
        <s v="2018-02-02-11:00" u="1"/>
        <s v="2018-02-22-10:00" u="1"/>
        <s v="2018-03-02-11:00" u="1"/>
        <s v="2018-03-22-10:00" u="1"/>
        <s v="2018-04-02-11:00" u="1"/>
        <s v="2018-05-02-11:00" u="1"/>
        <s v="2018-05-22-10:00" u="1"/>
        <s v="2017-10-20-10:00" u="1"/>
        <s v="2017-11-20-10:00" u="1"/>
        <s v="2017-12-20-10:00" u="1"/>
        <s v="2016-02-02-20:00" u="1"/>
        <s v="2016-03-02-20:00" u="1"/>
        <s v="2016-05-02-20:00" u="1"/>
        <s v="2016-06-02-20:00" u="1"/>
        <s v="2016-08-02-20:00" u="1"/>
        <s v="2016-10-02-20:00" u="1"/>
        <s v="2016-11-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2-23-04: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8-07-25-03:00" u="1"/>
        <s v="2017-01-27-12:00" u="1"/>
        <s v="2017-02-07-13:00" u="1"/>
        <s v="2017-02-27-12:00" u="1"/>
        <s v="2017-03-07-13:00" u="1"/>
        <s v="2017-03-27-12:00" u="1"/>
        <s v="2017-04-07-13:00" u="1"/>
        <s v="2017-04-27-12:00" u="1"/>
        <s v="2017-06-07-13:00" u="1"/>
        <s v="2017-06-27-12:00" u="1"/>
        <s v="2017-07-07-13:00" u="1"/>
        <s v="2017-07-27-12:00" u="1"/>
        <s v="2017-08-07-13:00" u="1"/>
        <s v="2017-09-07-13:00" u="1"/>
        <s v="2017-09-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1-17-21:00" u="1"/>
        <s v="2016-02-17-21:00" u="1"/>
        <s v="2016-03-17-21:00" u="1"/>
        <s v="2016-04-17-21:00" u="1"/>
        <s v="2016-05-17-21:00" u="1"/>
        <s v="2016-07-17-21:00" u="1"/>
        <s v="2016-08-17-21:00" u="1"/>
        <s v="2016-10-17-21:00" u="1"/>
        <s v="2016-11-17-21:00" u="1"/>
        <s v="2018-02-01-03:00" u="1"/>
        <s v="2018-02-21-02:00" u="1"/>
        <s v="2018-03-01-03:00" u="1"/>
        <s v="2018-03-21-02:00" u="1"/>
        <s v="2018-05-01-03:00" u="1"/>
        <s v="2018-05-21-02:00" u="1"/>
        <s v="2017-02-07-21:00" u="1"/>
        <s v="2017-02-27-20:00" u="1"/>
        <s v="2017-03-07-21:00" u="1"/>
        <s v="2017-03-27-20:00" u="1"/>
        <s v="2017-04-27-20:00" u="1"/>
        <s v="2017-05-07-21:00" u="1"/>
        <s v="2017-06-07-21:00" u="1"/>
        <s v="2017-06-27-20:00" u="1"/>
        <s v="2017-07-27-20:00" u="1"/>
        <s v="2017-08-07-21:00" u="1"/>
        <s v="2017-08-27-20:00" u="1"/>
        <s v="2017-09-07-21:00" u="1"/>
        <s v="2017-09-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7-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1-13-20:00" u="1"/>
        <s v="2016-03-13-20:00" u="1"/>
        <s v="2016-04-13-20:00" u="1"/>
        <s v="2016-06-13-20:00" u="1"/>
        <s v="2016-07-13-20:00" u="1"/>
        <s v="2016-09-13-20:00" u="1"/>
        <s v="2016-10-13-20:00" u="1"/>
        <s v="2016-11-13-20:00" u="1"/>
        <s v="2016-12-13-20:00" u="1"/>
        <s v="2018-02-01-11:00" u="1"/>
        <s v="2018-02-21-10:00" u="1"/>
        <s v="2018-03-01-11:00" u="1"/>
        <s v="2018-03-21-10:00" u="1"/>
        <s v="2018-05-01-11:00" u="1"/>
        <s v="2018-05-21-10:00" u="1"/>
        <s v="2017-01-03-20:00" u="1"/>
        <s v="2017-04-03-20:00" u="1"/>
        <s v="2017-05-03-20:00" u="1"/>
        <s v="2017-07-03-20:00" u="1"/>
        <s v="2017-08-03-20:00" u="1"/>
        <s v="2017-09-03-20:00" u="1"/>
        <s v="2017-10-03-20:00" u="1"/>
        <s v="2017-12-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4-10-08-15:00" u="1"/>
        <s v="2014-10-28-14:00" u="1"/>
        <s v="2014-11-28-14:00" u="1"/>
        <s v="2014-12-08-1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7-24-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7-01-10-03:00" u="1"/>
        <s v="2017-01-18-21:00" u="1"/>
        <s v="2017-01-30-02:00" u="1"/>
        <s v="2017-02-10-03:00" u="1"/>
        <s v="2017-03-10-03:00" u="1"/>
        <s v="2017-03-30-02:00" u="1"/>
        <s v="2017-04-10-03:00" u="1"/>
        <s v="2017-04-18-21:00" u="1"/>
        <s v="2017-05-10-03:00" u="1"/>
        <s v="2017-05-18-21:00" u="1"/>
        <s v="2017-05-30-02:00" u="1"/>
        <s v="2017-06-18-21:00" u="1"/>
        <s v="2017-06-30-02:00" u="1"/>
        <s v="2017-07-10-03:00" u="1"/>
        <s v="2017-07-18-21:00" u="1"/>
        <s v="2017-08-10-03:00" u="1"/>
        <s v="2017-08-30-02:00" u="1"/>
        <s v="2017-09-18-21:00" u="1"/>
        <s v="2017-10-10-03:00" u="1"/>
        <s v="2017-10-30-02:00" u="1"/>
        <s v="2017-11-10-03:00" u="1"/>
        <s v="2017-11-30-02:00" u="1"/>
        <s v="2016-01-12-12:00" u="1"/>
        <s v="2016-02-12-12:00" u="1"/>
        <s v="2016-02-16-21:00" u="1"/>
        <s v="2016-03-16-21:00" u="1"/>
        <s v="2016-04-12-12:00" u="1"/>
        <s v="2016-05-12-12:00" u="1"/>
        <s v="2016-05-16-21:00" u="1"/>
        <s v="2016-06-16-21:00" u="1"/>
        <s v="2016-07-12-12:00" u="1"/>
        <s v="2016-08-12-12:00" u="1"/>
        <s v="2016-08-16-21:00" u="1"/>
        <s v="2016-09-12-12:00" u="1"/>
        <s v="2016-10-16-21:00" u="1"/>
        <s v="2016-11-16-21:00" u="1"/>
        <s v="2018-01-08-21:00" u="1"/>
        <s v="2018-01-28-20:00" u="1"/>
        <s v="2018-02-08-21:00" u="1"/>
        <s v="2018-02-20-02:00" u="1"/>
        <s v="2018-02-28-20:00" u="1"/>
        <s v="2018-03-08-21:00" u="1"/>
        <s v="2018-03-20-02:00" u="1"/>
        <s v="2018-03-28-20:00" u="1"/>
        <s v="2018-04-08-21:00" u="1"/>
        <s v="2018-04-20-02:00" u="1"/>
        <s v="2018-05-08-21:00" u="1"/>
        <s v="2018-05-28-20:00" u="1"/>
        <s v="2018-07-20-02:00" u="1"/>
        <s v="2017-01-02-12:00" u="1"/>
        <s v="2017-01-26-20:00" u="1"/>
        <s v="2017-02-02-12:00" u="1"/>
        <s v="2017-02-06-21:00" u="1"/>
        <s v="2017-02-22-11:00" u="1"/>
        <s v="2017-02-26-20:00" u="1"/>
        <s v="2017-03-02-12:00" u="1"/>
        <s v="2017-03-06-21:00" u="1"/>
        <s v="2017-03-22-11:00" u="1"/>
        <s v="2017-03-26-20:00" u="1"/>
        <s v="2017-04-06-21:00" u="1"/>
        <s v="2017-04-26-20:00" u="1"/>
        <s v="2017-05-02-12:00" u="1"/>
        <s v="2017-05-22-11:00" u="1"/>
        <s v="2017-06-02-12:00" u="1"/>
        <s v="2017-06-06-21:00" u="1"/>
        <s v="2017-06-22-11:00" u="1"/>
        <s v="2017-06-26-20:00" u="1"/>
        <s v="2017-07-06-21:00" u="1"/>
        <s v="2017-07-26-20:00" u="1"/>
        <s v="2017-08-02-12:00" u="1"/>
        <s v="2017-08-06-21:00" u="1"/>
        <s v="2017-08-22-11:00" u="1"/>
        <s v="2017-09-06-21:00" u="1"/>
        <s v="2017-09-22-11:00" u="1"/>
        <s v="2017-09-26-20:00" u="1"/>
        <s v="2017-10-26-20:00" u="1"/>
        <s v="2017-11-06-21:00" u="1"/>
        <s v="2017-11-26-20:00" u="1"/>
        <s v="2017-12-06-21:00" u="1"/>
        <s v="2017-12-26-20:00" u="1"/>
        <s v="2016-01-20-11:00" u="1"/>
        <s v="2016-04-20-11:00" u="1"/>
        <s v="2016-05-20-11:00" u="1"/>
        <s v="2016-06-20-11:00" u="1"/>
        <s v="2016-07-20-11:00" u="1"/>
        <s v="2016-09-20-11:00" u="1"/>
        <s v="2016-10-20-11:00" u="1"/>
        <s v="2016-12-20-11:00" u="1"/>
        <s v="2018-01-12-11:00" u="1"/>
        <s v="2018-02-12-11:00" u="1"/>
        <s v="2018-03-12-11:00" u="1"/>
        <s v="2018-04-12-11:00" u="1"/>
        <s v="2015-12-22-20:00" u="1"/>
        <s v="2017-10-10-11:00" u="1"/>
        <s v="2017-10-30-10:00" u="1"/>
        <s v="2017-11-10-11:00" u="1"/>
        <s v="2017-11-30-10:00" u="1"/>
        <s v="2016-01-12-20:00" u="1"/>
        <s v="2016-04-12-20:00" u="1"/>
        <s v="2016-05-12-20:00" u="1"/>
        <s v="2016-06-12-20:00" u="1"/>
        <s v="2016-07-12-20:00" u="1"/>
        <s v="2016-09-12-20:00" u="1"/>
        <s v="2016-10-12-20:00" u="1"/>
        <s v="2016-12-12-20:00" u="1"/>
        <s v="2014-05-27-06:00" u="1"/>
        <s v="2014-06-27-06:00" u="1"/>
        <s v="2014-07-07-07:00" u="1"/>
        <s v="2014-08-07-07:00" u="1"/>
        <s v="2014-08-27-06:00" u="1"/>
        <s v="2016-01-19-06:00" u="1"/>
        <s v="2016-02-19-06:00" u="1"/>
        <s v="2016-04-19-06:00" u="1"/>
        <s v="2016-05-19-06:00" u="1"/>
        <s v="2016-07-19-06:00" u="1"/>
        <s v="2016-08-19-06:00" u="1"/>
        <s v="2016-09-19-06:00" u="1"/>
        <s v="2016-10-19-06:00" u="1"/>
        <s v="2016-12-19-06:00" u="1"/>
        <s v="2017-01-02-20:00" u="1"/>
        <s v="2017-02-02-20:00" u="1"/>
        <s v="2017-03-02-20:00" u="1"/>
        <s v="2017-04-02-20:00" u="1"/>
        <s v="2017-05-02-20:00" u="1"/>
        <s v="2017-07-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7-10-13-04:00" u="1"/>
        <s v="2017-11-13-04:00" u="1"/>
        <s v="2017-12-13-04:00" u="1"/>
        <s v="2016-01-15-13:00" u="1"/>
        <s v="2016-02-15-13:00" u="1"/>
        <s v="2016-03-15-13:00" u="1"/>
        <s v="2016-04-15-13:00" u="1"/>
        <s v="2016-06-15-13:00" u="1"/>
        <s v="2016-07-15-13:00" u="1"/>
        <s v="2016-08-15-13:00" u="1"/>
        <s v="2016-09-15-13:00" u="1"/>
        <s v="2016-11-15-13:00" u="1"/>
        <s v="2016-12-15-13:00" u="1"/>
        <s v="2018-02-07-13:00" u="1"/>
        <s v="2018-02-27-12:00" u="1"/>
        <s v="2018-03-07-13:00" u="1"/>
        <s v="2018-03-27-12:00" u="1"/>
        <s v="2018-04-27-12:00" u="1"/>
        <s v="2018-05-07-13:00" u="1"/>
        <s v="2018-07-27-12: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2-07-22:00" u="1"/>
        <s v="2016-03-07-22:00" u="1"/>
        <s v="2016-03-27-21:00" u="1"/>
        <s v="2016-04-07-22:00" u="1"/>
        <s v="2016-04-27-21:00" u="1"/>
        <s v="2016-06-07-22:00" u="1"/>
        <s v="2016-06-27-21:00" u="1"/>
        <s v="2016-07-07-22:00" u="1"/>
        <s v="2016-07-27-21:00" u="1"/>
        <s v="2016-08-07-22:00" u="1"/>
        <s v="2016-09-07-22:00" u="1"/>
        <s v="2016-09-27-21:00" u="1"/>
        <s v="2016-10-27-21:00" u="1"/>
        <s v="2016-11-07-22:00" u="1"/>
        <s v="2016-11-27-21:00" u="1"/>
        <s v="2016-12-07-22:00" u="1"/>
        <s v="2016-12-27-21:00" u="1"/>
        <s v="2018-01-11-03:00" u="1"/>
        <s v="2018-01-15-12:00" u="1"/>
        <s v="2018-01-31-02:00" u="1"/>
        <s v="2018-02-15-12:00" u="1"/>
        <s v="2018-03-15-12:00" u="1"/>
        <s v="2018-04-11-03:00" u="1"/>
        <s v="2018-05-11-03:00" u="1"/>
        <s v="2018-05-15-12:00" u="1"/>
        <s v="2017-01-17-21:00" u="1"/>
        <s v="2017-04-17-21:00" u="1"/>
        <s v="2017-05-17-21:00" u="1"/>
        <s v="2017-07-17-21:00" u="1"/>
        <s v="2017-08-17-21:00" u="1"/>
        <s v="2017-09-17-21:00" u="1"/>
        <s v="2017-10-17-21:00" u="1"/>
        <s v="2017-12-17-21:00" u="1"/>
        <s v="2016-01-11-12:00" u="1"/>
        <s v="2016-02-11-12:00" u="1"/>
        <s v="2016-03-11-12:00" u="1"/>
        <s v="2016-03-31-11:00" u="1"/>
        <s v="2016-04-11-12:00" u="1"/>
        <s v="2016-05-11-12:00" u="1"/>
        <s v="2016-05-31-11:00" u="1"/>
        <s v="2016-07-11-12:00" u="1"/>
        <s v="2016-08-11-12:00" u="1"/>
        <s v="2016-08-31-11:00" u="1"/>
        <s v="2016-10-11-12:00" u="1"/>
        <s v="2016-10-31-11:00" u="1"/>
        <s v="2016-11-11-12:00" u="1"/>
        <s v="2018-01-07-21:00" u="1"/>
        <s v="2018-02-07-21:00" u="1"/>
        <s v="2018-02-27-20:00" u="1"/>
        <s v="2018-03-07-21:00" u="1"/>
        <s v="2018-03-27-20:00" u="1"/>
        <s v="2018-05-07-21:00" u="1"/>
        <s v="2018-05-27-20: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6-01-03-21:00" u="1"/>
        <s v="2016-02-03-21:00" u="1"/>
        <s v="2016-02-23-20:00" u="1"/>
        <s v="2016-03-03-21:00" u="1"/>
        <s v="2016-03-23-20:00" u="1"/>
        <s v="2016-04-03-21:00" u="1"/>
        <s v="2016-05-03-21:00" u="1"/>
        <s v="2016-05-23-20:00" u="1"/>
        <s v="2016-06-23-20:00" u="1"/>
        <s v="2016-07-03-21:00" u="1"/>
        <s v="2016-08-03-21:00" u="1"/>
        <s v="2016-08-23-20:00" u="1"/>
        <s v="2018-01-11-11:00" u="1"/>
        <s v="2018-01-31-10:00" u="1"/>
        <s v="2018-04-11-11:00" u="1"/>
        <s v="2018-05-11-11:00" u="1"/>
        <s v="2015-12-21-20:00" u="1"/>
        <s v="2017-02-13-20:00" u="1"/>
        <s v="2017-03-13-20:00" u="1"/>
        <s v="2017-04-13-20:00" u="1"/>
        <s v="2017-06-13-20:00" u="1"/>
        <s v="2017-07-13-20:00" u="1"/>
        <s v="2017-08-13-20:00" u="1"/>
        <s v="2017-09-13-20:00" u="1"/>
        <s v="2017-11-13-20:00" u="1"/>
        <s v="2017-12-13-20:00" u="1"/>
        <s v="2016-01-11-20:00" u="1"/>
        <s v="2016-02-11-20:00" u="1"/>
        <s v="2016-04-11-20:00" u="1"/>
        <s v="2016-05-11-20:00" u="1"/>
        <s v="2016-07-11-20:00" u="1"/>
        <s v="2016-08-11-20:00" u="1"/>
        <s v="2016-09-11-20:00" u="1"/>
        <s v="2016-10-11-20:00" u="1"/>
        <s v="2016-12-11-20:00" u="1"/>
        <s v="2018-01-03-20:00" u="1"/>
        <s v="2018-04-03-20:00" u="1"/>
        <s v="2018-05-03-20:00" u="1"/>
        <s v="2016-01-18-06:00" u="1"/>
        <s v="2016-02-18-06:00" u="1"/>
        <s v="2016-03-18-06:00" u="1"/>
        <s v="2016-04-18-06:00" u="1"/>
        <s v="2016-05-18-06:00" u="1"/>
        <s v="2016-07-18-06:00" u="1"/>
        <s v="2016-08-18-06:00" u="1"/>
        <s v="2016-10-18-06:00" u="1"/>
        <s v="2016-11-18-06:00" u="1"/>
        <s v="2017-10-01-20:00" u="1"/>
        <s v="2017-11-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5-10-08-15:00" u="1"/>
        <s v="2015-10-28-14:00" u="1"/>
        <s v="2015-12-24-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5-12-24-13:00" u="1"/>
        <s v="2017-01-16-13:00" u="1"/>
        <s v="2017-02-16-13:00" u="1"/>
        <s v="2017-03-16-13:00" u="1"/>
        <s v="2017-05-16-13:00" u="1"/>
        <s v="2017-06-16-13:00" u="1"/>
        <s v="2017-08-16-13:00" u="1"/>
        <s v="2017-10-16-13:00" u="1"/>
        <s v="2017-11-16-13: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26-12:00" u="1"/>
        <s v="2018-02-06-13:00" u="1"/>
        <s v="2018-02-26-12:00" u="1"/>
        <s v="2018-03-06-13:00" u="1"/>
        <s v="2018-03-26-12:00" u="1"/>
        <s v="2018-04-06-13:00" u="1"/>
        <s v="2018-04-26-12:00" u="1"/>
        <s v="2018-07-26-12:00" u="1"/>
        <s v="2017-01-20-03:00" u="1"/>
        <s v="2017-02-20-03:00" u="1"/>
        <s v="2017-03-20-03:00" u="1"/>
        <s v="2017-04-20-03:00" u="1"/>
        <s v="2017-06-20-03:00" u="1"/>
        <s v="2017-07-20-03:00" u="1"/>
        <s v="2017-09-20-03:00" u="1"/>
        <s v="2017-10-04-13:00" u="1"/>
        <s v="2017-10-20-03:00" u="1"/>
        <s v="2017-10-24-12:00" u="1"/>
        <s v="2017-11-20-03:00" u="1"/>
        <s v="2017-11-24-12:00" u="1"/>
        <s v="2017-12-04-13:00" u="1"/>
        <s v="2017-12-20-03: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12-06-22:00" u="1"/>
        <s v="2016-12-26-21:00" u="1"/>
        <s v="2018-01-10-03:00" u="1"/>
        <s v="2018-01-18-21:00" u="1"/>
        <s v="2018-01-30-02:00" u="1"/>
        <s v="2018-02-18-21:00" u="1"/>
        <s v="2018-03-18-21:00" u="1"/>
        <s v="2018-03-30-02:00" u="1"/>
        <s v="2018-04-10-03:00" u="1"/>
        <s v="2018-04-18-21:00" u="1"/>
        <s v="2018-04-30-02:00" u="1"/>
        <s v="2018-05-10-03:00" u="1"/>
        <s v="2018-07-18-21:00" u="1"/>
        <s v="2017-01-12-12:00" u="1"/>
        <s v="2017-01-16-21:00" u="1"/>
        <s v="2017-02-16-21:00" u="1"/>
        <s v="2017-03-16-21:00" u="1"/>
        <s v="2017-04-12-12:00" u="1"/>
        <s v="2017-04-16-21:00" u="1"/>
        <s v="2017-05-12-12:00" u="1"/>
        <s v="2017-05-16-21:00" u="1"/>
        <s v="2017-06-12-12:00" u="1"/>
        <s v="2017-07-12-12:00" u="1"/>
        <s v="2017-07-16-21:00" u="1"/>
        <s v="2017-08-16-21:00" u="1"/>
        <s v="2017-09-12-12:00" u="1"/>
        <s v="2017-10-16-21:00" u="1"/>
        <s v="2017-11-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2-02-12:00" u="1"/>
        <s v="2018-02-06-21:00" u="1"/>
        <s v="2018-02-22-11:00" u="1"/>
        <s v="2018-02-26-20:00" u="1"/>
        <s v="2018-03-02-12:00" u="1"/>
        <s v="2018-03-06-21:00" u="1"/>
        <s v="2018-03-22-11:00" u="1"/>
        <s v="2018-03-26-20:00" u="1"/>
        <s v="2018-04-02-12:00" u="1"/>
        <s v="2018-04-26-20:00" u="1"/>
        <s v="2018-05-02-12:00" u="1"/>
        <s v="2018-05-06-21:00" u="1"/>
        <s v="2018-05-22-11:00" u="1"/>
        <s v="2018-07-26-20:00" u="1"/>
        <s v="2017-01-20-11:00" u="1"/>
        <s v="2017-02-20-11:00" u="1"/>
        <s v="2017-03-20-11:00" u="1"/>
        <s v="2017-04-20-11:00" u="1"/>
        <s v="2017-06-20-11:00" u="1"/>
        <s v="2017-07-20-11:00" u="1"/>
        <s v="2017-09-20-11:00" u="1"/>
        <s v="2017-10-20-11:00" u="1"/>
        <s v="2017-11-20-11:00" u="1"/>
        <s v="2017-12-20-11:00" u="1"/>
        <s v="2016-02-02-21:00" u="1"/>
        <s v="2016-02-22-20:00" u="1"/>
        <s v="2016-03-02-21:00" u="1"/>
        <s v="2016-03-22-20:00" u="1"/>
        <s v="2016-05-02-21:00" u="1"/>
        <s v="2016-05-22-20:00" u="1"/>
        <s v="2016-06-02-21:00" u="1"/>
        <s v="2016-06-22-20:00" u="1"/>
        <s v="2016-08-02-21:00" u="1"/>
        <s v="2016-08-22-20:00" u="1"/>
        <s v="2016-09-22-20:00" u="1"/>
        <s v="2016-10-02-21:00" u="1"/>
        <s v="2016-11-02-21:00" u="1"/>
        <s v="2016-11-22-20: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2-12-20:00" u="1"/>
        <s v="2017-03-12-20:00" u="1"/>
        <s v="2017-04-12-20:00" u="1"/>
        <s v="2017-06-12-20:00" u="1"/>
        <s v="2017-07-12-20:00" u="1"/>
        <s v="2017-09-12-20:00" u="1"/>
        <s v="2017-10-12-20:00" u="1"/>
        <s v="2017-11-12-20:00" u="1"/>
        <s v="2017-12-12-20:00" u="1"/>
        <s v="2015-01-07-07:00" u="1"/>
        <s v="2015-01-27-06:00" u="1"/>
        <s v="2015-02-27-06:00" u="1"/>
        <s v="2015-03-27-06:00" u="1"/>
        <s v="2015-04-07-07:00" u="1"/>
        <s v="2015-04-27-06:00" u="1"/>
        <s v="2015-05-07-07:00" u="1"/>
        <s v="2015-05-27-06:00" u="1"/>
        <s v="2015-07-07-07:00" u="1"/>
        <s v="2015-07-27-06:00" u="1"/>
        <s v="2015-08-07-07:00" u="1"/>
        <s v="2015-08-27-06:00" u="1"/>
        <s v="2015-09-07-07:00" u="1"/>
        <s v="2017-01-19-06:00" u="1"/>
        <s v="2017-04-19-06:00" u="1"/>
        <s v="2017-05-19-06:00" u="1"/>
        <s v="2017-06-19-06:00" u="1"/>
        <s v="2017-07-19-06:00" u="1"/>
        <s v="2017-09-19-06:00" u="1"/>
        <s v="2017-10-19-06:00" u="1"/>
        <s v="2017-12-19-06:00" u="1"/>
        <s v="2018-01-02-20:00" u="1"/>
        <s v="2018-04-02-20:00" u="1"/>
        <s v="2018-05-02-20:00" u="1"/>
        <s v="2016-10-17-06:00" u="1"/>
        <s v="2016-11-17-06:00" u="1"/>
        <s v="2018-01-09-06:00" u="1"/>
        <s v="2018-01-29-05:00" u="1"/>
        <s v="2018-02-09-06:00" u="1"/>
        <s v="2018-03-09-06:00" u="1"/>
        <s v="2018-03-29-05:00" u="1"/>
        <s v="2018-04-09-06:00" u="1"/>
        <s v="2018-05-09-06:00" u="1"/>
        <s v="2018-05-29-05: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5-12-23-05: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8-07-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1-17-22:00" u="1"/>
        <s v="2016-02-17-22:00" u="1"/>
        <s v="2016-03-17-22:00" u="1"/>
        <s v="2016-04-17-22:00" u="1"/>
        <s v="2016-05-17-22:00" u="1"/>
        <s v="2016-07-17-22:00" u="1"/>
        <s v="2016-08-17-22:00" u="1"/>
        <s v="2016-10-17-22:00" u="1"/>
        <s v="2016-11-17-22:00" u="1"/>
        <s v="2018-01-05-13:00" u="1"/>
        <s v="2018-01-25-12:00" u="1"/>
        <s v="2018-02-05-13:00" u="1"/>
        <s v="2018-03-05-13:00" u="1"/>
        <s v="2018-04-05-13:00" u="1"/>
        <s v="2018-04-25-12:00" u="1"/>
        <s v="2018-05-25-12:00" u="1"/>
        <s v="2018-07-25-12:00" u="1"/>
        <s v="2017-02-07-22:00" u="1"/>
        <s v="2017-02-27-21:00" u="1"/>
        <s v="2017-03-07-22:00" u="1"/>
        <s v="2017-03-27-21:00" u="1"/>
        <s v="2017-04-27-21:00" u="1"/>
        <s v="2017-05-07-22:00" u="1"/>
        <s v="2017-06-07-22:00" u="1"/>
        <s v="2017-06-27-21:00" u="1"/>
        <s v="2017-07-27-21:00" u="1"/>
        <s v="2017-08-07-22:00" u="1"/>
        <s v="2017-08-27-21:00" u="1"/>
        <s v="2017-09-07-22:00" u="1"/>
        <s v="2017-09-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2-01-13:00" u="1"/>
        <s v="2016-12-05-22:00" u="1"/>
        <s v="2016-12-21-12:00" u="1"/>
        <s v="2016-12-25-21:00" u="1"/>
        <s v="2018-01-17-21:00" u="1"/>
        <s v="2018-04-17-21:00" u="1"/>
        <s v="2018-05-17-21:00" u="1"/>
        <s v="2018-07-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8-02-01-12:00" u="1"/>
        <s v="2018-02-21-11:00" u="1"/>
        <s v="2018-03-01-12:00" u="1"/>
        <s v="2018-03-21-11:00" u="1"/>
        <s v="2018-05-01-12:00" u="1"/>
        <s v="2018-05-21-11:00" u="1"/>
        <s v="2017-01-03-21:00" u="1"/>
        <s v="2017-01-23-20:00" u="1"/>
        <s v="2017-02-23-20:00" u="1"/>
        <s v="2017-03-23-20:00" u="1"/>
        <s v="2017-04-03-21:00" u="1"/>
        <s v="2017-04-23-20:00" u="1"/>
        <s v="2017-05-03-21:00" u="1"/>
        <s v="2017-05-23-20:00" u="1"/>
        <s v="2017-07-03-21:00" u="1"/>
        <s v="2017-07-23-20:00" u="1"/>
        <s v="2017-08-03-21:00" u="1"/>
        <s v="2017-08-23-20:00" u="1"/>
        <s v="2017-09-03-21: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11-21-20:00" u="1"/>
        <s v="2016-12-01-21:00" u="1"/>
        <s v="2016-12-21-20:00" u="1"/>
        <s v="2018-02-13-20:00" u="1"/>
        <s v="2018-03-13-20:00" u="1"/>
        <s v="2018-05-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5-12-22-05:00" u="1"/>
        <s v="2017-02-14-05:00" u="1"/>
        <s v="2017-03-14-05:00" u="1"/>
        <s v="2017-04-14-05:00" u="1"/>
        <s v="2017-06-14-05:00" u="1"/>
        <s v="2017-07-14-05:00" u="1"/>
        <s v="2017-08-14-05:00" u="1"/>
        <s v="2017-09-14-05:00" u="1"/>
        <s v="2017-11-14-05:00" u="1"/>
        <s v="2017-12-14-05:00" u="1"/>
        <s v="2016-02-16-14:00" u="1"/>
        <s v="2016-03-16-14:00" u="1"/>
        <s v="2016-05-16-14:00" u="1"/>
        <s v="2016-06-16-14:00" u="1"/>
        <s v="2016-08-16-14:00" u="1"/>
        <s v="2016-09-16-14:00" u="1"/>
        <s v="2018-01-04-05:00" u="1"/>
        <s v="2018-01-24-04:00" u="1"/>
        <s v="2018-04-04-05:00" u="1"/>
        <s v="2018-04-24-04:00" u="1"/>
        <s v="2018-05-04-05:00" u="1"/>
        <s v="2018-05-24-04:00" u="1"/>
        <s v="2018-07-24-04: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6-13:00" u="1"/>
        <s v="2018-02-16-13:00" u="1"/>
        <s v="2018-03-16-13:00" u="1"/>
        <s v="2018-04-16-13:00" u="1"/>
        <s v="2018-05-16-13:00" u="1"/>
        <s v="2017-01-10-04:00" u="1"/>
        <s v="2017-01-30-03:00" u="1"/>
        <s v="2017-02-10-04:00" u="1"/>
        <s v="2017-03-10-04:00" u="1"/>
        <s v="2017-03-30-03:00" u="1"/>
        <s v="2017-04-10-04:00" u="1"/>
        <s v="2017-05-10-04:00" u="1"/>
        <s v="2017-05-30-03:00" u="1"/>
        <s v="2017-06-30-03:00" u="1"/>
        <s v="2017-07-10-04:00" u="1"/>
        <s v="2017-08-10-04:00" u="1"/>
        <s v="2017-08-30-03:00" u="1"/>
        <s v="2017-10-10-04:00" u="1"/>
        <s v="2017-10-30-03:00" u="1"/>
        <s v="2017-11-10-04:00" u="1"/>
        <s v="2017-11-14-13:00" u="1"/>
        <s v="2017-11-30-03:00" u="1"/>
        <s v="2017-12-14-13:00" u="1"/>
        <s v="2016-02-16-22:00" u="1"/>
        <s v="2016-03-16-22:00" u="1"/>
        <s v="2016-05-16-22:00" u="1"/>
        <s v="2016-06-16-22:00" u="1"/>
        <s v="2016-08-16-22:00" u="1"/>
        <s v="2016-10-16-22:00" u="1"/>
        <s v="2016-11-16-22:00" u="1"/>
        <s v="2018-02-20-03:00" u="1"/>
        <s v="2018-03-20-03:00" u="1"/>
        <s v="2018-04-20-03:00" u="1"/>
        <s v="2018-07-20-03:00" u="1"/>
        <s v="2017-01-26-21:00" u="1"/>
        <s v="2017-02-06-22:00" u="1"/>
        <s v="2017-02-26-21:00" u="1"/>
        <s v="2017-03-06-22:00" u="1"/>
        <s v="2017-03-26-21:00" u="1"/>
        <s v="2017-04-06-22:00" u="1"/>
        <s v="2017-04-26-21:00" u="1"/>
        <s v="2017-06-06-22:00" u="1"/>
        <s v="2017-06-26-21:00" u="1"/>
        <s v="2017-07-06-22:00" u="1"/>
        <s v="2017-07-26-21:00" u="1"/>
        <s v="2017-08-06-22:00" u="1"/>
        <s v="2017-09-06-22:00" u="1"/>
        <s v="2017-09-26-21:00" u="1"/>
        <s v="2017-10-26-21:00" u="1"/>
        <s v="2017-11-06-22:00" u="1"/>
        <s v="2017-11-26-21:00" u="1"/>
        <s v="2017-12-06-22:00" u="1"/>
        <s v="2017-12-26-21:00" u="1"/>
        <s v="2016-01-20-12:00" u="1"/>
        <s v="2016-04-20-12:00" u="1"/>
        <s v="2016-05-20-12:00" u="1"/>
        <s v="2016-06-20-12:00" u="1"/>
        <s v="2016-07-20-12:00" u="1"/>
        <s v="2016-09-20-12:00" u="1"/>
        <s v="2016-10-20-12:00" u="1"/>
        <s v="2016-12-20-12:00" u="1"/>
        <s v="2018-01-12-12:00" u="1"/>
        <s v="2018-01-16-21:00" u="1"/>
        <s v="2018-02-12-12:00" u="1"/>
        <s v="2018-03-12-12:00" u="1"/>
        <s v="2018-04-12-12:00" u="1"/>
        <s v="2018-04-16-21:00" u="1"/>
        <s v="2018-05-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1-12-21:00" u="1"/>
        <s v="2016-04-12-21:00" u="1"/>
        <s v="2016-05-12-21:00" u="1"/>
        <s v="2016-06-12-21:00" u="1"/>
        <s v="2016-07-12-21:00" u="1"/>
        <s v="2016-09-12-21:00" u="1"/>
        <s v="2016-10-12-21:00" u="1"/>
        <s v="2016-12-12-21:00" u="1"/>
        <s v="2018-02-20-11:00" u="1"/>
        <s v="2018-03-20-11:00" u="1"/>
        <s v="2018-04-20-11:00" u="1"/>
        <s v="2018-07-20-11:00" u="1"/>
        <s v="2016-01-19-07:00" u="1"/>
        <s v="2016-02-19-07:00" u="1"/>
        <s v="2016-04-19-07:00" u="1"/>
        <s v="2016-05-19-07:00" u="1"/>
        <s v="2016-07-19-07:00" u="1"/>
        <s v="2016-08-19-07:00" u="1"/>
        <s v="2016-09-19-07:00" u="1"/>
        <s v="2017-01-02-21:00" u="1"/>
        <s v="2017-01-22-20:00" u="1"/>
        <s v="2017-02-02-21:00" u="1"/>
        <s v="2017-02-22-20:00" u="1"/>
        <s v="2017-03-02-21:00" u="1"/>
        <s v="2017-03-22-20:00" u="1"/>
        <s v="2017-04-02-21:00" u="1"/>
        <s v="2017-05-02-21:00" u="1"/>
        <s v="2017-05-22-20:00" u="1"/>
        <s v="2017-06-22-20:00" u="1"/>
        <s v="2017-07-02-21:00" u="1"/>
        <s v="2017-08-02-21:00" u="1"/>
        <s v="2017-08-22-20:00" u="1"/>
        <s v="2017-10-02-21:00" u="1"/>
        <s v="2017-10-22-20:00" u="1"/>
        <s v="2017-11-02-21:00" u="1"/>
        <s v="2017-11-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1-20-20:00" u="1"/>
        <s v="2016-12-20-20:00" u="1"/>
        <s v="2018-02-12-20:00" u="1"/>
        <s v="2018-03-12-20:00" u="1"/>
        <s v="2018-04-12-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8-07-19-06:00" u="1"/>
        <s v="2017-10-17-06:00" u="1"/>
        <s v="2017-11-17-06: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7-19-14: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6-01-07-23:00" u="1"/>
        <s v="2016-01-27-22:00" u="1"/>
        <s v="2016-02-07-23:00" u="1"/>
        <s v="2016-03-07-23:00" u="1"/>
        <s v="2016-03-27-22:00" u="1"/>
        <s v="2016-04-07-23:00" u="1"/>
        <s v="2016-04-27-22:00" u="1"/>
        <s v="2016-06-07-23:00" u="1"/>
        <s v="2016-06-27-22:00" u="1"/>
        <s v="2016-07-07-23:00" u="1"/>
        <s v="2016-07-27-22:00" u="1"/>
        <s v="2016-08-07-23:00" u="1"/>
        <s v="2016-09-07-23:00" u="1"/>
        <s v="2016-09-27-22:00" u="1"/>
        <s v="2018-01-15-13:00" u="1"/>
        <s v="2018-02-15-13:00" u="1"/>
        <s v="2018-03-15-13:00" u="1"/>
        <s v="2018-05-15-13:00" u="1"/>
        <s v="2017-01-17-22:00" u="1"/>
        <s v="2017-04-17-22:00" u="1"/>
        <s v="2017-05-17-22:00" u="1"/>
        <s v="2017-07-17-22:00" u="1"/>
        <s v="2017-08-17-22:00" u="1"/>
        <s v="2017-09-17-22:00" u="1"/>
        <s v="2017-10-17-22:00" u="1"/>
        <s v="2017-12-17-22:00" u="1"/>
        <s v="2016-01-11-13:00" u="1"/>
        <s v="2016-02-11-13:00" u="1"/>
        <s v="2016-02-15-22:00" u="1"/>
        <s v="2016-03-11-13:00" u="1"/>
        <s v="2016-03-15-22:00" u="1"/>
        <s v="2016-03-31-12:00" u="1"/>
        <s v="2016-04-11-13:00" u="1"/>
        <s v="2016-05-11-13:00" u="1"/>
        <s v="2016-05-15-22:00" u="1"/>
        <s v="2016-05-31-12:00" u="1"/>
        <s v="2016-06-15-22:00" u="1"/>
        <s v="2016-07-11-13:00" u="1"/>
        <s v="2016-08-11-13:00" u="1"/>
        <s v="2016-08-15-22:00" u="1"/>
        <s v="2016-08-31-12:00" u="1"/>
        <s v="2016-09-15-22:00" u="1"/>
        <s v="2016-11-15-22:00" u="1"/>
        <s v="2016-12-15-22:00" u="1"/>
        <s v="2018-01-07-22:00" u="1"/>
        <s v="2018-02-07-22:00" u="1"/>
        <s v="2018-02-27-21:00" u="1"/>
        <s v="2018-03-07-22:00" u="1"/>
        <s v="2018-03-27-21:00" u="1"/>
        <s v="2018-05-07-22:00" u="1"/>
        <s v="2018-05-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1-01-13:00" u="1"/>
        <s v="2017-11-05-22:00" u="1"/>
        <s v="2017-11-21-12:00" u="1"/>
        <s v="2017-12-01-13:00" u="1"/>
        <s v="2017-12-05-22:00" u="1"/>
        <s v="2017-12-21-12:00" u="1"/>
        <s v="2017-12-25-21:00" u="1"/>
        <s v="2018-01-11-12:00" u="1"/>
        <s v="2018-01-31-11:00" u="1"/>
        <s v="2018-04-11-12:00" u="1"/>
        <s v="2018-05-11-12:00" u="1"/>
        <s v="2015-12-21-21:00" u="1"/>
        <s v="2016-01-11-21:00" u="1"/>
        <s v="2016-01-31-20:00" u="1"/>
        <s v="2016-02-11-21:00" u="1"/>
        <s v="2016-03-31-20:00" u="1"/>
        <s v="2016-04-11-21:00" u="1"/>
        <s v="2016-05-11-21:00" u="1"/>
        <s v="2016-05-31-20:00" u="1"/>
        <s v="2016-07-11-21:00" u="1"/>
        <s v="2016-07-31-20:00" u="1"/>
        <s v="2016-08-11-21:00" u="1"/>
        <s v="2016-08-31-20:00" u="1"/>
        <s v="2016-09-11-21:00" u="1"/>
        <s v="2016-10-11-21:00" u="1"/>
        <s v="2016-10-31-20:00" u="1"/>
        <s v="2016-12-11-21:00" u="1"/>
        <s v="2018-01-03-21:00" u="1"/>
        <s v="2018-01-23-20:00" u="1"/>
        <s v="2018-04-03-21:00" u="1"/>
        <s v="2018-04-23-20:00" u="1"/>
        <s v="2018-05-03-21:00" u="1"/>
        <s v="2018-05-23-20:00" u="1"/>
        <s v="2018-07-23-20:00" u="1"/>
        <s v="2016-01-18-07:00" u="1"/>
        <s v="2016-02-18-07:00" u="1"/>
        <s v="2016-03-18-07:00" u="1"/>
        <s v="2016-04-18-07:00" u="1"/>
        <s v="2016-05-18-07:00" u="1"/>
        <s v="2016-07-18-07:00" u="1"/>
        <s v="2016-08-18-07:00" u="1"/>
        <s v="2016-10-18-07:00" u="1"/>
        <s v="2016-11-18-07:00" u="1"/>
        <s v="2017-02-01-21:00" u="1"/>
        <s v="2017-02-21-20:00" u="1"/>
        <s v="2017-03-01-21:00" u="1"/>
        <s v="2017-03-21-20:00" u="1"/>
        <s v="2017-05-01-21:00" u="1"/>
        <s v="2017-05-21-20:00" u="1"/>
        <s v="2017-06-01-21:00" u="1"/>
        <s v="2017-06-21-20:00" u="1"/>
        <s v="2017-08-01-21:00" u="1"/>
        <s v="2017-08-21-20:00" u="1"/>
        <s v="2017-09-21-20:00" u="1"/>
        <s v="2017-10-01-21:00" u="1"/>
        <s v="2017-11-01-21:00" u="1"/>
        <s v="2017-11-21-20: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2-11-20:00" u="1"/>
        <s v="2018-03-11-20:00" u="1"/>
        <s v="2018-04-11-20:00" u="1"/>
        <s v="2018-01-18-06:00" u="1"/>
        <s v="2018-04-18-06:00" u="1"/>
        <s v="2018-05-18-06:00" u="1"/>
        <s v="2018-07-18-06:00" u="1"/>
        <s v="2016-01-14-06:00" u="1"/>
        <s v="2016-03-14-06:00" u="1"/>
        <s v="2016-04-14-06:00" u="1"/>
        <s v="2016-06-14-06:00" u="1"/>
        <s v="2016-07-14-06:00" u="1"/>
        <s v="2016-09-14-06:00" u="1"/>
        <s v="2016-10-14-06:00" u="1"/>
        <s v="2016-10-18-15:00" u="1"/>
        <s v="2016-11-14-06:00" u="1"/>
        <s v="2016-11-18-15:00" u="1"/>
        <s v="2016-12-14-0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7-01-16-14:00" u="1"/>
        <s v="2017-02-16-14:00" u="1"/>
        <s v="2017-03-16-14:00" u="1"/>
        <s v="2017-05-16-14:00" u="1"/>
        <s v="2017-06-16-14:00" u="1"/>
        <s v="2017-08-16-14: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8-07-26-13: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4-13:00" u="1"/>
        <s v="2017-11-24-13:00" u="1"/>
        <s v="2017-12-04-14:00" u="1"/>
        <s v="2016-01-06-23:00" u="1"/>
        <s v="2016-01-26-22:00" u="1"/>
        <s v="2016-03-06-23:00" u="1"/>
        <s v="2016-04-06-23:00" u="1"/>
        <s v="2016-04-26-22:00" u="1"/>
        <s v="2016-05-26-22:00" u="1"/>
        <s v="2016-06-06-23:00" u="1"/>
        <s v="2016-06-26-22:00" u="1"/>
        <s v="2016-07-06-23:00" u="1"/>
        <s v="2016-07-26-22:00" u="1"/>
        <s v="2016-09-06-23:00" u="1"/>
        <s v="2016-09-26-22:00" u="1"/>
        <s v="2016-10-06-23:00" u="1"/>
        <s v="2016-10-26-22:00" u="1"/>
        <s v="2016-11-06-23:00" u="1"/>
        <s v="2016-12-06-23:00" u="1"/>
        <s v="2016-12-26-22:00" u="1"/>
        <s v="2018-01-10-04:00" u="1"/>
        <s v="2018-01-30-03:00" u="1"/>
        <s v="2018-03-30-03:00" u="1"/>
        <s v="2018-04-10-04:00" u="1"/>
        <s v="2018-04-30-03:00" u="1"/>
        <s v="2018-05-10-04:00" u="1"/>
        <s v="2017-01-16-22:00" u="1"/>
        <s v="2017-02-16-22:00" u="1"/>
        <s v="2017-03-16-22:00" u="1"/>
        <s v="2017-04-16-22:00" u="1"/>
        <s v="2017-05-16-22:00" u="1"/>
        <s v="2017-07-16-22:00" u="1"/>
        <s v="2017-08-16-22:00" u="1"/>
        <s v="2017-10-16-22:00" u="1"/>
        <s v="2017-11-16-22: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2-06-22:00" u="1"/>
        <s v="2018-02-26-21:00" u="1"/>
        <s v="2018-03-06-22:00" u="1"/>
        <s v="2018-03-26-21:00" u="1"/>
        <s v="2018-04-26-21:00" u="1"/>
        <s v="2018-05-06-22:00" u="1"/>
        <s v="2018-07-26-21:00" u="1"/>
        <s v="2017-01-20-12:00" u="1"/>
        <s v="2017-02-20-12:00" u="1"/>
        <s v="2017-03-20-12:00" u="1"/>
        <s v="2017-04-20-12:00" u="1"/>
        <s v="2017-06-20-12:00" u="1"/>
        <s v="2017-07-20-12:00" u="1"/>
        <s v="2017-09-20-12:00" u="1"/>
        <s v="2017-10-20-12:00" u="1"/>
        <s v="2017-11-20-12:00" u="1"/>
        <s v="2017-12-20-12:00" u="1"/>
        <s v="2016-02-02-22:00" u="1"/>
        <s v="2016-02-22-21:00" u="1"/>
        <s v="2016-03-02-22:00" u="1"/>
        <s v="2016-03-22-21:00" u="1"/>
        <s v="2016-05-02-22:00" u="1"/>
        <s v="2016-05-22-21:00" u="1"/>
        <s v="2016-06-02-22:00" u="1"/>
        <s v="2016-06-22-21:00" u="1"/>
        <s v="2016-08-02-22:00" u="1"/>
        <s v="2016-08-22-21:00" u="1"/>
        <s v="2016-09-22-21:00" u="1"/>
        <s v="2018-01-10-12:00" u="1"/>
        <s v="2018-01-30-11:00" u="1"/>
        <s v="2018-03-30-11:00" u="1"/>
        <s v="2018-04-10-12:00" u="1"/>
        <s v="2018-04-30-11:00" u="1"/>
        <s v="2018-05-10-12:00" u="1"/>
        <s v="2016-01-29-07:00" u="1"/>
        <s v="2016-02-09-08:00" u="1"/>
        <s v="2017-01-12-21:00" u="1"/>
        <s v="2017-02-12-21:00" u="1"/>
        <s v="2017-03-12-21:00" u="1"/>
        <s v="2017-04-12-21:00" u="1"/>
        <s v="2017-06-12-21:00" u="1"/>
        <s v="2017-07-12-21:00" u="1"/>
        <s v="2017-09-12-21:00" u="1"/>
        <s v="2017-10-12-21:00" u="1"/>
        <s v="2017-11-12-21:00" u="1"/>
        <s v="2017-12-12-21:00" u="1"/>
        <s v="2017-01-19-07:00" u="1"/>
        <s v="2017-04-19-07:00" u="1"/>
        <s v="2017-05-19-07:00" u="1"/>
        <s v="2017-06-19-07:00" u="1"/>
        <s v="2017-07-19-07:00" u="1"/>
        <s v="2017-09-19-07:00" u="1"/>
        <s v="2016-10-10-21:00" u="1"/>
        <s v="2016-10-30-20:00" u="1"/>
        <s v="2016-11-10-21:00" u="1"/>
        <s v="2016-11-30-20:00" u="1"/>
        <s v="2018-01-02-21:00" u="1"/>
        <s v="2018-01-22-20:00" u="1"/>
        <s v="2018-02-22-20:00" u="1"/>
        <s v="2018-03-22-20:00" u="1"/>
        <s v="2018-04-02-21:00" u="1"/>
        <s v="2018-04-22-20:00" u="1"/>
        <s v="2018-05-02-21:00" u="1"/>
        <s v="2018-05-22-20:00" u="1"/>
        <s v="2018-07-22-20: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7-11-20-20:00" u="1"/>
        <s v="2017-12-20-20: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5-12-23-06:00" u="1"/>
        <s v="2017-01-19-15:00" u="1"/>
        <s v="2017-04-19-15:00" u="1"/>
        <s v="2017-05-19-15:00" u="1"/>
        <s v="2017-06-19-15:00" u="1"/>
        <s v="2017-07-19-15:00" u="1"/>
        <s v="2017-09-19-15:00" u="1"/>
        <s v="2017-10-19-15:00" u="1"/>
        <s v="2017-12-19-15:00" u="1"/>
        <s v="2014-10-01-07:00" u="1"/>
        <s v="2014-10-21-06:00" u="1"/>
        <s v="2014-11-21-06:00" u="1"/>
        <s v="2014-12-01-07: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0-05-15:00" u="1"/>
        <s v="2016-10-25-14:00" u="1"/>
        <s v="2016-11-25-14:00" u="1"/>
        <s v="2016-11-29-23:00" u="1"/>
        <s v="2016-12-05-15:00" u="1"/>
        <s v="2016-12-29-23:00" u="1"/>
        <s v="2018-02-13-05:00" u="1"/>
        <s v="2018-03-13-05:00" u="1"/>
        <s v="2018-04-13-05:00" u="1"/>
        <s v="2015-12-23-14: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8-07-25-13:00" u="1"/>
        <s v="2017-02-07-23:00" u="1"/>
        <s v="2017-02-27-22:00" u="1"/>
        <s v="2017-03-07-23:00" u="1"/>
        <s v="2017-03-27-22:00" u="1"/>
        <s v="2017-04-27-22:00" u="1"/>
        <s v="2017-05-07-23:00" u="1"/>
        <s v="2017-06-07-23:00" u="1"/>
        <s v="2017-06-27-22:00" u="1"/>
        <s v="2017-07-27-22:00" u="1"/>
        <s v="2017-08-07-23:00" u="1"/>
        <s v="2017-08-27-22:00" u="1"/>
        <s v="2017-09-07-23:00" u="1"/>
        <s v="2017-09-27-22:00" u="1"/>
        <s v="2016-01-05-23:00" u="1"/>
        <s v="2016-01-25-22:00" u="1"/>
        <s v="2016-02-25-22:00" u="1"/>
        <s v="2016-04-05-23:00" u="1"/>
        <s v="2016-04-25-22:00" u="1"/>
        <s v="2016-05-05-23:00" u="1"/>
        <s v="2016-05-25-22:00" u="1"/>
        <s v="2016-06-05-23:00" u="1"/>
        <s v="2016-07-05-23:00" u="1"/>
        <s v="2016-07-25-22:00" u="1"/>
        <s v="2016-08-25-22:00" u="1"/>
        <s v="2016-09-05-23:00" u="1"/>
        <s v="2016-09-25-22:00" u="1"/>
        <s v="2016-10-05-23:00" u="1"/>
        <s v="2016-10-25-22:00" u="1"/>
        <s v="2016-12-05-23:00" u="1"/>
        <s v="2016-12-25-22:00" u="1"/>
        <s v="2018-01-17-22:00" u="1"/>
        <s v="2018-04-17-22:00" u="1"/>
        <s v="2018-05-17-22:00" u="1"/>
        <s v="2018-07-17-22:00" u="1"/>
        <s v="2017-01-11-13:00" u="1"/>
        <s v="2017-01-15-22: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10-15-22:00" u="1"/>
        <s v="2017-11-15-22:00" u="1"/>
        <s v="2018-02-01-13:00" u="1"/>
        <s v="2018-02-21-12:00" u="1"/>
        <s v="2018-03-01-13:00" u="1"/>
        <s v="2018-03-21-12:00" u="1"/>
        <s v="2018-05-01-13:00" u="1"/>
        <s v="2018-05-21-12:00" u="1"/>
        <s v="2016-01-21-21:00" u="1"/>
        <s v="2016-02-01-22:00" u="1"/>
        <s v="2016-02-21-21:00" u="1"/>
        <s v="2016-03-01-22:00" u="1"/>
        <s v="2016-03-21-21:00" u="1"/>
        <s v="2016-04-21-21:00" u="1"/>
        <s v="2016-05-01-22:00" u="1"/>
        <s v="2016-06-01-22:00" u="1"/>
        <s v="2016-06-21-21:00" u="1"/>
        <s v="2016-07-21-21:00" u="1"/>
        <s v="2016-08-01-22:00" u="1"/>
        <s v="2016-08-21-21:00" u="1"/>
        <s v="2016-09-01-22:00" u="1"/>
        <s v="2016-09-21-21:00" u="1"/>
        <s v="2016-11-01-22:00" u="1"/>
        <s v="2016-11-21-21:00" u="1"/>
        <s v="2016-12-01-22:00" u="1"/>
        <s v="2016-12-21-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4-11-21:00" u="1"/>
        <s v="2017-05-11-21:00" u="1"/>
        <s v="2017-05-31-20:00" u="1"/>
        <s v="2017-06-11-21:00" u="1"/>
        <s v="2017-07-11-21:00" u="1"/>
        <s v="2017-07-31-20:00" u="1"/>
        <s v="2017-08-31-20:00" u="1"/>
        <s v="2017-09-11-21:00" u="1"/>
        <s v="2017-10-11-21:00" u="1"/>
        <s v="2017-10-31-20:00" u="1"/>
        <s v="2017-12-11-21:00" u="1"/>
        <s v="2017-01-18-07:00" u="1"/>
        <s v="2017-04-18-07:00" u="1"/>
        <s v="2017-05-18-07:00" u="1"/>
        <s v="2017-07-18-07:00" u="1"/>
        <s v="2017-08-18-07:00" u="1"/>
        <s v="2017-09-18-07:00" u="1"/>
        <s v="2017-10-18-07:00" u="1"/>
        <s v="2017-12-18-07:00" u="1"/>
        <s v="2018-01-01-21:00" u="1"/>
        <s v="2018-01-21-20:00" u="1"/>
        <s v="2018-02-01-21:00" u="1"/>
        <s v="2018-02-21-20:00" u="1"/>
        <s v="2018-03-01-21:00" u="1"/>
        <s v="2018-03-21-20:00" u="1"/>
        <s v="2018-04-01-21:00" u="1"/>
        <s v="2018-05-01-21:00" u="1"/>
        <s v="2018-05-21-20:00" u="1"/>
        <s v="2018-01-08-07:00" u="1"/>
        <s v="2018-02-08-07:00" u="1"/>
        <s v="2018-02-28-06:00" u="1"/>
        <s v="2018-03-08-07:00" u="1"/>
        <s v="2018-03-28-06:00" u="1"/>
        <s v="2018-05-08-07:00" u="1"/>
        <s v="2018-05-28-06:00" u="1"/>
        <s v="2016-01-04-07:00" u="1"/>
        <s v="2016-01-08-16:00" u="1"/>
        <s v="2016-01-28-15:00" u="1"/>
        <s v="2016-02-04-07:00" u="1"/>
        <s v="2016-02-08-16:00" u="1"/>
        <s v="2016-02-24-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5-12-22-06:00" u="1"/>
        <s v="2017-02-14-06:00" u="1"/>
        <s v="2017-03-14-06:00" u="1"/>
        <s v="2017-04-14-06:00" u="1"/>
        <s v="2017-06-14-06:00" u="1"/>
        <s v="2017-07-14-06:00" u="1"/>
        <s v="2017-08-14-06:00" u="1"/>
        <s v="2017-09-14-06:00" u="1"/>
        <s v="2017-10-18-15:00" u="1"/>
        <s v="2017-11-14-06:00" u="1"/>
        <s v="2017-12-14-06: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7-24-05: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8-01-16-14:00" u="1"/>
        <s v="2018-02-16-14:00" u="1"/>
        <s v="2018-03-16-14:00" u="1"/>
        <s v="2018-04-16-14:00" u="1"/>
        <s v="2018-05-16-14:00" u="1"/>
        <s v="2017-02-14-14:00" u="1"/>
        <s v="2017-03-14-14:00" u="1"/>
        <s v="2017-04-14-14:00" u="1"/>
        <s v="2017-06-14-14:00" u="1"/>
        <s v="2017-07-14-14:00" u="1"/>
        <s v="2017-08-14-14:00" u="1"/>
        <s v="2017-09-14-14:00" u="1"/>
        <s v="2017-11-14-14:00" u="1"/>
        <s v="2017-12-14-14:00" u="1"/>
        <s v="2016-02-16-23:00" u="1"/>
        <s v="2016-03-16-23:00" u="1"/>
        <s v="2016-05-16-23:00" u="1"/>
        <s v="2016-06-16-23:00" u="1"/>
        <s v="2016-08-16-23:00" u="1"/>
        <s v="2016-10-16-23:00" u="1"/>
        <s v="2016-11-16-23:00" u="1"/>
        <s v="2018-01-04-14:00" u="1"/>
        <s v="2018-01-24-13:00" u="1"/>
        <s v="2018-02-20-04:00" u="1"/>
        <s v="2018-03-20-04:00" u="1"/>
        <s v="2018-04-04-14:00" u="1"/>
        <s v="2018-04-20-04:00" u="1"/>
        <s v="2018-04-24-13:00" u="1"/>
        <s v="2018-05-04-14:00" u="1"/>
        <s v="2018-05-24-13:00" u="1"/>
        <s v="2018-07-20-04:00" u="1"/>
        <s v="2018-07-24-13:00" u="1"/>
        <s v="2017-01-26-22:00" u="1"/>
        <s v="2017-02-06-23:00" u="1"/>
        <s v="2017-02-26-22:00" u="1"/>
        <s v="2017-03-06-23:00" u="1"/>
        <s v="2017-03-26-22:00" u="1"/>
        <s v="2017-04-06-23:00" u="1"/>
        <s v="2017-04-26-22:00" u="1"/>
        <s v="2017-06-06-23:00" u="1"/>
        <s v="2017-06-26-22:00" u="1"/>
        <s v="2017-07-06-23:00" u="1"/>
        <s v="2017-07-26-22:00" u="1"/>
        <s v="2017-08-06-23:00" u="1"/>
        <s v="2017-09-06-23:00" u="1"/>
        <s v="2017-09-26-22:00" u="1"/>
        <s v="2017-10-26-22:00" u="1"/>
        <s v="2017-11-06-23:00" u="1"/>
        <s v="2017-11-26-22:00" u="1"/>
        <s v="2017-12-06-23:00" u="1"/>
        <s v="2017-12-26-22:00" u="1"/>
        <s v="2016-01-20-13:00" u="1"/>
        <s v="2016-04-20-13:00" u="1"/>
        <s v="2016-05-20-13:00" u="1"/>
        <s v="2016-06-20-13:00" u="1"/>
        <s v="2016-07-20-13:00" u="1"/>
        <s v="2016-09-20-13:00" u="1"/>
        <s v="2016-10-04-23:00" u="1"/>
        <s v="2016-10-20-13:00" u="1"/>
        <s v="2016-10-24-22:00" u="1"/>
        <s v="2016-11-24-22:00" u="1"/>
        <s v="2016-12-04-23:00" u="1"/>
        <s v="2016-12-20-13:00" u="1"/>
        <s v="2018-01-16-22:00" u="1"/>
        <s v="2018-04-16-22:00" u="1"/>
        <s v="2018-05-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6-01-12-22:00" u="1"/>
        <s v="2016-04-12-22:00" u="1"/>
        <s v="2016-05-12-22:00" u="1"/>
        <s v="2016-06-12-22:00" u="1"/>
        <s v="2016-07-12-22:00" u="1"/>
        <s v="2016-09-12-22:00" u="1"/>
        <s v="2018-02-20-12:00" u="1"/>
        <s v="2018-03-20-12:00" u="1"/>
        <s v="2018-04-20-12:00" u="1"/>
        <s v="2018-07-20-12:00" u="1"/>
        <s v="2017-01-02-22:00" u="1"/>
        <s v="2017-01-22-21:00" u="1"/>
        <s v="2017-02-02-22:00" u="1"/>
        <s v="2017-02-22-21:00" u="1"/>
        <s v="2017-03-02-22:00" u="1"/>
        <s v="2017-03-22-21:00" u="1"/>
        <s v="2017-04-02-22:00" u="1"/>
        <s v="2017-05-02-22:00" u="1"/>
        <s v="2017-05-22-21:00" u="1"/>
        <s v="2017-06-22-21:00" u="1"/>
        <s v="2017-07-02-22:00" u="1"/>
        <s v="2017-08-02-22:00" u="1"/>
        <s v="2017-08-22-21:00" u="1"/>
        <s v="2016-01-20-21:00" u="1"/>
        <s v="2016-03-20-21:00" u="1"/>
        <s v="2016-04-20-21:00" u="1"/>
        <s v="2016-06-20-21:00" u="1"/>
        <s v="2016-07-20-21:00" u="1"/>
        <s v="2016-09-20-21:00" u="1"/>
        <s v="2016-10-20-21:00" u="1"/>
        <s v="2016-11-20-21:00" u="1"/>
        <s v="2016-12-20-21:00" u="1"/>
        <s v="2018-02-12-21:00" u="1"/>
        <s v="2018-03-12-21:00" u="1"/>
        <s v="2018-04-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8-07-19-07:00" u="1"/>
        <s v="2017-10-10-21:00" u="1"/>
        <s v="2017-10-30-20:00" u="1"/>
        <s v="2017-11-30-20:00" u="1"/>
        <s v="2017-12-10-21:00" u="1"/>
        <s v="2017-01-17-07:00" u="1"/>
        <s v="2017-02-17-07:00" u="1"/>
        <s v="2017-03-17-07:00" u="1"/>
        <s v="2017-04-17-07:00" u="1"/>
        <s v="2017-05-17-07:00" u="1"/>
        <s v="2017-07-17-07:00" u="1"/>
        <s v="2017-08-17-07:00" u="1"/>
        <s v="2017-10-17-07:00" u="1"/>
        <s v="2017-11-17-07:00" u="1"/>
        <s v="2014-05-27-16: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8-07-27-06: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7-19-15:00" u="1"/>
        <s v="2015-10-01-07:00" u="1"/>
        <s v="2015-10-21-06:00" u="1"/>
        <s v="2015-12-01-07:00" u="1"/>
        <s v="2015-12-21-06:00" u="1"/>
        <s v="2017-01-13-06:00" u="1"/>
        <s v="2017-02-13-06:00" u="1"/>
        <s v="2017-03-13-06:00" u="1"/>
        <s v="2017-04-13-06:00" u="1"/>
        <s v="2017-06-13-06:00" u="1"/>
        <s v="2017-07-13-06:00" u="1"/>
        <s v="2017-09-13-06:00" u="1"/>
        <s v="2017-10-13-06:00" u="1"/>
        <s v="2017-11-13-06:00" u="1"/>
        <s v="2017-12-13-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23-05:00" u="1"/>
        <s v="2017-01-05-15:00" u="1"/>
        <s v="2017-01-25-14:00" u="1"/>
        <s v="2017-04-05-15:00" u="1"/>
        <s v="2017-04-25-14:00" u="1"/>
        <s v="2017-05-05-15:00" u="1"/>
        <s v="2017-05-25-14:00" u="1"/>
        <s v="2017-06-05-15:00" u="1"/>
        <s v="2017-07-05-15:00" u="1"/>
        <s v="2017-07-25-14:00" u="1"/>
        <s v="2017-08-25-14:00" u="1"/>
        <s v="2017-09-05-15:00" u="1"/>
        <s v="2017-09-25-14:00" u="1"/>
        <s v="2017-10-05-15:00" u="1"/>
        <s v="2017-10-25-14:00" u="1"/>
        <s v="2017-10-29-23:00" u="1"/>
        <s v="2017-11-29-23:00" u="1"/>
        <s v="2017-12-05-15: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7-10-13-14:00" u="1"/>
        <s v="2017-11-13-14:00" u="1"/>
        <s v="2017-12-13-14:00" u="1"/>
        <s v="2016-02-15-23:00" u="1"/>
        <s v="2016-03-15-23:00" u="1"/>
        <s v="2016-05-15-23:00" u="1"/>
        <s v="2016-06-15-23:00" u="1"/>
        <s v="2016-08-15-23:00" u="1"/>
        <s v="2016-09-15-23:00" u="1"/>
        <s v="2016-11-15-23:00" u="1"/>
        <s v="2016-12-15-23:00" u="1"/>
        <s v="2018-01-07-23:00" u="1"/>
        <s v="2018-02-07-23:00" u="1"/>
        <s v="2018-02-27-22:00" u="1"/>
        <s v="2018-03-07-23:00" u="1"/>
        <s v="2018-03-27-22:00" u="1"/>
        <s v="2018-05-07-23:00" u="1"/>
        <s v="2018-05-27-22:00" u="1"/>
        <s v="2017-01-05-23:00" u="1"/>
        <s v="2017-01-25-22:00" u="1"/>
        <s v="2017-02-05-23:00" u="1"/>
        <s v="2017-03-05-23:00" u="1"/>
        <s v="2017-04-05-23:00" u="1"/>
        <s v="2017-04-25-22:00" u="1"/>
        <s v="2017-05-25-22:00" u="1"/>
        <s v="2017-06-05-23:00" u="1"/>
        <s v="2017-06-25-22:00" u="1"/>
        <s v="2017-07-05-23:00" u="1"/>
        <s v="2017-07-25-22:00" u="1"/>
        <s v="2017-09-05-23:00" u="1"/>
        <s v="2017-09-25-22:00" u="1"/>
        <s v="2017-10-05-23:00" u="1"/>
        <s v="2017-10-25-22:00" u="1"/>
        <s v="2017-11-05-23:00" u="1"/>
        <s v="2017-12-05-23:00" u="1"/>
        <s v="2017-12-25-22:00" u="1"/>
        <s v="2018-01-11-13:00" u="1"/>
        <s v="2018-01-15-22:00" u="1"/>
        <s v="2018-01-31-12:00" u="1"/>
        <s v="2018-02-15-22:00" u="1"/>
        <s v="2018-03-15-22:00" u="1"/>
        <s v="2018-04-11-13:00" u="1"/>
        <s v="2018-04-15-22:00" u="1"/>
        <s v="2018-05-11-13:00" u="1"/>
        <s v="2018-05-15-22:00" u="1"/>
        <s v="2015-12-21-22:00" u="1"/>
        <s v="2016-01-11-22:00" u="1"/>
        <s v="2016-01-31-21:00" u="1"/>
        <s v="2016-02-11-22:00" u="1"/>
        <s v="2016-03-31-21:00" u="1"/>
        <s v="2016-04-11-22:00" u="1"/>
        <s v="2016-05-11-22:00" u="1"/>
        <s v="2016-05-31-21:00" u="1"/>
        <s v="2016-07-11-22:00" u="1"/>
        <s v="2016-07-31-21:00" u="1"/>
        <s v="2016-08-11-22:00" u="1"/>
        <s v="2016-08-31-21:00" u="1"/>
        <s v="2016-09-11-22:00" u="1"/>
        <s v="2016-10-11-22:00" u="1"/>
        <s v="2016-10-31-21:00" u="1"/>
        <s v="2016-12-11-22:00" u="1"/>
        <s v="2016-01-18-08:00" u="1"/>
        <s v="2016-02-18-08:00" u="1"/>
        <s v="2016-03-18-08:00" u="1"/>
        <s v="2016-04-18-08:00" u="1"/>
        <s v="2016-05-18-08:00" u="1"/>
        <s v="2016-07-18-08:00" u="1"/>
        <s v="2016-08-18-08:00" u="1"/>
        <s v="2016-10-18-08:00" u="1"/>
        <s v="2016-11-18-08:00" u="1"/>
        <s v="2017-02-01-22:00" u="1"/>
        <s v="2017-02-21-21:00" u="1"/>
        <s v="2017-03-01-22:00" u="1"/>
        <s v="2017-03-21-21:00" u="1"/>
        <s v="2017-05-01-22:00" u="1"/>
        <s v="2017-05-21-21:00" u="1"/>
        <s v="2017-06-01-22:00" u="1"/>
        <s v="2017-06-21-21:00" u="1"/>
        <s v="2017-08-01-22:00" u="1"/>
        <s v="2017-08-21-21:00" u="1"/>
        <s v="2017-09-21-21:00" u="1"/>
        <s v="2017-10-01-22:00" u="1"/>
        <s v="2017-11-01-22:00" u="1"/>
        <s v="2017-11-21-21: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2-11-21:00" u="1"/>
        <s v="2018-03-11-21:00" u="1"/>
        <s v="2018-04-11-21:00" u="1"/>
        <s v="2016-10-06-08:00" u="1"/>
        <s v="2016-10-26-07:00" u="1"/>
        <s v="2016-12-06-08:00" u="1"/>
        <s v="2018-01-18-07:00" u="1"/>
        <s v="2018-04-18-07:00" u="1"/>
        <s v="2018-05-18-07:00" u="1"/>
        <s v="2018-07-18-07:00" u="1"/>
        <s v="2016-01-18-16:00" u="1"/>
        <s v="2016-02-18-16:00" u="1"/>
        <s v="2016-03-18-16:00" u="1"/>
        <s v="2016-04-18-16:00" u="1"/>
        <s v="2016-05-18-16:00" u="1"/>
        <s v="2016-07-18-16:00" u="1"/>
        <s v="2016-08-18-16:00" u="1"/>
        <s v="2016-10-18-16:00" u="1"/>
        <s v="2016-11-18-16: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7-01-12-06:00" u="1"/>
        <s v="2017-04-12-06:00" u="1"/>
        <s v="2017-05-12-06:00" u="1"/>
        <s v="2017-06-12-06:00" u="1"/>
        <s v="2017-07-12-06:00" u="1"/>
        <s v="2017-09-12-06:00" u="1"/>
        <s v="2017-10-12-06:00" u="1"/>
        <s v="2017-12-12-06: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4-26-23:00" u="1"/>
        <s v="2016-05-26-23:00" u="1"/>
        <s v="2016-06-26-23:00" u="1"/>
        <s v="2016-07-26-23:00" u="1"/>
        <s v="2016-09-26-23:00" u="1"/>
        <s v="2018-02-14-14:00" u="1"/>
        <s v="2018-03-14-14:00" u="1"/>
        <s v="2018-05-14-14:00" u="1"/>
        <s v="2017-01-16-23:00" u="1"/>
        <s v="2017-02-16-23:00" u="1"/>
        <s v="2017-03-16-23:00" u="1"/>
        <s v="2017-04-16-23:00" u="1"/>
        <s v="2017-05-16-23:00" u="1"/>
        <s v="2017-07-16-23:00" u="1"/>
        <s v="2017-08-16-23:00" u="1"/>
        <s v="2017-10-16-23:00" u="1"/>
        <s v="2017-11-16-23:00" u="1"/>
        <s v="2016-02-10-14:00" u="1"/>
        <s v="2016-03-10-14:00" u="1"/>
        <s v="2016-03-30-13:00" u="1"/>
        <s v="2016-05-10-14:00" u="1"/>
        <s v="2016-05-30-13:00" u="1"/>
        <s v="2016-06-10-14:00" u="1"/>
        <s v="2016-06-30-13:00" u="1"/>
        <s v="2016-08-10-14:00" u="1"/>
        <s v="2016-08-30-13:00" u="1"/>
        <s v="2016-09-30-13:00" u="1"/>
        <s v="2016-10-10-14:00" u="1"/>
        <s v="2016-11-10-14:00" u="1"/>
        <s v="2016-11-14-23:00" u="1"/>
        <s v="2016-11-30-13:00" u="1"/>
        <s v="2016-12-14-23:00" u="1"/>
        <s v="2016-12-30-13:00" u="1"/>
        <s v="2018-02-06-23:00" u="1"/>
        <s v="2018-02-26-22:00" u="1"/>
        <s v="2018-03-06-23:00" u="1"/>
        <s v="2018-03-26-22:00" u="1"/>
        <s v="2018-04-26-22:00" u="1"/>
        <s v="2018-05-06-23:00" u="1"/>
        <s v="2018-07-26-22:00" u="1"/>
        <s v="2017-01-20-13:00" u="1"/>
        <s v="2017-02-20-13:00" u="1"/>
        <s v="2017-03-20-13:00" u="1"/>
        <s v="2017-04-20-13:00" u="1"/>
        <s v="2017-06-20-13:00" u="1"/>
        <s v="2017-07-20-13:00" u="1"/>
        <s v="2017-09-20-13:00" u="1"/>
        <s v="2017-10-04-23:00" u="1"/>
        <s v="2017-10-20-13:00" u="1"/>
        <s v="2017-10-24-22:00" u="1"/>
        <s v="2017-11-20-13:00" u="1"/>
        <s v="2017-12-04-23:00" u="1"/>
        <s v="2017-12-20-13:00" u="1"/>
        <s v="2018-01-10-13:00" u="1"/>
        <s v="2018-01-30-12:00" u="1"/>
        <s v="2018-03-30-12:00" u="1"/>
        <s v="2018-04-10-13:00" u="1"/>
        <s v="2018-04-30-12:00" u="1"/>
        <s v="2018-05-10-13:00" u="1"/>
        <s v="2017-01-12-22:00" u="1"/>
        <s v="2017-02-12-22:00" u="1"/>
        <s v="2017-03-12-22:00" u="1"/>
        <s v="2017-04-12-22:00" u="1"/>
        <s v="2017-06-12-22:00" u="1"/>
        <s v="2017-07-12-22:00" u="1"/>
        <s v="2017-09-12-22:00" u="1"/>
        <s v="2016-01-10-22:00" u="1"/>
        <s v="2016-02-10-22:00" u="1"/>
        <s v="2016-03-10-22:00" u="1"/>
        <s v="2016-03-30-21:00" u="1"/>
        <s v="2016-04-10-22:00" u="1"/>
        <s v="2016-05-10-22:00" u="1"/>
        <s v="2016-05-30-21:00" u="1"/>
        <s v="2016-06-30-21:00" u="1"/>
        <s v="2016-07-10-22:00" u="1"/>
        <s v="2016-08-10-22:00" u="1"/>
        <s v="2016-08-30-21:00" u="1"/>
        <s v="2016-10-10-22:00" u="1"/>
        <s v="2016-10-30-21:00" u="1"/>
        <s v="2016-11-10-22:00" u="1"/>
        <s v="2016-11-30-21:00" u="1"/>
        <s v="2018-01-02-22:00" u="1"/>
        <s v="2018-01-22-21:00" u="1"/>
        <s v="2018-02-22-21:00" u="1"/>
        <s v="2018-03-22-21:00" u="1"/>
        <s v="2018-04-02-22:00" u="1"/>
        <s v="2018-04-22-21:00" u="1"/>
        <s v="2018-05-02-22:00" u="1"/>
        <s v="2018-05-22-21:00" u="1"/>
        <s v="2018-07-22-21:00" u="1"/>
        <s v="2014-11-05-09:00" u="1"/>
        <s v="2014-11-25-08:00" u="1"/>
        <s v="2014-12-05-09:00" u="1"/>
        <s v="2016-02-17-08:00" u="1"/>
        <s v="2016-03-17-08:00" u="1"/>
        <s v="2016-05-17-08:00" u="1"/>
        <s v="2016-06-17-08:00" u="1"/>
        <s v="2016-08-17-08:00" u="1"/>
        <s v="2016-10-17-08:00" u="1"/>
        <s v="2016-11-17-08:00" u="1"/>
        <s v="2017-02-20-21:00" u="1"/>
        <s v="2017-03-20-21:00" u="1"/>
        <s v="2017-04-20-21:00" u="1"/>
        <s v="2017-06-20-21:00" u="1"/>
        <s v="2017-07-20-21:00" u="1"/>
        <s v="2017-08-20-21:00" u="1"/>
        <s v="2017-09-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1-29-16:00" u="1"/>
        <s v="2016-02-09-17:00" u="1"/>
        <s v="2016-02-29-16:00" u="1"/>
        <s v="2016-03-09-17:00" u="1"/>
        <s v="2016-03-29-16:00" u="1"/>
        <s v="2016-04-29-16:00" u="1"/>
        <s v="2016-05-09-17:00" u="1"/>
        <s v="2016-06-09-17:00" u="1"/>
        <s v="2016-06-29-16:00" u="1"/>
        <s v="2016-07-29-16:00" u="1"/>
        <s v="2016-08-09-17:00" u="1"/>
        <s v="2016-08-29-16:00" u="1"/>
        <s v="2016-09-29-16:00" u="1"/>
        <s v="2016-10-09-17:00" u="1"/>
        <s v="2016-11-09-17:00" u="1"/>
        <s v="2016-11-29-16:00" u="1"/>
        <s v="2016-12-29-16:00" u="1"/>
        <s v="2018-01-17-07:00" u="1"/>
        <s v="2018-04-17-07:00" u="1"/>
        <s v="2018-05-17-07:00" u="1"/>
        <s v="2018-07-17-07: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5-12-23-15:00" u="1"/>
        <s v="2017-02-15-15:00" u="1"/>
        <s v="2017-03-15-15:00" u="1"/>
        <s v="2017-05-15-15:00" u="1"/>
        <s v="2017-06-15-15:00" u="1"/>
        <s v="2017-08-15-15:00" u="1"/>
        <s v="2017-09-15-15: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8-07-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09-25-23:00" u="1"/>
        <s v="2016-10-25-23:00" u="1"/>
        <s v="2016-12-25-23:00" u="1"/>
        <s v="2017-01-15-23:00" u="1"/>
        <s v="2017-02-15-23:00" u="1"/>
        <s v="2017-03-15-23:00" u="1"/>
        <s v="2017-05-15-23:00" u="1"/>
        <s v="2017-06-15-23:00" u="1"/>
        <s v="2017-08-15-23:00" u="1"/>
        <s v="2017-10-15-23:00" u="1"/>
        <s v="2017-11-15-23:00" u="1"/>
        <s v="2018-01-25-22:00" u="1"/>
        <s v="2018-02-05-23:00" u="1"/>
        <s v="2018-02-25-22:00" u="1"/>
        <s v="2018-03-05-23:00" u="1"/>
        <s v="2018-03-25-22:00" u="1"/>
        <s v="2018-04-05-23:00" u="1"/>
        <s v="2018-04-25-22:00" u="1"/>
        <s v="2018-07-25-22:00" u="1"/>
        <s v="2016-01-21-22:00" u="1"/>
        <s v="2016-02-01-23:00" u="1"/>
        <s v="2016-02-21-22:00" u="1"/>
        <s v="2016-03-01-23:00" u="1"/>
        <s v="2016-03-21-22:00" u="1"/>
        <s v="2016-04-21-22:00" u="1"/>
        <s v="2016-05-01-23:00" u="1"/>
        <s v="2016-06-01-23:00" u="1"/>
        <s v="2016-06-21-22:00" u="1"/>
        <s v="2016-07-21-22:00" u="1"/>
        <s v="2016-08-01-23:00" u="1"/>
        <s v="2016-08-21-22:00" u="1"/>
        <s v="2016-09-01-23:00" u="1"/>
        <s v="2016-09-21-22:00" u="1"/>
        <s v="2016-11-01-23:00" u="1"/>
        <s v="2016-11-21-22:00" u="1"/>
        <s v="2016-12-01-23:00" u="1"/>
        <s v="2016-12-21-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4-11-22:00" u="1"/>
        <s v="2017-05-11-22:00" u="1"/>
        <s v="2017-05-31-21:00" u="1"/>
        <s v="2017-06-11-22:00" u="1"/>
        <s v="2017-07-11-22:00" u="1"/>
        <s v="2017-07-31-21:00" u="1"/>
        <s v="2017-08-31-21:00" u="1"/>
        <s v="2017-09-11-22:00" u="1"/>
        <s v="2017-10-11-22:00" u="1"/>
        <s v="2017-10-31-21:00" u="1"/>
        <s v="2017-12-11-22:00" u="1"/>
        <s v="2017-01-18-08:00" u="1"/>
        <s v="2017-04-18-08:00" u="1"/>
        <s v="2017-05-18-08:00" u="1"/>
        <s v="2017-07-18-08:00" u="1"/>
        <s v="2017-08-18-08:00" u="1"/>
        <s v="2017-09-18-08:00" u="1"/>
        <s v="2017-10-18-08:00" u="1"/>
        <s v="2017-12-18-08:00" u="1"/>
        <s v="2018-01-01-22:00" u="1"/>
        <s v="2018-01-21-21:00" u="1"/>
        <s v="2018-02-01-22:00" u="1"/>
        <s v="2018-02-21-21:00" u="1"/>
        <s v="2018-03-01-22:00" u="1"/>
        <s v="2018-03-21-21:00" u="1"/>
        <s v="2018-04-01-22:00" u="1"/>
        <s v="2018-05-01-22:00" u="1"/>
        <s v="2018-05-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7-10-06-08:00" u="1"/>
        <s v="2017-10-26-07:00" u="1"/>
        <s v="2017-11-06-08:00" u="1"/>
        <s v="2017-12-06-08:00" u="1"/>
        <s v="2017-12-26-07:00" u="1"/>
        <s v="2016-01-28-16:00" u="1"/>
        <s v="2016-02-08-17:00" u="1"/>
        <s v="2016-03-08-17:00" u="1"/>
        <s v="2016-03-28-16:00" u="1"/>
        <s v="2016-04-28-16:00" u="1"/>
        <s v="2016-05-08-17:00" u="1"/>
        <s v="2016-06-08-17:00" u="1"/>
        <s v="2016-06-28-16:00" u="1"/>
        <s v="2016-07-28-16:00" u="1"/>
        <s v="2016-08-08-17:00" u="1"/>
        <s v="2016-09-08-17:00" u="1"/>
        <s v="2016-09-28-16:00" u="1"/>
        <s v="2016-10-28-16:00" u="1"/>
        <s v="2016-11-08-17:00" u="1"/>
        <s v="2016-11-28-16:00" u="1"/>
        <s v="2016-12-08-17:00" u="1"/>
        <s v="2016-12-28-16:00" u="1"/>
        <s v="2015-12-22-07: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4-06:00" u="1"/>
        <s v="2018-05-28-15:00" u="1"/>
        <s v="2018-07-24-06:00" u="1"/>
        <s v="2017-01-02-07: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5-12-22-15: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7-24-14:00" u="1"/>
        <s v="2017-01-26-23:00" u="1"/>
        <s v="2017-02-26-23:00" u="1"/>
        <s v="2017-03-26-23:00" u="1"/>
        <s v="2017-04-26-23:00" u="1"/>
        <s v="2017-06-26-23:00" u="1"/>
        <s v="2017-07-26-23:00" u="1"/>
        <s v="2017-09-26-23:00" u="1"/>
        <s v="2016-01-20-14:00" u="1"/>
        <s v="2016-01-24-23:00" u="1"/>
        <s v="2016-02-24-23:00" u="1"/>
        <s v="2016-03-24-23:00" u="1"/>
        <s v="2016-04-20-14:00" u="1"/>
        <s v="2016-04-24-23:00" u="1"/>
        <s v="2016-05-20-14:00" u="1"/>
        <s v="2016-05-24-23:00" u="1"/>
        <s v="2016-06-20-14:00" u="1"/>
        <s v="2016-07-20-14:00" u="1"/>
        <s v="2016-07-24-23:00" u="1"/>
        <s v="2016-08-24-23:00" u="1"/>
        <s v="2016-09-20-14:00" u="1"/>
        <s v="2016-10-24-23:00" u="1"/>
        <s v="2016-11-24-23:00" u="1"/>
        <s v="2018-01-16-23:00" u="1"/>
        <s v="2018-04-16-23:00" u="1"/>
        <s v="2018-05-16-23: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14-23:00" u="1"/>
        <s v="2017-11-30-13:00" u="1"/>
        <s v="2017-12-14-23:00" u="1"/>
        <s v="2018-02-20-13:00" u="1"/>
        <s v="2018-03-20-13:00" u="1"/>
        <s v="2018-04-20-13:00" u="1"/>
        <s v="2018-07-20-13:00" u="1"/>
        <s v="2016-01-20-22:00" u="1"/>
        <s v="2016-03-20-22:00" u="1"/>
        <s v="2016-04-20-22:00" u="1"/>
        <s v="2016-06-20-22:00" u="1"/>
        <s v="2016-07-20-22:00" u="1"/>
        <s v="2016-09-20-22:00" u="1"/>
        <s v="2016-10-20-22:00" u="1"/>
        <s v="2016-11-20-22:00" u="1"/>
        <s v="2016-12-20-22:00" u="1"/>
        <s v="2018-02-12-22:00" u="1"/>
        <s v="2018-03-12-22:00" u="1"/>
        <s v="2018-04-12-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3-30-21:00" u="1"/>
        <s v="2017-04-10-22:00" u="1"/>
        <s v="2017-04-30-21:00" u="1"/>
        <s v="2017-05-10-22:00" u="1"/>
        <s v="2017-05-30-21:00" u="1"/>
        <s v="2017-07-10-22:00" u="1"/>
        <s v="2017-07-30-21:00" u="1"/>
        <s v="2017-08-10-22:00" u="1"/>
        <s v="2017-08-30-21:00" u="1"/>
        <s v="2017-09-10-22:00" u="1"/>
        <s v="2017-10-10-22:00" u="1"/>
        <s v="2017-10-30-21:00" u="1"/>
        <s v="2017-11-30-21:00" u="1"/>
        <s v="2017-12-10-22:00" u="1"/>
        <s v="2015-10-05-09:00" u="1"/>
        <s v="2015-11-05-09:00" u="1"/>
        <s v="2015-11-25-08:00" u="1"/>
        <s v="2017-01-17-08:00" u="1"/>
        <s v="2017-02-17-08:00" u="1"/>
        <s v="2017-03-17-08:00" u="1"/>
        <s v="2017-04-17-08:00" u="1"/>
        <s v="2017-05-17-08:00" u="1"/>
        <s v="2017-07-17-08:00" u="1"/>
        <s v="2017-08-17-08:00" u="1"/>
        <s v="2017-10-17-08:00" u="1"/>
        <s v="2017-11-17-08:00" u="1"/>
        <s v="2018-02-20-21:00" u="1"/>
        <s v="2018-03-20-21:00" u="1"/>
        <s v="2018-05-20-21:00" u="1"/>
        <s v="2016-01-19-17:00" u="1"/>
        <s v="2016-04-19-17:00" u="1"/>
        <s v="2016-05-19-17:00" u="1"/>
        <s v="2016-06-19-17:00" u="1"/>
        <s v="2016-07-19-17:00" u="1"/>
        <s v="2016-09-19-17:00" u="1"/>
        <s v="2018-02-07-08:00" u="1"/>
        <s v="2018-02-27-07:00" u="1"/>
        <s v="2018-03-07-08:00" u="1"/>
        <s v="2018-03-27-07:00" u="1"/>
        <s v="2018-04-27-07:00" u="1"/>
        <s v="2018-05-07-08:00" u="1"/>
        <s v="2018-07-27-07:00" u="1"/>
        <s v="2017-01-09-17:00" u="1"/>
        <s v="2017-02-09-17:00" u="1"/>
        <s v="2017-03-09-17:00" u="1"/>
        <s v="2017-03-29-16:00" u="1"/>
        <s v="2017-04-09-17:00" u="1"/>
        <s v="2017-05-09-17:00" u="1"/>
        <s v="2017-05-29-16:00" u="1"/>
        <s v="2017-06-29-16:00" u="1"/>
        <s v="2017-07-09-17:00" u="1"/>
        <s v="2017-08-09-17:00" u="1"/>
        <s v="2017-08-29-16:00" u="1"/>
        <s v="2017-09-29-16:00" u="1"/>
        <s v="2017-10-09-17:00" u="1"/>
        <s v="2017-11-09-17:00" u="1"/>
        <s v="2017-11-29-16:00" u="1"/>
        <s v="2017-12-29-16:00" u="1"/>
        <s v="2016-01-07-17:00" u="1"/>
        <s v="2016-01-27-16:00" u="1"/>
        <s v="2016-02-03-08:00" u="1"/>
        <s v="2016-02-07-17: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6-09-23-07:00" u="1"/>
        <s v="2016-09-27-16:00" u="1"/>
        <s v="2016-10-27-16:00" u="1"/>
        <s v="2016-11-07-17:00" u="1"/>
        <s v="2016-12-07-17:00" u="1"/>
        <s v="2016-12-27-16:00" u="1"/>
        <s v="2018-01-19-16:00" u="1"/>
        <s v="2018-02-19-16:00" u="1"/>
        <s v="2018-03-19-16:00" u="1"/>
        <s v="2018-04-19-16:00" u="1"/>
        <s v="2018-07-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8-07-23-06: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8-07-23-14:00" u="1"/>
        <s v="2017-01-25-23:00" u="1"/>
        <s v="2017-04-25-23:00" u="1"/>
        <s v="2017-05-25-23:00" u="1"/>
        <s v="2017-06-25-23:00" u="1"/>
        <s v="2017-07-25-23:00" u="1"/>
        <s v="2017-09-25-23:00" u="1"/>
        <s v="2017-10-25-23:00" u="1"/>
        <s v="2017-12-25-23:00" u="1"/>
        <s v="2018-01-15-23:00" u="1"/>
        <s v="2018-02-15-23:00" u="1"/>
        <s v="2018-03-15-23:00" u="1"/>
        <s v="2018-04-15-23:00" u="1"/>
        <s v="2018-05-15-23:00" u="1"/>
        <s v="2016-01-11-23:00" u="1"/>
        <s v="2016-01-31-22:00" u="1"/>
        <s v="2016-02-11-23:00" u="1"/>
        <s v="2016-03-31-22:00" u="1"/>
        <s v="2016-04-11-23:00" u="1"/>
        <s v="2016-05-11-23:00" u="1"/>
        <s v="2016-05-31-22:00" u="1"/>
        <s v="2016-07-11-23:00" u="1"/>
        <s v="2016-07-31-22:00" u="1"/>
        <s v="2016-08-11-23:00" u="1"/>
        <s v="2016-08-31-22:00" u="1"/>
        <s v="2016-09-11-23:00" u="1"/>
        <s v="2017-02-01-23:00" u="1"/>
        <s v="2017-02-21-22:00" u="1"/>
        <s v="2017-03-01-23:00" u="1"/>
        <s v="2017-03-21-22:00" u="1"/>
        <s v="2017-05-01-23:00" u="1"/>
        <s v="2017-05-21-22:00" u="1"/>
        <s v="2017-06-01-23:00" u="1"/>
        <s v="2017-06-21-22:00" u="1"/>
        <s v="2017-08-01-23:00" u="1"/>
        <s v="2017-08-21-22:00" u="1"/>
        <s v="2017-09-21-22:00" u="1"/>
        <s v="2017-10-01-23:00" u="1"/>
        <s v="2017-11-01-23:00" u="1"/>
        <s v="2017-11-21-22:00" u="1"/>
        <s v="2017-12-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2-11-22:00" u="1"/>
        <s v="2018-03-11-22:00" u="1"/>
        <s v="2018-04-11-22: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8-07-18-08:00" u="1"/>
        <s v="2017-01-16-08:00" u="1"/>
        <s v="2017-02-16-08:00" u="1"/>
        <s v="2017-03-16-08:00" u="1"/>
        <s v="2017-05-16-08:00" u="1"/>
        <s v="2017-06-16-08:00" u="1"/>
        <s v="2017-08-16-08:00" u="1"/>
        <s v="2017-10-16-08:00" u="1"/>
        <s v="2017-11-16-08:00" u="1"/>
        <s v="2016-01-18-17:00" u="1"/>
        <s v="2016-02-18-17:00" u="1"/>
        <s v="2016-04-18-17:00" u="1"/>
        <s v="2016-05-18-17:00" u="1"/>
        <s v="2016-07-18-17:00" u="1"/>
        <s v="2016-08-18-17:00" u="1"/>
        <s v="2016-09-18-17:00" u="1"/>
        <s v="2016-10-18-17:00" u="1"/>
        <s v="2016-12-18-17:00" u="1"/>
        <s v="2017-01-08-17:00" u="1"/>
        <s v="2017-02-08-17:00" u="1"/>
        <s v="2017-02-28-16:00" u="1"/>
        <s v="2017-03-08-17:00" u="1"/>
        <s v="2017-03-28-16:00" u="1"/>
        <s v="2017-04-28-16:00" u="1"/>
        <s v="2017-05-08-17:00" u="1"/>
        <s v="2017-06-08-17:00" u="1"/>
        <s v="2017-06-28-16:00" u="1"/>
        <s v="2017-07-28-16:00" u="1"/>
        <s v="2017-08-08-17:00" u="1"/>
        <s v="2017-08-28-16:00" u="1"/>
        <s v="2017-09-28-16:00" u="1"/>
        <s v="2017-10-08-17:00" u="1"/>
        <s v="2017-11-08-17:00" u="1"/>
        <s v="2017-11-28-16: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7-18-16:00" u="1"/>
        <s v="2017-01-12-07:00" u="1"/>
        <s v="2017-04-12-07:00" u="1"/>
        <s v="2017-05-12-07:00" u="1"/>
        <s v="2017-06-12-07:00" u="1"/>
        <s v="2017-07-12-07:00" u="1"/>
        <s v="2017-09-12-07:00" u="1"/>
        <s v="2017-10-12-07:00" u="1"/>
        <s v="2017-12-12-07:00" u="1"/>
        <s v="2016-01-14-16:00" u="1"/>
        <s v="2016-03-14-16:00" u="1"/>
        <s v="2016-04-14-16:00" u="1"/>
        <s v="2016-06-14-16:00" u="1"/>
        <s v="2016-07-14-16:00" u="1"/>
        <s v="2016-09-14-16:00" u="1"/>
        <s v="2016-10-14-16:00" u="1"/>
        <s v="2016-11-14-16:00" u="1"/>
        <s v="2016-12-14-16:00" u="1"/>
        <s v="2018-01-02-07:00" u="1"/>
        <s v="2018-01-22-06:00" u="1"/>
        <s v="2018-02-02-07:00" u="1"/>
        <s v="2018-02-22-06:00" u="1"/>
        <s v="2018-03-02-07:00" u="1"/>
        <s v="2018-03-22-06:00" u="1"/>
        <s v="2018-04-02-07:00" u="1"/>
        <s v="2018-05-02-07:00" u="1"/>
        <s v="2018-05-22-06: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2-26-23:00" u="1"/>
        <s v="2018-03-26-23:00" u="1"/>
        <s v="2018-04-26-23:00" u="1"/>
        <s v="2018-07-26-23:00" u="1"/>
        <s v="2017-01-20-14:00" u="1"/>
        <s v="2017-01-24-23:00" u="1"/>
        <s v="2017-02-20-14:00" u="1"/>
        <s v="2017-03-20-14:00" u="1"/>
        <s v="2017-04-20-14:00" u="1"/>
        <s v="2017-04-24-23:00" u="1"/>
        <s v="2017-05-24-23:00" u="1"/>
        <s v="2017-06-20-14:00" u="1"/>
        <s v="2017-07-20-14:00" u="1"/>
        <s v="2017-07-24-23:00" u="1"/>
        <s v="2017-08-24-23:00" u="1"/>
        <s v="2017-09-20-14:00" u="1"/>
        <s v="2017-09-24-23:00" u="1"/>
        <s v="2017-10-24-23:00" u="1"/>
        <s v="2018-01-10-14:00" u="1"/>
        <s v="2018-01-30-13:00" u="1"/>
        <s v="2018-03-30-13:00" u="1"/>
        <s v="2018-04-10-14:00" u="1"/>
        <s v="2018-04-30-13:00" u="1"/>
        <s v="2018-05-10-14:00" u="1"/>
        <s v="2016-01-10-23:00" u="1"/>
        <s v="2016-02-10-23:00" u="1"/>
        <s v="2016-03-10-23:00" u="1"/>
        <s v="2016-03-30-22:00" u="1"/>
        <s v="2016-04-10-23:00" u="1"/>
        <s v="2016-05-10-23:00" u="1"/>
        <s v="2016-05-30-22:00" u="1"/>
        <s v="2016-06-30-22:00" u="1"/>
        <s v="2016-07-10-23:00" u="1"/>
        <s v="2016-08-10-23:00" u="1"/>
        <s v="2016-08-30-22:00" u="1"/>
        <s v="2016-10-10-23:00" u="1"/>
        <s v="2016-10-30-22:00" u="1"/>
        <s v="2016-11-10-23:00" u="1"/>
        <s v="2016-11-30-22:00" u="1"/>
        <s v="2016-02-17-09:00" u="1"/>
        <s v="2016-03-17-09:00" u="1"/>
        <s v="2016-05-17-09:00" u="1"/>
        <s v="2016-06-17-09:00" u="1"/>
        <s v="2016-08-17-09:00" u="1"/>
        <s v="2016-10-17-09:00" u="1"/>
        <s v="2016-11-17-09:00" u="1"/>
        <s v="2017-02-20-22:00" u="1"/>
        <s v="2017-03-20-22:00" u="1"/>
        <s v="2017-04-20-22:00" u="1"/>
        <s v="2017-06-20-22:00" u="1"/>
        <s v="2017-07-20-22:00" u="1"/>
        <s v="2017-08-20-22:00" u="1"/>
        <s v="2017-09-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4-10-22:00" u="1"/>
        <s v="2018-04-30-21:00" u="1"/>
        <s v="2018-05-10-22:00" u="1"/>
        <s v="2016-10-05-09:00" u="1"/>
        <s v="2016-10-25-08:00" u="1"/>
        <s v="2016-11-25-08:00" u="1"/>
        <s v="2016-12-05-09:00" u="1"/>
        <s v="2018-01-17-08:00" u="1"/>
        <s v="2018-04-17-08:00" u="1"/>
        <s v="2018-05-17-08:00" u="1"/>
        <s v="2018-07-17-08:00" u="1"/>
        <s v="2017-01-19-17:00" u="1"/>
        <s v="2017-02-19-17:00" u="1"/>
        <s v="2017-03-19-17:00" u="1"/>
        <s v="2017-04-19-17:00" u="1"/>
        <s v="2017-06-19-17:00" u="1"/>
        <s v="2017-07-19-17:00" u="1"/>
        <s v="2017-09-19-17:00" u="1"/>
        <s v="2016-01-13-08:00" u="1"/>
        <s v="2016-01-17-17:00" u="1"/>
        <s v="2016-02-17-17:00" u="1"/>
        <s v="2016-03-17-17:00" u="1"/>
        <s v="2016-04-13-08:00" u="1"/>
        <s v="2016-04-17-17:00" u="1"/>
        <s v="2016-05-13-08:00" u="1"/>
        <s v="2016-05-17-17:00" u="1"/>
        <s v="2016-06-13-08:00" u="1"/>
        <s v="2016-07-13-08:00" u="1"/>
        <s v="2016-07-17-17:00" u="1"/>
        <s v="2016-08-17-17:00" u="1"/>
        <s v="2016-09-13-08:00" u="1"/>
        <s v="2016-10-17-17:00" u="1"/>
        <s v="2016-11-17-17:00" u="1"/>
        <s v="2018-01-09-17:00" u="1"/>
        <s v="2018-01-29-16:00" u="1"/>
        <s v="2018-03-29-16:00" u="1"/>
        <s v="2018-04-09-17:00" u="1"/>
        <s v="2018-05-09-17:00" u="1"/>
        <s v="2018-05-29-16:00" u="1"/>
        <s v="2017-01-03-08:00" u="1"/>
        <s v="2017-01-23-07:00" u="1"/>
        <s v="2017-01-27-16:00" u="1"/>
        <s v="2017-02-03-08:00" u="1"/>
        <s v="2017-02-07-17:00" u="1"/>
        <s v="2017-02-23-07:00" u="1"/>
        <s v="2017-02-27-16:00" u="1"/>
        <s v="2017-03-03-08:00" u="1"/>
        <s v="2017-03-07-17:00" u="1"/>
        <s v="2017-03-23-07:00" u="1"/>
        <s v="2017-03-27-16:00" u="1"/>
        <s v="2017-04-03-08:00" u="1"/>
        <s v="2017-04-27-16:00" u="1"/>
        <s v="2017-05-03-08:00" u="1"/>
        <s v="2017-05-07-17:00" u="1"/>
        <s v="2017-05-23-07:00" u="1"/>
        <s v="2017-06-07-17:00" u="1"/>
        <s v="2017-06-23-07:00" u="1"/>
        <s v="2017-06-27-16:00" u="1"/>
        <s v="2017-07-03-08: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5-12-23-16:00" u="1"/>
        <s v="2017-10-11-07:00" u="1"/>
        <s v="2017-10-31-06:00" u="1"/>
        <s v="2017-12-11-0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1-25-23:00" u="1"/>
        <s v="2018-02-25-23:00" u="1"/>
        <s v="2018-03-25-23:00" u="1"/>
        <s v="2018-04-25-23:00" u="1"/>
        <s v="2018-07-25-23:00" u="1"/>
        <s v="2017-01-11-23:00" u="1"/>
        <s v="2017-01-31-22:00" u="1"/>
        <s v="2017-04-11-23:00" u="1"/>
        <s v="2017-05-11-23:00" u="1"/>
        <s v="2017-05-31-22:00" u="1"/>
        <s v="2017-06-11-23:00" u="1"/>
        <s v="2017-07-11-23:00" u="1"/>
        <s v="2017-07-31-22:00" u="1"/>
        <s v="2017-08-31-22:00" u="1"/>
        <s v="2017-09-11-23:00" u="1"/>
        <s v="2018-01-01-23:00" u="1"/>
        <s v="2018-01-21-22:00" u="1"/>
        <s v="2018-02-01-23:00" u="1"/>
        <s v="2018-02-21-22:00" u="1"/>
        <s v="2018-03-01-23:00" u="1"/>
        <s v="2018-03-21-22:00" u="1"/>
        <s v="2018-04-01-23:00" u="1"/>
        <s v="2018-05-01-23:00" u="1"/>
        <s v="2018-05-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7-12-26-08:00" u="1"/>
        <s v="2016-01-28-17:00" u="1"/>
        <s v="2016-02-08-18:00" u="1"/>
        <s v="2016-02-28-17:00" u="1"/>
        <s v="2016-03-08-18:00" u="1"/>
        <s v="2016-03-28-17:00" u="1"/>
        <s v="2016-04-28-17:00" u="1"/>
        <s v="2016-05-08-18:00" u="1"/>
        <s v="2016-06-08-18:00" u="1"/>
        <s v="2016-06-28-17:00" u="1"/>
        <s v="2016-07-28-17:00" u="1"/>
        <s v="2016-08-08-18:00" u="1"/>
        <s v="2016-08-28-17:00" u="1"/>
        <s v="2016-09-08-18:00" u="1"/>
        <s v="2016-09-28-17:00" u="1"/>
        <s v="2016-11-08-18:00" u="1"/>
        <s v="2016-11-28-17:00" u="1"/>
        <s v="2016-12-08-18:00" u="1"/>
        <s v="2016-12-28-17:00" u="1"/>
        <s v="2018-01-16-08:00" u="1"/>
        <s v="2018-02-16-08:00" u="1"/>
        <s v="2018-03-16-08:00" u="1"/>
        <s v="2018-04-16-08:00" u="1"/>
        <s v="2018-05-16-08:00" u="1"/>
        <s v="2015-12-22-08:00" u="1"/>
        <s v="2017-01-18-17:00" u="1"/>
        <s v="2017-04-18-17:00" u="1"/>
        <s v="2017-05-18-17:00" u="1"/>
        <s v="2017-06-18-17:00" u="1"/>
        <s v="2017-07-18-17:00" u="1"/>
        <s v="2017-09-18-17:00" u="1"/>
        <s v="2017-10-18-17:00" u="1"/>
        <s v="2017-12-18-17:00" u="1"/>
        <s v="2014-05-20-08:00" u="1"/>
        <s v="2014-06-20-08:00" u="1"/>
        <s v="2014-08-20-08: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4-08-17:00" u="1"/>
        <s v="2018-05-08-17:00" u="1"/>
        <s v="2018-05-28-16:00" u="1"/>
        <s v="2017-01-02-08: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6-01-04-17:00" u="1"/>
        <s v="2016-02-04-17:00" u="1"/>
        <s v="2016-02-24-16:00" u="1"/>
        <s v="2016-03-24-16:00" u="1"/>
        <s v="2016-04-04-17:00" u="1"/>
        <s v="2016-05-04-17:00" u="1"/>
        <s v="2016-05-24-16:00" u="1"/>
        <s v="2016-06-24-16:00" u="1"/>
        <s v="2016-07-04-17:00" u="1"/>
        <s v="2016-08-04-17:00" u="1"/>
        <s v="2016-08-24-16:00" u="1"/>
        <s v="2016-09-04-17:00" u="1"/>
        <s v="2018-01-12-07:00" u="1"/>
        <s v="2018-02-12-07:00" u="1"/>
        <s v="2018-03-12-07:00" u="1"/>
        <s v="2018-04-12-07:00" u="1"/>
        <s v="2015-12-22-16:00" u="1"/>
        <s v="2017-02-14-16:00" u="1"/>
        <s v="2017-03-14-16:00" u="1"/>
        <s v="2017-04-14-16:00" u="1"/>
        <s v="2017-06-14-16:00" u="1"/>
        <s v="2017-07-14-16:00" u="1"/>
        <s v="2017-08-14-16:00" u="1"/>
        <s v="2017-09-14-16:00" u="1"/>
        <s v="2017-11-14-16:00" u="1"/>
        <s v="2017-12-14-16: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7-24-15:00" u="1"/>
        <s v="2017-10-02-16:00" u="1"/>
        <s v="2017-11-02-16:00" u="1"/>
        <s v="2017-11-22-15:00" u="1"/>
        <s v="2017-12-22-15:00" u="1"/>
        <s v="2018-01-24-23:00" u="1"/>
        <s v="2018-02-20-14:00" u="1"/>
        <s v="2018-03-20-14:00" u="1"/>
        <s v="2018-04-20-14:00" u="1"/>
        <s v="2018-04-24-23:00" u="1"/>
        <s v="2018-05-24-23:00" u="1"/>
        <s v="2018-07-20-14:00" u="1"/>
        <s v="2018-07-24-23:00" u="1"/>
        <s v="2016-01-20-23:00" u="1"/>
        <s v="2016-03-20-23:00" u="1"/>
        <s v="2016-04-20-23:00" u="1"/>
        <s v="2016-06-20-23:00" u="1"/>
        <s v="2016-07-20-23:00" u="1"/>
        <s v="2016-09-20-23:00" u="1"/>
        <s v="2016-10-20-23:00" u="1"/>
        <s v="2016-11-20-23:00" u="1"/>
        <s v="2016-12-20-23:00" u="1"/>
        <s v="2016-01-27-09:00" u="1"/>
        <s v="2016-04-27-09:00" u="1"/>
        <s v="2016-05-27-09:00" u="1"/>
        <s v="2016-06-27-09:00" u="1"/>
        <s v="2016-07-27-09:00" u="1"/>
        <s v="2016-09-27-09:00" u="1"/>
        <s v="2017-01-10-23:00" u="1"/>
        <s v="2017-01-30-22:00" u="1"/>
        <s v="2017-03-30-22:00" u="1"/>
        <s v="2017-04-10-23:00" u="1"/>
        <s v="2017-04-30-22:00" u="1"/>
        <s v="2017-05-10-23:00" u="1"/>
        <s v="2017-05-30-22:00" u="1"/>
        <s v="2017-07-10-23:00" u="1"/>
        <s v="2017-07-30-22:00" u="1"/>
        <s v="2017-08-10-23:00" u="1"/>
        <s v="2017-08-30-22:00" u="1"/>
        <s v="2017-09-10-23:00" u="1"/>
        <s v="2017-10-10-23:00" u="1"/>
        <s v="2017-10-30-22:00" u="1"/>
        <s v="2017-11-30-22:00" u="1"/>
        <s v="2017-12-10-23:00" u="1"/>
        <s v="2017-01-17-09:00" u="1"/>
        <s v="2017-02-17-09:00" u="1"/>
        <s v="2017-03-17-09:00" u="1"/>
        <s v="2017-04-17-09:00" u="1"/>
        <s v="2017-05-17-09:00" u="1"/>
        <s v="2017-07-17-09:00" u="1"/>
        <s v="2017-08-17-09:00" u="1"/>
        <s v="2017-10-17-09:00" u="1"/>
        <s v="2017-11-17-09:00" u="1"/>
        <s v="2018-02-20-22:00" u="1"/>
        <s v="2018-03-20-22:00" u="1"/>
        <s v="2018-05-20-22:00" u="1"/>
        <s v="2016-11-15-09:00" u="1"/>
        <s v="2016-12-15-09:00" u="1"/>
        <s v="2018-02-07-09:00" u="1"/>
        <s v="2018-02-27-08:00" u="1"/>
        <s v="2018-03-07-09:00" u="1"/>
        <s v="2018-03-27-08:00" u="1"/>
        <s v="2018-04-27-08:00" u="1"/>
        <s v="2018-05-07-09:00" u="1"/>
        <s v="2018-07-27-08:00" u="1"/>
        <s v="2017-10-05-09:00" u="1"/>
        <s v="2017-10-25-08:00" u="1"/>
        <s v="2017-12-05-09:00" u="1"/>
        <s v="2016-01-07-18:00" u="1"/>
        <s v="2016-01-27-17:00" u="1"/>
        <s v="2016-02-07-18:00" u="1"/>
        <s v="2016-03-07-18:00" u="1"/>
        <s v="2016-03-27-17:00" u="1"/>
        <s v="2016-04-07-18:00" u="1"/>
        <s v="2016-04-27-17:00" u="1"/>
        <s v="2016-06-07-18:00" u="1"/>
        <s v="2016-06-27-17:00" u="1"/>
        <s v="2016-07-07-18:00" u="1"/>
        <s v="2016-07-27-17:00" u="1"/>
        <s v="2016-08-07-18:00" u="1"/>
        <s v="2016-09-07-18:00" u="1"/>
        <s v="2016-09-27-17:00" u="1"/>
        <s v="2016-10-27-17:00" u="1"/>
        <s v="2016-11-07-18:00" u="1"/>
        <s v="2016-11-27-17:00" u="1"/>
        <s v="2016-12-07-18:00" u="1"/>
        <s v="2016-12-27-17:00" u="1"/>
        <s v="2018-02-19-17:00" u="1"/>
        <s v="2018-03-19-17:00" u="1"/>
        <s v="2018-04-19-17:00" u="1"/>
        <s v="2018-07-19-17:00" u="1"/>
        <s v="2017-01-13-08:00" u="1"/>
        <s v="2017-01-17-17:00" u="1"/>
        <s v="2017-02-13-08:00" u="1"/>
        <s v="2017-03-13-08:00" u="1"/>
        <s v="2017-04-13-08:00" u="1"/>
        <s v="2017-04-17-17:00" u="1"/>
        <s v="2017-05-17-17:00" u="1"/>
        <s v="2017-06-13-08:00" u="1"/>
        <s v="2017-07-13-08:00" u="1"/>
        <s v="2017-07-17-17:00" u="1"/>
        <s v="2017-08-17-17:00" u="1"/>
        <s v="2017-09-13-08:00" u="1"/>
        <s v="2017-09-17-17:00" u="1"/>
        <s v="2017-10-17-17:00" u="1"/>
        <s v="2017-12-17-17: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07-17:00" u="1"/>
        <s v="2018-01-23-07:00" u="1"/>
        <s v="2018-02-07-17:00" u="1"/>
        <s v="2018-02-23-07:00" u="1"/>
        <s v="2018-02-27-16:00" u="1"/>
        <s v="2018-03-07-17:00" u="1"/>
        <s v="2018-03-23-07:00" u="1"/>
        <s v="2018-03-27-16:00" u="1"/>
        <s v="2018-04-03-08:00" u="1"/>
        <s v="2018-04-23-07:00" u="1"/>
        <s v="2018-04-27-16:00" u="1"/>
        <s v="2018-05-03-08:00" u="1"/>
        <s v="2018-05-07-17:00" u="1"/>
        <s v="2018-05-23-07:00" u="1"/>
        <s v="2018-07-23-07:00" u="1"/>
        <s v="2018-07-27-16: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1-03-17:00" u="1"/>
        <s v="2016-02-03-17:00" u="1"/>
        <s v="2016-02-23-16:00" u="1"/>
        <s v="2016-03-03-17:00" u="1"/>
        <s v="2016-03-23-16:00" u="1"/>
        <s v="2016-04-03-17:00" u="1"/>
        <s v="2016-05-03-17:00" u="1"/>
        <s v="2016-05-23-16:00" u="1"/>
        <s v="2016-06-23-16:00" u="1"/>
        <s v="2016-07-03-17:00" u="1"/>
        <s v="2016-08-03-17:00" u="1"/>
        <s v="2016-08-23-16:00" u="1"/>
        <s v="2016-09-23-16:00" u="1"/>
        <s v="2016-10-03-17:00" u="1"/>
        <s v="2016-11-03-17:00" u="1"/>
        <s v="2016-11-23-16:00" u="1"/>
        <s v="2016-12-23-16:00" u="1"/>
        <s v="2017-01-13-16:00" u="1"/>
        <s v="2017-02-13-16:00" u="1"/>
        <s v="2017-03-13-16:00" u="1"/>
        <s v="2017-04-13-16:00" u="1"/>
        <s v="2017-06-13-16:00" u="1"/>
        <s v="2017-07-13-16:00" u="1"/>
        <s v="2017-09-13-16:00" u="1"/>
        <s v="2017-10-13-16:00" u="1"/>
        <s v="2017-11-13-16:00" u="1"/>
        <s v="2017-12-13-16:00" u="1"/>
        <s v="2018-01-03-16:00" u="1"/>
        <s v="2018-01-23-15:00" u="1"/>
        <s v="2018-02-23-15:00" u="1"/>
        <s v="2018-03-23-15:00" u="1"/>
        <s v="2018-04-03-16:00" u="1"/>
        <s v="2018-04-23-15:00" u="1"/>
        <s v="2018-05-03-16:00" u="1"/>
        <s v="2018-05-23-15:00" u="1"/>
        <s v="2018-07-23-15:00" u="1"/>
        <s v="2018-01-11-23:00" u="1"/>
        <s v="2018-01-31-22:00" u="1"/>
        <s v="2018-02-11-23:00" u="1"/>
        <s v="2018-03-11-23:00" u="1"/>
        <s v="2018-04-11-23:00" u="1"/>
        <s v="2016-01-26-09:00" u="1"/>
        <s v="2016-02-26-09:00" u="1"/>
        <s v="2016-04-26-09:00" u="1"/>
        <s v="2016-05-26-09:00" u="1"/>
        <s v="2016-07-26-09:00" u="1"/>
        <s v="2016-08-26-09:00" u="1"/>
        <s v="2016-09-26-09:00" u="1"/>
        <s v="2016-10-26-09:00" u="1"/>
        <s v="2017-01-16-09:00" u="1"/>
        <s v="2017-02-16-09:00" u="1"/>
        <s v="2017-03-16-09:00" u="1"/>
        <s v="2017-05-16-09:00" u="1"/>
        <s v="2017-06-16-09:00" u="1"/>
        <s v="2017-08-16-09:00" u="1"/>
        <s v="2017-10-16-09:00" u="1"/>
        <s v="2017-11-16-09:00" u="1"/>
        <s v="2016-01-18-18:00" u="1"/>
        <s v="2016-02-18-18:00" u="1"/>
        <s v="2016-04-18-18:00" u="1"/>
        <s v="2016-05-18-18:00" u="1"/>
        <s v="2016-07-18-18:00" u="1"/>
        <s v="2016-08-18-18:00" u="1"/>
        <s v="2016-09-18-18:00" u="1"/>
        <s v="2016-10-18-18:00" u="1"/>
        <s v="2016-12-18-18:00" u="1"/>
        <s v="2018-01-26-08:00" u="1"/>
        <s v="2018-02-06-09:00" u="1"/>
        <s v="2018-02-26-08:00" u="1"/>
        <s v="2018-03-06-09:00" u="1"/>
        <s v="2018-03-26-08:00" u="1"/>
        <s v="2018-04-06-09:00" u="1"/>
        <s v="2018-04-26-08:00" u="1"/>
        <s v="2018-07-26-08:00" u="1"/>
        <s v="2017-01-08-18:00" u="1"/>
        <s v="2017-02-08-18:00" u="1"/>
        <s v="2017-02-28-17:00" u="1"/>
        <s v="2017-03-08-18:00" u="1"/>
        <s v="2017-03-28-17:00" u="1"/>
        <s v="2017-05-08-18:00" u="1"/>
        <s v="2017-05-28-17:00" u="1"/>
        <s v="2017-06-08-18:00" u="1"/>
        <s v="2017-06-28-17:00" u="1"/>
        <s v="2017-08-08-18:00" u="1"/>
        <s v="2017-08-28-17:00" u="1"/>
        <s v="2017-09-28-17:00" u="1"/>
        <s v="2017-10-08-18:00" u="1"/>
        <s v="2017-11-08-18:00" u="1"/>
        <s v="2017-11-28-17: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06-18:00" u="1"/>
        <s v="2016-11-22-08:00" u="1"/>
        <s v="2016-12-02-09:00" u="1"/>
        <s v="2016-12-06-18:00" u="1"/>
        <s v="2016-12-22-08:00" u="1"/>
        <s v="2018-01-18-17:00" u="1"/>
        <s v="2018-02-18-17:00" u="1"/>
        <s v="2018-03-18-17:00" u="1"/>
        <s v="2018-04-18-17:00" u="1"/>
        <s v="2018-07-18-17:00" u="1"/>
        <s v="2017-01-12-08:00" u="1"/>
        <s v="2017-04-12-08:00" u="1"/>
        <s v="2017-05-12-08:00" u="1"/>
        <s v="2017-06-12-08:00" u="1"/>
        <s v="2017-07-12-08:00" u="1"/>
        <s v="2017-09-12-08:00" u="1"/>
        <s v="2017-10-12-08:00" u="1"/>
        <s v="2017-12-12-08:00" u="1"/>
        <s v="2016-10-10-08:00" u="1"/>
        <s v="2016-11-10-08:00" u="1"/>
        <s v="2016-11-30-07:00" u="1"/>
        <s v="2016-12-30-07:00" u="1"/>
        <s v="2018-01-02-08:00" u="1"/>
        <s v="2018-01-22-07:00" u="1"/>
        <s v="2018-02-02-08:00" u="1"/>
        <s v="2018-02-22-07:00" u="1"/>
        <s v="2018-03-02-08:00" u="1"/>
        <s v="2018-03-22-07:00" u="1"/>
        <s v="2018-04-02-08:00" u="1"/>
        <s v="2018-05-02-08:00" u="1"/>
        <s v="2018-05-22-07:00" u="1"/>
        <s v="2017-01-04-17:00" u="1"/>
        <s v="2017-01-24-16:00" u="1"/>
        <s v="2017-02-24-16:00" u="1"/>
        <s v="2017-03-24-16:00" u="1"/>
        <s v="2017-04-04-17:00" u="1"/>
        <s v="2017-04-24-16:00" u="1"/>
        <s v="2017-05-04-17:00" u="1"/>
        <s v="2017-05-24-16:00" u="1"/>
        <s v="2017-06-04-17:00" u="1"/>
        <s v="2017-07-04-17:00" u="1"/>
        <s v="2017-07-24-16:00" u="1"/>
        <s v="2017-08-24-16:00" u="1"/>
        <s v="2017-09-04-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6-11-02-17:00" u="1"/>
        <s v="2016-11-22-16:00" u="1"/>
        <s v="2016-12-22-16:00" u="1"/>
        <s v="2018-02-14-16:00" u="1"/>
        <s v="2018-03-14-16:00" u="1"/>
        <s v="2018-05-14-16:00" u="1"/>
        <s v="2017-01-12-16:00" u="1"/>
        <s v="2017-04-12-16:00" u="1"/>
        <s v="2017-05-12-16:00" u="1"/>
        <s v="2017-06-12-16:00" u="1"/>
        <s v="2017-07-12-16:00" u="1"/>
        <s v="2017-09-12-16:00" u="1"/>
        <s v="2017-10-12-16:00" u="1"/>
        <s v="2017-12-12-16:00" u="1"/>
        <s v="2016-03-30-23:00" u="1"/>
        <s v="2016-05-30-23:00" u="1"/>
        <s v="2016-06-30-23:00" u="1"/>
        <s v="2016-08-30-23:00" u="1"/>
        <s v="2016-10-30-23:00" u="1"/>
        <s v="2016-11-30-23:00" u="1"/>
        <s v="2017-02-20-23:00" u="1"/>
        <s v="2017-03-20-23:00" u="1"/>
        <s v="2017-04-20-23:00" u="1"/>
        <s v="2017-06-20-23:00" u="1"/>
        <s v="2017-07-20-23:00" u="1"/>
        <s v="2017-08-20-23:00" u="1"/>
        <s v="2017-09-20-23:00" u="1"/>
        <s v="2017-11-20-23:00" u="1"/>
        <s v="2017-12-20-23:00" u="1"/>
        <s v="2017-01-27-09:00" u="1"/>
        <s v="2017-02-27-09:00" u="1"/>
        <s v="2017-03-27-09:00" u="1"/>
        <s v="2017-04-27-09:00" u="1"/>
        <s v="2017-06-27-09:00" u="1"/>
        <s v="2017-07-27-09:00" u="1"/>
        <s v="2017-09-27-09:00" u="1"/>
        <s v="2018-01-10-23:00" u="1"/>
        <s v="2018-01-30-22:00" u="1"/>
        <s v="2018-04-10-23:00" u="1"/>
        <s v="2018-04-30-22:00" u="1"/>
        <s v="2018-05-10-23:00" u="1"/>
        <s v="2016-01-25-09:00" u="1"/>
        <s v="2016-02-25-09:00" u="1"/>
        <s v="2016-03-25-09:00" u="1"/>
        <s v="2016-04-25-09:00" u="1"/>
        <s v="2016-05-25-09:00" u="1"/>
        <s v="2016-07-25-09:00" u="1"/>
        <s v="2016-08-25-09:00" u="1"/>
        <s v="2016-10-25-09:00" u="1"/>
        <s v="2016-11-25-09:00" u="1"/>
        <s v="2018-01-17-09:00" u="1"/>
        <s v="2018-04-17-09:00" u="1"/>
        <s v="2018-05-17-09:00" u="1"/>
        <s v="2018-07-17-09:00" u="1"/>
        <s v="2017-11-15-09:00" u="1"/>
        <s v="2017-12-15-09:00" u="1"/>
        <s v="2016-01-17-18:00" u="1"/>
        <s v="2016-02-17-18:00" u="1"/>
        <s v="2016-03-17-18:00" u="1"/>
        <s v="2016-04-17-18:00" u="1"/>
        <s v="2016-05-17-18:00" u="1"/>
        <s v="2016-07-17-18:00" u="1"/>
        <s v="2016-08-17-18:00" u="1"/>
        <s v="2016-10-17-18:00" u="1"/>
        <s v="2016-11-17-18:00" u="1"/>
        <s v="2017-02-07-18:00" u="1"/>
        <s v="2017-02-27-17:00" u="1"/>
        <s v="2017-03-07-18:00" u="1"/>
        <s v="2017-03-27-17:00" u="1"/>
        <s v="2017-04-27-17:00" u="1"/>
        <s v="2017-05-07-18:00" u="1"/>
        <s v="2017-06-07-18:00" u="1"/>
        <s v="2017-06-27-17:00" u="1"/>
        <s v="2017-07-27-17:00" u="1"/>
        <s v="2017-08-07-18:00" u="1"/>
        <s v="2017-08-27-17:00" u="1"/>
        <s v="2017-09-07-18:00" u="1"/>
        <s v="2017-09-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2-13-08:00" u="1"/>
        <s v="2018-03-13-08:00" u="1"/>
        <s v="2018-04-13-08:00" u="1"/>
        <s v="2018-04-17-17:00" u="1"/>
        <s v="2018-05-17-17:00" u="1"/>
        <s v="2018-07-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1-13-17:00" u="1"/>
        <s v="2016-03-13-17:00" u="1"/>
        <s v="2016-04-13-17:00" u="1"/>
        <s v="2016-06-13-17:00" u="1"/>
        <s v="2016-07-13-17:00" u="1"/>
        <s v="2016-09-13-17:00" u="1"/>
        <s v="2016-10-13-17:00" u="1"/>
        <s v="2016-11-13-17:00" u="1"/>
        <s v="2016-12-13-17:00" u="1"/>
        <s v="2018-02-01-08:00" u="1"/>
        <s v="2018-02-21-07:00" u="1"/>
        <s v="2018-03-01-08:00" u="1"/>
        <s v="2018-03-21-07:00" u="1"/>
        <s v="2018-05-01-08:00" u="1"/>
        <s v="2018-05-21-07:00" u="1"/>
        <s v="2017-01-03-17:00" u="1"/>
        <s v="2017-01-23-16:00" u="1"/>
        <s v="2017-02-23-16:00" u="1"/>
        <s v="2017-03-23-16:00" u="1"/>
        <s v="2017-04-03-17:00" u="1"/>
        <s v="2017-05-03-17:00" u="1"/>
        <s v="2017-05-23-16:00" u="1"/>
        <s v="2017-06-23-16:00" u="1"/>
        <s v="2017-07-03-17:00" u="1"/>
        <s v="2017-08-03-17:00" u="1"/>
        <s v="2017-08-23-16:00" u="1"/>
        <s v="2017-09-03-17:00" u="1"/>
        <s v="2017-10-03-17:00" u="1"/>
        <s v="2017-10-23-16:00" u="1"/>
        <s v="2017-11-23-16:00" u="1"/>
        <s v="2017-12-03-17:00" u="1"/>
        <s v="2016-10-21-16:00" u="1"/>
        <s v="2016-11-01-17:00" u="1"/>
        <s v="2016-11-21-16:00" u="1"/>
        <s v="2016-12-01-17:00" u="1"/>
        <s v="2016-12-21-16:00" u="1"/>
        <s v="2018-02-13-16:00" u="1"/>
        <s v="2018-03-13-16:00" u="1"/>
        <s v="2018-04-13-16:00" u="1"/>
        <s v="2017-01-26-09:00" u="1"/>
        <s v="2017-04-26-09:00" u="1"/>
        <s v="2017-05-26-09:00" u="1"/>
        <s v="2017-06-26-09:00" u="1"/>
        <s v="2017-07-26-09:00" u="1"/>
        <s v="2017-09-26-09:00" u="1"/>
        <s v="2017-10-26-09:00" u="1"/>
        <s v="2017-12-26-09:00" u="1"/>
        <s v="2016-01-28-18:00" u="1"/>
        <s v="2016-02-08-19:00" u="1"/>
        <s v="2016-02-28-18:00" u="1"/>
        <s v="2016-03-08-19:00" u="1"/>
        <s v="2016-03-28-18:00" u="1"/>
        <s v="2016-04-28-18:00" u="1"/>
        <s v="2016-05-08-19:00" u="1"/>
        <s v="2016-06-08-19:00" u="1"/>
        <s v="2016-06-28-18:00" u="1"/>
        <s v="2016-07-28-18:00" u="1"/>
        <s v="2016-08-08-19:00" u="1"/>
        <s v="2016-08-28-18:00" u="1"/>
        <s v="2016-09-08-19:00" u="1"/>
        <s v="2016-09-28-18:00" u="1"/>
        <s v="2018-01-16-09:00" u="1"/>
        <s v="2018-02-16-09:00" u="1"/>
        <s v="2018-03-16-09:00" u="1"/>
        <s v="2018-04-16-09:00" u="1"/>
        <s v="2018-05-16-09:00" u="1"/>
        <s v="2017-01-18-18:00" u="1"/>
        <s v="2017-04-18-18:00" u="1"/>
        <s v="2017-05-18-18:00" u="1"/>
        <s v="2017-06-18-18:00" u="1"/>
        <s v="2017-07-18-18:00" u="1"/>
        <s v="2017-09-18-18:00" u="1"/>
        <s v="2017-10-18-18:00" u="1"/>
        <s v="2017-12-18-18:00" u="1"/>
        <s v="2016-01-12-09:00" u="1"/>
        <s v="2016-02-12-09:00" u="1"/>
        <s v="2016-02-16-18:00" u="1"/>
        <s v="2016-03-16-18:00" u="1"/>
        <s v="2016-04-12-09:00" u="1"/>
        <s v="2016-05-12-09:00" u="1"/>
        <s v="2016-05-16-18:00" u="1"/>
        <s v="2016-06-16-18:00" u="1"/>
        <s v="2016-07-12-09:00" u="1"/>
        <s v="2016-08-12-09:00" u="1"/>
        <s v="2016-08-16-18:00" u="1"/>
        <s v="2016-09-12-09:00" u="1"/>
        <s v="2016-10-16-18:00" u="1"/>
        <s v="2016-11-16-18:00" u="1"/>
        <s v="2018-01-08-18:00" u="1"/>
        <s v="2018-01-28-17:00" u="1"/>
        <s v="2018-02-08-18:00" u="1"/>
        <s v="2018-02-28-17:00" u="1"/>
        <s v="2018-03-08-18:00" u="1"/>
        <s v="2018-03-28-17:00" u="1"/>
        <s v="2018-04-08-18:00" u="1"/>
        <s v="2018-05-08-18:00" u="1"/>
        <s v="2018-05-28-17:00" u="1"/>
        <s v="2017-01-02-09:00" u="1"/>
        <s v="2017-02-02-09:00" u="1"/>
        <s v="2017-02-22-08:00" u="1"/>
        <s v="2017-03-02-09:00" u="1"/>
        <s v="2017-03-22-08:00" u="1"/>
        <s v="2017-05-02-09:00" u="1"/>
        <s v="2017-05-22-08:00" u="1"/>
        <s v="2017-06-02-09:00" u="1"/>
        <s v="2017-06-22-08:00" u="1"/>
        <s v="2017-08-02-09:00" u="1"/>
        <s v="2017-08-22-08:00" u="1"/>
        <s v="2017-09-22-08:00" u="1"/>
        <s v="2017-10-02-09:00" u="1"/>
        <s v="2017-10-26-17:00" u="1"/>
        <s v="2017-11-02-09:00" u="1"/>
        <s v="2017-11-06-18:00" u="1"/>
        <s v="2017-11-22-08:00" u="1"/>
        <s v="2017-11-26-17:00" u="1"/>
        <s v="2017-12-06-18:00" u="1"/>
        <s v="2017-12-22-08:00" u="1"/>
        <s v="2017-12-26-17:00" u="1"/>
        <s v="2016-01-20-08:00" u="1"/>
        <s v="2016-04-20-08:00" u="1"/>
        <s v="2016-05-20-08:00" u="1"/>
        <s v="2016-06-20-08:00" u="1"/>
        <s v="2016-07-20-08:00" u="1"/>
        <s v="2016-09-20-08:00" u="1"/>
        <s v="2016-10-20-08:00" u="1"/>
        <s v="2016-12-20-08:00" u="1"/>
        <s v="2018-01-12-08:00" u="1"/>
        <s v="2018-02-12-08:00" u="1"/>
        <s v="2018-03-12-08:00" u="1"/>
        <s v="2018-04-12-08:00" u="1"/>
        <s v="2015-12-22-17:00" u="1"/>
        <s v="2017-10-10-08:00" u="1"/>
        <s v="2017-10-30-07:00" u="1"/>
        <s v="2017-11-10-08:00" u="1"/>
        <s v="2017-11-30-07:00" u="1"/>
        <s v="2016-01-12-17:00" u="1"/>
        <s v="2016-04-12-17:00" u="1"/>
        <s v="2016-05-12-17:00" u="1"/>
        <s v="2016-06-12-17:00" u="1"/>
        <s v="2016-07-12-17:00" u="1"/>
        <s v="2016-09-12-17:00" u="1"/>
        <s v="2016-10-12-17:00" u="1"/>
        <s v="2016-12-12-17:00" u="1"/>
        <s v="2018-01-04-17:00" u="1"/>
        <s v="2018-01-24-16:00" u="1"/>
        <s v="2018-02-04-17:00" u="1"/>
        <s v="2018-03-04-17:00" u="1"/>
        <s v="2018-04-04-17:00" u="1"/>
        <s v="2018-04-24-16:00" u="1"/>
        <s v="2018-05-24-16:00" u="1"/>
        <s v="2018-07-24-16:00" u="1"/>
        <s v="2017-01-02-17:00" u="1"/>
        <s v="2017-02-02-17:00" u="1"/>
        <s v="2017-02-22-16:00" u="1"/>
        <s v="2017-03-02-17:00" u="1"/>
        <s v="2017-03-22-16:00" u="1"/>
        <s v="2017-04-02-17:00" u="1"/>
        <s v="2017-05-02-17:00" u="1"/>
        <s v="2017-05-22-16:00" u="1"/>
        <s v="2017-06-22-16:00" u="1"/>
        <s v="2017-07-02-17:00" u="1"/>
        <s v="2017-08-02-17:00" u="1"/>
        <s v="2017-08-22-16:00" u="1"/>
        <s v="2017-09-22-16:00" u="1"/>
        <s v="2017-10-02-17:00" u="1"/>
        <s v="2017-11-02-17:00" u="1"/>
        <s v="2017-11-22-16:00" u="1"/>
        <s v="2017-12-22-16:00" u="1"/>
        <s v="2018-01-12-16:00" u="1"/>
        <s v="2018-02-12-16:00" u="1"/>
        <s v="2018-03-12-16:00" u="1"/>
        <s v="2018-04-12-16:00" u="1"/>
        <s v="2017-01-30-23:00" u="1"/>
        <s v="2017-03-30-23:00" u="1"/>
        <s v="2017-04-30-23:00" u="1"/>
        <s v="2017-05-30-23:00" u="1"/>
        <s v="2017-07-30-23:00" u="1"/>
        <s v="2017-08-30-23:00" u="1"/>
        <s v="2017-10-30-23:00" u="1"/>
        <s v="2017-11-30-23:00" u="1"/>
        <s v="2018-02-20-23:00" u="1"/>
        <s v="2018-03-20-23:00" u="1"/>
        <s v="2018-05-20-23:00" u="1"/>
        <s v="2018-02-27-09:00" u="1"/>
        <s v="2018-03-27-09:00" u="1"/>
        <s v="2018-04-27-09:00" u="1"/>
        <s v="2018-07-27-09:00" u="1"/>
        <s v="2017-01-25-09:00" u="1"/>
        <s v="2017-04-25-09:00" u="1"/>
        <s v="2017-05-25-09:00" u="1"/>
        <s v="2017-07-25-09:00" u="1"/>
        <s v="2017-08-25-09:00" u="1"/>
        <s v="2017-09-25-09:00" u="1"/>
        <s v="2017-10-25-09:00" u="1"/>
        <s v="2016-01-07-19:00" u="1"/>
        <s v="2016-01-27-18:00" u="1"/>
        <s v="2016-02-07-19:00" u="1"/>
        <s v="2016-03-07-19:00" u="1"/>
        <s v="2016-03-27-18:00" u="1"/>
        <s v="2016-04-07-19:00" u="1"/>
        <s v="2016-04-27-18:00" u="1"/>
        <s v="2016-06-07-19:00" u="1"/>
        <s v="2016-06-27-18:00" u="1"/>
        <s v="2016-07-07-19:00" u="1"/>
        <s v="2016-07-27-18:00" u="1"/>
        <s v="2016-08-07-19:00" u="1"/>
        <s v="2016-09-07-19:00" u="1"/>
        <s v="2016-09-27-18:00" u="1"/>
        <s v="2016-10-27-18:00" u="1"/>
        <s v="2016-11-07-19:00" u="1"/>
        <s v="2016-11-27-18:00" u="1"/>
        <s v="2016-12-07-19:00" u="1"/>
        <s v="2016-12-27-18:00" u="1"/>
        <s v="2017-01-17-18:00" u="1"/>
        <s v="2017-04-17-18:00" u="1"/>
        <s v="2017-05-17-18:00" u="1"/>
        <s v="2017-07-17-18:00" u="1"/>
        <s v="2017-08-17-18:00" u="1"/>
        <s v="2017-09-17-18:00" u="1"/>
        <s v="2017-10-17-18:00" u="1"/>
        <s v="2017-12-17-18:00" u="1"/>
        <s v="2019-08-29-17:00" u="1"/>
        <s v="2016-01-11-09:00" u="1"/>
        <s v="2016-02-11-09:00" u="1"/>
        <s v="2016-03-11-09:00" u="1"/>
        <s v="2016-03-31-08:00" u="1"/>
        <s v="2016-04-11-09:00" u="1"/>
        <s v="2016-05-11-09:00" u="1"/>
        <s v="2016-05-31-08:00" u="1"/>
        <s v="2016-07-11-09:00" u="1"/>
        <s v="2016-08-11-09:00" u="1"/>
        <s v="2016-08-31-08:00" u="1"/>
        <s v="2016-10-11-09:00" u="1"/>
        <s v="2016-10-31-08:00" u="1"/>
        <s v="2016-11-11-09:00" u="1"/>
        <s v="2018-01-07-18:00" u="1"/>
        <s v="2018-02-07-18:00" u="1"/>
        <s v="2018-02-27-17:00" u="1"/>
        <s v="2018-03-07-18:00" u="1"/>
        <s v="2018-03-27-17:00" u="1"/>
        <s v="2018-05-07-18:00" u="1"/>
        <s v="2018-05-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1-03-18:00" u="1"/>
        <s v="2016-02-03-18:00" u="1"/>
        <s v="2016-02-23-17:00" u="1"/>
        <s v="2016-03-03-18:00" u="1"/>
        <s v="2016-03-23-17:00" u="1"/>
        <s v="2016-04-03-18:00" u="1"/>
        <s v="2016-05-03-18:00" u="1"/>
        <s v="2016-05-23-17:00" u="1"/>
        <s v="2016-06-23-17:00" u="1"/>
        <s v="2016-07-03-18:00" u="1"/>
        <s v="2016-08-03-18:00" u="1"/>
        <s v="2016-08-23-17:00" u="1"/>
        <s v="2018-01-11-08:00" u="1"/>
        <s v="2018-01-31-07:00" u="1"/>
        <s v="2018-04-11-08:00" u="1"/>
        <s v="2018-05-11-08:00" u="1"/>
        <s v="2015-12-21-17:00" u="1"/>
        <s v="2017-02-13-17:00" u="1"/>
        <s v="2017-03-13-17:00" u="1"/>
        <s v="2017-04-13-17:00" u="1"/>
        <s v="2017-06-13-17:00" u="1"/>
        <s v="2017-07-13-17:00" u="1"/>
        <s v="2017-08-13-17:00" u="1"/>
        <s v="2017-09-13-17:00" u="1"/>
        <s v="2017-11-13-17:00" u="1"/>
        <s v="2017-12-13-17:00" u="1"/>
        <s v="2016-10-11-17:00" u="1"/>
        <s v="2016-10-31-16:00" u="1"/>
        <s v="2016-12-11-17:00" u="1"/>
        <s v="2018-01-03-17:00" u="1"/>
        <s v="2018-01-23-16:00" u="1"/>
        <s v="2018-02-23-16:00" u="1"/>
        <s v="2018-03-23-16:00" u="1"/>
        <s v="2018-04-03-17:00" u="1"/>
        <s v="2018-04-23-16:00" u="1"/>
        <s v="2018-05-03-17:00" u="1"/>
        <s v="2018-05-23-16:00" u="1"/>
        <s v="2018-07-23-16:00" u="1"/>
        <s v="2017-10-01-17:00" u="1"/>
        <s v="2017-11-01-17:00" u="1"/>
        <s v="2017-11-21-16:00" u="1"/>
        <s v="2017-12-21-16:00" u="1"/>
        <s v="2018-01-26-09:00" u="1"/>
        <s v="2018-02-26-09:00" u="1"/>
        <s v="2018-03-26-09:00" u="1"/>
        <s v="2018-04-26-09:00" u="1"/>
        <s v="2018-07-26-09:00" u="1"/>
        <s v="2017-01-08-19:00" u="1"/>
        <s v="2017-02-08-19:00" u="1"/>
        <s v="2017-02-28-18:00" u="1"/>
        <s v="2017-03-08-19:00" u="1"/>
        <s v="2017-03-28-18:00" u="1"/>
        <s v="2017-05-08-19:00" u="1"/>
        <s v="2017-05-28-18:00" u="1"/>
        <s v="2017-06-08-19:00" u="1"/>
        <s v="2017-06-28-18:00" u="1"/>
        <s v="2017-08-08-19:00" u="1"/>
        <s v="2017-08-28-18:00" u="1"/>
        <s v="2017-09-28-18:00" u="1"/>
        <s v="2016-01-06-19:00" u="1"/>
        <s v="2016-01-26-18:00" u="1"/>
        <s v="2016-03-06-19:00" u="1"/>
        <s v="2016-04-06-19:00" u="1"/>
        <s v="2016-04-26-18:00" u="1"/>
        <s v="2016-05-26-18:00" u="1"/>
        <s v="2016-06-06-19:00" u="1"/>
        <s v="2016-06-26-18:00" u="1"/>
        <s v="2016-07-06-19:00" u="1"/>
        <s v="2016-07-26-18:00" u="1"/>
        <s v="2016-09-06-19:00" u="1"/>
        <s v="2016-09-26-18:00" u="1"/>
        <s v="2016-10-06-19:00" u="1"/>
        <s v="2016-10-26-18:00" u="1"/>
        <s v="2016-11-06-19:00" u="1"/>
        <s v="2016-12-06-19:00" u="1"/>
        <s v="2016-12-26-18:00" u="1"/>
        <s v="2018-01-18-18:00" u="1"/>
        <s v="2018-02-18-18:00" u="1"/>
        <s v="2018-03-18-18:00" u="1"/>
        <s v="2018-04-18-18:00" u="1"/>
        <s v="2018-07-18-18:00" u="1"/>
        <s v="2017-01-12-09:00" u="1"/>
        <s v="2017-01-16-18:00" u="1"/>
        <s v="2017-02-16-18:00" u="1"/>
        <s v="2017-03-16-18:00" u="1"/>
        <s v="2017-04-12-09:00" u="1"/>
        <s v="2017-04-16-18:00" u="1"/>
        <s v="2017-05-12-09:00" u="1"/>
        <s v="2017-05-16-18:00" u="1"/>
        <s v="2017-06-12-09:00" u="1"/>
        <s v="2017-07-12-09:00" u="1"/>
        <s v="2017-07-16-18:00" u="1"/>
        <s v="2017-08-16-18:00" u="1"/>
        <s v="2017-09-12-09:00" u="1"/>
        <s v="2017-10-16-18:00" u="1"/>
        <s v="2017-11-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7-01-20-08:00" u="1"/>
        <s v="2017-02-20-08:00" u="1"/>
        <s v="2017-03-20-08:00" u="1"/>
        <s v="2017-04-20-08:00" u="1"/>
        <s v="2017-06-20-08:00" u="1"/>
        <s v="2017-07-20-08:00" u="1"/>
        <s v="2017-09-20-08:00" u="1"/>
        <s v="2017-10-20-08:00" u="1"/>
        <s v="2017-11-20-08:00" u="1"/>
        <s v="2017-12-20-08:00" u="1"/>
        <s v="2016-02-02-18:00" u="1"/>
        <s v="2016-02-22-17:00" u="1"/>
        <s v="2016-03-02-18:00" u="1"/>
        <s v="2016-03-22-17:00" u="1"/>
        <s v="2016-05-02-18:00" u="1"/>
        <s v="2016-05-22-17:00" u="1"/>
        <s v="2016-06-02-18:00" u="1"/>
        <s v="2016-06-22-17:00" u="1"/>
        <s v="2016-08-02-18:00" u="1"/>
        <s v="2016-08-22-17:00" u="1"/>
        <s v="2016-09-22-17:00" u="1"/>
        <s v="2016-10-02-18:00" u="1"/>
        <s v="2016-11-02-18:00" u="1"/>
        <s v="2016-11-22-17:00" u="1"/>
        <s v="2016-12-22-17:00" u="1"/>
        <s v="2017-01-12-17:00" u="1"/>
        <s v="2017-02-12-17:00" u="1"/>
        <s v="2017-03-12-17:00" u="1"/>
        <s v="2017-04-12-17:00" u="1"/>
        <s v="2017-06-12-17:00" u="1"/>
        <s v="2017-07-12-17:00" u="1"/>
        <s v="2017-09-12-17:00" u="1"/>
        <s v="2017-10-12-17:00" u="1"/>
        <s v="2017-11-12-17:00" u="1"/>
        <s v="2017-12-12-17:00" u="1"/>
        <s v="2018-01-02-17:00" u="1"/>
        <s v="2018-01-22-16:00" u="1"/>
        <s v="2018-02-22-16:00" u="1"/>
        <s v="2018-03-22-16:00" u="1"/>
        <s v="2018-04-02-17:00" u="1"/>
        <s v="2018-05-02-17:00" u="1"/>
        <s v="2018-05-22-16:00" u="1"/>
        <s v="2018-01-30-23:00" u="1"/>
        <s v="2018-04-30-23:00" u="1"/>
        <s v="2016-01-17-19:00" u="1"/>
        <s v="2016-02-17-19:00" u="1"/>
        <s v="2016-03-17-19:00" u="1"/>
        <s v="2016-04-17-19:00" u="1"/>
        <s v="2016-05-17-19:00" u="1"/>
        <s v="2016-07-17-19:00" u="1"/>
        <s v="2016-08-17-19:00" u="1"/>
        <s v="2016-10-17-19:00" u="1"/>
        <s v="2016-11-17-19:00" u="1"/>
        <s v="2018-01-25-09:00" u="1"/>
        <s v="2018-04-25-09:00" u="1"/>
        <s v="2018-05-25-09:00" u="1"/>
        <s v="2018-07-25-09:00" u="1"/>
        <s v="2017-02-07-19:00" u="1"/>
        <s v="2017-02-27-18:00" u="1"/>
        <s v="2017-03-07-19:00" u="1"/>
        <s v="2017-03-27-18:00" u="1"/>
        <s v="2017-04-27-18:00" u="1"/>
        <s v="2017-05-07-19:00" u="1"/>
        <s v="2017-06-07-19:00" u="1"/>
        <s v="2017-06-27-18:00" u="1"/>
        <s v="2017-07-27-18:00" u="1"/>
        <s v="2017-08-07-19:00" u="1"/>
        <s v="2017-08-27-18:00" u="1"/>
        <s v="2017-09-07-19:00" u="1"/>
        <s v="2017-09-27-18:00" u="1"/>
        <s v="2017-11-07-19:00" u="1"/>
        <s v="2017-11-27-18:00" u="1"/>
        <s v="2017-12-07-19:00" u="1"/>
        <s v="2017-12-27-18:00" u="1"/>
        <s v="2016-01-21-09:00" u="1"/>
        <s v="2016-03-21-09:00" u="1"/>
        <s v="2016-04-21-09:00" u="1"/>
        <s v="2016-06-21-09:00" u="1"/>
        <s v="2016-07-21-09:00" u="1"/>
        <s v="2016-09-21-09:00" u="1"/>
        <s v="2016-10-05-19:00" u="1"/>
        <s v="2016-10-21-09:00" u="1"/>
        <s v="2016-10-25-18:00" u="1"/>
        <s v="2016-11-21-09:00" u="1"/>
        <s v="2016-12-05-19:00" u="1"/>
        <s v="2016-12-21-09:00" u="1"/>
        <s v="2016-12-25-18:00" u="1"/>
        <s v="2018-01-17-18:00" u="1"/>
        <s v="2018-04-17-18:00" u="1"/>
        <s v="2018-05-17-18:00" u="1"/>
        <s v="2018-07-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6-01-13-18:00" u="1"/>
        <s v="2016-03-13-18:00" u="1"/>
        <s v="2016-04-13-18:00" u="1"/>
        <s v="2016-06-13-18:00" u="1"/>
        <s v="2016-07-13-18:00" u="1"/>
        <s v="2016-09-13-18:00" u="1"/>
        <s v="2018-02-01-09:00" u="1"/>
        <s v="2018-02-21-08:00" u="1"/>
        <s v="2018-03-01-09:00" u="1"/>
        <s v="2018-03-21-08:00" u="1"/>
        <s v="2018-05-01-09:00" u="1"/>
        <s v="2018-05-21-08:00" u="1"/>
        <s v="2017-01-03-18:00" u="1"/>
        <s v="2017-01-23-17:00" u="1"/>
        <s v="2017-02-23-17:00" u="1"/>
        <s v="2017-03-23-17:00" u="1"/>
        <s v="2017-04-03-18:00" u="1"/>
        <s v="2017-04-23-17:00" u="1"/>
        <s v="2017-05-03-18:00" u="1"/>
        <s v="2017-05-23-17:00" u="1"/>
        <s v="2017-07-03-18:00" u="1"/>
        <s v="2017-07-23-17:00" u="1"/>
        <s v="2017-08-03-18:00" u="1"/>
        <s v="2017-08-23-17:00" u="1"/>
        <s v="2017-09-03-18:00" u="1"/>
        <s v="2016-01-21-17:00" u="1"/>
        <s v="2016-02-01-18:00" u="1"/>
        <s v="2016-02-21-17:00" u="1"/>
        <s v="2016-03-01-18:00" u="1"/>
        <s v="2016-03-21-17:00" u="1"/>
        <s v="2016-04-21-17:00" u="1"/>
        <s v="2016-05-01-18:00" u="1"/>
        <s v="2016-06-01-18:00" u="1"/>
        <s v="2016-06-21-17:00" u="1"/>
        <s v="2016-07-21-17:00" u="1"/>
        <s v="2016-08-01-18:00" u="1"/>
        <s v="2016-08-21-17:00" u="1"/>
        <s v="2016-09-01-18:00" u="1"/>
        <s v="2016-09-21-17:00" u="1"/>
        <s v="2016-11-01-18:00" u="1"/>
        <s v="2016-11-21-17:00" u="1"/>
        <s v="2016-12-01-18:00" u="1"/>
        <s v="2016-12-21-17:00" u="1"/>
        <s v="2018-02-13-17:00" u="1"/>
        <s v="2018-03-13-17:00" u="1"/>
        <s v="2018-05-13-17:00" u="1"/>
        <s v="2017-10-11-17:00" u="1"/>
        <s v="2017-10-31-16:00" u="1"/>
        <s v="2017-12-11-17:00" u="1"/>
        <s v="2016-02-16-19:00" u="1"/>
        <s v="2016-03-16-19:00" u="1"/>
        <s v="2016-05-16-19:00" u="1"/>
        <s v="2016-06-16-19:00" u="1"/>
        <s v="2016-08-16-19:00" u="1"/>
        <s v="2016-10-16-19:00" u="1"/>
        <s v="2016-11-16-19:00" u="1"/>
        <s v="2018-01-08-19:00" u="1"/>
        <s v="2018-01-28-18:00" u="1"/>
        <s v="2018-02-08-19:00" u="1"/>
        <s v="2018-02-28-18:00" u="1"/>
        <s v="2018-03-08-19:00" u="1"/>
        <s v="2018-03-28-18:00" u="1"/>
        <s v="2018-04-08-19:00" u="1"/>
        <s v="2018-05-08-19:00" u="1"/>
        <s v="2018-05-28-18:00" u="1"/>
        <s v="2017-01-26-18:00" u="1"/>
        <s v="2017-02-06-19:00" u="1"/>
        <s v="2017-02-26-18:00" u="1"/>
        <s v="2017-03-06-19:00" u="1"/>
        <s v="2017-03-26-18:00" u="1"/>
        <s v="2017-04-06-19:00" u="1"/>
        <s v="2017-04-26-18:00" u="1"/>
        <s v="2017-06-06-19:00" u="1"/>
        <s v="2017-06-26-18:00" u="1"/>
        <s v="2017-07-06-19:00" u="1"/>
        <s v="2017-07-26-18:00" u="1"/>
        <s v="2017-08-06-19:00" u="1"/>
        <s v="2017-09-06-19:00" u="1"/>
        <s v="2017-09-26-18:00" u="1"/>
        <s v="2017-10-26-18:00" u="1"/>
        <s v="2017-11-06-19:00" u="1"/>
        <s v="2017-11-26-18:00" u="1"/>
        <s v="2017-12-06-19:00" u="1"/>
        <s v="2017-12-26-18:00" u="1"/>
        <s v="2016-01-20-09:00" u="1"/>
        <s v="2016-04-20-09:00" u="1"/>
        <s v="2016-05-20-09:00" u="1"/>
        <s v="2016-06-20-09:00" u="1"/>
        <s v="2016-07-20-09:00" u="1"/>
        <s v="2016-09-20-09:00" u="1"/>
        <s v="2016-10-20-09:00" u="1"/>
        <s v="2016-12-20-09:00" u="1"/>
        <s v="2018-01-12-09:00" u="1"/>
        <s v="2018-01-16-18:00" u="1"/>
        <s v="2018-02-12-09:00" u="1"/>
        <s v="2018-03-12-09:00" u="1"/>
        <s v="2018-04-12-09:00" u="1"/>
        <s v="2018-04-16-18:00" u="1"/>
        <s v="2018-05-16-18:00" u="1"/>
        <s v="2015-12-22-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1-12-18:00" u="1"/>
        <s v="2016-04-12-18:00" u="1"/>
        <s v="2016-05-12-18:00" u="1"/>
        <s v="2016-06-12-18:00" u="1"/>
        <s v="2016-07-12-18:00" u="1"/>
        <s v="2016-09-12-18:00" u="1"/>
        <s v="2016-10-12-18:00" u="1"/>
        <s v="2016-12-12-18:00" u="1"/>
        <s v="2018-02-20-08:00" u="1"/>
        <s v="2018-03-20-08:00" u="1"/>
        <s v="2018-04-20-08:00" u="1"/>
        <s v="2018-07-20-08:00" u="1"/>
        <s v="2017-01-02-18:00" u="1"/>
        <s v="2017-01-22-17:00" u="1"/>
        <s v="2017-02-02-18:00" u="1"/>
        <s v="2017-02-22-17:00" u="1"/>
        <s v="2017-03-02-18:00" u="1"/>
        <s v="2017-03-22-17:00" u="1"/>
        <s v="2017-04-02-18:00" u="1"/>
        <s v="2017-05-02-18:00" u="1"/>
        <s v="2017-05-22-17:00" u="1"/>
        <s v="2017-06-22-17:00" u="1"/>
        <s v="2017-07-02-18:00" u="1"/>
        <s v="2017-08-02-18:00" u="1"/>
        <s v="2017-08-22-17:00" u="1"/>
        <s v="2017-10-02-18:00" u="1"/>
        <s v="2017-10-22-17:00" u="1"/>
        <s v="2017-11-02-18:00" u="1"/>
        <s v="2017-11-22-17:00" u="1"/>
        <s v="2018-02-12-17:00" u="1"/>
        <s v="2018-03-12-17:00" u="1"/>
        <s v="2018-04-12-17:00" u="1"/>
        <s v="2016-01-27-19:00" u="1"/>
        <s v="2016-03-27-19:00" u="1"/>
        <s v="2016-04-27-19:00" u="1"/>
        <s v="2016-06-27-19:00" u="1"/>
        <s v="2016-07-27-19:00" u="1"/>
        <s v="2016-09-27-19:00" u="1"/>
        <s v="2017-01-17-19:00" u="1"/>
        <s v="2017-04-17-19:00" u="1"/>
        <s v="2017-05-17-19:00" u="1"/>
        <s v="2017-07-17-19:00" u="1"/>
        <s v="2017-08-17-19:00" u="1"/>
        <s v="2017-09-17-19:00" u="1"/>
        <s v="2017-10-17-19:00" u="1"/>
        <s v="2017-12-17-19:00" u="1"/>
        <s v="2016-03-31-09:00" u="1"/>
        <s v="2016-05-31-09:00" u="1"/>
        <s v="2016-08-31-09:00" u="1"/>
        <s v="2016-10-31-09:00" u="1"/>
        <s v="2016-11-15-19:00" u="1"/>
        <s v="2016-12-15-19:00" u="1"/>
        <s v="2018-01-07-19:00" u="1"/>
        <s v="2018-02-07-19:00" u="1"/>
        <s v="2018-02-27-18:00" u="1"/>
        <s v="2018-03-07-19:00" u="1"/>
        <s v="2018-03-27-18:00" u="1"/>
        <s v="2018-05-07-19:00" u="1"/>
        <s v="2018-05-27-18:00" u="1"/>
        <s v="2017-02-21-09:00" u="1"/>
        <s v="2017-03-21-09:00" u="1"/>
        <s v="2017-04-21-09:00" u="1"/>
        <s v="2017-06-21-09:00" u="1"/>
        <s v="2017-07-21-09:00" u="1"/>
        <s v="2017-08-21-09:00" u="1"/>
        <s v="2017-09-21-09:00" u="1"/>
        <s v="2017-10-05-19:00" u="1"/>
        <s v="2017-10-25-18:00" u="1"/>
        <s v="2017-11-05-19:00" u="1"/>
        <s v="2017-11-21-09:00" u="1"/>
        <s v="2017-12-05-19:00" u="1"/>
        <s v="2017-12-21-09:00" u="1"/>
        <s v="2017-12-25-18:00" u="1"/>
        <s v="2018-01-11-09:00" u="1"/>
        <s v="2018-01-31-08:00" u="1"/>
        <s v="2018-04-11-09:00" u="1"/>
        <s v="2018-05-11-09:00" u="1"/>
        <s v="2015-12-21-18:00" u="1"/>
        <s v="2017-02-13-18:00" u="1"/>
        <s v="2017-03-13-18:00" u="1"/>
        <s v="2017-04-13-18:00" u="1"/>
        <s v="2017-06-13-18:00" u="1"/>
        <s v="2017-07-13-18:00" u="1"/>
        <s v="2017-08-13-18:00" u="1"/>
        <s v="2017-09-13-18:00" u="1"/>
        <s v="2016-01-11-18:00" u="1"/>
        <s v="2016-01-31-17:00" u="1"/>
        <s v="2016-02-11-18:00" u="1"/>
        <s v="2016-03-31-17:00" u="1"/>
        <s v="2016-04-11-18:00" u="1"/>
        <s v="2016-05-11-18:00" u="1"/>
        <s v="2016-05-31-17:00" u="1"/>
        <s v="2016-07-11-18:00" u="1"/>
        <s v="2016-07-31-17:00" u="1"/>
        <s v="2016-08-11-18:00" u="1"/>
        <s v="2016-08-31-17:00" u="1"/>
        <s v="2016-09-11-18:00" u="1"/>
        <s v="2016-10-11-18:00" u="1"/>
        <s v="2016-10-31-17:00" u="1"/>
        <s v="2016-12-11-18:00" u="1"/>
        <s v="2018-01-03-18:00" u="1"/>
        <s v="2018-01-23-17:00" u="1"/>
        <s v="2018-04-03-18:00" u="1"/>
        <s v="2018-04-23-17:00" u="1"/>
        <s v="2018-05-03-18:00" u="1"/>
        <s v="2018-05-23-17:00" u="1"/>
        <s v="2018-07-23-17:00" u="1"/>
        <s v="2017-02-01-18:00" u="1"/>
        <s v="2017-02-21-17:00" u="1"/>
        <s v="2017-03-01-18:00" u="1"/>
        <s v="2017-03-21-17:00" u="1"/>
        <s v="2017-05-01-18:00" u="1"/>
        <s v="2017-05-21-17:00" u="1"/>
        <s v="2017-06-01-18:00" u="1"/>
        <s v="2017-06-21-17:00" u="1"/>
        <s v="2017-08-01-18:00" u="1"/>
        <s v="2017-08-21-17:00" u="1"/>
        <s v="2017-09-21-17:00" u="1"/>
        <s v="2017-10-01-18:00" u="1"/>
        <s v="2017-11-01-18:00" u="1"/>
        <s v="2017-11-21-17:00" u="1"/>
        <s v="2017-12-21-17:00" u="1"/>
        <s v="2016-01-26-19:00" u="1"/>
        <s v="2016-04-26-19:00" u="1"/>
        <s v="2016-05-26-19:00" u="1"/>
        <s v="2016-06-26-19:00" u="1"/>
        <s v="2016-07-26-19:00" u="1"/>
        <s v="2016-09-26-19:00" u="1"/>
        <s v="2016-10-26-19:00" u="1"/>
        <s v="2016-12-26-19:00" u="1"/>
        <s v="2017-01-16-19:00" u="1"/>
        <s v="2017-02-16-19:00" u="1"/>
        <s v="2017-03-16-19:00" u="1"/>
        <s v="2017-04-16-19:00" u="1"/>
        <s v="2017-05-16-19:00" u="1"/>
        <s v="2017-07-16-19:00" u="1"/>
        <s v="2017-08-16-19:00" u="1"/>
        <s v="2017-10-16-19:00" u="1"/>
        <s v="2017-11-16-19:00" u="1"/>
        <s v="2016-03-30-09:00" u="1"/>
        <s v="2016-05-30-09:00" u="1"/>
        <s v="2016-06-30-09:00" u="1"/>
        <s v="2016-08-30-09:00" u="1"/>
        <s v="2016-09-30-09:00" u="1"/>
        <s v="2016-11-30-09:00" u="1"/>
        <s v="2016-12-30-09:00" u="1"/>
        <s v="2018-02-06-19:00" u="1"/>
        <s v="2018-02-26-18:00" u="1"/>
        <s v="2018-03-06-19:00" u="1"/>
        <s v="2018-03-26-18:00" u="1"/>
        <s v="2018-04-26-18:00" u="1"/>
        <s v="2018-05-06-19:00" u="1"/>
        <s v="2018-07-26-18:00" u="1"/>
        <s v="2017-01-20-09:00" u="1"/>
        <s v="2017-02-20-09:00" u="1"/>
        <s v="2017-03-20-09:00" u="1"/>
        <s v="2017-04-20-09:00" u="1"/>
        <s v="2017-06-20-09:00" u="1"/>
        <s v="2017-07-20-09:00" u="1"/>
        <s v="2017-09-20-09:00" u="1"/>
        <s v="2017-10-20-09:00" u="1"/>
        <s v="2017-11-20-09:00" u="1"/>
        <s v="2017-12-20-09:00" u="1"/>
        <s v="2016-02-02-19:00" u="1"/>
        <s v="2016-02-22-18:00" u="1"/>
        <s v="2016-03-02-19:00" u="1"/>
        <s v="2016-03-22-18:00" u="1"/>
        <s v="2016-05-02-19:00" u="1"/>
        <s v="2016-05-22-18:00" u="1"/>
        <s v="2016-06-02-19:00" u="1"/>
        <s v="2016-06-22-18:00" u="1"/>
        <s v="2016-08-02-19:00" u="1"/>
        <s v="2016-08-22-18:00" u="1"/>
        <s v="2016-09-22-18:00" u="1"/>
        <s v="2016-10-02-19:00" u="1"/>
        <s v="2016-11-02-19:00" u="1"/>
        <s v="2016-11-22-18:00" u="1"/>
        <s v="2016-12-22-18:00" u="1"/>
        <s v="2018-01-10-09:00" u="1"/>
        <s v="2018-01-30-08:00" u="1"/>
        <s v="2018-03-30-08:00" u="1"/>
        <s v="2018-04-10-09:00" u="1"/>
        <s v="2018-04-30-08:00" u="1"/>
        <s v="2018-05-10-09:00" u="1"/>
        <s v="2017-01-12-18:00" u="1"/>
        <s v="2017-02-12-18:00" u="1"/>
        <s v="2017-03-12-18:00" u="1"/>
        <s v="2017-04-12-18:00" u="1"/>
        <s v="2017-06-12-18:00" u="1"/>
        <s v="2017-07-12-18:00" u="1"/>
        <s v="2017-09-12-18:00" u="1"/>
        <s v="2017-10-12-18:00" u="1"/>
        <s v="2017-11-12-18:00" u="1"/>
        <s v="2017-12-12-18:00" u="1"/>
        <s v="2016-10-10-18:00" u="1"/>
        <s v="2016-10-30-17:00" u="1"/>
        <s v="2016-11-10-18:00" u="1"/>
        <s v="2016-11-30-17:00" u="1"/>
        <s v="2018-01-02-18:00" u="1"/>
        <s v="2018-01-22-17:00" u="1"/>
        <s v="2018-02-22-17:00" u="1"/>
        <s v="2018-03-22-17:00" u="1"/>
        <s v="2018-04-02-18:00" u="1"/>
        <s v="2018-04-22-17:00" u="1"/>
        <s v="2018-05-02-18:00" u="1"/>
        <s v="2018-05-22-17:00" u="1"/>
        <s v="2018-07-22-17:00" u="1"/>
        <s v="2017-02-27-19:00" u="1"/>
        <s v="2017-03-27-19:00" u="1"/>
        <s v="2017-04-27-19:00" u="1"/>
        <s v="2017-06-27-19:00" u="1"/>
        <s v="2017-07-27-19:00" u="1"/>
        <s v="2017-08-27-19:00" u="1"/>
        <s v="2017-09-27-19:00" u="1"/>
        <s v="2016-01-25-19:00" u="1"/>
        <s v="2016-02-25-19:00" u="1"/>
        <s v="2016-04-25-19:00" u="1"/>
        <s v="2016-05-25-19:00" u="1"/>
        <s v="2016-07-25-19:00" u="1"/>
        <s v="2016-08-25-19:00" u="1"/>
        <s v="2016-09-25-19:00" u="1"/>
        <s v="2016-10-25-19:00" u="1"/>
        <s v="2016-12-25-19:00" u="1"/>
        <s v="2018-01-17-19:00" u="1"/>
        <s v="2018-04-17-19:00" u="1"/>
        <s v="2018-05-17-19:00" u="1"/>
        <s v="2018-07-17-19:00" u="1"/>
        <s v="2017-01-31-09:00" u="1"/>
        <s v="2017-03-31-09:00" u="1"/>
        <s v="2017-05-31-09:00" u="1"/>
        <s v="2017-07-31-09:00" u="1"/>
        <s v="2017-08-31-09:00" u="1"/>
        <s v="2017-10-15-19:00" u="1"/>
        <s v="2017-10-31-09:00" u="1"/>
        <s v="2017-11-15-19:00" u="1"/>
        <s v="2018-02-21-09:00" u="1"/>
        <s v="2018-03-21-09:00" u="1"/>
        <s v="2018-05-21-09:00" u="1"/>
        <s v="2016-01-21-18:00" u="1"/>
        <s v="2016-02-01-19:00" u="1"/>
        <s v="2016-02-21-18:00" u="1"/>
        <s v="2016-03-01-19:00" u="1"/>
        <s v="2016-03-21-18:00" u="1"/>
        <s v="2016-04-21-18:00" u="1"/>
        <s v="2016-05-01-19:00" u="1"/>
        <s v="2016-06-01-19:00" u="1"/>
        <s v="2016-06-21-18:00" u="1"/>
        <s v="2016-07-21-18:00" u="1"/>
        <s v="2016-08-01-19:00" u="1"/>
        <s v="2016-08-21-18:00" u="1"/>
        <s v="2016-09-01-19:00" u="1"/>
        <s v="2016-09-21-18:00" u="1"/>
        <s v="2016-11-01-19:00" u="1"/>
        <s v="2016-11-21-18:00" u="1"/>
        <s v="2016-12-01-19:00" u="1"/>
        <s v="2016-12-21-18:00" u="1"/>
        <s v="2018-02-13-18:00" u="1"/>
        <s v="2018-03-13-18:00" u="1"/>
        <s v="2018-05-13-18:00" u="1"/>
        <s v="2017-01-11-18:00" u="1"/>
        <s v="2017-01-31-17:00" u="1"/>
        <s v="2017-04-11-18:00" u="1"/>
        <s v="2017-05-11-18:00" u="1"/>
        <s v="2017-05-31-17:00" u="1"/>
        <s v="2017-06-11-18:00" u="1"/>
        <s v="2017-07-11-18:00" u="1"/>
        <s v="2017-07-31-17:00" u="1"/>
        <s v="2017-08-31-17:00" u="1"/>
        <s v="2017-09-11-18:00" u="1"/>
        <s v="2017-10-11-18:00" u="1"/>
        <s v="2017-10-31-17:00" u="1"/>
        <s v="2017-12-11-18:00" u="1"/>
        <s v="2018-01-01-18:00" u="1"/>
        <s v="2018-01-21-17:00" u="1"/>
        <s v="2018-02-01-18:00" u="1"/>
        <s v="2018-02-21-17:00" u="1"/>
        <s v="2018-03-01-18:00" u="1"/>
        <s v="2018-03-21-17:00" u="1"/>
        <s v="2018-04-01-18:00" u="1"/>
        <s v="2018-05-01-18:00" u="1"/>
        <s v="2018-05-21-17:00" u="1"/>
        <s v="2017-01-26-19:00" u="1"/>
        <s v="2017-02-26-19:00" u="1"/>
        <s v="2017-03-26-19:00" u="1"/>
        <s v="2017-04-26-19:00" u="1"/>
        <s v="2017-06-26-19:00" u="1"/>
        <s v="2017-07-26-19:00" u="1"/>
        <s v="2017-09-26-19:00" u="1"/>
        <s v="2017-10-26-19:00" u="1"/>
        <s v="2017-11-26-19:00" u="1"/>
        <s v="2017-12-26-19:00" u="1"/>
        <s v="2018-01-16-19:00" u="1"/>
        <s v="2018-04-16-19:00" u="1"/>
        <s v="2018-05-16-19:00" u="1"/>
        <s v="2017-01-30-09:00" u="1"/>
        <s v="2017-03-30-09:00" u="1"/>
        <s v="2017-05-30-09:00" u="1"/>
        <s v="2017-06-30-09:00" u="1"/>
        <s v="2017-08-30-09:00" u="1"/>
        <s v="2017-10-30-09:00" u="1"/>
        <s v="2017-11-30-09:00" u="1"/>
        <s v="2016-01-12-19:00" u="1"/>
        <s v="2016-04-12-19:00" u="1"/>
        <s v="2016-05-12-19:00" u="1"/>
        <s v="2016-06-12-19:00" u="1"/>
        <s v="2016-07-12-19:00" u="1"/>
        <s v="2016-09-12-19:00" u="1"/>
        <s v="2018-02-20-09:00" u="1"/>
        <s v="2018-03-20-09:00" u="1"/>
        <s v="2018-04-20-09:00" u="1"/>
        <s v="2018-07-20-09:00" u="1"/>
        <s v="2017-01-02-19:00" u="1"/>
        <s v="2017-01-22-18:00" u="1"/>
        <s v="2017-02-02-19:00" u="1"/>
        <s v="2017-02-22-18:00" u="1"/>
        <s v="2017-03-02-19:00" u="1"/>
        <s v="2017-03-22-18:00" u="1"/>
        <s v="2017-04-02-19:00" u="1"/>
        <s v="2017-05-02-19:00" u="1"/>
        <s v="2017-05-22-18:00" u="1"/>
        <s v="2017-06-22-18:00" u="1"/>
        <s v="2017-07-02-19:00" u="1"/>
        <s v="2017-08-02-19:00" u="1"/>
        <s v="2017-08-22-18:00" u="1"/>
        <s v="2017-10-02-19:00" u="1"/>
        <s v="2017-10-22-18:00" u="1"/>
        <s v="2017-11-02-19:00" u="1"/>
        <s v="2017-11-22-18:00" u="1"/>
        <s v="2016-01-20-18:00" u="1"/>
        <s v="2016-03-20-18:00" u="1"/>
        <s v="2016-04-20-18:00" u="1"/>
        <s v="2016-06-20-18:00" u="1"/>
        <s v="2016-07-20-18:00" u="1"/>
        <s v="2016-09-20-18:00" u="1"/>
        <s v="2016-10-20-18:00" u="1"/>
        <s v="2016-11-20-18:00" u="1"/>
        <s v="2016-12-20-18:00" u="1"/>
        <s v="2018-02-12-18:00" u="1"/>
        <s v="2018-03-12-18:00" u="1"/>
        <s v="2018-04-12-18:00" u="1"/>
        <s v="2017-10-10-18:00" u="1"/>
        <s v="2017-10-30-17:00" u="1"/>
        <s v="2017-11-30-17:00" u="1"/>
        <s v="2017-12-10-18:00" u="1"/>
        <s v="2018-02-27-19:00" u="1"/>
        <s v="2018-03-27-19:00" u="1"/>
        <s v="2018-05-27-19:00" u="1"/>
        <s v="2017-01-25-19:00" u="1"/>
        <s v="2017-04-25-19:00" u="1"/>
        <s v="2017-05-25-19:00" u="1"/>
        <s v="2017-06-25-19:00" u="1"/>
        <s v="2017-07-25-19:00" u="1"/>
        <s v="2017-09-25-19:00" u="1"/>
        <s v="2017-10-25-19:00" u="1"/>
        <s v="2017-12-25-19:00" u="1"/>
        <s v="2018-01-31-09:00" u="1"/>
        <s v="2015-12-21-19:00" u="1"/>
        <s v="2016-01-11-19:00" u="1"/>
        <s v="2016-01-31-18:00" u="1"/>
        <s v="2016-02-11-19:00" u="1"/>
        <s v="2016-03-31-18:00" u="1"/>
        <s v="2016-04-11-19:00" u="1"/>
        <s v="2016-05-11-19:00" u="1"/>
        <s v="2016-05-31-18:00" u="1"/>
        <s v="2016-07-11-19:00" u="1"/>
        <s v="2016-07-31-18:00" u="1"/>
        <s v="2016-08-11-19:00" u="1"/>
        <s v="2016-08-31-18:00" u="1"/>
        <s v="2016-09-11-19:00" u="1"/>
        <s v="2016-10-11-19:00" u="1"/>
        <s v="2016-10-31-18:00" u="1"/>
        <s v="2016-12-11-19:00" u="1"/>
        <s v="2017-02-01-19:00" u="1"/>
        <s v="2017-02-21-18:00" u="1"/>
        <s v="2017-03-01-19:00" u="1"/>
        <s v="2017-03-21-18:00" u="1"/>
        <s v="2017-05-01-19:00" u="1"/>
        <s v="2017-05-21-18:00" u="1"/>
        <s v="2017-06-01-19:00" u="1"/>
        <s v="2017-06-21-18:00" u="1"/>
        <s v="2017-08-01-19:00" u="1"/>
        <s v="2017-08-21-18:00" u="1"/>
        <s v="2017-09-21-18:00" u="1"/>
        <s v="2017-10-01-19:00" u="1"/>
        <s v="2017-11-01-19:00" u="1"/>
        <s v="2017-11-21-18:00" u="1"/>
        <s v="2017-12-21-18:00" u="1"/>
        <s v="2018-01-11-18:00" u="1"/>
        <s v="2018-01-31-17:00" u="1"/>
        <s v="2018-02-11-18:00" u="1"/>
        <s v="2018-03-11-18:00" u="1"/>
        <s v="2018-04-11-18:00" u="1"/>
        <s v="2018-02-26-19:00" u="1"/>
        <s v="2018-03-26-19:00" u="1"/>
        <s v="2018-04-26-19:00" u="1"/>
        <s v="2018-07-26-19:00" u="1"/>
        <s v="2018-01-30-09:00" u="1"/>
        <s v="2018-03-30-09:00" u="1"/>
        <s v="2018-04-30-09:00" u="1"/>
        <s v="2017-01-12-19:00" u="1"/>
        <s v="2017-02-12-19:00" u="1"/>
        <s v="2017-03-12-19:00" u="1"/>
        <s v="2017-04-12-19:00" u="1"/>
        <s v="2017-06-12-19:00" u="1"/>
        <s v="2017-07-12-19:00" u="1"/>
        <s v="2017-09-12-19:00" u="1"/>
        <s v="2016-01-10-19:00" u="1"/>
        <s v="2016-02-10-19:00" u="1"/>
        <s v="2016-03-10-19:00" u="1"/>
        <s v="2016-03-30-18:00" u="1"/>
        <s v="2016-04-10-19:00" u="1"/>
        <s v="2016-05-10-19:00" u="1"/>
        <s v="2016-05-30-18:00" u="1"/>
        <s v="2016-06-30-18:00" u="1"/>
        <s v="2016-07-10-19:00" u="1"/>
        <s v="2016-08-10-19:00" u="1"/>
        <s v="2016-08-30-18:00" u="1"/>
        <s v="2016-10-10-19:00" u="1"/>
        <s v="2016-10-30-18:00" u="1"/>
        <s v="2016-11-10-19:00" u="1"/>
        <s v="2016-11-30-18:00" u="1"/>
        <s v="2018-01-02-19:00" u="1"/>
        <s v="2018-01-22-18:00" u="1"/>
        <s v="2018-02-22-18:00" u="1"/>
        <s v="2018-03-22-18:00" u="1"/>
        <s v="2018-04-02-19:00" u="1"/>
        <s v="2018-04-22-18:00" u="1"/>
        <s v="2018-05-02-19:00" u="1"/>
        <s v="2018-05-22-18:00" u="1"/>
        <s v="2018-07-22-18:00" u="1"/>
        <s v="2017-02-20-18:00" u="1"/>
        <s v="2017-03-20-18:00" u="1"/>
        <s v="2017-04-20-18:00" u="1"/>
        <s v="2017-06-20-18:00" u="1"/>
        <s v="2017-07-20-18:00" u="1"/>
        <s v="2017-08-20-18:00" u="1"/>
        <s v="2017-09-20-18:00" u="1"/>
        <s v="2017-11-20-18:00" u="1"/>
        <s v="2017-12-20-18:00" u="1"/>
        <s v="2018-01-25-19:00" u="1"/>
        <s v="2018-02-25-19:00" u="1"/>
        <s v="2018-03-25-19:00" u="1"/>
        <s v="2018-04-25-19:00" u="1"/>
        <s v="2018-07-25-19:00" u="1"/>
        <s v="2016-01-21-19:00" u="1"/>
        <s v="2016-02-21-19:00" u="1"/>
        <s v="2016-03-21-19:00" u="1"/>
        <s v="2016-04-21-19:00" u="1"/>
        <s v="2016-06-21-19:00" u="1"/>
        <s v="2016-07-21-19:00" u="1"/>
        <s v="2016-08-21-19:00" u="1"/>
        <s v="2016-09-21-19:00" u="1"/>
        <s v="2016-11-21-19:00" u="1"/>
        <s v="2016-12-21-19:00" u="1"/>
        <s v="2017-01-11-19:00" u="1"/>
        <s v="2017-01-31-18:00" u="1"/>
        <s v="2017-04-11-19:00" u="1"/>
        <s v="2017-05-11-19:00" u="1"/>
        <s v="2017-05-31-18:00" u="1"/>
        <s v="2017-06-11-19:00" u="1"/>
        <s v="2017-07-11-19:00" u="1"/>
        <s v="2017-07-31-18:00" u="1"/>
        <s v="2017-08-31-18:00" u="1"/>
        <s v="2017-09-11-19:00" u="1"/>
        <s v="2017-10-11-19:00" u="1"/>
        <s v="2017-10-31-18:00" u="1"/>
        <s v="2017-12-11-19:00" u="1"/>
        <s v="2018-01-01-19:00" u="1"/>
        <s v="2018-01-21-18:00" u="1"/>
        <s v="2018-02-01-19:00" u="1"/>
        <s v="2018-02-21-18:00" u="1"/>
        <s v="2018-03-01-19:00" u="1"/>
        <s v="2018-03-21-18:00" u="1"/>
        <s v="2018-04-01-19:00" u="1"/>
        <s v="2018-05-01-19:00" u="1"/>
        <s v="2018-05-21-18:00" u="1"/>
        <s v="2016-01-20-19:00" u="1"/>
        <s v="2016-03-20-19:00" u="1"/>
        <s v="2016-04-20-19:00" u="1"/>
        <s v="2016-06-20-19:00" u="1"/>
        <s v="2016-07-20-19:00" u="1"/>
        <s v="2016-09-20-19:00" u="1"/>
        <s v="2016-10-20-19:00" u="1"/>
        <s v="2016-11-20-19:00" u="1"/>
        <s v="2016-12-20-19:00" u="1"/>
        <s v="2018-02-12-19:00" u="1"/>
        <s v="2018-03-12-19:00" u="1"/>
        <s v="2018-04-12-19:00" u="1"/>
        <s v="2017-01-10-19:00" u="1"/>
        <s v="2017-01-30-18:00" u="1"/>
        <s v="2017-03-30-18:00" u="1"/>
        <s v="2017-04-10-19:00" u="1"/>
        <s v="2017-04-30-18:00" u="1"/>
        <s v="2017-05-10-19:00" u="1"/>
        <s v="2017-05-30-18:00" u="1"/>
        <s v="2017-07-10-19:00" u="1"/>
        <s v="2017-07-30-18:00" u="1"/>
        <s v="2017-08-10-19:00" u="1"/>
        <s v="2017-08-30-18:00" u="1"/>
        <s v="2017-09-10-19:00" u="1"/>
        <s v="2017-10-10-19:00" u="1"/>
        <s v="2017-10-30-18:00" u="1"/>
        <s v="2017-11-30-18: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tring="0" containsBlank="1" containsNumber="1" minValue="-0.16989192366600001" maxValue="0.36901843547821001"/>
    </cacheField>
    <cacheField name="PREDICTEDTRS" numFmtId="0" sqlType="6">
      <sharedItems containsString="0" containsBlank="1" containsNumber="1" minValue="-0.17907147109508501" maxValue="0.35315531492233299"/>
    </cacheField>
    <cacheField name="ERRORTRS" numFmtId="0" sqlType="6">
      <sharedItems containsString="0" containsBlank="1" containsNumber="1" minValue="9.4532966614000006E-5" maxValue="6.1450123786925999E-2"/>
    </cacheField>
    <cacheField name="ACTUALTR" numFmtId="0" sqlType="6">
      <sharedItems containsString="0" containsBlank="1" containsNumber="1" minValue="-3.6098954733461098E-3" maxValue="1.51002407073975E-3"/>
    </cacheField>
    <cacheField name="PREDICTEDTR" numFmtId="0" sqlType="6">
      <sharedItems containsString="0" containsBlank="1" containsNumber="1" minValue="-3.63457784987986E-3" maxValue="1.02295912802219E-3"/>
    </cacheField>
    <cacheField name="ERRORTR" numFmtId="0" sqlType="6">
      <sharedItems containsString="0" containsBlank="1" containsNumber="1" minValue="9.9875614978400008E-7" maxValue="6.4860603379202119E-4"/>
    </cacheField>
    <cacheField name="ACTUALBASE" numFmtId="0" sqlType="6">
      <sharedItems containsString="0" containsBlank="1" containsNumber="1" minValue="1.09624004364014" maxValue="1.10663998126984"/>
    </cacheField>
    <cacheField name="PREDICTEDBASE" numFmtId="0" sqlType="6">
      <sharedItems containsString="0" containsBlank="1" containsNumber="1" minValue="1.09620141983032" maxValue="1.1055254936218299"/>
    </cacheField>
    <cacheField name="ERRORBASE" numFmtId="0" sqlType="6">
      <sharedItems containsString="0" containsBlank="1" containsNumber="1" minValue="9.5367430999999995E-7" maxValue="6.4861774445E-4"/>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4" firstHeaderRow="0" firstDataRow="1" firstDataCol="1"/>
  <pivotFields count="7">
    <pivotField showAll="0" defaultSubtotal="0">
      <items count="43">
        <item h="1" x="3"/>
        <item h="1" m="1" x="16"/>
        <item h="1" x="5"/>
        <item h="1" x="2"/>
        <item h="1" x="1"/>
        <item h="1" m="1" x="18"/>
        <item h="1" m="1" x="23"/>
        <item h="1" m="1" x="30"/>
        <item h="1" x="6"/>
        <item h="1" x="0"/>
        <item h="1" m="1" x="38"/>
        <item h="1" x="7"/>
        <item h="1" x="8"/>
        <item x="4"/>
        <item h="1" m="1" x="25"/>
        <item h="1" m="1" x="28"/>
        <item h="1" m="1" x="41"/>
        <item h="1" m="1" x="42"/>
        <item h="1" m="1" x="12"/>
        <item h="1" m="1" x="19"/>
        <item h="1" m="1" x="36"/>
        <item h="1" m="1" x="21"/>
        <item h="1" m="1" x="39"/>
        <item h="1" m="1" x="14"/>
        <item h="1" m="1" x="27"/>
        <item h="1" m="1" x="35"/>
        <item h="1" m="1" x="29"/>
        <item h="1" m="1" x="20"/>
        <item h="1" m="1" x="11"/>
        <item h="1" m="1" x="37"/>
        <item h="1" m="1" x="31"/>
        <item h="1" m="1" x="22"/>
        <item h="1" m="1" x="13"/>
        <item h="1" m="1" x="40"/>
        <item h="1" m="1" x="32"/>
        <item h="1" m="1" x="24"/>
        <item h="1" m="1" x="15"/>
        <item h="1" m="1" x="9"/>
        <item h="1" m="1" x="33"/>
        <item h="1" m="1" x="26"/>
        <item h="1" m="1" x="17"/>
        <item h="1" m="1" x="10"/>
        <item h="1" m="1" x="34"/>
      </items>
    </pivotField>
    <pivotField showAll="0">
      <items count="590">
        <item m="1" x="326"/>
        <item m="1" x="214"/>
        <item m="1" x="395"/>
        <item m="1" x="90"/>
        <item m="1" x="215"/>
        <item m="1" x="575"/>
        <item m="1" x="521"/>
        <item m="1" x="514"/>
        <item m="1" x="171"/>
        <item m="1" x="159"/>
        <item m="1" x="200"/>
        <item m="1" x="305"/>
        <item m="1" x="344"/>
        <item m="1" x="433"/>
        <item m="1" x="192"/>
        <item m="1" x="425"/>
        <item m="1" x="242"/>
        <item m="1" x="397"/>
        <item m="1" x="387"/>
        <item m="1" x="477"/>
        <item m="1" x="166"/>
        <item m="1" x="88"/>
        <item m="1" x="134"/>
        <item m="1" x="412"/>
        <item m="1" x="534"/>
        <item m="1" x="62"/>
        <item m="1" x="206"/>
        <item m="1" x="311"/>
        <item x="0"/>
        <item m="1" x="107"/>
        <item m="1" x="421"/>
        <item m="1" x="131"/>
        <item m="1" x="175"/>
        <item m="1" x="194"/>
        <item m="1" x="216"/>
        <item m="1" x="401"/>
        <item m="1" x="475"/>
        <item m="1" x="507"/>
        <item m="1" x="57"/>
        <item m="1" x="260"/>
        <item m="1" x="391"/>
        <item m="1" x="515"/>
        <item m="1" x="70"/>
        <item m="1" x="234"/>
        <item m="1" x="298"/>
        <item m="1" x="202"/>
        <item m="1" x="224"/>
        <item m="1" x="275"/>
        <item m="1" x="376"/>
        <item m="1" x="452"/>
        <item m="1" x="573"/>
        <item m="1" x="398"/>
        <item m="1" x="461"/>
        <item x="1"/>
        <item m="1" x="52"/>
        <item m="1" x="114"/>
        <item m="1" x="137"/>
        <item m="1" x="272"/>
        <item m="1" x="416"/>
        <item m="1" x="465"/>
        <item m="1" x="531"/>
        <item m="1" x="583"/>
        <item m="1" x="51"/>
        <item m="1" x="75"/>
        <item m="1" x="127"/>
        <item m="1" x="334"/>
        <item m="1" x="380"/>
        <item m="1" x="502"/>
        <item m="1" x="73"/>
        <item m="1" x="95"/>
        <item m="1" x="146"/>
        <item m="1" x="168"/>
        <item m="1" x="229"/>
        <item m="1" x="243"/>
        <item m="1" x="354"/>
        <item m="1" x="360"/>
        <item m="1" x="423"/>
        <item m="1" x="460"/>
        <item m="1" x="529"/>
        <item m="1" x="94"/>
        <item m="1" x="562"/>
        <item m="1" x="188"/>
        <item m="1" x="462"/>
        <item m="1" x="471"/>
        <item m="1" x="501"/>
        <item m="1" x="518"/>
        <item m="1" x="83"/>
        <item m="1" x="221"/>
        <item m="1" x="373"/>
        <item x="2"/>
        <item m="1" x="408"/>
        <item m="1" x="431"/>
        <item m="1" x="457"/>
        <item m="1" x="489"/>
        <item x="3"/>
        <item m="1" x="536"/>
        <item m="1" x="179"/>
        <item m="1" x="220"/>
        <item m="1" x="264"/>
        <item m="1" x="283"/>
        <item m="1" x="312"/>
        <item m="1" x="437"/>
        <item m="1" x="528"/>
        <item m="1" x="565"/>
        <item m="1" x="93"/>
        <item m="1" x="126"/>
        <item m="1" x="145"/>
        <item m="1" x="269"/>
        <item m="1" x="291"/>
        <item m="1" x="340"/>
        <item m="1" x="372"/>
        <item m="1" x="449"/>
        <item m="1" x="571"/>
        <item m="1" x="588"/>
        <item m="1" x="49"/>
        <item m="1" x="110"/>
        <item m="1" x="144"/>
        <item m="1" x="155"/>
        <item m="1" x="177"/>
        <item m="1" x="199"/>
        <item m="1" x="257"/>
        <item m="1" x="290"/>
        <item m="1" x="324"/>
        <item x="4"/>
        <item m="1" x="365"/>
        <item m="1" x="413"/>
        <item m="1" x="476"/>
        <item m="1" x="382"/>
        <item m="1" x="65"/>
        <item m="1" x="82"/>
        <item m="1" x="89"/>
        <item m="1" x="186"/>
        <item m="1" x="227"/>
        <item x="5"/>
        <item m="1" x="301"/>
        <item x="6"/>
        <item m="1" x="386"/>
        <item m="1" x="125"/>
        <item m="1" x="422"/>
        <item m="1" x="430"/>
        <item m="1" x="154"/>
        <item m="1" x="240"/>
        <item m="1" x="527"/>
        <item m="1" x="578"/>
        <item m="1" x="64"/>
        <item m="1" x="124"/>
        <item m="1" x="196"/>
        <item m="1" x="207"/>
        <item m="1" x="63"/>
        <item m="1" x="371"/>
        <item m="1" x="72"/>
        <item m="1" x="153"/>
        <item m="1" x="447"/>
        <item m="1" x="249"/>
        <item m="1" x="287"/>
        <item m="1" x="300"/>
        <item m="1" x="577"/>
        <item m="1" x="586"/>
        <item m="1" x="81"/>
        <item m="1" x="87"/>
        <item m="1" x="108"/>
        <item m="1" x="132"/>
        <item m="1" x="53"/>
        <item m="1" x="142"/>
        <item m="1" x="468"/>
        <item m="1" x="225"/>
        <item m="1" x="486"/>
        <item m="1" x="267"/>
        <item m="1" x="552"/>
        <item m="1" x="309"/>
        <item m="1" x="559"/>
        <item m="1" x="406"/>
        <item m="1" x="141"/>
        <item m="1" x="163"/>
        <item m="1" x="445"/>
        <item m="1" x="217"/>
        <item m="1" x="255"/>
        <item m="1" x="526"/>
        <item m="1" x="308"/>
        <item m="1" x="91"/>
        <item m="1" x="330"/>
        <item m="1" x="576"/>
        <item m="1" x="349"/>
        <item m="1" x="60"/>
        <item m="1" x="370"/>
        <item m="1" x="120"/>
        <item m="1" x="496"/>
        <item m="1" x="278"/>
        <item m="1" x="329"/>
        <item m="1" x="363"/>
        <item m="1" x="369"/>
        <item m="1" x="400"/>
        <item m="1" x="105"/>
        <item x="7"/>
        <item m="1" x="77"/>
        <item m="1" x="162"/>
        <item m="1" x="184"/>
        <item x="8"/>
        <item m="1" x="204"/>
        <item m="1" x="474"/>
        <item m="1" x="481"/>
        <item m="1" x="248"/>
        <item m="1" x="261"/>
        <item m="1" x="266"/>
        <item m="1" x="285"/>
        <item m="1" x="545"/>
        <item m="1" x="549"/>
        <item m="1" x="347"/>
        <item m="1" x="71"/>
        <item m="1" x="384"/>
        <item m="1" x="392"/>
        <item m="1" x="98"/>
        <item m="1" x="118"/>
        <item m="1" x="161"/>
        <item m="1" x="235"/>
        <item m="1" x="533"/>
        <item m="1" x="299"/>
        <item m="1" x="346"/>
        <item x="9"/>
        <item m="1" x="56"/>
        <item m="1" x="368"/>
        <item m="1" x="399"/>
        <item m="1" x="173"/>
        <item m="1" x="454"/>
        <item m="1" x="480"/>
        <item m="1" x="148"/>
        <item m="1" x="247"/>
        <item m="1" x="506"/>
        <item m="1" x="284"/>
        <item m="1" x="558"/>
        <item m="1" x="328"/>
        <item m="1" x="569"/>
        <item m="1" x="295"/>
        <item m="1" x="79"/>
        <item m="1" x="390"/>
        <item m="1" x="130"/>
        <item m="1" x="50"/>
        <item m="1" x="140"/>
        <item m="1" x="435"/>
        <item m="1" x="473"/>
        <item m="1" x="213"/>
        <item m="1" x="479"/>
        <item m="1" x="485"/>
        <item m="1" x="451"/>
        <item m="1" x="276"/>
        <item m="1" x="307"/>
        <item m="1" x="557"/>
        <item m="1" x="318"/>
        <item m="1" x="510"/>
        <item m="1" x="337"/>
        <item m="1" x="55"/>
        <item m="1" x="383"/>
        <item m="1" x="117"/>
        <item m="1" x="128"/>
        <item m="1" x="152"/>
        <item m="1" x="172"/>
        <item m="1" x="453"/>
        <item x="10"/>
        <item m="1" x="203"/>
        <item m="1" x="147"/>
        <item m="1" x="233"/>
        <item m="1" x="522"/>
        <item m="1" x="265"/>
        <item m="1" x="539"/>
        <item m="1" x="296"/>
        <item m="1" x="568"/>
        <item m="1" x="336"/>
        <item m="1" x="345"/>
        <item m="1" x="54"/>
        <item m="1" x="85"/>
        <item m="1" x="103"/>
        <item m="1" x="427"/>
        <item m="1" x="201"/>
        <item m="1" x="212"/>
        <item m="1" x="232"/>
        <item m="1" x="253"/>
        <item x="11"/>
        <item m="1" x="327"/>
        <item m="1" x="574"/>
        <item x="12"/>
        <item m="1" x="78"/>
        <item x="13"/>
        <item m="1" x="102"/>
        <item m="1" x="116"/>
        <item m="1" x="411"/>
        <item x="14"/>
        <item m="1" x="419"/>
        <item m="1" x="67"/>
        <item m="1" x="151"/>
        <item m="1" x="444"/>
        <item m="1" x="193"/>
        <item m="1" x="505"/>
        <item m="1" x="252"/>
        <item m="1" x="520"/>
        <item m="1" x="222"/>
        <item m="1" x="490"/>
        <item m="1" x="567"/>
        <item m="1" x="335"/>
        <item m="1" x="357"/>
        <item m="1" x="47"/>
        <item x="15"/>
        <item m="1" x="367"/>
        <item m="1" x="97"/>
        <item m="1" x="101"/>
        <item m="1" x="115"/>
        <item m="1" x="410"/>
        <item m="1" x="418"/>
        <item m="1" x="139"/>
        <item m="1" x="181"/>
        <item m="1" x="466"/>
        <item m="1" x="494"/>
        <item m="1" x="246"/>
        <item m="1" x="504"/>
        <item x="16"/>
        <item m="1" x="519"/>
        <item m="1" x="274"/>
        <item m="1" x="281"/>
        <item m="1" x="317"/>
        <item m="1" x="584"/>
        <item m="1" x="279"/>
        <item m="1" x="389"/>
        <item m="1" x="138"/>
        <item m="1" x="434"/>
        <item m="1" x="170"/>
        <item m="1" x="223"/>
        <item m="1" x="231"/>
        <item m="1" x="245"/>
        <item m="1" x="251"/>
        <item m="1" x="513"/>
        <item m="1" x="273"/>
        <item m="1" x="532"/>
        <item m="1" x="548"/>
        <item m="1" x="556"/>
        <item m="1" x="356"/>
        <item m="1" x="381"/>
        <item m="1" x="417"/>
        <item m="1" x="150"/>
        <item m="1" x="160"/>
        <item m="1" x="493"/>
        <item m="1" x="156"/>
        <item m="1" x="503"/>
        <item m="1" x="250"/>
        <item m="1" x="512"/>
        <item m="1" x="525"/>
        <item m="1" x="271"/>
        <item m="1" x="402"/>
        <item m="1" x="547"/>
        <item m="1" x="306"/>
        <item m="1" x="555"/>
        <item m="1" x="176"/>
        <item x="17"/>
        <item m="1" x="185"/>
        <item m="1" x="219"/>
        <item m="1" x="362"/>
        <item m="1" x="482"/>
        <item x="18"/>
        <item m="1" x="488"/>
        <item m="1" x="76"/>
        <item m="1" x="508"/>
        <item m="1" x="256"/>
        <item x="19"/>
        <item m="1" x="263"/>
        <item m="1" x="268"/>
        <item m="1" x="535"/>
        <item m="1" x="415"/>
        <item m="1" x="289"/>
        <item m="1" x="149"/>
        <item m="1" x="443"/>
        <item m="1" x="323"/>
        <item m="1" x="564"/>
        <item m="1" x="332"/>
        <item m="1" x="339"/>
        <item m="1" x="579"/>
        <item m="1" x="351"/>
        <item m="1" x="358"/>
        <item m="1" x="364"/>
        <item m="1" x="484"/>
        <item m="1" x="492"/>
        <item m="1" x="511"/>
        <item m="1" x="258"/>
        <item m="1" x="394"/>
        <item m="1" x="133"/>
        <item m="1" x="143"/>
        <item m="1" x="316"/>
        <item m="1" x="448"/>
        <item m="1" x="197"/>
        <item m="1" x="208"/>
        <item m="1" x="46"/>
        <item m="1" x="218"/>
        <item m="1" x="375"/>
        <item m="1" x="580"/>
        <item m="1" x="74"/>
        <item m="1" x="517"/>
        <item m="1" x="96"/>
        <item m="1" x="100"/>
        <item m="1" x="113"/>
        <item m="1" x="414"/>
        <item m="1" x="546"/>
        <item m="1" x="554"/>
        <item m="1" x="158"/>
        <item m="1" x="338"/>
        <item m="1" x="464"/>
        <item x="20"/>
        <item m="1" x="441"/>
        <item m="1" x="230"/>
        <item m="1" x="244"/>
        <item m="1" x="378"/>
        <item m="1" x="58"/>
        <item m="1" x="403"/>
        <item m="1" x="524"/>
        <item m="1" x="270"/>
        <item m="1" x="123"/>
        <item m="1" x="294"/>
        <item x="21"/>
        <item m="1" x="304"/>
        <item m="1" x="165"/>
        <item m="1" x="566"/>
        <item m="1" x="343"/>
        <item m="1" x="361"/>
        <item m="1" x="226"/>
        <item m="1" x="69"/>
        <item m="1" x="239"/>
        <item m="1" x="499"/>
        <item m="1" x="112"/>
        <item m="1" x="288"/>
        <item m="1" x="426"/>
        <item m="1" x="553"/>
        <item m="1" x="169"/>
        <item m="1" x="331"/>
        <item m="1" x="191"/>
        <item m="1" x="463"/>
        <item x="22"/>
        <item m="1" x="350"/>
        <item m="1" x="587"/>
        <item m="1" x="211"/>
        <item m="1" x="61"/>
        <item x="23"/>
        <item m="1" x="377"/>
        <item m="1" x="109"/>
        <item m="1" x="122"/>
        <item m="1" x="280"/>
        <item m="1" x="538"/>
        <item m="1" x="293"/>
        <item m="1" x="303"/>
        <item m="1" x="164"/>
        <item m="1" x="315"/>
        <item m="1" x="446"/>
        <item m="1" x="333"/>
        <item m="1" x="342"/>
        <item m="1" x="469"/>
        <item m="1" x="355"/>
        <item m="1" x="487"/>
        <item m="1" x="68"/>
        <item m="1" x="238"/>
        <item m="1" x="374"/>
        <item m="1" x="498"/>
        <item m="1" x="379"/>
        <item m="1" x="523"/>
        <item m="1" x="99"/>
        <item m="1" x="409"/>
        <item m="1" x="541"/>
        <item m="1" x="136"/>
        <item m="1" x="286"/>
        <item m="1" x="424"/>
        <item m="1" x="310"/>
        <item m="1" x="560"/>
        <item m="1" x="322"/>
        <item m="1" x="190"/>
        <item m="1" x="472"/>
        <item m="1" x="478"/>
        <item m="1" x="48"/>
        <item m="1" x="483"/>
        <item m="1" x="491"/>
        <item m="1" x="80"/>
        <item m="1" x="393"/>
        <item m="1" x="106"/>
        <item m="1" x="407"/>
        <item m="1" x="530"/>
        <item m="1" x="121"/>
        <item m="1" x="420"/>
        <item m="1" x="292"/>
        <item m="1" x="314"/>
        <item x="24"/>
        <item x="25"/>
        <item m="1" x="195"/>
        <item m="1" x="436"/>
        <item m="1" x="582"/>
        <item m="1" x="205"/>
        <item x="26"/>
        <item m="1" x="497"/>
        <item m="1" x="262"/>
        <item m="1" x="282"/>
        <item m="1" x="432"/>
        <item m="1" x="442"/>
        <item m="1" x="321"/>
        <item m="1" x="563"/>
        <item m="1" x="180"/>
        <item m="1" x="459"/>
        <item m="1" x="189"/>
        <item m="1" x="228"/>
        <item x="27"/>
        <item m="1" x="429"/>
        <item m="1" x="174"/>
        <item m="1" x="581"/>
        <item m="1" x="237"/>
        <item x="28"/>
        <item x="29"/>
        <item m="1" x="84"/>
        <item m="1" x="388"/>
        <item m="1" x="516"/>
        <item x="30"/>
        <item m="1" x="551"/>
        <item m="1" x="570"/>
        <item m="1" x="348"/>
        <item m="1" x="178"/>
        <item m="1" x="59"/>
        <item m="1" x="86"/>
        <item m="1" x="405"/>
        <item m="1" x="119"/>
        <item m="1" x="353"/>
        <item m="1" x="66"/>
        <item m="1" x="495"/>
        <item m="1" x="277"/>
        <item m="1" x="550"/>
        <item m="1" x="320"/>
        <item m="1" x="458"/>
        <item m="1" x="210"/>
        <item x="31"/>
        <item m="1" x="385"/>
        <item m="1" x="509"/>
        <item x="32"/>
        <item m="1" x="537"/>
        <item m="1" x="428"/>
        <item m="1" x="313"/>
        <item m="1" x="325"/>
        <item m="1" x="455"/>
        <item m="1" x="572"/>
        <item x="33"/>
        <item m="1" x="341"/>
        <item m="1" x="236"/>
        <item x="34"/>
        <item m="1" x="540"/>
        <item m="1" x="439"/>
        <item m="1" x="167"/>
        <item m="1" x="187"/>
        <item m="1" x="470"/>
        <item x="35"/>
        <item m="1" x="183"/>
        <item m="1" x="438"/>
        <item m="1" x="585"/>
        <item m="1" x="500"/>
        <item m="1" x="104"/>
        <item m="1" x="302"/>
        <item m="1" x="182"/>
        <item m="1" x="467"/>
        <item m="1" x="254"/>
        <item m="1" x="544"/>
        <item m="1" x="297"/>
        <item m="1" x="319"/>
        <item m="1" x="456"/>
        <item x="36"/>
        <item m="1" x="209"/>
        <item m="1" x="129"/>
        <item x="37"/>
        <item x="38"/>
        <item x="39"/>
        <item m="1" x="543"/>
        <item x="40"/>
        <item m="1" x="404"/>
        <item x="41"/>
        <item x="42"/>
        <item m="1" x="366"/>
        <item m="1" x="396"/>
        <item x="43"/>
        <item m="1" x="135"/>
        <item m="1" x="450"/>
        <item x="44"/>
        <item x="45"/>
        <item m="1" x="92"/>
        <item m="1" x="111"/>
        <item m="1" x="241"/>
        <item m="1" x="542"/>
        <item m="1" x="259"/>
        <item m="1" x="198"/>
        <item m="1" x="561"/>
        <item m="1" x="359"/>
        <item m="1" x="352"/>
        <item m="1" x="157"/>
        <item m="1" x="440"/>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defaultSubtotal="0"/>
    <pivotField dataField="1" showAll="0"/>
    <pivotField showAll="0"/>
  </pivotFields>
  <rowFields count="1">
    <field x="3"/>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D36" firstHeaderRow="0" firstDataRow="1" firstDataCol="1"/>
  <pivotFields count="19">
    <pivotField showAll="0">
      <items count="189">
        <item m="1" x="181"/>
        <item m="1" x="161"/>
        <item m="1" x="75"/>
        <item m="1" x="19"/>
        <item m="1" x="62"/>
        <item m="1" x="182"/>
        <item m="1" x="7"/>
        <item m="1" x="158"/>
        <item m="1" x="46"/>
        <item m="1" x="134"/>
        <item m="1" x="79"/>
        <item m="1" x="179"/>
        <item m="1" x="68"/>
        <item m="1" x="11"/>
        <item m="1" x="135"/>
        <item m="1" x="82"/>
        <item m="1" x="88"/>
        <item m="1" x="115"/>
        <item m="1" x="140"/>
        <item m="1" x="34"/>
        <item m="1" x="50"/>
        <item m="1" x="183"/>
        <item m="1" x="8"/>
        <item m="1" x="176"/>
        <item m="1" x="51"/>
        <item m="1" x="83"/>
        <item m="1" x="58"/>
        <item m="1" x="91"/>
        <item m="1" x="95"/>
        <item m="1" x="69"/>
        <item m="1" x="23"/>
        <item m="1" x="153"/>
        <item m="1" x="32"/>
        <item m="1" x="35"/>
        <item m="1" x="144"/>
        <item m="1" x="99"/>
        <item m="1" x="63"/>
        <item m="1" x="184"/>
        <item m="1" x="145"/>
        <item m="1" x="100"/>
        <item m="1" x="165"/>
        <item m="1" x="44"/>
        <item m="1" x="12"/>
        <item m="1" x="20"/>
        <item m="1" x="127"/>
        <item m="1" x="109"/>
        <item m="1" x="111"/>
        <item m="1" x="80"/>
        <item m="1" x="92"/>
        <item m="1" x="89"/>
        <item m="1" x="66"/>
        <item m="1" x="177"/>
        <item m="1" x="4"/>
        <item m="1" x="185"/>
        <item m="1" x="116"/>
        <item m="1" x="5"/>
        <item m="1" x="84"/>
        <item m="1" x="150"/>
        <item m="1" x="148"/>
        <item m="1" x="21"/>
        <item m="1" x="93"/>
        <item m="1" x="67"/>
        <item m="1" x="141"/>
        <item m="1" x="40"/>
        <item m="1" x="159"/>
        <item m="1" x="170"/>
        <item m="1" x="24"/>
        <item m="1" x="119"/>
        <item m="1" x="137"/>
        <item m="1" x="166"/>
        <item m="1" x="157"/>
        <item m="1" x="104"/>
        <item m="1" x="130"/>
        <item m="1" x="162"/>
        <item m="1" x="52"/>
        <item m="1" x="36"/>
        <item m="1" x="70"/>
        <item m="1" x="105"/>
        <item m="1" x="101"/>
        <item m="1" x="41"/>
        <item m="1" x="147"/>
        <item m="1" x="37"/>
        <item m="1" x="149"/>
        <item m="1" x="72"/>
        <item m="1" x="64"/>
        <item m="1" x="171"/>
        <item m="1" x="186"/>
        <item m="1" x="1"/>
        <item m="1" x="167"/>
        <item m="1" x="187"/>
        <item m="1" x="131"/>
        <item m="1" x="138"/>
        <item m="1" x="27"/>
        <item m="1" x="154"/>
        <item m="1" x="133"/>
        <item m="1" x="47"/>
        <item m="1" x="73"/>
        <item x="0"/>
        <item m="1" x="128"/>
        <item m="1" x="90"/>
        <item m="1" x="76"/>
        <item m="1" x="48"/>
        <item m="1" x="14"/>
        <item m="1" x="117"/>
        <item m="1" x="59"/>
        <item m="1" x="155"/>
        <item m="1" x="85"/>
        <item m="1" x="56"/>
        <item m="1" x="28"/>
        <item m="1" x="60"/>
        <item m="1" x="2"/>
        <item m="1" x="33"/>
        <item m="1" x="22"/>
        <item m="1" x="6"/>
        <item m="1" x="123"/>
        <item m="1" x="86"/>
        <item m="1" x="49"/>
        <item m="1" x="30"/>
        <item m="1" x="38"/>
        <item m="1" x="129"/>
        <item m="1" x="160"/>
        <item m="1" x="29"/>
        <item m="1" x="124"/>
        <item m="1" x="13"/>
        <item m="1" x="42"/>
        <item m="1" x="17"/>
        <item m="1" x="102"/>
        <item m="1" x="74"/>
        <item m="1" x="77"/>
        <item m="1" x="16"/>
        <item m="1" x="172"/>
        <item m="1" x="173"/>
        <item m="1" x="110"/>
        <item m="1" x="142"/>
        <item m="1" x="53"/>
        <item m="1" x="25"/>
        <item m="1" x="106"/>
        <item m="1" x="146"/>
        <item m="1" x="120"/>
        <item m="1" x="39"/>
        <item m="1" x="174"/>
        <item m="1" x="112"/>
        <item m="1" x="9"/>
        <item m="1" x="163"/>
        <item m="1" x="18"/>
        <item m="1" x="45"/>
        <item m="1" x="96"/>
        <item m="1" x="71"/>
        <item m="1" x="125"/>
        <item m="1" x="156"/>
        <item m="1" x="103"/>
        <item m="1" x="113"/>
        <item m="1" x="54"/>
        <item m="1" x="15"/>
        <item m="1" x="43"/>
        <item m="1" x="55"/>
        <item m="1" x="107"/>
        <item m="1" x="121"/>
        <item m="1" x="132"/>
        <item m="1" x="126"/>
        <item m="1" x="78"/>
        <item m="1" x="94"/>
        <item m="1" x="26"/>
        <item m="1" x="57"/>
        <item m="1" x="164"/>
        <item m="1" x="97"/>
        <item m="1" x="3"/>
        <item m="1" x="143"/>
        <item m="1" x="180"/>
        <item m="1" x="65"/>
        <item m="1" x="118"/>
        <item m="1" x="136"/>
        <item m="1" x="81"/>
        <item m="1" x="98"/>
        <item m="1" x="114"/>
        <item m="1" x="122"/>
        <item m="1" x="168"/>
        <item m="1" x="10"/>
        <item m="1" x="139"/>
        <item m="1" x="175"/>
        <item m="1" x="178"/>
        <item m="1" x="31"/>
        <item m="1" x="61"/>
        <item m="1" x="151"/>
        <item m="1" x="169"/>
        <item m="1" x="152"/>
        <item m="1" x="87"/>
        <item m="1" x="108"/>
        <item t="default"/>
      </items>
    </pivotField>
    <pivotField showAll="0">
      <items count="417">
        <item m="1" x="15"/>
        <item m="1" x="383"/>
        <item m="1" x="94"/>
        <item m="1" x="307"/>
        <item m="1" x="273"/>
        <item m="1" x="320"/>
        <item m="1" x="314"/>
        <item m="1" x="284"/>
        <item m="1" x="375"/>
        <item m="1" x="128"/>
        <item m="1" x="51"/>
        <item m="1" x="315"/>
        <item m="1" x="203"/>
        <item m="1" x="258"/>
        <item m="1" x="39"/>
        <item m="1" x="366"/>
        <item m="1" x="274"/>
        <item m="1" x="204"/>
        <item m="1" x="321"/>
        <item m="1" x="332"/>
        <item m="1" x="211"/>
        <item m="1" x="40"/>
        <item m="1" x="229"/>
        <item m="1" x="65"/>
        <item m="1" x="16"/>
        <item m="1" x="298"/>
        <item m="1" x="182"/>
        <item m="1" x="347"/>
        <item m="1" x="32"/>
        <item m="1" x="245"/>
        <item m="1" x="118"/>
        <item m="1" x="7"/>
        <item m="1" x="384"/>
        <item m="1" x="72"/>
        <item m="1" x="164"/>
        <item m="1" x="22"/>
        <item m="1" x="398"/>
        <item m="1" x="275"/>
        <item m="1" x="205"/>
        <item m="1" x="149"/>
        <item m="1" x="354"/>
        <item m="1" x="373"/>
        <item m="1" x="190"/>
        <item m="1" x="399"/>
        <item m="1" x="23"/>
        <item m="1" x="333"/>
        <item m="1" x="276"/>
        <item m="1" x="112"/>
        <item m="1" x="109"/>
        <item m="1" x="367"/>
        <item m="1" x="360"/>
        <item m="1" x="119"/>
        <item m="1" x="230"/>
        <item m="1" x="10"/>
        <item m="1" x="361"/>
        <item m="1" x="390"/>
        <item m="1" x="165"/>
        <item m="1" x="328"/>
        <item m="1" x="24"/>
        <item m="1" x="80"/>
        <item m="1" x="246"/>
        <item m="1" x="124"/>
        <item m="1" x="11"/>
        <item m="1" x="299"/>
        <item m="1" x="238"/>
        <item m="1" x="101"/>
        <item m="1" x="266"/>
        <item m="1" x="197"/>
        <item m="1" x="348"/>
        <item m="1" x="285"/>
        <item m="1" x="33"/>
        <item m="1" x="87"/>
        <item m="1" x="135"/>
        <item m="1" x="300"/>
        <item m="1" x="206"/>
        <item m="1" x="17"/>
        <item m="1" x="34"/>
        <item m="1" x="88"/>
        <item m="1" x="150"/>
        <item m="1" x="247"/>
        <item m="1" x="376"/>
        <item m="1" x="166"/>
        <item m="1" x="385"/>
        <item m="1" x="325"/>
        <item m="1" x="198"/>
        <item m="1" x="212"/>
        <item m="1" x="391"/>
        <item m="1" x="102"/>
        <item m="1" x="267"/>
        <item m="1" x="25"/>
        <item m="1" x="405"/>
        <item m="1" x="349"/>
        <item m="1" x="277"/>
        <item m="1" x="167"/>
        <item m="1" x="26"/>
        <item m="1" x="151"/>
        <item m="1" x="248"/>
        <item m="1" x="406"/>
        <item m="1" x="113"/>
        <item m="1" x="173"/>
        <item m="1" x="278"/>
        <item m="1" x="183"/>
        <item m="1" x="268"/>
        <item m="1" x="59"/>
        <item m="1" x="159"/>
        <item m="1" x="368"/>
        <item m="1" x="400"/>
        <item m="1" x="177"/>
        <item m="1" x="219"/>
        <item m="1" x="308"/>
        <item m="1" x="377"/>
        <item m="1" x="254"/>
        <item m="1" x="362"/>
        <item m="1" x="184"/>
        <item m="1" x="45"/>
        <item m="1" x="392"/>
        <item m="1" x="129"/>
        <item m="1" x="280"/>
        <item m="1" x="220"/>
        <item m="1" x="160"/>
        <item m="1" x="73"/>
        <item m="1" x="125"/>
        <item m="1" x="41"/>
        <item m="1" x="322"/>
        <item m="1" x="89"/>
        <item m="1" x="329"/>
        <item m="1" x="27"/>
        <item m="1" x="234"/>
        <item m="1" x="95"/>
        <item m="1" x="259"/>
        <item m="1" x="199"/>
        <item m="1" x="126"/>
        <item m="1" x="90"/>
        <item m="1" x="289"/>
        <item m="1" x="114"/>
        <item m="1" x="161"/>
        <item m="1" x="193"/>
        <item m="1" x="301"/>
        <item m="1" x="66"/>
        <item m="1" x="226"/>
        <item m="1" x="52"/>
        <item m="1" x="67"/>
        <item m="1" x="152"/>
        <item m="1" x="174"/>
        <item m="1" x="110"/>
        <item m="1" x="60"/>
        <item m="1" x="178"/>
        <item m="1" x="326"/>
        <item m="1" x="185"/>
        <item m="1" x="18"/>
        <item m="1" x="141"/>
        <item m="1" x="1"/>
        <item m="1" x="103"/>
        <item m="1" x="53"/>
        <item m="1" x="231"/>
        <item m="1" x="337"/>
        <item m="1" x="221"/>
        <item m="1" x="241"/>
        <item m="1" x="28"/>
        <item m="1" x="286"/>
        <item m="1" x="249"/>
        <item m="1" x="290"/>
        <item m="1" x="378"/>
        <item m="1" x="407"/>
        <item m="1" x="260"/>
        <item m="1" x="120"/>
        <item m="1" x="369"/>
        <item m="1" x="153"/>
        <item m="1" x="316"/>
        <item m="1" x="130"/>
        <item m="1" x="61"/>
        <item m="1" x="194"/>
        <item m="1" x="261"/>
        <item m="1" x="121"/>
        <item m="1" x="46"/>
        <item m="1" x="379"/>
        <item m="1" x="74"/>
        <item x="0"/>
        <item m="1" x="291"/>
        <item m="1" x="42"/>
        <item m="1" x="186"/>
        <item m="1" x="281"/>
        <item m="1" x="142"/>
        <item m="1" x="269"/>
        <item m="1" x="8"/>
        <item m="1" x="111"/>
        <item m="1" x="156"/>
        <item m="1" x="323"/>
        <item m="1" x="338"/>
        <item m="1" x="413"/>
        <item m="1" x="168"/>
        <item m="1" x="2"/>
        <item m="1" x="350"/>
        <item m="1" x="287"/>
        <item m="1" x="62"/>
        <item m="1" x="235"/>
        <item m="1" x="408"/>
        <item m="1" x="179"/>
        <item m="1" x="43"/>
        <item m="1" x="187"/>
        <item m="1" x="262"/>
        <item m="1" x="342"/>
        <item m="1" x="200"/>
        <item m="1" x="282"/>
        <item m="1" x="270"/>
        <item m="1" x="29"/>
        <item m="1" x="207"/>
        <item m="1" x="54"/>
        <item m="1" x="317"/>
        <item m="1" x="401"/>
        <item m="1" x="334"/>
        <item m="1" x="91"/>
        <item m="1" x="180"/>
        <item m="1" x="255"/>
        <item m="1" x="414"/>
        <item m="1" x="96"/>
        <item m="1" x="188"/>
        <item m="1" x="47"/>
        <item m="1" x="393"/>
        <item m="1" x="271"/>
        <item m="1" x="154"/>
        <item m="1" x="250"/>
        <item m="1" x="131"/>
        <item m="1" x="195"/>
        <item m="1" x="343"/>
        <item m="1" x="143"/>
        <item m="1" x="75"/>
        <item m="1" x="374"/>
        <item m="1" x="355"/>
        <item m="1" x="380"/>
        <item m="1" x="256"/>
        <item m="1" x="12"/>
        <item m="1" x="115"/>
        <item m="1" x="97"/>
        <item m="1" x="189"/>
        <item m="1" x="370"/>
        <item m="1" x="48"/>
        <item m="1" x="76"/>
        <item m="1" x="242"/>
        <item m="1" x="3"/>
        <item m="1" x="55"/>
        <item m="1" x="81"/>
        <item m="1" x="213"/>
        <item m="1" x="292"/>
        <item m="1" x="302"/>
        <item m="1" x="98"/>
        <item m="1" x="263"/>
        <item m="1" x="122"/>
        <item m="1" x="144"/>
        <item m="1" x="77"/>
        <item m="1" x="169"/>
        <item m="1" x="330"/>
        <item m="1" x="351"/>
        <item m="1" x="56"/>
        <item m="1" x="35"/>
        <item m="1" x="132"/>
        <item m="1" x="293"/>
        <item m="1" x="381"/>
        <item m="1" x="63"/>
        <item m="1" x="181"/>
        <item m="1" x="363"/>
        <item m="1" x="68"/>
        <item m="1" x="99"/>
        <item m="1" x="19"/>
        <item m="1" x="309"/>
        <item m="1" x="78"/>
        <item m="1" x="318"/>
        <item m="1" x="402"/>
        <item m="1" x="82"/>
        <item m="1" x="294"/>
        <item m="1" x="324"/>
        <item m="1" x="116"/>
        <item m="1" x="136"/>
        <item m="1" x="222"/>
        <item m="1" x="344"/>
        <item m="1" x="371"/>
        <item m="1" x="49"/>
        <item m="1" x="394"/>
        <item m="1" x="4"/>
        <item m="1" x="191"/>
        <item m="1" x="352"/>
        <item m="1" x="57"/>
        <item m="1" x="83"/>
        <item m="1" x="335"/>
        <item m="1" x="356"/>
        <item m="1" x="214"/>
        <item m="1" x="295"/>
        <item m="1" x="409"/>
        <item m="1" x="364"/>
        <item m="1" x="303"/>
        <item m="1" x="415"/>
        <item m="1" x="201"/>
        <item m="1" x="145"/>
        <item m="1" x="227"/>
        <item m="1" x="310"/>
        <item m="1" x="30"/>
        <item m="1" x="58"/>
        <item m="1" x="133"/>
        <item m="1" x="215"/>
        <item m="1" x="296"/>
        <item m="1" x="339"/>
        <item m="1" x="386"/>
        <item m="1" x="69"/>
        <item m="1" x="239"/>
        <item m="1" x="20"/>
        <item m="1" x="123"/>
        <item m="1" x="283"/>
        <item m="1" x="79"/>
        <item m="1" x="104"/>
        <item m="1" x="192"/>
        <item m="1" x="208"/>
        <item m="1" x="232"/>
        <item m="1" x="403"/>
        <item m="1" x="251"/>
        <item m="1" x="357"/>
        <item m="1" x="36"/>
        <item m="1" x="410"/>
        <item m="1" x="223"/>
        <item m="1" x="264"/>
        <item m="1" x="50"/>
        <item m="1" x="311"/>
        <item m="1" x="395"/>
        <item m="1" x="105"/>
        <item m="1" x="84"/>
        <item m="1" x="175"/>
        <item m="1" x="336"/>
        <item m="1" x="358"/>
        <item m="1" x="157"/>
        <item m="1" x="411"/>
        <item m="1" x="345"/>
        <item m="1" x="146"/>
        <item m="1" x="228"/>
        <item m="1" x="312"/>
        <item m="1" x="155"/>
        <item m="1" x="85"/>
        <item m="1" x="176"/>
        <item m="1" x="134"/>
        <item m="1" x="412"/>
        <item m="1" x="92"/>
        <item m="1" x="117"/>
        <item m="1" x="387"/>
        <item m="1" x="327"/>
        <item m="1" x="100"/>
        <item m="1" x="147"/>
        <item m="1" x="396"/>
        <item m="1" x="170"/>
        <item m="1" x="233"/>
        <item m="1" x="319"/>
        <item m="1" x="9"/>
        <item m="1" x="279"/>
        <item m="1" x="216"/>
        <item m="1" x="382"/>
        <item m="1" x="137"/>
        <item m="1" x="171"/>
        <item m="1" x="243"/>
        <item m="1" x="106"/>
        <item m="1" x="31"/>
        <item m="1" x="209"/>
        <item m="1" x="86"/>
        <item m="1" x="359"/>
        <item m="1" x="37"/>
        <item m="1" x="217"/>
        <item m="1" x="236"/>
        <item m="1" x="257"/>
        <item m="1" x="138"/>
        <item m="1" x="224"/>
        <item m="1" x="304"/>
        <item m="1" x="388"/>
        <item m="1" x="346"/>
        <item m="1" x="21"/>
        <item m="1" x="148"/>
        <item m="1" x="397"/>
        <item m="1" x="107"/>
        <item m="1" x="252"/>
        <item m="1" x="158"/>
        <item m="1" x="44"/>
        <item m="1" x="70"/>
        <item m="1" x="372"/>
        <item m="1" x="244"/>
        <item m="1" x="5"/>
        <item m="1" x="272"/>
        <item m="1" x="288"/>
        <item m="1" x="253"/>
        <item m="1" x="218"/>
        <item m="1" x="365"/>
        <item m="1" x="331"/>
        <item m="1" x="6"/>
        <item m="1" x="353"/>
        <item m="1" x="127"/>
        <item m="1" x="38"/>
        <item m="1" x="64"/>
        <item m="1" x="196"/>
        <item m="1" x="139"/>
        <item m="1" x="305"/>
        <item m="1" x="162"/>
        <item m="1" x="265"/>
        <item m="1" x="108"/>
        <item m="1" x="340"/>
        <item m="1" x="13"/>
        <item m="1" x="140"/>
        <item m="1" x="163"/>
        <item m="1" x="240"/>
        <item m="1" x="210"/>
        <item m="1" x="93"/>
        <item m="1" x="341"/>
        <item m="1" x="389"/>
        <item m="1" x="202"/>
        <item m="1" x="172"/>
        <item m="1" x="297"/>
        <item m="1" x="237"/>
        <item m="1" x="14"/>
        <item m="1" x="225"/>
        <item m="1" x="306"/>
        <item m="1" x="71"/>
        <item m="1" x="404"/>
        <item m="1" x="313"/>
        <item t="default"/>
      </items>
    </pivotField>
    <pivotField showAll="0">
      <items count="126">
        <item m="1" x="1"/>
        <item m="1" x="119"/>
        <item m="1" x="109"/>
        <item m="1" x="8"/>
        <item m="1" x="120"/>
        <item m="1" x="4"/>
        <item m="1" x="27"/>
        <item m="1" x="91"/>
        <item m="1" x="48"/>
        <item m="1" x="117"/>
        <item m="1" x="40"/>
        <item m="1" x="6"/>
        <item m="1" x="92"/>
        <item m="1" x="51"/>
        <item m="1" x="56"/>
        <item m="1" x="19"/>
        <item m="1" x="121"/>
        <item m="1" x="5"/>
        <item m="1" x="115"/>
        <item m="1" x="52"/>
        <item m="1" x="59"/>
        <item m="1" x="63"/>
        <item m="1" x="41"/>
        <item m="1" x="10"/>
        <item m="1" x="104"/>
        <item m="1" x="97"/>
        <item m="1" x="66"/>
        <item m="1" x="122"/>
        <item m="1" x="67"/>
        <item m="1" x="112"/>
        <item m="1" x="86"/>
        <item m="1" x="74"/>
        <item m="1" x="76"/>
        <item m="1" x="49"/>
        <item m="1" x="60"/>
        <item m="1" x="57"/>
        <item m="1" x="38"/>
        <item m="1" x="116"/>
        <item m="1" x="123"/>
        <item m="1" x="79"/>
        <item m="1" x="101"/>
        <item m="1" x="100"/>
        <item m="1" x="9"/>
        <item m="1" x="61"/>
        <item m="1" x="39"/>
        <item m="1" x="95"/>
        <item m="1" x="23"/>
        <item m="1" x="108"/>
        <item m="1" x="11"/>
        <item m="1" x="81"/>
        <item m="1" x="93"/>
        <item m="1" x="113"/>
        <item m="1" x="89"/>
        <item m="1" x="20"/>
        <item m="1" x="71"/>
        <item m="1" x="68"/>
        <item m="1" x="24"/>
        <item m="1" x="99"/>
        <item m="1" x="21"/>
        <item m="1" x="42"/>
        <item m="1" x="36"/>
        <item m="1" x="124"/>
        <item m="1" x="2"/>
        <item m="1" x="94"/>
        <item m="1" x="14"/>
        <item m="1" x="105"/>
        <item m="1" x="43"/>
        <item m="1" x="87"/>
        <item m="1" x="58"/>
        <item m="1" x="45"/>
        <item m="1" x="28"/>
        <item m="1" x="33"/>
        <item m="1" x="106"/>
        <item m="1" x="53"/>
        <item m="1" x="31"/>
        <item m="1" x="15"/>
        <item m="1" x="34"/>
        <item m="1" x="3"/>
        <item m="1" x="83"/>
        <item m="1" x="54"/>
        <item m="1" x="17"/>
        <item m="1" x="22"/>
        <item m="1" x="88"/>
        <item m="1" x="16"/>
        <item m="1" x="84"/>
        <item m="1" x="25"/>
        <item m="1" x="69"/>
        <item m="1" x="44"/>
        <item m="1" x="46"/>
        <item m="1" x="75"/>
        <item m="1" x="96"/>
        <item m="1" x="29"/>
        <item m="1" x="12"/>
        <item m="1" x="98"/>
        <item m="1" x="82"/>
        <item m="1" x="114"/>
        <item m="1" x="77"/>
        <item m="1" x="110"/>
        <item m="1" x="7"/>
        <item m="1" x="26"/>
        <item m="1" x="64"/>
        <item x="0"/>
        <item m="1" x="85"/>
        <item m="1" x="107"/>
        <item m="1" x="70"/>
        <item m="1" x="78"/>
        <item m="1" x="30"/>
        <item m="1" x="72"/>
        <item m="1" x="90"/>
        <item m="1" x="47"/>
        <item m="1" x="62"/>
        <item m="1" x="13"/>
        <item m="1" x="32"/>
        <item m="1" x="111"/>
        <item m="1" x="118"/>
        <item m="1" x="37"/>
        <item m="1" x="80"/>
        <item m="1" x="50"/>
        <item m="1" x="65"/>
        <item m="1" x="18"/>
        <item m="1" x="35"/>
        <item m="1" x="102"/>
        <item m="1" x="103"/>
        <item m="1" x="55"/>
        <item m="1" x="73"/>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417">
        <item m="1" x="24"/>
        <item m="1" x="87"/>
        <item m="1" x="47"/>
        <item m="1" x="151"/>
        <item m="1" x="164"/>
        <item m="1" x="27"/>
        <item m="1" x="132"/>
        <item m="1" x="80"/>
        <item m="1" x="296"/>
        <item m="1" x="191"/>
        <item m="1" x="128"/>
        <item m="1" x="250"/>
        <item m="1" x="297"/>
        <item m="1" x="314"/>
        <item m="1" x="273"/>
        <item m="1" x="208"/>
        <item m="1" x="192"/>
        <item m="1" x="298"/>
        <item m="1" x="220"/>
        <item m="1" x="92"/>
        <item m="1" x="37"/>
        <item m="1" x="200"/>
        <item m="1" x="387"/>
        <item m="1" x="17"/>
        <item m="1" x="307"/>
        <item m="1" x="201"/>
        <item m="1" x="133"/>
        <item m="1" x="259"/>
        <item m="1" x="281"/>
        <item m="1" x="102"/>
        <item m="1" x="230"/>
        <item m="1" x="177"/>
        <item m="1" x="274"/>
        <item m="1" x="275"/>
        <item m="1" x="388"/>
        <item m="1" x="129"/>
        <item m="1" x="282"/>
        <item m="1" x="130"/>
        <item m="1" x="254"/>
        <item m="1" x="1"/>
        <item m="1" x="99"/>
        <item m="1" x="401"/>
        <item m="1" x="323"/>
        <item m="1" x="231"/>
        <item m="1" x="46"/>
        <item m="1" x="152"/>
        <item m="1" x="187"/>
        <item m="1" x="88"/>
        <item m="1" x="52"/>
        <item m="1" x="28"/>
        <item m="1" x="353"/>
        <item m="1" x="153"/>
        <item m="1" x="145"/>
        <item m="1" x="25"/>
        <item m="1" x="244"/>
        <item m="1" x="89"/>
        <item m="1" x="308"/>
        <item m="1" x="283"/>
        <item m="1" x="116"/>
        <item m="1" x="260"/>
        <item m="1" x="407"/>
        <item m="1" x="134"/>
        <item m="1" x="29"/>
        <item m="1" x="193"/>
        <item m="1" x="359"/>
        <item m="1" x="146"/>
        <item m="1" x="268"/>
        <item m="1" x="154"/>
        <item m="1" x="371"/>
        <item m="1" x="389"/>
        <item m="1" x="48"/>
        <item m="1" x="255"/>
        <item m="1" x="221"/>
        <item m="1" x="374"/>
        <item m="1" x="360"/>
        <item m="1" x="155"/>
        <item m="1" x="251"/>
        <item m="1" x="11"/>
        <item m="1" x="261"/>
        <item m="1" x="209"/>
        <item m="1" x="344"/>
        <item m="1" x="378"/>
        <item m="1" x="245"/>
        <item m="1" x="202"/>
        <item m="1" x="318"/>
        <item m="1" x="30"/>
        <item m="1" x="93"/>
        <item m="1" x="216"/>
        <item m="1" x="379"/>
        <item m="1" x="393"/>
        <item m="1" x="75"/>
        <item m="1" x="135"/>
        <item m="1" x="210"/>
        <item m="1" x="303"/>
        <item m="1" x="402"/>
        <item m="1" x="222"/>
        <item m="1" x="136"/>
        <item m="1" x="69"/>
        <item m="1" x="137"/>
        <item m="1" x="232"/>
        <item m="1" x="269"/>
        <item m="1" x="38"/>
        <item m="1" x="223"/>
        <item m="1" x="18"/>
        <item m="1" x="252"/>
        <item m="1" x="118"/>
        <item m="1" x="53"/>
        <item m="1" x="178"/>
        <item m="1" x="410"/>
        <item m="1" x="309"/>
        <item m="1" x="6"/>
        <item m="1" x="276"/>
        <item m="1" x="90"/>
        <item m="1" x="2"/>
        <item m="1" x="345"/>
        <item m="1" x="211"/>
        <item m="1" x="111"/>
        <item m="1" x="138"/>
        <item m="1" x="304"/>
        <item m="1" x="284"/>
        <item m="1" x="112"/>
        <item m="1" x="253"/>
        <item m="1" x="224"/>
        <item m="1" x="54"/>
        <item m="1" x="70"/>
        <item m="1" x="7"/>
        <item m="1" x="100"/>
        <item m="1" x="12"/>
        <item m="1" x="76"/>
        <item m="1" x="212"/>
        <item m="1" x="58"/>
        <item m="1" x="256"/>
        <item m="1" x="346"/>
        <item m="1" x="262"/>
        <item m="1" x="328"/>
        <item m="1" x="289"/>
        <item m="1" x="81"/>
        <item m="1" x="156"/>
        <item m="1" x="117"/>
        <item m="1" x="157"/>
        <item m="1" x="179"/>
        <item m="1" x="361"/>
        <item m="1" x="3"/>
        <item m="1" x="233"/>
        <item m="1" x="354"/>
        <item m="1" x="383"/>
        <item m="1" x="355"/>
        <item m="1" x="362"/>
        <item m="1" x="203"/>
        <item m="1" x="59"/>
        <item m="1" x="188"/>
        <item m="1" x="394"/>
        <item m="1" x="324"/>
        <item m="1" x="356"/>
        <item m="1" x="291"/>
        <item m="1" x="335"/>
        <item m="1" x="270"/>
        <item m="1" x="363"/>
        <item m="1" x="55"/>
        <item m="1" x="299"/>
        <item m="1" x="380"/>
        <item m="1" x="336"/>
        <item m="1" x="8"/>
        <item m="1" x="357"/>
        <item m="1" x="180"/>
        <item m="1" x="257"/>
        <item m="1" x="119"/>
        <item m="1" x="225"/>
        <item m="1" x="139"/>
        <item m="1" x="39"/>
        <item m="1" x="91"/>
        <item m="1" x="347"/>
        <item m="1" x="94"/>
        <item m="1" x="181"/>
        <item m="1" x="384"/>
        <item m="1" x="71"/>
        <item m="1" x="19"/>
        <item m="1" x="395"/>
        <item m="1" x="169"/>
        <item m="1" x="348"/>
        <item m="1" x="337"/>
        <item m="1" x="13"/>
        <item m="1" x="325"/>
        <item m="1" x="103"/>
        <item m="1" x="246"/>
        <item m="1" x="131"/>
        <item m="1" x="49"/>
        <item m="1" x="390"/>
        <item m="1" x="120"/>
        <item m="1" x="4"/>
        <item m="1" x="375"/>
        <item m="1" x="364"/>
        <item m="1" x="391"/>
        <item m="1" x="370"/>
        <item m="1" x="40"/>
        <item m="1" x="159"/>
        <item m="1" x="56"/>
        <item m="1" x="170"/>
        <item m="1" x="326"/>
        <item m="1" x="338"/>
        <item m="1" x="411"/>
        <item m="1" x="182"/>
        <item m="1" x="171"/>
        <item m="1" x="95"/>
        <item m="1" x="263"/>
        <item m="1" x="140"/>
        <item m="1" x="319"/>
        <item m="1" x="320"/>
        <item m="1" x="310"/>
        <item m="1" x="172"/>
        <item m="1" x="147"/>
        <item m="1" x="121"/>
        <item m="1" x="165"/>
        <item m="1" x="64"/>
        <item m="1" x="349"/>
        <item m="1" x="329"/>
        <item m="1" x="65"/>
        <item m="1" x="198"/>
        <item m="1" x="189"/>
        <item m="1" x="285"/>
        <item m="1" x="174"/>
        <item m="1" x="113"/>
        <item m="1" x="9"/>
        <item m="1" x="286"/>
        <item m="1" x="31"/>
        <item m="1" x="57"/>
        <item m="1" x="287"/>
        <item m="1" x="104"/>
        <item m="1" x="50"/>
        <item m="1" x="376"/>
        <item m="1" x="292"/>
        <item m="1" x="277"/>
        <item m="1" x="300"/>
        <item m="1" x="66"/>
        <item m="1" x="412"/>
        <item m="1" x="175"/>
        <item m="1" x="101"/>
        <item m="1" x="199"/>
        <item m="1" x="41"/>
        <item m="1" x="408"/>
        <item m="1" x="217"/>
        <item m="1" x="327"/>
        <item m="1" x="339"/>
        <item m="1" x="218"/>
        <item m="1" x="60"/>
        <item m="1" x="381"/>
        <item m="1" x="122"/>
        <item m="1" x="293"/>
        <item m="1" x="237"/>
        <item m="1" x="301"/>
        <item m="1" x="396"/>
        <item m="1" x="219"/>
        <item m="1" x="340"/>
        <item m="1" x="114"/>
        <item m="1" x="77"/>
        <item m="1" x="350"/>
        <item m="1" x="226"/>
        <item m="1" x="321"/>
        <item m="1" x="105"/>
        <item m="1" x="42"/>
        <item m="1" x="20"/>
        <item m="1" x="397"/>
        <item m="1" x="96"/>
        <item m="1" x="32"/>
        <item m="1" x="238"/>
        <item m="1" x="247"/>
        <item m="1" x="351"/>
        <item m="1" x="330"/>
        <item m="1" x="311"/>
        <item m="1" x="51"/>
        <item m="1" x="398"/>
        <item m="1" x="106"/>
        <item m="1" x="213"/>
        <item m="1" x="107"/>
        <item m="1" x="315"/>
        <item m="1" x="385"/>
        <item m="1" x="14"/>
        <item m="1" x="365"/>
        <item m="1" x="214"/>
        <item m="1" x="331"/>
        <item m="1" x="234"/>
        <item m="1" x="366"/>
        <item m="1" x="61"/>
        <item m="1" x="123"/>
        <item m="1" x="294"/>
        <item m="1" x="377"/>
        <item m="1" x="82"/>
        <item m="1" x="271"/>
        <item m="1" x="43"/>
        <item m="1" x="399"/>
        <item m="1" x="10"/>
        <item m="1" x="124"/>
        <item m="1" x="83"/>
        <item m="1" x="141"/>
        <item m="1" x="258"/>
        <item m="1" x="413"/>
        <item m="1" x="239"/>
        <item m="1" x="358"/>
        <item m="1" x="312"/>
        <item m="1" x="264"/>
        <item m="1" x="302"/>
        <item m="1" x="341"/>
        <item m="1" x="227"/>
        <item m="1" x="166"/>
        <item m="1" x="332"/>
        <item m="1" x="342"/>
        <item m="1" x="125"/>
        <item m="1" x="115"/>
        <item m="1" x="142"/>
        <item m="1" x="240"/>
        <item m="1" x="62"/>
        <item m="1" x="392"/>
        <item m="1" x="183"/>
        <item m="1" x="288"/>
        <item m="1" x="386"/>
        <item m="1" x="143"/>
        <item m="1" x="84"/>
        <item m="1" x="33"/>
        <item m="1" x="176"/>
        <item m="1" x="97"/>
        <item m="1" x="21"/>
        <item m="1" x="108"/>
        <item m="1" x="305"/>
        <item m="1" x="26"/>
        <item m="1" x="190"/>
        <item m="1" x="248"/>
        <item m="1" x="313"/>
        <item m="1" x="15"/>
        <item m="1" x="78"/>
        <item m="1" x="148"/>
        <item m="1" x="228"/>
        <item m="1" x="204"/>
        <item m="1" x="109"/>
        <item m="1" x="352"/>
        <item m="1" x="235"/>
        <item m="1" x="194"/>
        <item m="1" x="229"/>
        <item m="1" x="367"/>
        <item m="1" x="205"/>
        <item m="1" x="249"/>
        <item m="1" x="167"/>
        <item m="1" x="414"/>
        <item m="1" x="34"/>
        <item m="1" x="278"/>
        <item m="1" x="279"/>
        <item m="1" x="290"/>
        <item m="1" x="241"/>
        <item m="1" x="85"/>
        <item m="1" x="149"/>
        <item m="1" x="333"/>
        <item m="1" x="110"/>
        <item m="1" x="306"/>
        <item m="1" x="382"/>
        <item m="1" x="72"/>
        <item m="1" x="158"/>
        <item m="1" x="16"/>
        <item m="1" x="242"/>
        <item m="1" x="415"/>
        <item m="1" x="195"/>
        <item m="1" x="73"/>
        <item m="1" x="44"/>
        <item m="1" x="45"/>
        <item m="1" x="86"/>
        <item m="1" x="22"/>
        <item m="1" x="403"/>
        <item m="1" x="35"/>
        <item m="1" x="168"/>
        <item m="1" x="184"/>
        <item m="1" x="334"/>
        <item m="1" x="185"/>
        <item m="1" x="368"/>
        <item m="1" x="322"/>
        <item m="1" x="144"/>
        <item m="1" x="160"/>
        <item m="1" x="372"/>
        <item m="1" x="295"/>
        <item m="1" x="404"/>
        <item m="1" x="79"/>
        <item m="1" x="265"/>
        <item m="1" x="215"/>
        <item m="1" x="74"/>
        <item m="1" x="405"/>
        <item m="1" x="63"/>
        <item m="1" x="280"/>
        <item m="1" x="206"/>
        <item m="1" x="36"/>
        <item m="1" x="400"/>
        <item m="1" x="23"/>
        <item m="1" x="406"/>
        <item m="1" x="126"/>
        <item m="1" x="207"/>
        <item m="1" x="266"/>
        <item m="1" x="161"/>
        <item m="1" x="67"/>
        <item m="1" x="173"/>
        <item m="1" x="272"/>
        <item m="1" x="150"/>
        <item m="1" x="127"/>
        <item m="1" x="98"/>
        <item m="1" x="343"/>
        <item m="1" x="316"/>
        <item m="1" x="186"/>
        <item m="1" x="243"/>
        <item m="1" x="267"/>
        <item m="1" x="196"/>
        <item m="1" x="5"/>
        <item m="1" x="409"/>
        <item m="1" x="373"/>
        <item m="1" x="317"/>
        <item m="1" x="369"/>
        <item m="1" x="68"/>
        <item m="1" x="162"/>
        <item m="1" x="197"/>
        <item m="1" x="236"/>
        <item x="0"/>
        <item m="1" x="16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m="1" x="3592"/>
        <item m="1" x="7515"/>
        <item m="1" x="1498"/>
        <item m="1" x="5420"/>
        <item m="1" x="1366"/>
        <item m="1" x="5291"/>
        <item m="1" x="1238"/>
        <item m="1" x="5158"/>
        <item m="1" x="7124"/>
        <item m="1" x="3067"/>
        <item m="1" x="6992"/>
        <item m="1" x="2934"/>
        <item m="1" x="6862"/>
        <item m="1" x="2803"/>
        <item m="1" x="4774"/>
        <item m="1" x="722"/>
        <item m="1" x="4644"/>
        <item m="1" x="595"/>
        <item m="1" x="3530"/>
        <item m="1" x="4520"/>
        <item m="1" x="7452"/>
        <item m="1" x="464"/>
        <item m="1" x="2412"/>
        <item m="1" x="3397"/>
        <item m="1" x="6337"/>
        <item m="1" x="7321"/>
        <item m="1" x="2280"/>
        <item m="1" x="3263"/>
        <item m="1" x="5233"/>
        <item m="1" x="6208"/>
        <item m="1" x="1183"/>
        <item m="1" x="2151"/>
        <item m="1" x="5101"/>
        <item m="1" x="6073"/>
        <item m="1" x="75"/>
        <item m="1" x="1053"/>
        <item m="1" x="3998"/>
        <item m="1" x="4974"/>
        <item m="1" x="7911"/>
        <item m="1" x="920"/>
        <item m="1" x="2869"/>
        <item m="1" x="3866"/>
        <item m="1" x="6797"/>
        <item m="1" x="7783"/>
        <item m="1" x="2737"/>
        <item m="1" x="3730"/>
        <item m="1" x="5685"/>
        <item m="1" x="6666"/>
        <item m="1" x="1636"/>
        <item m="1" x="2609"/>
        <item m="1" x="5555"/>
        <item m="1" x="6531"/>
        <item m="1" x="532"/>
        <item m="1" x="1504"/>
        <item m="1" x="1987"/>
        <item m="1" x="4457"/>
        <item m="1" x="4940"/>
        <item m="1" x="5426"/>
        <item m="1" x="7879"/>
        <item m="1" x="401"/>
        <item m="1" x="888"/>
        <item m="1" x="1371"/>
        <item m="1" x="3333"/>
        <item m="1" x="3833"/>
        <item m="1" x="4324"/>
        <item m="1" x="4810"/>
        <item m="1" x="7261"/>
        <item m="1" x="7752"/>
        <item m="1" x="272"/>
        <item m="1" x="2706"/>
        <item m="1" x="3203"/>
        <item m="1" x="3701"/>
        <item m="1" x="4194"/>
        <item m="1" x="6141"/>
        <item m="1" x="6636"/>
        <item m="1" x="7130"/>
        <item m="1" x="7622"/>
        <item m="1" x="2088"/>
        <item m="1" x="2579"/>
        <item m="1" x="3072"/>
        <item m="1" x="5523"/>
        <item m="1" x="6010"/>
        <item m="1" x="6503"/>
        <item m="1" x="6997"/>
        <item m="1" x="986"/>
        <item m="1" x="1473"/>
        <item m="1" x="1957"/>
        <item m="1" x="2448"/>
        <item m="1" x="4909"/>
        <item m="1" x="5395"/>
        <item m="1" x="5882"/>
        <item m="1" x="6372"/>
        <item m="1" x="368"/>
        <item m="1" x="856"/>
        <item m="1" x="1342"/>
        <item m="1" x="1828"/>
        <item m="1" x="3799"/>
        <item m="1" x="4293"/>
        <item m="1" x="4779"/>
        <item m="1" x="5265"/>
        <item m="1" x="7719"/>
        <item m="1" x="240"/>
        <item m="1" x="727"/>
        <item m="1" x="1214"/>
        <item m="1" x="3170"/>
        <item m="1" x="3667"/>
        <item m="1" x="4163"/>
        <item m="1" x="4649"/>
        <item m="1" x="6604"/>
        <item m="1" x="7096"/>
        <item m="1" x="7588"/>
        <item m="1" x="111"/>
        <item m="1" x="2547"/>
        <item m="1" x="3038"/>
        <item m="1" x="3535"/>
        <item m="1" x="4035"/>
        <item m="1" x="5981"/>
        <item m="1" x="6472"/>
        <item m="1" x="6965"/>
        <item m="1" x="7458"/>
        <item m="1" x="1442"/>
        <item m="1" x="1689"/>
        <item m="1" x="1928"/>
        <item m="1" x="2172"/>
        <item m="1" x="2416"/>
        <item m="1" x="2663"/>
        <item m="1" x="2908"/>
        <item m="1" x="3153"/>
        <item m="1" x="5120"/>
        <item m="1" x="5364"/>
        <item m="1" x="5611"/>
        <item m="1" x="5852"/>
        <item m="1" x="6098"/>
        <item m="1" x="6343"/>
        <item m="1" x="6587"/>
        <item m="1" x="6835"/>
        <item m="1" x="826"/>
        <item m="1" x="1072"/>
        <item m="1" x="1313"/>
        <item m="1" x="1561"/>
        <item m="1" x="1799"/>
        <item m="1" x="2044"/>
        <item m="1" x="2285"/>
        <item m="1" x="4259"/>
        <item m="1" x="4506"/>
        <item m="1" x="4748"/>
        <item m="1" x="4994"/>
        <item m="1" x="5236"/>
        <item m="1" x="5483"/>
        <item m="1" x="5725"/>
        <item m="1" x="5966"/>
        <item m="1" x="7929"/>
        <item m="1" x="206"/>
        <item m="1" x="452"/>
        <item m="1" x="696"/>
        <item m="1" x="944"/>
        <item m="1" x="1189"/>
        <item m="1" x="1429"/>
        <item m="1" x="1676"/>
        <item m="1" x="3631"/>
        <item m="1" x="3884"/>
        <item m="1" x="4130"/>
        <item m="1" x="4378"/>
        <item m="1" x="4619"/>
        <item m="1" x="4866"/>
        <item m="1" x="5107"/>
        <item m="1" x="7060"/>
        <item m="1" x="7307"/>
        <item m="1" x="7554"/>
        <item m="1" x="7802"/>
        <item m="1" x="79"/>
        <item m="1" x="325"/>
        <item m="1" x="570"/>
        <item m="1" x="811"/>
        <item m="1" x="2756"/>
        <item m="1" x="3002"/>
        <item m="1" x="3251"/>
        <item m="1" x="3500"/>
        <item m="1" x="3751"/>
        <item m="1" x="4004"/>
        <item m="1" x="4246"/>
        <item m="1" x="4494"/>
        <item m="1" x="6436"/>
        <item m="1" x="6685"/>
        <item m="1" x="6930"/>
        <item m="1" x="7181"/>
        <item m="1" x="7423"/>
        <item m="1" x="7672"/>
        <item m="1" x="7916"/>
        <item m="1" x="1894"/>
        <item m="1" x="2137"/>
        <item m="1" x="2380"/>
        <item m="1" x="2629"/>
        <item m="1" x="2873"/>
        <item m="1" x="3122"/>
        <item m="1" x="3371"/>
        <item m="1" x="3617"/>
        <item m="1" x="5576"/>
        <item m="1" x="5816"/>
        <item m="1" x="6061"/>
        <item m="1" x="6306"/>
        <item m="1" x="6553"/>
        <item m="1" x="6803"/>
        <item m="1" x="7046"/>
        <item m="1" x="7294"/>
        <item m="1" x="1279"/>
        <item m="1" x="1524"/>
        <item m="1" x="1764"/>
        <item m="1" x="2009"/>
        <item m="1" x="2249"/>
        <item m="1" x="2499"/>
        <item m="1" x="2742"/>
        <item m="1" x="4715"/>
        <item m="1" x="4959"/>
        <item m="1" x="5200"/>
        <item m="1" x="5447"/>
        <item m="1" x="5689"/>
        <item m="1" x="5932"/>
        <item m="1" x="6179"/>
        <item m="1" x="6421"/>
        <item m="1" x="421"/>
        <item m="1" x="663"/>
        <item m="1" x="908"/>
        <item m="1" x="1153"/>
        <item m="1" x="1394"/>
        <item m="1" x="1642"/>
        <item m="1" x="1877"/>
        <item m="1" x="2122"/>
        <item m="1" x="4100"/>
        <item m="1" x="4343"/>
        <item m="1" x="4586"/>
        <item m="1" x="4832"/>
        <item m="1" x="5070"/>
        <item m="1" x="5317"/>
        <item m="1" x="5560"/>
        <item m="1" x="7523"/>
        <item m="1" x="7768"/>
        <item m="1" x="46"/>
        <item m="1" x="291"/>
        <item m="1" x="536"/>
        <item m="1" x="778"/>
        <item m="1" x="1022"/>
        <item m="1" x="1264"/>
        <item m="1" x="3220"/>
        <item m="1" x="3467"/>
        <item m="1" x="3718"/>
        <item m="1" x="3970"/>
        <item m="1" x="4213"/>
        <item m="1" x="4462"/>
        <item m="1" x="4698"/>
        <item m="1" x="4944"/>
        <item m="1" x="6899"/>
        <item m="1" x="7147"/>
        <item m="1" x="7391"/>
        <item m="1" x="7516"/>
        <item m="1" x="7641"/>
        <item m="1" x="7762"/>
        <item m="1" x="7883"/>
        <item m="1" x="39"/>
        <item m="1" x="162"/>
        <item m="1" x="284"/>
        <item m="1" x="405"/>
        <item m="1" x="528"/>
        <item m="1" x="2347"/>
        <item m="1" x="2474"/>
        <item m="1" x="2594"/>
        <item m="1" x="2715"/>
        <item m="1" x="2841"/>
        <item m="1" x="2964"/>
        <item m="1" x="3090"/>
        <item m="1" x="3213"/>
        <item m="1" x="3337"/>
        <item m="1" x="3461"/>
        <item m="1" x="3586"/>
        <item m="1" x="3711"/>
        <item m="1" x="3837"/>
        <item m="1" x="3962"/>
        <item m="1" x="4086"/>
        <item m="1" x="5906"/>
        <item m="1" x="6028"/>
        <item m="1" x="6151"/>
        <item m="1" x="6272"/>
        <item m="1" x="6396"/>
        <item m="1" x="6519"/>
        <item m="1" x="6645"/>
        <item m="1" x="6770"/>
        <item m="1" x="6892"/>
        <item m="1" x="7014"/>
        <item m="1" x="7141"/>
        <item m="1" x="7264"/>
        <item m="1" x="7384"/>
        <item m="1" x="7507"/>
        <item m="1" x="7633"/>
        <item m="1" x="7755"/>
        <item m="1" x="1615"/>
        <item m="1" x="1733"/>
        <item m="1" x="1850"/>
        <item m="1" x="1974"/>
        <item m="1" x="2098"/>
        <item m="1" x="2217"/>
        <item m="1" x="2340"/>
        <item m="1" x="2467"/>
        <item m="1" x="2588"/>
        <item m="1" x="2709"/>
        <item m="1" x="2835"/>
        <item m="1" x="2958"/>
        <item m="1" x="3084"/>
        <item m="1" x="3206"/>
        <item m="1" x="3330"/>
        <item m="1" x="5167"/>
        <item m="1" x="5292"/>
        <item m="1" x="5410"/>
        <item m="1" x="5533"/>
        <item m="1" x="5655"/>
        <item m="1" x="5776"/>
        <item m="1" x="5899"/>
        <item m="1" x="6021"/>
        <item m="1" x="6144"/>
        <item m="1" x="6266"/>
        <item m="1" x="6390"/>
        <item m="1" x="6513"/>
        <item m="1" x="6639"/>
        <item m="1" x="6763"/>
        <item m="1" x="6887"/>
        <item m="1" x="752"/>
        <item m="1" x="874"/>
        <item m="1" x="996"/>
        <item m="1" x="1117"/>
        <item m="1" x="1239"/>
        <item m="1" x="1358"/>
        <item m="1" x="1482"/>
        <item m="1" x="1608"/>
        <item m="1" x="1726"/>
        <item m="1" x="1844"/>
        <item m="1" x="1968"/>
        <item m="1" x="2091"/>
        <item m="1" x="2211"/>
        <item m="1" x="2333"/>
        <item m="1" x="2459"/>
        <item m="1" x="2583"/>
        <item m="1" x="4436"/>
        <item m="1" x="4555"/>
        <item m="1" x="4673"/>
        <item m="1" x="4797"/>
        <item m="1" x="4919"/>
        <item m="1" x="5038"/>
        <item m="1" x="5159"/>
        <item m="1" x="5284"/>
        <item m="1" x="5404"/>
        <item m="1" x="5526"/>
        <item m="1" x="5649"/>
        <item m="1" x="5770"/>
        <item m="1" x="5893"/>
        <item m="1" x="6014"/>
        <item m="1" x="6138"/>
        <item m="1" x="7982"/>
        <item m="1" x="138"/>
        <item m="1" x="257"/>
        <item m="1" x="379"/>
        <item m="1" x="502"/>
        <item m="1" x="624"/>
        <item m="1" x="745"/>
        <item m="1" x="867"/>
        <item m="1" x="989"/>
        <item m="1" x="1111"/>
        <item m="1" x="1232"/>
        <item m="1" x="1352"/>
        <item m="1" x="1476"/>
        <item m="1" x="1601"/>
        <item m="1" x="1721"/>
        <item m="1" x="3686"/>
        <item m="1" x="3810"/>
        <item m="1" x="3937"/>
        <item m="1" x="4062"/>
        <item m="1" x="4181"/>
        <item m="1" x="4304"/>
        <item m="1" x="4429"/>
        <item m="1" x="4548"/>
        <item m="1" x="4667"/>
        <item m="1" x="4791"/>
        <item m="1" x="4912"/>
        <item m="1" x="5032"/>
        <item m="1" x="5152"/>
        <item m="1" x="5276"/>
        <item m="1" x="5399"/>
        <item m="1" x="7241"/>
        <item m="1" x="7362"/>
        <item m="1" x="7484"/>
        <item m="1" x="7609"/>
        <item m="1" x="7732"/>
        <item m="1" x="7853"/>
        <item m="1" x="7975"/>
        <item m="1" x="132"/>
        <item m="1" x="251"/>
        <item m="1" x="372"/>
        <item m="1" x="496"/>
        <item m="1" x="618"/>
        <item m="1" x="739"/>
        <item m="1" x="860"/>
        <item m="1" x="983"/>
        <item m="1" x="2812"/>
        <item m="1" x="2935"/>
        <item m="1" x="3057"/>
        <item m="1" x="3181"/>
        <item m="1" x="3305"/>
        <item m="1" x="3430"/>
        <item m="1" x="3555"/>
        <item m="1" x="3679"/>
        <item m="1" x="3803"/>
        <item m="1" x="3930"/>
        <item m="1" x="4055"/>
        <item m="1" x="4174"/>
        <item m="1" x="4297"/>
        <item m="1" x="4421"/>
        <item m="1" x="4542"/>
        <item m="1" x="6491"/>
        <item m="1" x="6614"/>
        <item m="1" x="6739"/>
        <item m="1" x="6863"/>
        <item m="1" x="6983"/>
        <item m="1" x="7108"/>
        <item m="1" x="7233"/>
        <item m="1" x="7354"/>
        <item m="1" x="7476"/>
        <item m="1" x="7601"/>
        <item m="1" x="7723"/>
        <item m="1" x="7845"/>
        <item m="1" x="7967"/>
        <item m="1" x="122"/>
        <item m="1" x="244"/>
        <item m="1" x="2070"/>
        <item m="1" x="2190"/>
        <item m="1" x="2311"/>
        <item m="1" x="2436"/>
        <item m="1" x="2560"/>
        <item m="1" x="2681"/>
        <item m="1" x="2804"/>
        <item m="1" x="2927"/>
        <item m="1" x="3050"/>
        <item m="1" x="3173"/>
        <item m="1" x="3298"/>
        <item m="1" x="3423"/>
        <item m="1" x="3548"/>
        <item m="1" x="3671"/>
        <item m="1" x="3795"/>
        <item m="1" x="5628"/>
        <item m="1" x="5749"/>
        <item m="1" x="5870"/>
        <item m="1" x="5992"/>
        <item m="1" x="6116"/>
        <item m="1" x="6239"/>
        <item m="1" x="6362"/>
        <item m="1" x="6485"/>
        <item m="1" x="6608"/>
        <item m="1" x="6733"/>
        <item m="1" x="6856"/>
        <item m="1" x="6977"/>
        <item m="1" x="7102"/>
        <item m="1" x="7226"/>
        <item m="1" x="7348"/>
        <item m="1" x="1331"/>
        <item m="1" x="1452"/>
        <item m="1" x="1578"/>
        <item m="1" x="1700"/>
        <item m="1" x="1816"/>
        <item m="1" x="1939"/>
        <item m="1" x="2063"/>
        <item m="1" x="2183"/>
        <item m="1" x="2304"/>
        <item m="1" x="2429"/>
        <item m="1" x="2552"/>
        <item m="1" x="2674"/>
        <item m="1" x="2796"/>
        <item m="1" x="2919"/>
        <item m="1" x="3043"/>
        <item m="1" x="4891"/>
        <item m="1" x="5011"/>
        <item m="1" x="5131"/>
        <item m="1" x="5254"/>
        <item m="1" x="5376"/>
        <item m="1" x="5499"/>
        <item m="1" x="5621"/>
        <item m="1" x="5741"/>
        <item m="1" x="5862"/>
        <item m="1" x="5984"/>
        <item m="1" x="6108"/>
        <item m="1" x="6231"/>
        <item m="1" x="6354"/>
        <item m="1" x="6476"/>
        <item m="1" x="6599"/>
        <item m="1" x="474"/>
        <item m="1" x="596"/>
        <item m="1" x="714"/>
        <item m="1" x="838"/>
        <item m="1" x="960"/>
        <item m="1" x="1083"/>
        <item m="1" x="1204"/>
        <item m="1" x="1324"/>
        <item m="1" x="1445"/>
        <item m="1" x="1571"/>
        <item m="1" x="1693"/>
        <item m="1" x="1809"/>
        <item m="1" x="1932"/>
        <item m="1" x="2055"/>
        <item m="1" x="2176"/>
        <item m="1" x="2296"/>
        <item m="1" x="4151"/>
        <item m="1" x="4273"/>
        <item m="1" x="4398"/>
        <item m="1" x="4521"/>
        <item m="1" x="4636"/>
        <item m="1" x="4760"/>
        <item m="1" x="4884"/>
        <item m="1" x="5004"/>
        <item m="1" x="5124"/>
        <item m="1" x="5247"/>
        <item m="1" x="5369"/>
        <item m="1" x="5493"/>
        <item m="1" x="5615"/>
        <item m="1" x="5734"/>
        <item m="1" x="5856"/>
        <item m="1" x="3651"/>
        <item m="1" x="7700"/>
        <item m="1" x="3774"/>
        <item m="1" x="7822"/>
        <item m="1" x="3902"/>
        <item m="1" x="7944"/>
        <item m="1" x="4027"/>
        <item m="1" x="99"/>
        <item m="1" x="4146"/>
        <item m="1" x="220"/>
        <item m="1" x="4268"/>
        <item m="1" x="342"/>
        <item m="1" x="4393"/>
        <item m="1" x="465"/>
        <item m="1" x="4515"/>
        <item m="1" x="586"/>
        <item m="1" x="4631"/>
        <item m="1" x="706"/>
        <item m="1" x="4755"/>
        <item m="1" x="830"/>
        <item m="1" x="4880"/>
        <item m="1" x="953"/>
        <item m="1" x="5001"/>
        <item m="1" x="1077"/>
        <item m="1" x="5121"/>
        <item m="1" x="1198"/>
        <item m="1" x="5243"/>
        <item m="1" x="1317"/>
        <item m="1" x="5365"/>
        <item m="1" x="1438"/>
        <item m="1" x="5489"/>
        <item m="1" x="3275"/>
        <item m="1" x="7327"/>
        <item m="1" x="3398"/>
        <item m="1" x="7446"/>
        <item m="1" x="3520"/>
        <item m="1" x="7571"/>
        <item m="1" x="3645"/>
        <item m="1" x="7695"/>
        <item m="1" x="3769"/>
        <item m="1" x="7817"/>
        <item m="1" x="3897"/>
        <item m="1" x="7939"/>
        <item m="1" x="4022"/>
        <item m="1" x="94"/>
        <item m="1" x="4141"/>
        <item m="1" x="214"/>
        <item m="1" x="4263"/>
        <item m="1" x="337"/>
        <item m="1" x="4388"/>
        <item m="1" x="459"/>
        <item m="1" x="4511"/>
        <item m="1" x="582"/>
        <item m="1" x="4628"/>
        <item m="1" x="703"/>
        <item m="1" x="4752"/>
        <item m="1" x="827"/>
        <item m="1" x="4876"/>
        <item m="1" x="949"/>
        <item m="1" x="4997"/>
        <item m="1" x="1073"/>
        <item m="1" x="5116"/>
        <item m="1" x="2898"/>
        <item m="1" x="6951"/>
        <item m="1" x="3021"/>
        <item m="1" x="7074"/>
        <item m="1" x="3144"/>
        <item m="1" x="7201"/>
        <item m="1" x="3269"/>
        <item m="1" x="7322"/>
        <item m="1" x="3392"/>
        <item m="1" x="7441"/>
        <item m="1" x="3515"/>
        <item m="1" x="7566"/>
        <item m="1" x="3640"/>
        <item m="1" x="7690"/>
        <item m="1" x="3764"/>
        <item m="1" x="7812"/>
        <item m="1" x="3892"/>
        <item m="1" x="7934"/>
        <item m="1" x="4017"/>
        <item m="1" x="90"/>
        <item m="1" x="4137"/>
        <item m="1" x="211"/>
        <item m="1" x="4260"/>
        <item m="1" x="334"/>
        <item m="1" x="4385"/>
        <item m="1" x="456"/>
        <item m="1" x="4507"/>
        <item m="1" x="578"/>
        <item m="1" x="4624"/>
        <item m="1" x="699"/>
        <item m="1" x="6457"/>
        <item m="1" x="2529"/>
        <item m="1" x="6578"/>
        <item m="1" x="2649"/>
        <item m="1" x="6703"/>
        <item m="1" x="2771"/>
        <item m="1" x="6826"/>
        <item m="1" x="2893"/>
        <item m="1" x="6946"/>
        <item m="1" x="3016"/>
        <item m="1" x="7069"/>
        <item m="1" x="3139"/>
        <item m="1" x="7196"/>
        <item m="1" x="3264"/>
        <item m="1" x="7316"/>
        <item m="1" x="3387"/>
        <item m="1" x="7436"/>
        <item m="1" x="3510"/>
        <item m="1" x="7561"/>
        <item m="1" x="3635"/>
        <item m="1" x="7686"/>
        <item m="1" x="3760"/>
        <item m="1" x="7809"/>
        <item m="1" x="3889"/>
        <item m="1" x="7930"/>
        <item m="1" x="4014"/>
        <item m="1" x="86"/>
        <item m="1" x="4133"/>
        <item m="1" x="207"/>
        <item m="1" x="4255"/>
        <item m="1" x="330"/>
        <item m="1" x="6087"/>
        <item m="1" x="2158"/>
        <item m="1" x="6209"/>
        <item m="1" x="2275"/>
        <item m="1" x="6328"/>
        <item m="1" x="2399"/>
        <item m="1" x="6451"/>
        <item m="1" x="2524"/>
        <item m="1" x="6573"/>
        <item m="1" x="2644"/>
        <item m="1" x="6698"/>
        <item m="1" x="2766"/>
        <item m="1" x="6821"/>
        <item m="1" x="2888"/>
        <item m="1" x="6941"/>
        <item m="1" x="3010"/>
        <item m="1" x="7064"/>
        <item m="1" x="3134"/>
        <item m="1" x="7191"/>
        <item m="1" x="3258"/>
        <item m="1" x="7312"/>
        <item m="1" x="3383"/>
        <item m="1" x="7433"/>
        <item m="1" x="3507"/>
        <item m="1" x="7558"/>
        <item m="1" x="3632"/>
        <item m="1" x="7682"/>
        <item m="1" x="3756"/>
        <item m="1" x="7805"/>
        <item m="1" x="3885"/>
        <item m="1" x="7925"/>
        <item m="1" x="5716"/>
        <item m="1" x="1787"/>
        <item m="1" x="5836"/>
        <item m="1" x="1908"/>
        <item m="1" x="5957"/>
        <item m="1" x="2031"/>
        <item m="1" x="6080"/>
        <item m="1" x="2152"/>
        <item m="1" x="6202"/>
        <item m="1" x="2269"/>
        <item m="1" x="6322"/>
        <item m="1" x="2393"/>
        <item m="1" x="6445"/>
        <item m="1" x="2518"/>
        <item m="1" x="6567"/>
        <item m="1" x="2639"/>
        <item m="1" x="6693"/>
        <item m="1" x="2761"/>
        <item m="1" x="6816"/>
        <item m="1" x="2884"/>
        <item m="1" x="6937"/>
        <item m="1" x="3007"/>
        <item m="1" x="7061"/>
        <item m="1" x="3131"/>
        <item m="1" x="7188"/>
        <item m="1" x="3255"/>
        <item m="1" x="7308"/>
        <item m="1" x="3379"/>
        <item m="1" x="7429"/>
        <item m="1" x="3503"/>
        <item m="1" x="1299"/>
        <item m="1" x="5347"/>
        <item m="1" x="1419"/>
        <item m="1" x="5469"/>
        <item m="1" x="1543"/>
        <item m="1" x="5591"/>
        <item m="1" x="1666"/>
        <item m="1" x="5710"/>
        <item m="1" x="1781"/>
        <item m="1" x="5830"/>
        <item m="1" x="1902"/>
        <item m="1" x="5951"/>
        <item m="1" x="2025"/>
        <item m="1" x="6074"/>
        <item m="1" x="2145"/>
        <item m="1" x="6196"/>
        <item m="1" x="2264"/>
        <item m="1" x="6317"/>
        <item m="1" x="2388"/>
        <item m="1" x="6440"/>
        <item m="1" x="2514"/>
        <item m="1" x="6563"/>
        <item m="1" x="2636"/>
        <item m="1" x="6690"/>
        <item m="1" x="2757"/>
        <item m="1" x="6813"/>
        <item m="1" x="2880"/>
        <item m="1" x="6933"/>
        <item m="1" x="3003"/>
        <item m="1" x="7056"/>
        <item m="1" x="3127"/>
        <item m="1" x="932"/>
        <item m="1" x="4980"/>
        <item m="1" x="1054"/>
        <item m="1" x="5096"/>
        <item m="1" x="1174"/>
        <item m="1" x="5219"/>
        <item m="1" x="1294"/>
        <item m="1" x="5342"/>
        <item m="1" x="1414"/>
        <item m="1" x="5464"/>
        <item m="1" x="1538"/>
        <item m="1" x="5586"/>
        <item m="1" x="1661"/>
        <item m="1" x="5705"/>
        <item m="1" x="1776"/>
        <item m="1" x="5825"/>
        <item m="1" x="1898"/>
        <item m="1" x="5947"/>
        <item m="1" x="2021"/>
        <item m="1" x="6069"/>
        <item m="1" x="2142"/>
        <item m="1" x="6193"/>
        <item m="1" x="2261"/>
        <item m="1" x="6314"/>
        <item m="1" x="2384"/>
        <item m="1" x="6437"/>
        <item m="1" x="2510"/>
        <item m="1" x="6559"/>
        <item m="1" x="2632"/>
        <item m="1" x="6686"/>
        <item m="1" x="2752"/>
        <item m="1" x="562"/>
        <item m="1" x="4608"/>
        <item m="1" x="681"/>
        <item m="1" x="4729"/>
        <item m="1" x="803"/>
        <item m="1" x="4853"/>
        <item m="1" x="927"/>
        <item m="1" x="4975"/>
        <item m="1" x="1047"/>
        <item m="1" x="5091"/>
        <item m="1" x="1169"/>
        <item m="1" x="5214"/>
        <item m="1" x="1289"/>
        <item m="1" x="5337"/>
        <item m="1" x="1409"/>
        <item m="1" x="5459"/>
        <item m="1" x="1534"/>
        <item m="1" x="5582"/>
        <item m="1" x="1657"/>
        <item m="1" x="5702"/>
        <item m="1" x="1773"/>
        <item m="1" x="5822"/>
        <item m="1" x="1895"/>
        <item m="1" x="5944"/>
        <item m="1" x="2018"/>
        <item m="1" x="6066"/>
        <item m="1" x="2138"/>
        <item m="1" x="6189"/>
        <item m="1" x="2257"/>
        <item m="1" x="6310"/>
        <item m="1" x="191"/>
        <item m="1" x="4238"/>
        <item m="1" x="312"/>
        <item m="1" x="4361"/>
        <item m="1" x="434"/>
        <item m="1" x="4486"/>
        <item m="1" x="557"/>
        <item m="1" x="4603"/>
        <item m="1" x="676"/>
        <item m="1" x="4724"/>
        <item m="1" x="798"/>
        <item m="1" x="4848"/>
        <item m="1" x="921"/>
        <item m="1" x="4968"/>
        <item m="1" x="1041"/>
        <item m="1" x="5086"/>
        <item m="1" x="1164"/>
        <item m="1" x="5209"/>
        <item m="1" x="1284"/>
        <item m="1" x="5333"/>
        <item m="1" x="1405"/>
        <item m="1" x="5455"/>
        <item m="1" x="1530"/>
        <item m="1" x="5577"/>
        <item m="1" x="1653"/>
        <item m="1" x="5697"/>
        <item m="1" x="1768"/>
        <item m="1" x="5817"/>
        <item m="1" x="1889"/>
        <item m="1" x="5939"/>
        <item m="1" x="3740"/>
        <item m="1" x="7789"/>
        <item m="1" x="3867"/>
        <item m="1" x="7906"/>
        <item m="1" x="3990"/>
        <item m="1" x="63"/>
        <item m="1" x="4113"/>
        <item m="1" x="186"/>
        <item m="1" x="4233"/>
        <item m="1" x="307"/>
        <item m="1" x="4356"/>
        <item m="1" x="429"/>
        <item m="1" x="4481"/>
        <item m="1" x="551"/>
        <item m="1" x="4597"/>
        <item m="1" x="671"/>
        <item m="1" x="4719"/>
        <item m="1" x="793"/>
        <item m="1" x="4843"/>
        <item m="1" x="915"/>
        <item m="1" x="4964"/>
        <item m="1" x="1037"/>
        <item m="1" x="5082"/>
        <item m="1" x="1160"/>
        <item m="1" x="5204"/>
        <item m="1" x="1280"/>
        <item m="1" x="5328"/>
        <item m="1" x="1400"/>
        <item m="1" x="5450"/>
        <item m="1" x="1525"/>
        <item m="1" x="5571"/>
        <item m="1" x="3363"/>
        <item m="1" x="7412"/>
        <item m="1" x="3485"/>
        <item m="1" x="7536"/>
        <item m="1" x="3609"/>
        <item m="1" x="7660"/>
        <item m="1" x="3735"/>
        <item m="1" x="7784"/>
        <item m="1" x="3860"/>
        <item m="1" x="7902"/>
        <item m="1" x="3986"/>
        <item m="1" x="59"/>
        <item m="1" x="4109"/>
        <item m="1" x="181"/>
        <item m="1" x="4228"/>
        <item m="1" x="303"/>
        <item m="1" x="4352"/>
        <item m="1" x="425"/>
        <item m="1" x="4477"/>
        <item m="1" x="548"/>
        <item m="1" x="4594"/>
        <item m="1" x="668"/>
        <item m="1" x="4716"/>
        <item m="1" x="790"/>
        <item m="1" x="4840"/>
        <item m="1" x="912"/>
        <item m="1" x="4960"/>
        <item m="1" x="1033"/>
        <item m="1" x="5078"/>
        <item m="1" x="1156"/>
        <item m="1" x="2987"/>
        <item m="1" x="7038"/>
        <item m="1" x="3109"/>
        <item m="1" x="7164"/>
        <item m="1" x="3233"/>
        <item m="1" x="7286"/>
        <item m="1" x="3358"/>
        <item m="1" x="7407"/>
        <item m="1" x="3480"/>
        <item m="1" x="7532"/>
        <item m="1" x="3605"/>
        <item m="1" x="7656"/>
        <item m="1" x="3731"/>
        <item m="1" x="7778"/>
        <item m="1" x="3855"/>
        <item m="1" x="7898"/>
        <item m="1" x="3982"/>
        <item m="1" x="55"/>
        <item m="1" x="4105"/>
        <item m="1" x="178"/>
        <item m="1" x="4225"/>
        <item m="1" x="300"/>
        <item m="1" x="4349"/>
        <item m="1" x="422"/>
        <item m="1" x="4474"/>
        <item m="1" x="545"/>
        <item m="1" x="4590"/>
        <item m="1" x="664"/>
        <item m="1" x="4711"/>
        <item m="1" x="786"/>
        <item m="1" x="6541"/>
        <item m="1" x="2615"/>
        <item m="1" x="6667"/>
        <item m="1" x="2732"/>
        <item m="1" x="6789"/>
        <item m="1" x="2857"/>
        <item m="1" x="6912"/>
        <item m="1" x="2982"/>
        <item m="1" x="7033"/>
        <item m="1" x="3105"/>
        <item m="1" x="7160"/>
        <item m="1" x="3229"/>
        <item m="1" x="7282"/>
        <item m="1" x="3353"/>
        <item m="1" x="7402"/>
        <item m="1" x="3476"/>
        <item m="1" x="7528"/>
        <item m="1" x="3601"/>
        <item m="1" x="7652"/>
        <item m="1" x="3726"/>
        <item m="1" x="7774"/>
        <item m="1" x="3851"/>
        <item m="1" x="7894"/>
        <item m="1" x="3978"/>
        <item m="1" x="51"/>
        <item m="1" x="4101"/>
        <item m="1" x="173"/>
        <item m="1" x="4220"/>
        <item m="1" x="295"/>
        <item m="1" x="4344"/>
        <item m="1" x="416"/>
        <item m="1" x="6171"/>
        <item m="1" x="2238"/>
        <item m="1" x="6290"/>
        <item m="1" x="2360"/>
        <item m="1" x="6413"/>
        <item m="1" x="2487"/>
        <item m="1" x="6536"/>
        <item m="1" x="2610"/>
        <item m="1" x="6661"/>
        <item m="1" x="2728"/>
        <item m="1" x="6785"/>
        <item m="1" x="2853"/>
        <item m="1" x="6908"/>
        <item m="1" x="2977"/>
        <item m="1" x="7028"/>
        <item m="1" x="3101"/>
        <item m="1" x="7156"/>
        <item m="1" x="3225"/>
        <item m="1" x="7278"/>
        <item m="1" x="3348"/>
        <item m="1" x="7398"/>
        <item m="1" x="3472"/>
        <item m="1" x="7524"/>
        <item m="1" x="3597"/>
        <item m="1" x="7648"/>
        <item m="1" x="3722"/>
        <item m="1" x="7769"/>
        <item m="1" x="3846"/>
        <item m="1" x="7889"/>
        <item m="1" x="3973"/>
        <item m="1" x="5799"/>
        <item m="1" x="1869"/>
        <item m="1" x="5919"/>
        <item m="1" x="1992"/>
        <item m="1" x="6042"/>
        <item m="1" x="2114"/>
        <item m="1" x="6166"/>
        <item m="1" x="2233"/>
        <item m="1" x="6285"/>
        <item m="1" x="2356"/>
        <item m="1" x="6409"/>
        <item m="1" x="2483"/>
        <item m="1" x="6532"/>
        <item m="1" x="2604"/>
        <item m="1" x="6656"/>
        <item m="1" x="2724"/>
        <item m="1" x="6781"/>
        <item m="1" x="2849"/>
        <item m="1" x="6904"/>
        <item m="1" x="2973"/>
        <item m="1" x="7024"/>
        <item m="1" x="3097"/>
        <item m="1" x="7152"/>
        <item m="1" x="3221"/>
        <item m="1" x="7274"/>
        <item m="1" x="3344"/>
        <item m="1" x="7394"/>
        <item m="1" x="3468"/>
        <item m="1" x="7519"/>
        <item m="1" x="3593"/>
        <item m="1" x="1381"/>
        <item m="1" x="5432"/>
        <item m="1" x="1505"/>
        <item m="1" x="5550"/>
        <item m="1" x="1628"/>
        <item m="1" x="5673"/>
        <item m="1" x="1746"/>
        <item m="1" x="5794"/>
        <item m="1" x="1864"/>
        <item m="1" x="5915"/>
        <item m="1" x="1988"/>
        <item m="1" x="6038"/>
        <item m="1" x="2110"/>
        <item m="1" x="6161"/>
        <item m="1" x="2228"/>
        <item m="1" x="6281"/>
        <item m="1" x="2352"/>
        <item m="1" x="6405"/>
        <item m="1" x="2479"/>
        <item m="1" x="6527"/>
        <item m="1" x="2600"/>
        <item m="1" x="6652"/>
        <item m="1" x="2720"/>
        <item m="1" x="6777"/>
        <item m="1" x="2845"/>
        <item m="1" x="6900"/>
        <item m="1" x="2968"/>
        <item m="1" x="7020"/>
        <item m="1" x="3093"/>
        <item m="1" x="7148"/>
        <item m="1" x="3216"/>
        <item m="1" x="1015"/>
        <item m="1" x="5059"/>
        <item m="1" x="1136"/>
        <item m="1" x="5180"/>
        <item m="1" x="1256"/>
        <item m="1" x="5305"/>
        <item m="1" x="7332"/>
        <item m="1" x="1376"/>
        <item m="1" x="3404"/>
        <item m="1" x="5427"/>
        <item m="1" x="7453"/>
        <item m="1" x="1499"/>
        <item m="1" x="3525"/>
        <item m="1" x="5546"/>
        <item m="1" x="7576"/>
        <item m="1" x="1624"/>
        <item m="1" x="3652"/>
        <item m="1" x="5669"/>
        <item m="1" x="7701"/>
        <item m="1" x="1742"/>
        <item m="1" x="3775"/>
        <item m="1" x="5789"/>
        <item m="1" x="7823"/>
        <item m="1" x="1859"/>
        <item m="1" x="3903"/>
        <item m="1" x="5911"/>
        <item m="1" x="7945"/>
        <item m="1" x="1983"/>
        <item m="1" x="4028"/>
        <item m="1" x="6033"/>
        <item m="1" x="100"/>
        <item m="1" x="2106"/>
        <item m="1" x="4147"/>
        <item m="1" x="6156"/>
        <item m="1" x="221"/>
        <item m="1" x="2224"/>
        <item m="1" x="4269"/>
        <item m="1" x="6277"/>
        <item m="1" x="343"/>
        <item m="1" x="2348"/>
        <item m="1" x="4394"/>
        <item m="1" x="6401"/>
        <item m="1" x="466"/>
        <item m="1" x="2475"/>
        <item m="1" x="4516"/>
        <item m="1" x="6523"/>
        <item m="1" x="587"/>
        <item m="1" x="2595"/>
        <item m="1" x="4632"/>
        <item m="1" x="6648"/>
        <item m="1" x="707"/>
        <item m="1" x="2716"/>
        <item m="1" x="4756"/>
        <item m="1" x="6773"/>
        <item m="1" x="831"/>
        <item m="1" x="6588"/>
        <item m="1" x="646"/>
        <item m="1" x="2659"/>
        <item m="1" x="4691"/>
        <item m="1" x="6714"/>
        <item m="1" x="766"/>
        <item m="1" x="2780"/>
        <item m="1" x="4815"/>
        <item m="1" x="6836"/>
        <item m="1" x="889"/>
        <item m="1" x="2903"/>
        <item m="1" x="4935"/>
        <item m="1" x="6956"/>
        <item m="1" x="1010"/>
        <item m="1" x="3027"/>
        <item m="1" x="5054"/>
        <item m="1" x="7080"/>
        <item m="1" x="1131"/>
        <item m="1" x="3149"/>
        <item m="1" x="5176"/>
        <item m="1" x="7206"/>
        <item m="1" x="1252"/>
        <item m="1" x="3276"/>
        <item m="1" x="5301"/>
        <item m="1" x="7328"/>
        <item m="1" x="1372"/>
        <item m="1" x="3399"/>
        <item m="1" x="5421"/>
        <item m="1" x="7447"/>
        <item m="1" x="1493"/>
        <item m="1" x="3521"/>
        <item m="1" x="5542"/>
        <item m="1" x="7572"/>
        <item m="1" x="1620"/>
        <item m="1" x="3646"/>
        <item m="1" x="5664"/>
        <item m="1" x="7696"/>
        <item m="1" x="1738"/>
        <item m="1" x="3770"/>
        <item m="1" x="5785"/>
        <item m="1" x="7818"/>
        <item m="1" x="1855"/>
        <item m="1" x="3898"/>
        <item m="1" x="5907"/>
        <item m="1" x="7940"/>
        <item m="1" x="1979"/>
        <item m="1" x="4023"/>
        <item m="1" x="6029"/>
        <item m="1" x="95"/>
        <item m="1" x="2102"/>
        <item m="1" x="4142"/>
        <item m="1" x="6152"/>
        <item m="1" x="215"/>
        <item m="1" x="2220"/>
        <item m="1" x="4264"/>
        <item m="1" x="6273"/>
        <item m="1" x="338"/>
        <item m="1" x="2343"/>
        <item m="1" x="4389"/>
        <item m="1" x="6397"/>
        <item m="1" x="460"/>
        <item m="1" x="4202"/>
        <item m="1" x="6218"/>
        <item m="1" x="277"/>
        <item m="1" x="2286"/>
        <item m="1" x="4325"/>
        <item m="1" x="6338"/>
        <item m="1" x="396"/>
        <item m="1" x="2407"/>
        <item m="1" x="4449"/>
        <item m="1" x="6461"/>
        <item m="1" x="520"/>
        <item m="1" x="2533"/>
        <item m="1" x="4568"/>
        <item m="1" x="6582"/>
        <item m="1" x="641"/>
        <item m="1" x="2654"/>
        <item m="1" x="4686"/>
        <item m="1" x="6708"/>
        <item m="1" x="761"/>
        <item m="1" x="2776"/>
        <item m="1" x="4811"/>
        <item m="1" x="6831"/>
        <item m="1" x="884"/>
        <item m="1" x="2899"/>
        <item m="1" x="4931"/>
        <item m="1" x="6952"/>
        <item m="1" x="1005"/>
        <item m="1" x="3022"/>
        <item m="1" x="5049"/>
        <item m="1" x="7075"/>
        <item m="1" x="1126"/>
        <item m="1" x="3145"/>
        <item m="1" x="5172"/>
        <item m="1" x="7202"/>
        <item m="1" x="1248"/>
        <item m="1" x="3270"/>
        <item m="1" x="5297"/>
        <item m="1" x="7323"/>
        <item m="1" x="1367"/>
        <item m="1" x="3393"/>
        <item m="1" x="5416"/>
        <item m="1" x="7442"/>
        <item m="1" x="1489"/>
        <item m="1" x="3516"/>
        <item m="1" x="5538"/>
        <item m="1" x="7567"/>
        <item m="1" x="1616"/>
        <item m="1" x="3641"/>
        <item m="1" x="5660"/>
        <item m="1" x="7691"/>
        <item m="1" x="1734"/>
        <item m="1" x="3765"/>
        <item m="1" x="5780"/>
        <item m="1" x="7813"/>
        <item m="1" x="1851"/>
        <item m="1" x="3893"/>
        <item m="1" x="5902"/>
        <item m="1" x="7935"/>
        <item m="1" x="1975"/>
        <item m="1" x="4018"/>
        <item m="1" x="6024"/>
        <item m="1" x="3829"/>
        <item m="1" x="5846"/>
        <item m="1" x="7873"/>
        <item m="1" x="1918"/>
        <item m="1" x="3955"/>
        <item m="1" x="5967"/>
        <item m="1" x="7996"/>
        <item m="1" x="2040"/>
        <item m="1" x="4079"/>
        <item m="1" x="6091"/>
        <item m="1" x="152"/>
        <item m="1" x="2162"/>
        <item m="1" x="4198"/>
        <item m="1" x="6214"/>
        <item m="1" x="273"/>
        <item m="1" x="2281"/>
        <item m="1" x="4320"/>
        <item m="1" x="6333"/>
        <item m="1" x="393"/>
        <item m="1" x="2404"/>
        <item m="1" x="4446"/>
        <item m="1" x="6458"/>
        <item m="1" x="517"/>
        <item m="1" x="2530"/>
        <item m="1" x="4565"/>
        <item m="1" x="6579"/>
        <item m="1" x="637"/>
        <item m="1" x="2650"/>
        <item m="1" x="4682"/>
        <item m="1" x="6704"/>
        <item m="1" x="757"/>
        <item m="1" x="2772"/>
        <item m="1" x="4806"/>
        <item m="1" x="6827"/>
        <item m="1" x="879"/>
        <item m="1" x="2894"/>
        <item m="1" x="4927"/>
        <item m="1" x="6947"/>
        <item m="1" x="1001"/>
        <item m="1" x="3017"/>
        <item m="1" x="5045"/>
        <item m="1" x="7070"/>
        <item m="1" x="1122"/>
        <item m="1" x="3140"/>
        <item m="1" x="5168"/>
        <item m="1" x="7197"/>
        <item m="1" x="1244"/>
        <item m="1" x="3265"/>
        <item m="1" x="5293"/>
        <item m="1" x="7317"/>
        <item m="1" x="1362"/>
        <item m="1" x="3388"/>
        <item m="1" x="5411"/>
        <item m="1" x="7437"/>
        <item m="1" x="1485"/>
        <item m="1" x="3511"/>
        <item m="1" x="5534"/>
        <item m="1" x="7562"/>
        <item m="1" x="1611"/>
        <item m="1" x="3636"/>
        <item m="1" x="5656"/>
        <item m="1" x="1430"/>
        <item m="1" x="3453"/>
        <item m="1" x="5480"/>
        <item m="1" x="7502"/>
        <item m="1" x="1555"/>
        <item m="1" x="3576"/>
        <item m="1" x="5601"/>
        <item m="1" x="7627"/>
        <item m="1" x="1677"/>
        <item m="1" x="3702"/>
        <item m="1" x="5721"/>
        <item m="1" x="7748"/>
        <item m="1" x="1792"/>
        <item m="1" x="3825"/>
        <item m="1" x="5842"/>
        <item m="1" x="7869"/>
        <item m="1" x="1914"/>
        <item m="1" x="3951"/>
        <item m="1" x="5963"/>
        <item m="1" x="7993"/>
        <item m="1" x="2037"/>
        <item m="1" x="4076"/>
        <item m="1" x="6088"/>
        <item m="1" x="149"/>
        <item m="1" x="2159"/>
        <item m="1" x="4195"/>
        <item m="1" x="6210"/>
        <item m="1" x="268"/>
        <item m="1" x="2276"/>
        <item m="1" x="4316"/>
        <item m="1" x="6329"/>
        <item m="1" x="389"/>
        <item m="1" x="2400"/>
        <item m="1" x="4442"/>
        <item m="1" x="6452"/>
        <item m="1" x="512"/>
        <item m="1" x="2525"/>
        <item m="1" x="4561"/>
        <item m="1" x="6574"/>
        <item m="1" x="633"/>
        <item m="1" x="2645"/>
        <item m="1" x="4678"/>
        <item m="1" x="6699"/>
        <item m="1" x="753"/>
        <item m="1" x="2767"/>
        <item m="1" x="4802"/>
        <item m="1" x="6822"/>
        <item m="1" x="875"/>
        <item m="1" x="2889"/>
        <item m="1" x="4923"/>
        <item m="1" x="6942"/>
        <item m="1" x="997"/>
        <item m="1" x="3011"/>
        <item m="1" x="5041"/>
        <item m="1" x="7065"/>
        <item m="1" x="1118"/>
        <item m="1" x="3135"/>
        <item m="1" x="5163"/>
        <item m="1" x="7192"/>
        <item m="1" x="1240"/>
        <item m="1" x="3259"/>
        <item m="1" x="7006"/>
        <item m="1" x="1064"/>
        <item m="1" x="3078"/>
        <item m="1" x="5108"/>
        <item m="1" x="7131"/>
        <item m="1" x="1184"/>
        <item m="1" x="3198"/>
        <item m="1" x="5228"/>
        <item m="1" x="7254"/>
        <item m="1" x="1304"/>
        <item m="1" x="3323"/>
        <item m="1" x="5352"/>
        <item m="1" x="7375"/>
        <item m="1" x="1424"/>
        <item m="1" x="3448"/>
        <item m="1" x="5475"/>
        <item m="1" x="7497"/>
        <item m="1" x="1549"/>
        <item m="1" x="3571"/>
        <item m="1" x="5597"/>
        <item m="1" x="7623"/>
        <item m="1" x="1672"/>
        <item m="1" x="3697"/>
        <item m="1" x="5717"/>
        <item m="1" x="7744"/>
        <item m="1" x="1788"/>
        <item m="1" x="3820"/>
        <item m="1" x="5837"/>
        <item m="1" x="7864"/>
        <item m="1" x="1909"/>
        <item m="1" x="3946"/>
        <item m="1" x="5958"/>
        <item m="1" x="7988"/>
        <item m="1" x="2032"/>
        <item m="1" x="4071"/>
        <item m="1" x="6081"/>
        <item m="1" x="144"/>
        <item m="1" x="2153"/>
        <item m="1" x="4189"/>
        <item m="1" x="6203"/>
        <item m="1" x="263"/>
        <item m="1" x="2270"/>
        <item m="1" x="4311"/>
        <item m="1" x="6323"/>
        <item m="1" x="384"/>
        <item m="1" x="2394"/>
        <item m="1" x="4437"/>
        <item m="1" x="6446"/>
        <item m="1" x="507"/>
        <item m="1" x="2519"/>
        <item m="1" x="4556"/>
        <item m="1" x="6568"/>
        <item m="1" x="628"/>
        <item m="1" x="2640"/>
        <item m="1" x="4674"/>
        <item m="1" x="6694"/>
        <item m="1" x="748"/>
        <item m="1" x="2762"/>
        <item m="1" x="4798"/>
        <item m="1" x="6817"/>
        <item m="1" x="870"/>
        <item m="1" x="6632"/>
        <item m="1" x="690"/>
        <item m="1" x="2700"/>
        <item m="1" x="4738"/>
        <item m="1" x="6755"/>
        <item m="1" x="812"/>
        <item m="1" x="2824"/>
        <item m="1" x="4861"/>
        <item m="1" x="6879"/>
        <item m="1" x="936"/>
        <item m="1" x="2948"/>
        <item m="1" x="4984"/>
        <item m="1" x="7001"/>
        <item m="1" x="1059"/>
        <item m="1" x="3073"/>
        <item m="1" x="5102"/>
        <item m="1" x="7125"/>
        <item m="1" x="1179"/>
        <item m="1" x="3194"/>
        <item m="1" x="5224"/>
        <item m="1" x="7250"/>
        <item m="1" x="1300"/>
        <item m="1" x="3319"/>
        <item m="1" x="5348"/>
        <item m="1" x="7371"/>
        <item m="1" x="1420"/>
        <item m="1" x="3443"/>
        <item m="1" x="5470"/>
        <item m="1" x="7492"/>
        <item m="1" x="1544"/>
        <item m="1" x="3566"/>
        <item m="1" x="5592"/>
        <item m="1" x="7617"/>
        <item m="1" x="1667"/>
        <item m="1" x="3691"/>
        <item m="1" x="5711"/>
        <item m="1" x="7739"/>
        <item m="1" x="1782"/>
        <item m="1" x="3815"/>
        <item m="1" x="5831"/>
        <item m="1" x="7859"/>
        <item m="1" x="1903"/>
        <item m="1" x="3941"/>
        <item m="1" x="5952"/>
        <item m="1" x="7983"/>
        <item m="1" x="2026"/>
        <item m="1" x="4066"/>
        <item m="1" x="6075"/>
        <item m="1" x="139"/>
        <item m="1" x="2146"/>
        <item m="1" x="4184"/>
        <item m="1" x="6197"/>
        <item m="1" x="258"/>
        <item m="1" x="2265"/>
        <item m="1" x="4307"/>
        <item m="1" x="6318"/>
        <item m="1" x="380"/>
        <item m="1" x="2389"/>
        <item m="1" x="4432"/>
        <item m="1" x="6441"/>
        <item m="1" x="503"/>
        <item m="1" x="4247"/>
        <item m="1" x="6258"/>
        <item m="1" x="321"/>
        <item m="1" x="2327"/>
        <item m="1" x="4370"/>
        <item m="1" x="6380"/>
        <item m="1" x="442"/>
        <item m="1" x="2452"/>
        <item m="1" x="4495"/>
        <item m="1" x="6504"/>
        <item m="1" x="566"/>
        <item m="1" x="2575"/>
        <item m="1" x="4612"/>
        <item m="1" x="6628"/>
        <item m="1" x="686"/>
        <item m="1" x="2696"/>
        <item m="1" x="4734"/>
        <item m="1" x="6752"/>
        <item m="1" x="808"/>
        <item m="1" x="2821"/>
        <item m="1" x="4858"/>
        <item m="1" x="6876"/>
        <item m="1" x="933"/>
        <item m="1" x="2945"/>
        <item m="1" x="4981"/>
        <item m="1" x="6998"/>
        <item m="1" x="1055"/>
        <item m="1" x="3068"/>
        <item m="1" x="5097"/>
        <item m="1" x="7120"/>
        <item m="1" x="1175"/>
        <item m="1" x="3190"/>
        <item m="1" x="5220"/>
        <item m="1" x="7246"/>
        <item m="1" x="1295"/>
        <item m="1" x="3314"/>
        <item m="1" x="5343"/>
        <item m="1" x="7367"/>
        <item m="1" x="1415"/>
        <item m="1" x="3439"/>
        <item m="1" x="5465"/>
        <item m="1" x="7488"/>
        <item m="1" x="1539"/>
        <item m="1" x="3562"/>
        <item m="1" x="5587"/>
        <item m="1" x="7613"/>
        <item m="1" x="1662"/>
        <item m="1" x="3687"/>
        <item m="1" x="5706"/>
        <item m="1" x="7735"/>
        <item m="1" x="1777"/>
        <item m="1" x="3811"/>
        <item m="1" x="5826"/>
        <item m="1" x="7856"/>
        <item m="1" x="1899"/>
        <item m="1" x="3938"/>
        <item m="1" x="5948"/>
        <item m="1" x="7979"/>
        <item m="1" x="2022"/>
        <item m="1" x="4063"/>
        <item m="1" x="6070"/>
        <item m="1" x="1836"/>
        <item m="1" x="3876"/>
        <item m="1" x="5887"/>
        <item m="1" x="7917"/>
        <item m="1" x="1958"/>
        <item m="1" x="3999"/>
        <item m="1" x="6006"/>
        <item m="1" x="71"/>
        <item m="1" x="2081"/>
        <item m="1" x="4121"/>
        <item m="1" x="6131"/>
        <item m="1" x="195"/>
        <item m="1" x="2202"/>
        <item m="1" x="4242"/>
        <item m="1" x="6254"/>
        <item m="1" x="317"/>
        <item m="1" x="2323"/>
        <item m="1" x="4366"/>
        <item m="1" x="6377"/>
        <item m="1" x="439"/>
        <item m="1" x="2449"/>
        <item m="1" x="4491"/>
        <item m="1" x="6500"/>
        <item m="1" x="563"/>
        <item m="1" x="2572"/>
        <item m="1" x="4609"/>
        <item m="1" x="6624"/>
        <item m="1" x="682"/>
        <item m="1" x="2692"/>
        <item m="1" x="4730"/>
        <item m="1" x="6748"/>
        <item m="1" x="804"/>
        <item m="1" x="2817"/>
        <item m="1" x="4854"/>
        <item m="1" x="6872"/>
        <item m="1" x="928"/>
        <item m="1" x="2941"/>
        <item m="1" x="4976"/>
        <item m="1" x="6993"/>
        <item m="1" x="1048"/>
        <item m="1" x="3063"/>
        <item m="1" x="5092"/>
        <item m="1" x="7116"/>
        <item m="1" x="1170"/>
        <item m="1" x="3186"/>
        <item m="1" x="5215"/>
        <item m="1" x="7242"/>
        <item m="1" x="1290"/>
        <item m="1" x="3310"/>
        <item m="1" x="5338"/>
        <item m="1" x="7363"/>
        <item m="1" x="1410"/>
        <item m="1" x="3434"/>
        <item m="1" x="5460"/>
        <item m="1" x="7485"/>
        <item m="1" x="1535"/>
        <item m="1" x="3559"/>
        <item m="1" x="5583"/>
        <item m="1" x="7610"/>
        <item m="1" x="1658"/>
        <item m="1" x="3683"/>
        <item m="1" x="1469"/>
        <item m="1" x="3494"/>
        <item m="1" x="5517"/>
        <item m="1" x="7545"/>
        <item m="1" x="1593"/>
        <item m="1" x="3618"/>
        <item m="1" x="5639"/>
        <item m="1" x="7668"/>
        <item m="1" x="1714"/>
        <item m="1" x="3744"/>
        <item m="1" x="5761"/>
        <item m="1" x="7793"/>
        <item m="1" x="1832"/>
        <item m="1" x="3872"/>
        <item m="1" x="5883"/>
        <item m="1" x="7912"/>
        <item m="1" x="1953"/>
        <item m="1" x="3995"/>
        <item m="1" x="6003"/>
        <item m="1" x="68"/>
        <item m="1" x="2078"/>
        <item m="1" x="4118"/>
        <item m="1" x="6128"/>
        <item m="1" x="192"/>
        <item m="1" x="2199"/>
        <item m="1" x="4239"/>
        <item m="1" x="6250"/>
        <item m="1" x="313"/>
        <item m="1" x="2319"/>
        <item m="1" x="4362"/>
        <item m="1" x="6373"/>
        <item m="1" x="435"/>
        <item m="1" x="2444"/>
        <item m="1" x="4487"/>
        <item m="1" x="6496"/>
        <item m="1" x="558"/>
        <item m="1" x="2568"/>
        <item m="1" x="4604"/>
        <item m="1" x="6620"/>
        <item m="1" x="677"/>
        <item m="1" x="2688"/>
        <item m="1" x="4725"/>
        <item m="1" x="6744"/>
        <item m="1" x="799"/>
        <item m="1" x="2813"/>
        <item m="1" x="4849"/>
        <item m="1" x="6868"/>
        <item m="1" x="922"/>
        <item m="1" x="2936"/>
        <item m="1" x="4969"/>
        <item m="1" x="6987"/>
        <item m="1" x="1042"/>
        <item m="1" x="3058"/>
        <item m="1" x="5087"/>
        <item m="1" x="7112"/>
        <item m="1" x="1165"/>
        <item m="1" x="3182"/>
        <item m="1" x="5210"/>
        <item m="1" x="7237"/>
        <item m="1" x="1285"/>
        <item m="1" x="3306"/>
        <item m="1" x="7047"/>
        <item m="1" x="1103"/>
        <item m="1" x="3118"/>
        <item m="1" x="5146"/>
        <item m="1" x="7173"/>
        <item m="1" x="1222"/>
        <item m="1" x="3241"/>
        <item m="1" x="5269"/>
        <item m="1" x="7295"/>
        <item m="1" x="1343"/>
        <item m="1" x="3367"/>
        <item m="1" x="5391"/>
        <item m="1" x="7416"/>
        <item m="1" x="1465"/>
        <item m="1" x="3490"/>
        <item m="1" x="5513"/>
        <item m="1" x="7541"/>
        <item m="1" x="1589"/>
        <item m="1" x="3614"/>
        <item m="1" x="5636"/>
        <item m="1" x="7665"/>
        <item m="1" x="1711"/>
        <item m="1" x="3741"/>
        <item m="1" x="5758"/>
        <item m="1" x="7790"/>
        <item m="1" x="1829"/>
        <item m="1" x="3868"/>
        <item m="1" x="5878"/>
        <item m="1" x="7907"/>
        <item m="1" x="1949"/>
        <item m="1" x="3991"/>
        <item m="1" x="5999"/>
        <item m="1" x="64"/>
        <item m="1" x="2074"/>
        <item m="1" x="4114"/>
        <item m="1" x="6124"/>
        <item m="1" x="187"/>
        <item m="1" x="2195"/>
        <item m="1" x="4234"/>
        <item m="1" x="6246"/>
        <item m="1" x="308"/>
        <item m="1" x="2315"/>
        <item m="1" x="4357"/>
        <item m="1" x="6368"/>
        <item m="1" x="430"/>
        <item m="1" x="2440"/>
        <item m="1" x="4482"/>
        <item m="1" x="6492"/>
        <item m="1" x="552"/>
        <item m="1" x="2563"/>
        <item m="1" x="4598"/>
        <item m="1" x="6615"/>
        <item m="1" x="672"/>
        <item m="1" x="2684"/>
        <item m="1" x="4720"/>
        <item m="1" x="6740"/>
        <item m="1" x="794"/>
        <item m="1" x="2808"/>
        <item m="1" x="4844"/>
        <item m="1" x="6864"/>
        <item m="1" x="916"/>
        <item m="1" x="4657"/>
        <item m="1" x="6676"/>
        <item m="1" x="732"/>
        <item m="1" x="2743"/>
        <item m="1" x="4780"/>
        <item m="1" x="6798"/>
        <item m="1" x="852"/>
        <item m="1" x="2865"/>
        <item m="1" x="4902"/>
        <item m="1" x="6921"/>
        <item m="1" x="976"/>
        <item m="1" x="2991"/>
        <item m="1" x="5023"/>
        <item m="1" x="7042"/>
        <item m="1" x="1099"/>
        <item m="1" x="3114"/>
        <item m="1" x="5142"/>
        <item m="1" x="7169"/>
        <item m="1" x="1219"/>
        <item m="1" x="3238"/>
        <item m="1" x="5266"/>
        <item m="1" x="7291"/>
        <item m="1" x="1339"/>
        <item m="1" x="3364"/>
        <item m="1" x="5388"/>
        <item m="1" x="7413"/>
        <item m="1" x="1461"/>
        <item m="1" x="3486"/>
        <item m="1" x="5509"/>
        <item m="1" x="7537"/>
        <item m="1" x="1585"/>
        <item m="1" x="3610"/>
        <item m="1" x="5632"/>
        <item m="1" x="7661"/>
        <item m="1" x="1707"/>
        <item m="1" x="3736"/>
        <item m="1" x="5754"/>
        <item m="1" x="7785"/>
        <item m="1" x="1824"/>
        <item m="1" x="3861"/>
        <item m="1" x="5874"/>
        <item m="1" x="7903"/>
        <item m="1" x="1946"/>
        <item m="1" x="3987"/>
        <item m="1" x="5996"/>
        <item m="1" x="60"/>
        <item m="1" x="2071"/>
        <item m="1" x="4110"/>
        <item m="1" x="6120"/>
        <item m="1" x="182"/>
        <item m="1" x="2191"/>
        <item m="1" x="4229"/>
        <item m="1" x="6242"/>
        <item m="1" x="304"/>
        <item m="1" x="2312"/>
        <item m="1" x="4353"/>
        <item m="1" x="6365"/>
        <item m="1" x="426"/>
        <item m="1" x="2437"/>
        <item m="1" x="4478"/>
        <item m="1" x="6488"/>
        <item m="1" x="4289"/>
        <item m="1" x="6299"/>
        <item m="1" x="361"/>
        <item m="1" x="2369"/>
        <item m="1" x="4413"/>
        <item m="1" x="6422"/>
        <item m="1" x="485"/>
        <item m="1" x="2495"/>
        <item m="1" x="4535"/>
        <item m="1" x="6546"/>
        <item m="1" x="608"/>
        <item m="1" x="2619"/>
        <item m="1" x="4653"/>
        <item m="1" x="6672"/>
        <item m="1" x="728"/>
        <item m="1" x="2738"/>
        <item m="1" x="4775"/>
        <item m="1" x="6794"/>
        <item m="1" x="849"/>
        <item m="1" x="2862"/>
        <item m="1" x="4899"/>
        <item m="1" x="6917"/>
        <item m="1" x="972"/>
        <item m="1" x="2988"/>
        <item m="1" x="5020"/>
        <item m="1" x="7039"/>
        <item m="1" x="1095"/>
        <item m="1" x="3110"/>
        <item m="1" x="5138"/>
        <item m="1" x="7165"/>
        <item m="1" x="1215"/>
        <item m="1" x="3234"/>
        <item m="1" x="5261"/>
        <item m="1" x="7287"/>
        <item m="1" x="1335"/>
        <item m="1" x="3359"/>
        <item m="1" x="5384"/>
        <item m="1" x="7408"/>
        <item m="1" x="1457"/>
        <item m="1" x="3481"/>
        <item m="1" x="5506"/>
        <item m="1" x="7533"/>
        <item m="1" x="1582"/>
        <item m="1" x="3606"/>
        <item m="1" x="5629"/>
        <item m="1" x="7657"/>
        <item m="1" x="1704"/>
        <item m="1" x="3732"/>
        <item m="1" x="5750"/>
        <item m="1" x="7779"/>
        <item m="1" x="1820"/>
        <item m="1" x="3856"/>
        <item m="1" x="5871"/>
        <item m="1" x="7899"/>
        <item m="1" x="1943"/>
        <item m="1" x="3983"/>
        <item m="1" x="5993"/>
        <item m="1" x="56"/>
        <item m="1" x="2067"/>
        <item m="1" x="4106"/>
        <item m="1" x="6117"/>
        <item m="1" x="1878"/>
        <item m="1" x="3920"/>
        <item m="1" x="5928"/>
        <item m="1" x="7960"/>
        <item m="1" x="2001"/>
        <item m="1" x="4043"/>
        <item m="1" x="6050"/>
        <item m="1" x="115"/>
        <item m="1" x="2123"/>
        <item m="1" x="4164"/>
        <item m="1" x="6175"/>
        <item m="1" x="236"/>
        <item m="1" x="2242"/>
        <item m="1" x="4285"/>
        <item m="1" x="6295"/>
        <item m="1" x="357"/>
        <item m="1" x="2365"/>
        <item m="1" x="4409"/>
        <item m="1" x="6418"/>
        <item m="1" x="482"/>
        <item m="1" x="2492"/>
        <item m="1" x="4532"/>
        <item m="1" x="6542"/>
        <item m="1" x="605"/>
        <item m="1" x="2616"/>
        <item m="1" x="4650"/>
        <item m="1" x="6668"/>
        <item m="1" x="723"/>
        <item m="1" x="2733"/>
        <item m="1" x="4770"/>
        <item m="1" x="6790"/>
        <item m="1" x="845"/>
        <item m="1" x="2858"/>
        <item m="1" x="4895"/>
        <item m="1" x="6913"/>
        <item m="1" x="968"/>
        <item m="1" x="2983"/>
        <item m="1" x="5016"/>
        <item m="1" x="7034"/>
        <item m="1" x="1091"/>
        <item m="1" x="3106"/>
        <item m="1" x="5135"/>
        <item m="1" x="7161"/>
        <item m="1" x="1211"/>
        <item m="1" x="3230"/>
        <item m="1" x="5258"/>
        <item m="1" x="7283"/>
        <item m="1" x="1332"/>
        <item m="1" x="3354"/>
        <item m="1" x="5380"/>
        <item m="1" x="7403"/>
        <item m="1" x="1453"/>
        <item m="1" x="3477"/>
        <item m="1" x="5503"/>
        <item m="1" x="7529"/>
        <item m="1" x="1579"/>
        <item m="1" x="3602"/>
        <item m="1" x="5625"/>
        <item m="1" x="7653"/>
        <item m="1" x="1701"/>
        <item m="1" x="3727"/>
        <item m="1" x="1514"/>
        <item m="1" x="3540"/>
        <item m="1" x="5561"/>
        <item m="1" x="7589"/>
        <item m="1" x="1637"/>
        <item m="1" x="3663"/>
        <item m="1" x="5681"/>
        <item m="1" x="7712"/>
        <item m="1" x="1754"/>
        <item m="1" x="3788"/>
        <item m="1" x="5803"/>
        <item m="1" x="7835"/>
        <item m="1" x="1873"/>
        <item m="1" x="3916"/>
        <item m="1" x="5924"/>
        <item m="1" x="7956"/>
        <item m="1" x="1997"/>
        <item m="1" x="4040"/>
        <item m="1" x="6047"/>
        <item m="1" x="112"/>
        <item m="1" x="2119"/>
        <item m="1" x="4159"/>
        <item m="1" x="6172"/>
        <item m="1" x="233"/>
        <item m="1" x="2239"/>
        <item m="1" x="4282"/>
        <item m="1" x="6291"/>
        <item m="1" x="353"/>
        <item m="1" x="2361"/>
        <item m="1" x="4405"/>
        <item m="1" x="6414"/>
        <item m="1" x="478"/>
        <item m="1" x="2488"/>
        <item m="1" x="4528"/>
        <item m="1" x="6537"/>
        <item m="1" x="601"/>
        <item m="1" x="2611"/>
        <item m="1" x="4645"/>
        <item m="1" x="6662"/>
        <item m="1" x="718"/>
        <item m="1" x="2729"/>
        <item m="1" x="4767"/>
        <item m="1" x="6786"/>
        <item m="1" x="842"/>
        <item m="1" x="2854"/>
        <item m="1" x="4892"/>
        <item m="1" x="6909"/>
        <item m="1" x="964"/>
        <item m="1" x="2978"/>
        <item m="1" x="5012"/>
        <item m="1" x="7029"/>
        <item m="1" x="1087"/>
        <item m="1" x="3102"/>
        <item m="1" x="5132"/>
        <item m="1" x="7157"/>
        <item m="1" x="1208"/>
        <item m="1" x="3226"/>
        <item m="1" x="5255"/>
        <item m="1" x="7279"/>
        <item m="1" x="1328"/>
        <item m="1" x="3349"/>
        <item m="1" x="7091"/>
        <item m="1" x="1144"/>
        <item m="1" x="3161"/>
        <item m="1" x="5188"/>
        <item m="1" x="7217"/>
        <item m="1" x="1265"/>
        <item m="1" x="3287"/>
        <item m="1" x="5313"/>
        <item m="1" x="7340"/>
        <item m="1" x="1386"/>
        <item m="1" x="3412"/>
        <item m="1" x="5436"/>
        <item m="1" x="7462"/>
        <item m="1" x="1510"/>
        <item m="1" x="3536"/>
        <item m="1" x="5556"/>
        <item m="1" x="7584"/>
        <item m="1" x="1633"/>
        <item m="1" x="3660"/>
        <item m="1" x="5678"/>
        <item m="1" x="7709"/>
        <item m="1" x="1751"/>
        <item m="1" x="3784"/>
        <item m="1" x="5800"/>
        <item m="1" x="7832"/>
        <item m="1" x="1870"/>
        <item m="1" x="3912"/>
        <item m="1" x="5920"/>
        <item m="1" x="7952"/>
        <item m="1" x="1993"/>
        <item m="1" x="4036"/>
        <item m="1" x="6043"/>
        <item m="1" x="107"/>
        <item m="1" x="2115"/>
        <item m="1" x="4155"/>
        <item m="1" x="6167"/>
        <item m="1" x="229"/>
        <item m="1" x="2234"/>
        <item m="1" x="4278"/>
        <item m="1" x="6286"/>
        <item m="1" x="350"/>
        <item m="1" x="2357"/>
        <item m="1" x="4402"/>
        <item m="1" x="6410"/>
        <item m="1" x="475"/>
        <item m="1" x="2484"/>
        <item m="1" x="4525"/>
        <item m="1" x="6533"/>
        <item m="1" x="597"/>
        <item m="1" x="2605"/>
        <item m="1" x="4640"/>
        <item m="1" x="6657"/>
        <item m="1" x="715"/>
        <item m="1" x="2725"/>
        <item m="1" x="4764"/>
        <item m="1" x="6782"/>
        <item m="1" x="839"/>
        <item m="1" x="2850"/>
        <item m="1" x="4888"/>
        <item m="1" x="6905"/>
        <item m="1" x="961"/>
        <item m="1" x="4699"/>
        <item m="1" x="6722"/>
        <item m="1" x="774"/>
        <item m="1" x="2788"/>
        <item m="1" x="4823"/>
        <item m="1" x="6844"/>
        <item m="1" x="897"/>
        <item m="1" x="2912"/>
        <item m="1" x="4945"/>
        <item m="1" x="6966"/>
        <item m="1" x="1019"/>
        <item m="1" x="3035"/>
        <item m="1" x="5063"/>
        <item m="1" x="7088"/>
        <item m="1" x="1141"/>
        <item m="1" x="3158"/>
        <item m="1" x="5185"/>
        <item m="1" x="7214"/>
        <item m="1" x="1261"/>
        <item m="1" x="3284"/>
        <item m="1" x="5310"/>
        <item m="1" x="7337"/>
        <item m="1" x="1382"/>
        <item m="1" x="3409"/>
        <item m="1" x="5433"/>
        <item m="1" x="7459"/>
        <item m="1" x="1506"/>
        <item m="1" x="3531"/>
        <item m="1" x="5551"/>
        <item m="1" x="7580"/>
        <item m="1" x="1629"/>
        <item m="1" x="3656"/>
        <item m="1" x="5674"/>
        <item m="1" x="7705"/>
        <item m="1" x="1747"/>
        <item m="1" x="3780"/>
        <item m="1" x="5795"/>
        <item m="1" x="7828"/>
        <item m="1" x="1865"/>
        <item m="1" x="3908"/>
        <item m="1" x="5916"/>
        <item m="1" x="7949"/>
        <item m="1" x="1989"/>
        <item m="1" x="4032"/>
        <item m="1" x="6039"/>
        <item m="1" x="104"/>
        <item m="1" x="2111"/>
        <item m="1" x="4152"/>
        <item m="1" x="6162"/>
        <item m="1" x="225"/>
        <item m="1" x="2229"/>
        <item m="1" x="4274"/>
        <item m="1" x="6282"/>
        <item m="1" x="347"/>
        <item m="1" x="2353"/>
        <item m="1" x="4399"/>
        <item m="1" x="6406"/>
        <item m="1" x="470"/>
        <item m="1" x="2480"/>
        <item m="1" x="4522"/>
        <item m="1" x="6528"/>
        <item m="1" x="4333"/>
        <item m="1" x="6347"/>
        <item m="1" x="406"/>
        <item m="1" x="2417"/>
        <item m="1" x="4458"/>
        <item m="1" x="6469"/>
        <item m="1" x="529"/>
        <item m="1" x="2541"/>
        <item m="1" x="4576"/>
        <item m="1" x="6593"/>
        <item m="1" x="650"/>
        <item m="1" x="2664"/>
        <item m="1" x="4695"/>
        <item m="1" x="6719"/>
        <item m="1" x="771"/>
        <item m="1" x="2785"/>
        <item m="1" x="4820"/>
        <item m="1" x="6841"/>
        <item m="1" x="894"/>
        <item m="1" x="2909"/>
        <item m="1" x="4941"/>
        <item m="1" x="6961"/>
        <item m="1" x="1016"/>
        <item m="1" x="3032"/>
        <item m="1" x="5060"/>
        <item m="1" x="7085"/>
        <item m="1" x="1137"/>
        <item m="1" x="3154"/>
        <item m="1" x="5181"/>
        <item m="1" x="7210"/>
        <item m="1" x="1257"/>
        <item m="1" x="3280"/>
        <item m="1" x="5306"/>
        <item m="1" x="7333"/>
        <item m="1" x="1377"/>
        <item m="1" x="3405"/>
        <item m="1" x="5428"/>
        <item m="1" x="7454"/>
        <item m="1" x="1500"/>
        <item m="1" x="3526"/>
        <item m="1" x="5547"/>
        <item m="1" x="7577"/>
        <item m="1" x="1625"/>
        <item m="1" x="3653"/>
        <item m="1" x="5670"/>
        <item m="1" x="7702"/>
        <item m="1" x="1743"/>
        <item m="1" x="3776"/>
        <item m="1" x="5790"/>
        <item m="1" x="7824"/>
        <item m="1" x="1860"/>
        <item m="1" x="3904"/>
        <item m="1" x="5912"/>
        <item m="1" x="7946"/>
        <item m="1" x="1984"/>
        <item m="1" x="4029"/>
        <item m="1" x="6034"/>
        <item m="1" x="101"/>
        <item m="1" x="2107"/>
        <item m="1" x="4148"/>
        <item m="1" x="6157"/>
        <item m="1" x="923"/>
        <item m="1" x="1924"/>
        <item m="1" x="2937"/>
        <item m="1" x="3963"/>
        <item m="1" x="4970"/>
        <item m="1" x="5974"/>
        <item m="1" x="6988"/>
        <item m="1" x="35"/>
        <item m="1" x="1043"/>
        <item m="1" x="2048"/>
        <item m="1" x="3059"/>
        <item m="1" x="4087"/>
        <item m="1" x="5088"/>
        <item m="1" x="6099"/>
        <item m="1" x="7113"/>
        <item m="1" x="159"/>
        <item m="1" x="1166"/>
        <item m="1" x="2169"/>
        <item m="1" x="3183"/>
        <item m="1" x="4207"/>
        <item m="1" x="5211"/>
        <item m="1" x="6222"/>
        <item m="1" x="7238"/>
        <item m="1" x="281"/>
        <item m="1" x="1286"/>
        <item m="1" x="2290"/>
        <item m="1" x="3307"/>
        <item m="1" x="4330"/>
        <item m="1" x="5334"/>
        <item m="1" x="6344"/>
        <item m="1" x="7359"/>
        <item m="1" x="402"/>
        <item m="1" x="1406"/>
        <item m="1" x="2413"/>
        <item m="1" x="3431"/>
        <item m="1" x="4454"/>
        <item m="1" x="5456"/>
        <item m="1" x="6466"/>
        <item m="1" x="7481"/>
        <item m="1" x="525"/>
        <item m="1" x="1531"/>
        <item m="1" x="2538"/>
        <item m="1" x="3556"/>
        <item m="1" x="4573"/>
        <item m="1" x="5578"/>
        <item m="1" x="6589"/>
        <item m="1" x="7606"/>
        <item m="1" x="647"/>
        <item m="1" x="1654"/>
        <item m="1" x="2660"/>
        <item m="1" x="3680"/>
        <item m="1" x="4692"/>
        <item m="1" x="5698"/>
        <item m="1" x="6715"/>
        <item m="1" x="7728"/>
        <item m="1" x="767"/>
        <item m="1" x="1769"/>
        <item m="1" x="2781"/>
        <item m="1" x="3804"/>
        <item m="1" x="4816"/>
        <item m="1" x="5818"/>
        <item m="1" x="6837"/>
        <item m="1" x="7849"/>
        <item m="1" x="890"/>
        <item m="1" x="1890"/>
        <item m="1" x="2904"/>
        <item m="1" x="3931"/>
        <item m="1" x="4936"/>
        <item m="1" x="5940"/>
        <item m="1" x="6957"/>
        <item m="1" x="7971"/>
        <item m="1" x="1011"/>
        <item m="1" x="2014"/>
        <item m="1" x="3028"/>
        <item m="1" x="4056"/>
        <item m="1" x="5055"/>
        <item m="1" x="6062"/>
        <item m="1" x="7081"/>
        <item m="1" x="127"/>
        <item m="1" x="1132"/>
        <item m="1" x="2133"/>
        <item m="1" x="3150"/>
        <item m="1" x="4175"/>
        <item m="1" x="5177"/>
        <item m="1" x="6186"/>
        <item m="1" x="7207"/>
        <item m="1" x="248"/>
        <item m="1" x="1253"/>
        <item m="1" x="2254"/>
        <item m="1" x="3277"/>
        <item m="1" x="4298"/>
        <item m="1" x="5302"/>
        <item m="1" x="6307"/>
        <item m="1" x="7329"/>
        <item m="1" x="369"/>
        <item m="1" x="1373"/>
        <item m="1" x="2376"/>
        <item m="1" x="3400"/>
        <item m="1" x="4422"/>
        <item m="1" x="5422"/>
        <item m="1" x="6429"/>
        <item m="1" x="7448"/>
        <item m="1" x="492"/>
        <item m="1" x="1494"/>
        <item m="1" x="2503"/>
        <item m="1" x="3522"/>
        <item m="1" x="4543"/>
        <item m="1" x="5543"/>
        <item m="1" x="6554"/>
        <item m="1" x="7573"/>
        <item m="1" x="615"/>
        <item m="1" x="1621"/>
        <item m="1" x="2626"/>
        <item m="1" x="3647"/>
        <item m="1" x="4661"/>
        <item m="1" x="5665"/>
        <item m="1" x="6680"/>
        <item m="1" x="7697"/>
        <item m="1" x="736"/>
        <item m="1" x="1739"/>
        <item m="1" x="2747"/>
        <item m="1" x="3771"/>
        <item m="1" x="4784"/>
        <item m="1" x="7508"/>
        <item m="1" x="553"/>
        <item m="1" x="1562"/>
        <item m="1" x="2564"/>
        <item m="1" x="3582"/>
        <item m="1" x="4599"/>
        <item m="1" x="5607"/>
        <item m="1" x="6616"/>
        <item m="1" x="7634"/>
        <item m="1" x="673"/>
        <item m="1" x="1683"/>
        <item m="1" x="2685"/>
        <item m="1" x="3708"/>
        <item m="1" x="4721"/>
        <item m="1" x="5728"/>
        <item m="1" x="6741"/>
        <item m="1" x="7756"/>
        <item m="1" x="795"/>
        <item m="1" x="1800"/>
        <item m="1" x="2809"/>
        <item m="1" x="3834"/>
        <item m="1" x="4845"/>
        <item m="1" x="5849"/>
        <item m="1" x="6865"/>
        <item m="1" x="7876"/>
        <item m="1" x="917"/>
        <item m="1" x="1921"/>
        <item m="1" x="2931"/>
        <item m="1" x="3959"/>
        <item m="1" x="4965"/>
        <item m="1" x="5971"/>
        <item m="1" x="6984"/>
        <item m="1" x="32"/>
        <item m="1" x="1038"/>
        <item m="1" x="2045"/>
        <item m="1" x="3054"/>
        <item m="1" x="4083"/>
        <item m="1" x="5083"/>
        <item m="1" x="6095"/>
        <item m="1" x="7109"/>
        <item m="1" x="156"/>
        <item m="1" x="1161"/>
        <item m="1" x="2166"/>
        <item m="1" x="3177"/>
        <item m="1" x="4203"/>
        <item m="1" x="5205"/>
        <item m="1" x="6219"/>
        <item m="1" x="7234"/>
        <item m="1" x="278"/>
        <item m="1" x="1281"/>
        <item m="1" x="2287"/>
        <item m="1" x="3302"/>
        <item m="1" x="4326"/>
        <item m="1" x="5329"/>
        <item m="1" x="6339"/>
        <item m="1" x="7355"/>
        <item m="1" x="397"/>
        <item m="1" x="1401"/>
        <item m="1" x="2408"/>
        <item m="1" x="3426"/>
        <item m="1" x="4450"/>
        <item m="1" x="5451"/>
        <item m="1" x="6462"/>
        <item m="1" x="7477"/>
        <item m="1" x="521"/>
        <item m="1" x="1526"/>
        <item m="1" x="2534"/>
        <item m="1" x="3551"/>
        <item m="1" x="4569"/>
        <item m="1" x="5572"/>
        <item m="1" x="6583"/>
        <item m="1" x="7602"/>
        <item m="1" x="642"/>
        <item m="1" x="1649"/>
        <item m="1" x="2655"/>
        <item m="1" x="3675"/>
        <item m="1" x="4687"/>
        <item m="1" x="5693"/>
        <item m="1" x="6709"/>
        <item m="1" x="7724"/>
        <item m="1" x="762"/>
        <item m="1" x="1765"/>
        <item m="1" x="2777"/>
        <item m="1" x="3800"/>
        <item m="1" x="4812"/>
        <item m="1" x="5813"/>
        <item m="1" x="6832"/>
        <item m="1" x="7846"/>
        <item m="1" x="885"/>
        <item m="1" x="1886"/>
        <item m="1" x="2900"/>
        <item m="1" x="3927"/>
        <item m="1" x="4932"/>
        <item m="1" x="5936"/>
        <item m="1" x="6953"/>
        <item m="1" x="7968"/>
        <item m="1" x="1006"/>
        <item m="1" x="2010"/>
        <item m="1" x="3023"/>
        <item m="1" x="4051"/>
        <item m="1" x="5050"/>
        <item m="1" x="6057"/>
        <item m="1" x="7076"/>
        <item m="1" x="123"/>
        <item m="1" x="1127"/>
        <item m="1" x="2130"/>
        <item m="1" x="3146"/>
        <item m="1" x="4171"/>
        <item m="1" x="5173"/>
        <item m="1" x="6183"/>
        <item m="1" x="7203"/>
        <item m="1" x="245"/>
        <item m="1" x="1249"/>
        <item m="1" x="2250"/>
        <item m="1" x="3271"/>
        <item m="1" x="4294"/>
        <item m="1" x="5298"/>
        <item m="1" x="6303"/>
        <item m="1" x="7324"/>
        <item m="1" x="365"/>
        <item m="1" x="1368"/>
        <item m="1" x="2373"/>
        <item m="1" x="6121"/>
        <item m="1" x="7138"/>
        <item m="1" x="183"/>
        <item m="1" x="1192"/>
        <item m="1" x="2192"/>
        <item m="1" x="3207"/>
        <item m="1" x="4230"/>
        <item m="1" x="5237"/>
        <item m="1" x="6243"/>
        <item m="1" x="7262"/>
        <item m="1" x="305"/>
        <item m="1" x="1311"/>
        <item m="1" x="2313"/>
        <item m="1" x="3331"/>
        <item m="1" x="4354"/>
        <item m="1" x="5359"/>
        <item m="1" x="6366"/>
        <item m="1" x="7382"/>
        <item m="1" x="427"/>
        <item m="1" x="1433"/>
        <item m="1" x="2438"/>
        <item m="1" x="3456"/>
        <item m="1" x="4479"/>
        <item m="1" x="5484"/>
        <item m="1" x="6489"/>
        <item m="1" x="7505"/>
        <item m="1" x="549"/>
        <item m="1" x="1559"/>
        <item m="1" x="2561"/>
        <item m="1" x="3580"/>
        <item m="1" x="4595"/>
        <item m="1" x="5605"/>
        <item m="1" x="6612"/>
        <item m="1" x="7631"/>
        <item m="1" x="669"/>
        <item m="1" x="1681"/>
        <item m="1" x="2682"/>
        <item m="1" x="3706"/>
        <item m="1" x="4717"/>
        <item m="1" x="5726"/>
        <item m="1" x="6737"/>
        <item m="1" x="7753"/>
        <item m="1" x="791"/>
        <item m="1" x="1796"/>
        <item m="1" x="2805"/>
        <item m="1" x="3830"/>
        <item m="1" x="4841"/>
        <item m="1" x="5847"/>
        <item m="1" x="6860"/>
        <item m="1" x="7874"/>
        <item m="1" x="913"/>
        <item m="1" x="1919"/>
        <item m="1" x="2928"/>
        <item m="1" x="3956"/>
        <item m="1" x="4961"/>
        <item m="1" x="5968"/>
        <item m="1" x="6980"/>
        <item m="1" x="7997"/>
        <item m="1" x="1034"/>
        <item m="1" x="2041"/>
        <item m="1" x="3051"/>
        <item m="1" x="4080"/>
        <item m="1" x="5079"/>
        <item m="1" x="6092"/>
        <item m="1" x="7105"/>
        <item m="1" x="153"/>
        <item m="1" x="1157"/>
        <item m="1" x="2163"/>
        <item m="1" x="3174"/>
        <item m="1" x="4199"/>
        <item m="1" x="5201"/>
        <item m="1" x="6215"/>
        <item m="1" x="7230"/>
        <item m="1" x="274"/>
        <item m="1" x="1276"/>
        <item m="1" x="2282"/>
        <item m="1" x="3299"/>
        <item m="1" x="4321"/>
        <item m="1" x="5325"/>
        <item m="1" x="6334"/>
        <item m="1" x="7352"/>
        <item m="1" x="394"/>
        <item m="1" x="1398"/>
        <item m="1" x="2405"/>
        <item m="1" x="3424"/>
        <item m="1" x="4447"/>
        <item m="1" x="5448"/>
        <item m="1" x="6459"/>
        <item m="1" x="7474"/>
        <item m="1" x="518"/>
        <item m="1" x="1522"/>
        <item m="1" x="2531"/>
        <item m="1" x="3549"/>
        <item m="1" x="4566"/>
        <item m="1" x="5569"/>
        <item m="1" x="6580"/>
        <item m="1" x="7598"/>
        <item m="1" x="638"/>
        <item m="1" x="1646"/>
        <item m="1" x="2651"/>
        <item m="1" x="3672"/>
        <item m="1" x="4683"/>
        <item m="1" x="5690"/>
        <item m="1" x="6705"/>
        <item m="1" x="7720"/>
        <item m="1" x="758"/>
        <item m="1" x="1761"/>
        <item m="1" x="2773"/>
        <item m="1" x="3796"/>
        <item m="1" x="4807"/>
        <item m="1" x="5810"/>
        <item m="1" x="6828"/>
        <item m="1" x="7842"/>
        <item m="1" x="880"/>
        <item m="1" x="1882"/>
        <item m="1" x="2895"/>
        <item m="1" x="3924"/>
        <item m="1" x="4928"/>
        <item m="1" x="5933"/>
        <item m="1" x="6948"/>
        <item m="1" x="7964"/>
        <item m="1" x="1002"/>
        <item m="1" x="4745"/>
        <item m="1" x="5751"/>
        <item m="1" x="6764"/>
        <item m="1" x="7780"/>
        <item m="1" x="820"/>
        <item m="1" x="1821"/>
        <item m="1" x="2832"/>
        <item m="1" x="3857"/>
        <item m="1" x="4870"/>
        <item m="1" x="5872"/>
        <item m="1" x="6888"/>
        <item m="1" x="7900"/>
        <item m="1" x="945"/>
        <item m="1" x="1944"/>
        <item m="1" x="2956"/>
        <item m="1" x="3984"/>
        <item m="1" x="4992"/>
        <item m="1" x="5994"/>
        <item m="1" x="7010"/>
        <item m="1" x="57"/>
        <item m="1" x="1068"/>
        <item m="1" x="2068"/>
        <item m="1" x="3082"/>
        <item m="1" x="4107"/>
        <item m="1" x="5112"/>
        <item m="1" x="6118"/>
        <item m="1" x="7136"/>
        <item m="1" x="179"/>
        <item m="1" x="1190"/>
        <item m="1" x="2188"/>
        <item m="1" x="3204"/>
        <item m="1" x="4226"/>
        <item m="1" x="5234"/>
        <item m="1" x="6240"/>
        <item m="1" x="7259"/>
        <item m="1" x="301"/>
        <item m="1" x="1309"/>
        <item m="1" x="2309"/>
        <item m="1" x="3328"/>
        <item m="1" x="4350"/>
        <item m="1" x="5357"/>
        <item m="1" x="6363"/>
        <item m="1" x="7380"/>
        <item m="1" x="423"/>
        <item m="1" x="1431"/>
        <item m="1" x="2434"/>
        <item m="1" x="3454"/>
        <item m="1" x="4475"/>
        <item m="1" x="5481"/>
        <item m="1" x="6486"/>
        <item m="1" x="7503"/>
        <item m="1" x="546"/>
        <item m="1" x="1556"/>
        <item m="1" x="2557"/>
        <item m="1" x="3577"/>
        <item m="1" x="4591"/>
        <item m="1" x="5602"/>
        <item m="1" x="6609"/>
        <item m="1" x="7628"/>
        <item m="1" x="665"/>
        <item m="1" x="1678"/>
        <item m="1" x="2678"/>
        <item m="1" x="3703"/>
        <item m="1" x="4712"/>
        <item m="1" x="5722"/>
        <item m="1" x="6734"/>
        <item m="1" x="7749"/>
        <item m="1" x="787"/>
        <item m="1" x="1793"/>
        <item m="1" x="2800"/>
        <item m="1" x="3826"/>
        <item m="1" x="4837"/>
        <item m="1" x="5843"/>
        <item m="1" x="6857"/>
        <item m="1" x="7870"/>
        <item m="1" x="909"/>
        <item m="1" x="1915"/>
        <item m="1" x="2924"/>
        <item m="1" x="3952"/>
        <item m="1" x="4956"/>
        <item m="1" x="5964"/>
        <item m="1" x="6978"/>
        <item m="1" x="7994"/>
        <item m="1" x="1031"/>
        <item m="1" x="2038"/>
        <item m="1" x="3048"/>
        <item m="1" x="4077"/>
        <item m="1" x="5076"/>
        <item m="1" x="6089"/>
        <item m="1" x="7103"/>
        <item m="1" x="150"/>
        <item m="1" x="1154"/>
        <item m="1" x="2160"/>
        <item m="1" x="3171"/>
        <item m="1" x="4196"/>
        <item m="1" x="5197"/>
        <item m="1" x="6211"/>
        <item m="1" x="7227"/>
        <item m="1" x="269"/>
        <item m="1" x="1273"/>
        <item m="1" x="2277"/>
        <item m="1" x="3295"/>
        <item m="1" x="4317"/>
        <item m="1" x="5322"/>
        <item m="1" x="6330"/>
        <item m="1" x="7349"/>
        <item m="1" x="390"/>
        <item m="1" x="1395"/>
        <item m="1" x="2401"/>
        <item m="1" x="3420"/>
        <item m="1" x="4443"/>
        <item m="1" x="5444"/>
        <item m="1" x="6453"/>
        <item m="1" x="7470"/>
        <item m="1" x="513"/>
        <item m="1" x="1519"/>
        <item m="1" x="2526"/>
        <item m="1" x="3545"/>
        <item m="1" x="4562"/>
        <item m="1" x="5566"/>
        <item m="1" x="6575"/>
        <item m="1" x="7594"/>
        <item m="1" x="2334"/>
        <item m="1" x="3355"/>
        <item m="1" x="4379"/>
        <item m="1" x="5381"/>
        <item m="1" x="6387"/>
        <item m="1" x="7404"/>
        <item m="1" x="449"/>
        <item m="1" x="1454"/>
        <item m="1" x="2460"/>
        <item m="1" x="3478"/>
        <item m="1" x="4502"/>
        <item m="1" x="5504"/>
        <item m="1" x="6511"/>
        <item m="1" x="7530"/>
        <item m="1" x="574"/>
        <item m="1" x="1580"/>
        <item m="1" x="2584"/>
        <item m="1" x="3603"/>
        <item m="1" x="4620"/>
        <item m="1" x="5626"/>
        <item m="1" x="6637"/>
        <item m="1" x="7654"/>
        <item m="1" x="694"/>
        <item m="1" x="1702"/>
        <item m="1" x="2704"/>
        <item m="1" x="3728"/>
        <item m="1" x="4742"/>
        <item m="1" x="5746"/>
        <item m="1" x="6760"/>
        <item m="1" x="7775"/>
        <item m="1" x="817"/>
        <item m="1" x="1817"/>
        <item m="1" x="2829"/>
        <item m="1" x="3852"/>
        <item m="1" x="4867"/>
        <item m="1" x="5867"/>
        <item m="1" x="6884"/>
        <item m="1" x="7895"/>
        <item m="1" x="941"/>
        <item m="1" x="1940"/>
        <item m="1" x="2953"/>
        <item m="1" x="3979"/>
        <item m="1" x="4989"/>
        <item m="1" x="5989"/>
        <item m="1" x="7007"/>
        <item m="1" x="52"/>
        <item m="1" x="1065"/>
        <item m="1" x="2064"/>
        <item m="1" x="3079"/>
        <item m="1" x="4102"/>
        <item m="1" x="5109"/>
        <item m="1" x="6113"/>
        <item m="1" x="7132"/>
        <item m="1" x="174"/>
        <item m="1" x="1185"/>
        <item m="1" x="2184"/>
        <item m="1" x="3199"/>
        <item m="1" x="4221"/>
        <item m="1" x="5229"/>
        <item m="1" x="6235"/>
        <item m="1" x="7255"/>
        <item m="1" x="296"/>
        <item m="1" x="1305"/>
        <item m="1" x="2305"/>
        <item m="1" x="3324"/>
        <item m="1" x="4345"/>
        <item m="1" x="5353"/>
        <item m="1" x="6358"/>
        <item m="1" x="7376"/>
        <item m="1" x="417"/>
        <item m="1" x="1425"/>
        <item m="1" x="2430"/>
        <item m="1" x="3449"/>
        <item m="1" x="4470"/>
        <item m="1" x="5476"/>
        <item m="1" x="6481"/>
        <item m="1" x="7498"/>
        <item m="1" x="541"/>
        <item m="1" x="1550"/>
        <item m="1" x="2553"/>
        <item m="1" x="3572"/>
        <item m="1" x="4587"/>
        <item m="1" x="5598"/>
        <item m="1" x="6605"/>
        <item m="1" x="7624"/>
        <item m="1" x="660"/>
        <item m="1" x="1673"/>
        <item m="1" x="2675"/>
        <item m="1" x="3698"/>
        <item m="1" x="4708"/>
        <item m="1" x="5718"/>
        <item m="1" x="6730"/>
        <item m="1" x="7745"/>
        <item m="1" x="783"/>
        <item m="1" x="1789"/>
        <item m="1" x="2797"/>
        <item m="1" x="3821"/>
        <item m="1" x="4833"/>
        <item m="1" x="5838"/>
        <item m="1" x="6852"/>
        <item m="1" x="7865"/>
        <item m="1" x="904"/>
        <item m="1" x="1910"/>
        <item m="1" x="2920"/>
        <item m="1" x="3947"/>
        <item m="1" x="4952"/>
        <item m="1" x="5959"/>
        <item m="1" x="6973"/>
        <item m="1" x="7989"/>
        <item m="1" x="1027"/>
        <item m="1" x="2033"/>
        <item m="1" x="3044"/>
        <item m="1" x="4072"/>
        <item m="1" x="5071"/>
        <item m="1" x="6082"/>
        <item m="1" x="7097"/>
        <item m="1" x="145"/>
        <item m="1" x="1149"/>
        <item m="1" x="2154"/>
        <item m="1" x="3166"/>
        <item m="1" x="4190"/>
        <item m="1" x="5193"/>
        <item m="1" x="965"/>
        <item m="1" x="1965"/>
        <item m="1" x="2979"/>
        <item m="1" x="4008"/>
        <item m="1" x="5013"/>
        <item m="1" x="6015"/>
        <item m="1" x="7030"/>
        <item m="1" x="80"/>
        <item m="1" x="1088"/>
        <item m="1" x="2089"/>
        <item m="1" x="3103"/>
        <item m="1" x="4128"/>
        <item m="1" x="5133"/>
        <item m="1" x="6139"/>
        <item m="1" x="7158"/>
        <item m="1" x="202"/>
        <item m="1" x="1209"/>
        <item m="1" x="2209"/>
        <item m="1" x="3227"/>
        <item m="1" x="4251"/>
        <item m="1" x="5256"/>
        <item m="1" x="6262"/>
        <item m="1" x="7280"/>
        <item m="1" x="326"/>
        <item m="1" x="1329"/>
        <item m="1" x="2331"/>
        <item m="1" x="3350"/>
        <item m="1" x="4375"/>
        <item m="1" x="5377"/>
        <item m="1" x="6384"/>
        <item m="1" x="7399"/>
        <item m="1" x="446"/>
        <item m="1" x="1449"/>
        <item m="1" x="2456"/>
        <item m="1" x="3473"/>
        <item m="1" x="4499"/>
        <item m="1" x="5500"/>
        <item m="1" x="6508"/>
        <item m="1" x="7525"/>
        <item m="1" x="571"/>
        <item m="1" x="1575"/>
        <item m="1" x="2580"/>
        <item m="1" x="3598"/>
        <item m="1" x="4616"/>
        <item m="1" x="5622"/>
        <item m="1" x="6633"/>
        <item m="1" x="7649"/>
        <item m="1" x="691"/>
        <item m="1" x="1697"/>
        <item m="1" x="2701"/>
        <item m="1" x="3723"/>
        <item m="1" x="4739"/>
        <item m="1" x="5742"/>
        <item m="1" x="6756"/>
        <item m="1" x="7770"/>
        <item m="1" x="813"/>
        <item m="1" x="1812"/>
        <item m="1" x="2825"/>
        <item m="1" x="3847"/>
        <item m="1" x="4862"/>
        <item m="1" x="5863"/>
        <item m="1" x="6880"/>
        <item m="1" x="7890"/>
        <item m="1" x="937"/>
        <item m="1" x="1935"/>
        <item m="1" x="2949"/>
        <item m="1" x="3974"/>
        <item m="1" x="4985"/>
        <item m="1" x="5985"/>
        <item m="1" x="7002"/>
        <item m="1" x="47"/>
        <item m="1" x="1060"/>
        <item m="1" x="2059"/>
        <item m="1" x="3074"/>
        <item m="1" x="4096"/>
        <item m="1" x="5103"/>
        <item m="1" x="6109"/>
        <item m="1" x="7126"/>
        <item m="1" x="169"/>
        <item m="1" x="1180"/>
        <item m="1" x="2180"/>
        <item m="1" x="3195"/>
        <item m="1" x="4217"/>
        <item m="1" x="5225"/>
        <item m="1" x="6232"/>
        <item m="1" x="7251"/>
        <item m="1" x="292"/>
        <item m="1" x="1301"/>
        <item m="1" x="2301"/>
        <item m="1" x="3320"/>
        <item m="1" x="4340"/>
        <item m="1" x="5349"/>
        <item m="1" x="6355"/>
        <item m="1" x="7372"/>
        <item m="1" x="413"/>
        <item m="1" x="1421"/>
        <item m="1" x="2425"/>
        <item m="1" x="3444"/>
        <item m="1" x="4466"/>
        <item m="1" x="5471"/>
        <item m="1" x="6477"/>
        <item m="1" x="7493"/>
        <item m="1" x="537"/>
        <item m="1" x="1545"/>
        <item m="1" x="2548"/>
        <item m="1" x="3567"/>
        <item m="1" x="4582"/>
        <item m="1" x="5593"/>
        <item m="1" x="6600"/>
        <item m="1" x="7618"/>
        <item m="1" x="656"/>
        <item m="1" x="1668"/>
        <item m="1" x="2670"/>
        <item m="1" x="3692"/>
        <item m="1" x="4703"/>
        <item m="1" x="5712"/>
        <item m="1" x="6726"/>
        <item m="1" x="7740"/>
        <item m="1" x="779"/>
        <item m="1" x="1783"/>
        <item m="1" x="2792"/>
        <item m="1" x="3816"/>
        <item m="1" x="7551"/>
        <item m="1" x="598"/>
        <item m="1" x="1602"/>
        <item m="1" x="2606"/>
        <item m="1" x="3625"/>
        <item m="1" x="4641"/>
        <item m="1" x="5646"/>
        <item m="1" x="6658"/>
        <item m="1" x="7676"/>
        <item m="1" x="716"/>
        <item m="1" x="1722"/>
        <item m="1" x="2726"/>
        <item m="1" x="3752"/>
        <item m="1" x="4765"/>
        <item m="1" x="5768"/>
        <item m="1" x="6783"/>
        <item m="1" x="7800"/>
        <item m="1" x="840"/>
        <item m="1" x="1840"/>
        <item m="1" x="2851"/>
        <item m="1" x="3880"/>
        <item m="1" x="4889"/>
        <item m="1" x="5891"/>
        <item m="1" x="6906"/>
        <item m="1" x="7921"/>
        <item m="1" x="962"/>
        <item m="1" x="1962"/>
        <item m="1" x="2974"/>
        <item m="1" x="4005"/>
        <item m="1" x="5008"/>
        <item m="1" x="6011"/>
        <item m="1" x="7025"/>
        <item m="1" x="76"/>
        <item m="1" x="1084"/>
        <item m="1" x="2085"/>
        <item m="1" x="3098"/>
        <item m="1" x="4125"/>
        <item m="1" x="5128"/>
        <item m="1" x="6135"/>
        <item m="1" x="7153"/>
        <item m="1" x="199"/>
        <item m="1" x="1205"/>
        <item m="1" x="2206"/>
        <item m="1" x="3222"/>
        <item m="1" x="4248"/>
        <item m="1" x="5251"/>
        <item m="1" x="6259"/>
        <item m="1" x="7275"/>
        <item m="1" x="322"/>
        <item m="1" x="1325"/>
        <item m="1" x="2328"/>
        <item m="1" x="3345"/>
        <item m="1" x="4371"/>
        <item m="1" x="5372"/>
        <item m="1" x="6381"/>
        <item m="1" x="7395"/>
        <item m="1" x="443"/>
        <item m="1" x="1446"/>
        <item m="1" x="2453"/>
        <item m="1" x="3469"/>
        <item m="1" x="4496"/>
        <item m="1" x="5496"/>
        <item m="1" x="6505"/>
        <item m="1" x="7520"/>
        <item m="1" x="567"/>
        <item m="1" x="1572"/>
        <item m="1" x="2576"/>
        <item m="1" x="3594"/>
        <item m="1" x="4613"/>
        <item m="1" x="5618"/>
        <item m="1" x="6629"/>
        <item m="1" x="7645"/>
        <item m="1" x="687"/>
        <item m="1" x="1694"/>
        <item m="1" x="2697"/>
        <item m="1" x="3719"/>
        <item m="1" x="4735"/>
        <item m="1" x="5738"/>
        <item m="1" x="6753"/>
        <item m="1" x="7766"/>
        <item m="1" x="809"/>
        <item m="1" x="1810"/>
        <item m="1" x="2822"/>
        <item m="1" x="3844"/>
        <item m="1" x="4859"/>
        <item m="1" x="5860"/>
        <item m="1" x="6877"/>
        <item m="1" x="7887"/>
        <item m="1" x="934"/>
        <item m="1" x="1933"/>
        <item m="1" x="2946"/>
        <item m="1" x="3971"/>
        <item m="1" x="4982"/>
        <item m="1" x="5982"/>
        <item m="1" x="6999"/>
        <item m="1" x="43"/>
        <item m="1" x="1056"/>
        <item m="1" x="2056"/>
        <item m="1" x="3069"/>
        <item m="1" x="4093"/>
        <item m="1" x="5098"/>
        <item m="1" x="6105"/>
        <item m="1" x="7121"/>
        <item m="1" x="166"/>
        <item m="1" x="1176"/>
        <item m="1" x="2177"/>
        <item m="1" x="3191"/>
        <item m="1" x="4214"/>
        <item m="1" x="5221"/>
        <item m="1" x="6228"/>
        <item m="1" x="7247"/>
        <item m="1" x="288"/>
        <item m="1" x="1296"/>
        <item m="1" x="2297"/>
        <item m="1" x="3315"/>
        <item m="1" x="4337"/>
        <item m="1" x="5344"/>
        <item m="1" x="6351"/>
        <item m="1" x="7368"/>
        <item m="1" x="410"/>
        <item m="1" x="1416"/>
        <item m="1" x="2421"/>
        <item m="1" x="6163"/>
        <item m="1" x="7182"/>
        <item m="1" x="226"/>
        <item m="1" x="1229"/>
        <item m="1" x="2230"/>
        <item m="1" x="3248"/>
        <item m="1" x="4275"/>
        <item m="1" x="5277"/>
        <item m="1" x="6283"/>
        <item m="1" x="7302"/>
        <item m="1" x="348"/>
        <item m="1" x="1350"/>
        <item m="1" x="2354"/>
        <item m="1" x="3375"/>
        <item m="1" x="4400"/>
        <item m="1" x="5400"/>
        <item m="1" x="6407"/>
        <item m="1" x="7424"/>
        <item m="1" x="471"/>
        <item m="1" x="1474"/>
        <item m="1" x="2481"/>
        <item m="1" x="3498"/>
        <item m="1" x="4523"/>
        <item m="1" x="5521"/>
        <item m="1" x="6529"/>
        <item m="1" x="7549"/>
        <item m="1" x="592"/>
        <item m="1" x="1598"/>
        <item m="1" x="2601"/>
        <item m="1" x="3622"/>
        <item m="1" x="4637"/>
        <item m="1" x="5643"/>
        <item m="1" x="6653"/>
        <item m="1" x="7673"/>
        <item m="1" x="711"/>
        <item m="1" x="1718"/>
        <item m="1" x="2721"/>
        <item m="1" x="3748"/>
        <item m="1" x="4761"/>
        <item m="1" x="5765"/>
        <item m="1" x="6778"/>
        <item m="1" x="7797"/>
        <item m="1" x="835"/>
        <item m="1" x="1837"/>
        <item m="1" x="2846"/>
        <item m="1" x="3877"/>
        <item m="1" x="4885"/>
        <item m="1" x="5888"/>
        <item m="1" x="6901"/>
        <item m="1" x="7918"/>
        <item m="1" x="957"/>
        <item m="1" x="1959"/>
        <item m="1" x="2969"/>
        <item m="1" x="4000"/>
        <item m="1" x="5005"/>
        <item m="1" x="6007"/>
        <item m="1" x="7021"/>
        <item m="1" x="72"/>
        <item m="1" x="1080"/>
        <item m="1" x="2082"/>
        <item m="1" x="3094"/>
        <item m="1" x="4122"/>
        <item m="1" x="5125"/>
        <item m="1" x="6132"/>
        <item m="1" x="7149"/>
        <item m="1" x="196"/>
        <item m="1" x="1201"/>
        <item m="1" x="2203"/>
        <item m="1" x="3217"/>
        <item m="1" x="4243"/>
        <item m="1" x="5248"/>
        <item m="1" x="6255"/>
        <item m="1" x="7271"/>
        <item m="1" x="318"/>
        <item m="1" x="1321"/>
        <item m="1" x="2324"/>
        <item m="1" x="3341"/>
        <item m="1" x="4367"/>
        <item m="1" x="5370"/>
        <item m="1" x="6378"/>
        <item m="1" x="7392"/>
        <item m="1" x="440"/>
        <item m="1" x="1443"/>
        <item m="1" x="2450"/>
        <item m="1" x="3465"/>
        <item m="1" x="4492"/>
        <item m="1" x="5494"/>
        <item m="1" x="6501"/>
        <item m="1" x="7517"/>
        <item m="1" x="564"/>
        <item m="1" x="1569"/>
        <item m="1" x="2573"/>
        <item m="1" x="3590"/>
        <item m="1" x="4610"/>
        <item m="1" x="5616"/>
        <item m="1" x="6625"/>
        <item m="1" x="7642"/>
        <item m="1" x="683"/>
        <item m="1" x="1690"/>
        <item m="1" x="2693"/>
        <item m="1" x="3715"/>
        <item m="1" x="4731"/>
        <item m="1" x="5735"/>
        <item m="1" x="6749"/>
        <item m="1" x="7763"/>
        <item m="1" x="805"/>
        <item m="1" x="1806"/>
        <item m="1" x="2818"/>
        <item m="1" x="3841"/>
        <item m="1" x="4855"/>
        <item m="1" x="5857"/>
        <item m="1" x="6873"/>
        <item m="1" x="7884"/>
        <item m="1" x="929"/>
        <item m="1" x="1929"/>
        <item m="1" x="2942"/>
        <item m="1" x="3967"/>
        <item m="1" x="4977"/>
        <item m="1" x="5978"/>
        <item m="1" x="6994"/>
        <item m="1" x="40"/>
        <item m="1" x="1049"/>
        <item m="1" x="3777"/>
        <item m="1" x="4788"/>
        <item m="1" x="5791"/>
        <item m="1" x="6807"/>
        <item m="1" x="7825"/>
        <item m="1" x="861"/>
        <item m="1" x="1861"/>
        <item m="1" x="2874"/>
        <item m="1" x="3905"/>
        <item m="1" x="4910"/>
        <item m="1" x="5913"/>
        <item m="1" x="6928"/>
        <item m="1" x="7947"/>
        <item m="1" x="984"/>
        <item m="1" x="1985"/>
        <item m="1" x="2998"/>
        <item m="1" x="4030"/>
        <item m="1" x="5030"/>
        <item m="1" x="6035"/>
        <item m="1" x="7051"/>
        <item m="1" x="102"/>
        <item m="1" x="1107"/>
        <item m="1" x="2108"/>
        <item m="1" x="3123"/>
        <item m="1" x="4149"/>
        <item m="1" x="5150"/>
        <item m="1" x="6158"/>
        <item m="1" x="7178"/>
        <item m="1" x="222"/>
        <item m="1" x="1226"/>
        <item m="1" x="2225"/>
        <item m="1" x="3245"/>
        <item m="1" x="4270"/>
        <item m="1" x="5273"/>
        <item m="1" x="6278"/>
        <item m="1" x="7299"/>
        <item m="1" x="344"/>
        <item m="1" x="1347"/>
        <item m="1" x="2349"/>
        <item m="1" x="3372"/>
        <item m="1" x="4395"/>
        <item m="1" x="5396"/>
        <item m="1" x="6402"/>
        <item m="1" x="7420"/>
        <item m="1" x="467"/>
        <item m="1" x="1470"/>
        <item m="1" x="2476"/>
        <item m="1" x="3495"/>
        <item m="1" x="4517"/>
        <item m="1" x="5518"/>
        <item m="1" x="6524"/>
        <item m="1" x="7546"/>
        <item m="1" x="588"/>
        <item m="1" x="1594"/>
        <item m="1" x="2596"/>
        <item m="1" x="3619"/>
        <item m="1" x="4633"/>
        <item m="1" x="5640"/>
        <item m="1" x="6649"/>
        <item m="1" x="7669"/>
        <item m="1" x="708"/>
        <item m="1" x="1715"/>
        <item m="1" x="2717"/>
        <item m="1" x="3745"/>
        <item m="1" x="4757"/>
        <item m="1" x="5762"/>
        <item m="1" x="6774"/>
        <item m="1" x="7794"/>
        <item m="1" x="832"/>
        <item m="1" x="1833"/>
        <item m="1" x="2842"/>
        <item m="1" x="3873"/>
        <item m="1" x="4881"/>
        <item m="1" x="5884"/>
        <item m="1" x="6896"/>
        <item m="1" x="7913"/>
        <item m="1" x="954"/>
        <item m="1" x="1954"/>
        <item m="1" x="2965"/>
        <item m="1" x="3996"/>
        <item m="1" x="5002"/>
        <item m="1" x="6004"/>
        <item m="1" x="7018"/>
        <item m="1" x="69"/>
        <item m="1" x="1078"/>
        <item m="1" x="2079"/>
        <item m="1" x="3091"/>
        <item m="1" x="4119"/>
        <item m="1" x="5122"/>
        <item m="1" x="6129"/>
        <item m="1" x="7145"/>
        <item m="1" x="193"/>
        <item m="1" x="1199"/>
        <item m="1" x="2200"/>
        <item m="1" x="3214"/>
        <item m="1" x="4240"/>
        <item m="1" x="5244"/>
        <item m="1" x="6251"/>
        <item m="1" x="7268"/>
        <item m="1" x="314"/>
        <item m="1" x="1318"/>
        <item m="1" x="2320"/>
        <item m="1" x="3338"/>
        <item m="1" x="4363"/>
        <item m="1" x="5366"/>
        <item m="1" x="6374"/>
        <item m="1" x="7388"/>
        <item m="1" x="436"/>
        <item m="1" x="1439"/>
        <item m="1" x="2445"/>
        <item m="1" x="3462"/>
        <item m="1" x="4488"/>
        <item m="1" x="5490"/>
        <item m="1" x="6497"/>
        <item m="1" x="7512"/>
        <item m="1" x="559"/>
        <item m="1" x="1566"/>
        <item m="1" x="2569"/>
        <item m="1" x="3587"/>
        <item m="1" x="4605"/>
        <item m="1" x="5612"/>
        <item m="1" x="6621"/>
        <item m="1" x="2377"/>
        <item m="1" x="3401"/>
        <item m="1" x="4423"/>
        <item m="1" x="5423"/>
        <item m="1" x="6430"/>
        <item m="1" x="7449"/>
        <item m="1" x="493"/>
        <item m="1" x="1495"/>
        <item m="1" x="2504"/>
        <item m="1" x="3523"/>
        <item m="1" x="4544"/>
        <item m="1" x="5544"/>
        <item m="1" x="6555"/>
        <item m="1" x="7574"/>
        <item m="1" x="616"/>
        <item m="1" x="1622"/>
        <item m="1" x="2627"/>
        <item m="1" x="3648"/>
        <item m="1" x="4662"/>
        <item m="1" x="5666"/>
        <item m="1" x="6681"/>
        <item m="1" x="7698"/>
        <item m="1" x="737"/>
        <item m="1" x="1740"/>
        <item m="1" x="2748"/>
        <item m="1" x="3772"/>
        <item m="1" x="4785"/>
        <item m="1" x="5786"/>
        <item m="1" x="6804"/>
        <item m="1" x="7819"/>
        <item m="1" x="857"/>
        <item m="1" x="1856"/>
        <item m="1" x="2870"/>
        <item m="1" x="3899"/>
        <item m="1" x="4906"/>
        <item m="1" x="5908"/>
        <item m="1" x="6925"/>
        <item m="1" x="7941"/>
        <item m="1" x="980"/>
        <item m="1" x="1980"/>
        <item m="1" x="2995"/>
        <item m="1" x="4024"/>
        <item m="1" x="5027"/>
        <item m="1" x="6030"/>
        <item m="1" x="7048"/>
        <item m="1" x="96"/>
        <item m="1" x="1104"/>
        <item m="1" x="2103"/>
        <item m="1" x="3119"/>
        <item m="1" x="4143"/>
        <item m="1" x="5147"/>
        <item m="1" x="6153"/>
        <item m="1" x="7174"/>
        <item m="1" x="216"/>
        <item m="1" x="1223"/>
        <item m="1" x="2221"/>
        <item m="1" x="3242"/>
        <item m="1" x="4265"/>
        <item m="1" x="5270"/>
        <item m="1" x="6274"/>
        <item m="1" x="7296"/>
        <item m="1" x="339"/>
        <item m="1" x="1344"/>
        <item m="1" x="2344"/>
        <item m="1" x="3368"/>
        <item m="1" x="4390"/>
        <item m="1" x="5392"/>
        <item m="1" x="6398"/>
        <item m="1" x="7417"/>
        <item m="1" x="461"/>
        <item m="1" x="1466"/>
        <item m="1" x="2471"/>
        <item m="1" x="3491"/>
        <item m="1" x="4512"/>
        <item m="1" x="5514"/>
        <item m="1" x="6520"/>
        <item m="1" x="7542"/>
        <item m="1" x="583"/>
        <item m="1" x="1590"/>
        <item m="1" x="2592"/>
        <item m="1" x="3615"/>
        <item m="1" x="4629"/>
        <item m="1" x="5637"/>
        <item m="1" x="6646"/>
        <item m="1" x="7666"/>
        <item m="1" x="704"/>
        <item m="1" x="1712"/>
        <item m="1" x="2713"/>
        <item m="1" x="3742"/>
        <item m="1" x="4753"/>
        <item m="1" x="5759"/>
        <item m="1" x="6771"/>
        <item m="1" x="7791"/>
        <item m="1" x="828"/>
        <item m="1" x="1830"/>
        <item m="1" x="2839"/>
        <item m="1" x="3869"/>
        <item m="1" x="4877"/>
        <item m="1" x="5879"/>
        <item m="1" x="6893"/>
        <item m="1" x="7908"/>
        <item m="1" x="950"/>
        <item m="1" x="1950"/>
        <item m="1" x="2961"/>
        <item m="1" x="3992"/>
        <item m="1" x="4998"/>
        <item m="1" x="6000"/>
        <item m="1" x="7015"/>
        <item m="1" x="65"/>
        <item m="1" x="1074"/>
        <item m="1" x="2075"/>
        <item m="1" x="3087"/>
        <item m="1" x="4115"/>
        <item m="1" x="5117"/>
        <item m="1" x="6125"/>
        <item m="1" x="7142"/>
        <item m="1" x="188"/>
        <item m="1" x="1195"/>
        <item m="1" x="2196"/>
        <item m="1" x="3210"/>
        <item m="1" x="4235"/>
        <item m="1" x="5240"/>
        <item m="1" x="1007"/>
        <item m="1" x="2011"/>
        <item m="1" x="3024"/>
        <item m="1" x="4052"/>
        <item m="1" x="5051"/>
        <item m="1" x="6058"/>
        <item m="1" x="7077"/>
        <item m="1" x="124"/>
        <item m="1" x="1128"/>
        <item m="1" x="2131"/>
        <item m="1" x="3147"/>
        <item m="1" x="4172"/>
        <item m="1" x="5174"/>
        <item m="1" x="6184"/>
        <item m="1" x="7204"/>
        <item m="1" x="246"/>
        <item m="1" x="1250"/>
        <item m="1" x="2251"/>
        <item m="1" x="3272"/>
        <item m="1" x="4295"/>
        <item m="1" x="5299"/>
        <item m="1" x="6304"/>
        <item m="1" x="7325"/>
        <item m="1" x="366"/>
        <item m="1" x="1369"/>
        <item m="1" x="2374"/>
        <item m="1" x="3394"/>
        <item m="1" x="4418"/>
        <item m="1" x="5417"/>
        <item m="1" x="6426"/>
        <item m="1" x="7443"/>
        <item m="1" x="489"/>
        <item m="1" x="1490"/>
        <item m="1" x="2500"/>
        <item m="1" x="3517"/>
        <item m="1" x="4539"/>
        <item m="1" x="5539"/>
        <item m="1" x="6550"/>
        <item m="1" x="7568"/>
        <item m="1" x="612"/>
        <item m="1" x="1617"/>
        <item m="1" x="2623"/>
        <item m="1" x="3642"/>
        <item m="1" x="4658"/>
        <item m="1" x="5661"/>
        <item m="1" x="6677"/>
        <item m="1" x="7692"/>
        <item m="1" x="733"/>
        <item m="1" x="1735"/>
        <item m="1" x="2744"/>
        <item m="1" x="3766"/>
        <item m="1" x="4781"/>
        <item m="1" x="5781"/>
        <item m="1" x="6799"/>
        <item m="1" x="7814"/>
        <item m="1" x="853"/>
        <item m="1" x="1852"/>
        <item m="1" x="2866"/>
        <item m="1" x="3894"/>
        <item m="1" x="4903"/>
        <item m="1" x="5903"/>
        <item m="1" x="6922"/>
        <item m="1" x="7936"/>
        <item m="1" x="977"/>
        <item m="1" x="1976"/>
        <item m="1" x="2992"/>
        <item m="1" x="4019"/>
        <item m="1" x="5024"/>
        <item m="1" x="6025"/>
        <item m="1" x="7043"/>
        <item m="1" x="91"/>
        <item m="1" x="1100"/>
        <item m="1" x="2099"/>
        <item m="1" x="3115"/>
        <item m="1" x="4138"/>
        <item m="1" x="5143"/>
        <item m="1" x="6148"/>
        <item m="1" x="7170"/>
        <item m="1" x="212"/>
        <item m="1" x="1220"/>
        <item m="1" x="2218"/>
        <item m="1" x="3239"/>
        <item m="1" x="4261"/>
        <item m="1" x="5267"/>
        <item m="1" x="6270"/>
        <item m="1" x="7292"/>
        <item m="1" x="335"/>
        <item m="1" x="1340"/>
        <item m="1" x="2341"/>
        <item m="1" x="3365"/>
        <item m="1" x="4386"/>
        <item m="1" x="5389"/>
        <item m="1" x="6394"/>
        <item m="1" x="7414"/>
        <item m="1" x="457"/>
        <item m="1" x="1462"/>
        <item m="1" x="2468"/>
        <item m="1" x="3487"/>
        <item m="1" x="4508"/>
        <item m="1" x="5510"/>
        <item m="1" x="6516"/>
        <item m="1" x="7538"/>
        <item m="1" x="579"/>
        <item m="1" x="1586"/>
        <item m="1" x="2589"/>
        <item m="1" x="3611"/>
        <item m="1" x="4625"/>
        <item m="1" x="5633"/>
        <item m="1" x="6642"/>
        <item m="1" x="7662"/>
        <item m="1" x="700"/>
        <item m="1" x="1708"/>
        <item m="1" x="2710"/>
        <item m="1" x="3737"/>
        <item m="1" x="4749"/>
        <item m="1" x="5755"/>
        <item m="1" x="6767"/>
        <item m="1" x="7786"/>
        <item m="1" x="823"/>
        <item m="1" x="1825"/>
        <item m="1" x="2836"/>
        <item m="1" x="3862"/>
        <item m="1" x="7599"/>
        <item m="1" x="639"/>
        <item m="1" x="1647"/>
        <item m="1" x="2652"/>
        <item m="1" x="3673"/>
        <item m="1" x="4684"/>
        <item m="1" x="5691"/>
        <item m="1" x="6706"/>
        <item m="1" x="7721"/>
        <item m="1" x="759"/>
        <item m="1" x="1762"/>
        <item m="1" x="2774"/>
        <item m="1" x="3797"/>
        <item m="1" x="4808"/>
        <item m="1" x="5811"/>
        <item m="1" x="6829"/>
        <item m="1" x="7843"/>
        <item m="1" x="881"/>
        <item m="1" x="1883"/>
        <item m="1" x="2896"/>
        <item m="1" x="3925"/>
        <item m="1" x="4929"/>
        <item m="1" x="5934"/>
        <item m="1" x="6949"/>
        <item m="1" x="7965"/>
        <item m="1" x="1003"/>
        <item m="1" x="2006"/>
        <item m="1" x="3018"/>
        <item m="1" x="4048"/>
        <item m="1" x="5046"/>
        <item m="1" x="6054"/>
        <item m="1" x="7071"/>
        <item m="1" x="119"/>
        <item m="1" x="1123"/>
        <item m="1" x="2127"/>
        <item m="1" x="3141"/>
        <item m="1" x="4168"/>
        <item m="1" x="5169"/>
        <item m="1" x="6180"/>
        <item m="1" x="7198"/>
        <item m="1" x="241"/>
        <item m="1" x="1245"/>
        <item m="1" x="2246"/>
        <item m="1" x="3266"/>
        <item m="1" x="4290"/>
        <item m="1" x="5294"/>
        <item m="1" x="6300"/>
        <item m="1" x="7318"/>
        <item m="1" x="362"/>
        <item m="1" x="1363"/>
        <item m="1" x="2370"/>
        <item m="1" x="3389"/>
        <item m="1" x="4414"/>
        <item m="1" x="5412"/>
        <item m="1" x="6423"/>
        <item m="1" x="7438"/>
        <item m="1" x="486"/>
        <item m="1" x="1486"/>
        <item m="1" x="2496"/>
        <item m="1" x="3512"/>
        <item m="1" x="4536"/>
        <item m="1" x="5535"/>
        <item m="1" x="6547"/>
        <item m="1" x="7563"/>
        <item m="1" x="609"/>
        <item m="1" x="1612"/>
        <item m="1" x="2620"/>
        <item m="1" x="3637"/>
        <item m="1" x="4654"/>
        <item m="1" x="5657"/>
        <item m="1" x="6673"/>
        <item m="1" x="7687"/>
        <item m="1" x="729"/>
        <item m="1" x="1730"/>
        <item m="1" x="2739"/>
        <item m="1" x="3761"/>
        <item m="1" x="4776"/>
        <item m="1" x="5777"/>
        <item m="1" x="6795"/>
        <item m="1" x="7810"/>
        <item m="1" x="850"/>
        <item m="1" x="1848"/>
        <item m="1" x="2863"/>
        <item m="1" x="3890"/>
        <item m="1" x="4900"/>
        <item m="1" x="5900"/>
        <item m="1" x="6918"/>
        <item m="1" x="7931"/>
        <item m="1" x="973"/>
        <item m="1" x="1972"/>
        <item m="1" x="2989"/>
        <item m="1" x="4015"/>
        <item m="1" x="5021"/>
        <item m="1" x="6022"/>
        <item m="1" x="7040"/>
        <item m="1" x="87"/>
        <item m="1" x="1096"/>
        <item m="1" x="2095"/>
        <item m="1" x="3111"/>
        <item m="1" x="4134"/>
        <item m="1" x="5139"/>
        <item m="1" x="6145"/>
        <item m="1" x="7166"/>
        <item m="1" x="208"/>
        <item m="1" x="1216"/>
        <item m="1" x="2214"/>
        <item m="1" x="3235"/>
        <item m="1" x="4256"/>
        <item m="1" x="5262"/>
        <item m="1" x="6267"/>
        <item m="1" x="7288"/>
        <item m="1" x="331"/>
        <item m="1" x="1336"/>
        <item m="1" x="2337"/>
        <item m="1" x="3360"/>
        <item m="1" x="4382"/>
        <item m="1" x="5385"/>
        <item m="1" x="6391"/>
        <item m="1" x="7409"/>
        <item m="1" x="453"/>
        <item m="1" x="1458"/>
        <item m="1" x="2463"/>
        <item m="1" x="5198"/>
        <item m="1" x="6212"/>
        <item m="1" x="7228"/>
        <item m="1" x="270"/>
        <item m="1" x="1274"/>
        <item m="1" x="2278"/>
        <item m="1" x="3296"/>
        <item m="1" x="4318"/>
        <item m="1" x="5323"/>
        <item m="1" x="6331"/>
        <item m="1" x="7350"/>
        <item m="1" x="391"/>
        <item m="1" x="1396"/>
        <item m="1" x="2402"/>
        <item m="1" x="3421"/>
        <item m="1" x="4444"/>
        <item m="1" x="5445"/>
        <item m="1" x="6454"/>
        <item m="1" x="7471"/>
        <item m="1" x="514"/>
        <item m="1" x="1520"/>
        <item m="1" x="2527"/>
        <item m="1" x="3546"/>
        <item m="1" x="4563"/>
        <item m="1" x="5567"/>
        <item m="1" x="6576"/>
        <item m="1" x="7595"/>
        <item m="1" x="634"/>
        <item m="1" x="1643"/>
        <item m="1" x="2646"/>
        <item m="1" x="3668"/>
        <item m="1" x="4679"/>
        <item m="1" x="5686"/>
        <item m="1" x="6700"/>
        <item m="1" x="7716"/>
        <item m="1" x="754"/>
        <item m="1" x="1758"/>
        <item m="1" x="2768"/>
        <item m="1" x="3792"/>
        <item m="1" x="4803"/>
        <item m="1" x="5807"/>
        <item m="1" x="6823"/>
        <item m="1" x="7839"/>
        <item m="1" x="876"/>
        <item m="1" x="1879"/>
        <item m="1" x="2890"/>
        <item m="1" x="3921"/>
        <item m="1" x="4924"/>
        <item m="1" x="5929"/>
        <item m="1" x="6943"/>
        <item m="1" x="7961"/>
        <item m="1" x="998"/>
        <item m="1" x="2002"/>
        <item m="1" x="3012"/>
        <item m="1" x="4044"/>
        <item m="1" x="5042"/>
        <item m="1" x="6051"/>
        <item m="1" x="7066"/>
        <item m="1" x="116"/>
        <item m="1" x="1119"/>
        <item m="1" x="2124"/>
        <item m="1" x="3136"/>
        <item m="1" x="4165"/>
        <item m="1" x="5164"/>
        <item m="1" x="6176"/>
        <item m="1" x="7193"/>
        <item m="1" x="237"/>
        <item m="1" x="1241"/>
        <item m="1" x="2243"/>
        <item m="1" x="3260"/>
        <item m="1" x="4286"/>
        <item m="1" x="5288"/>
        <item m="1" x="6296"/>
        <item m="1" x="7313"/>
        <item m="1" x="358"/>
        <item m="1" x="1359"/>
        <item m="1" x="2366"/>
        <item m="1" x="3384"/>
        <item m="1" x="4410"/>
        <item m="1" x="5408"/>
        <item m="1" x="6419"/>
        <item m="1" x="7434"/>
        <item m="1" x="483"/>
        <item m="1" x="1483"/>
        <item m="1" x="2493"/>
        <item m="1" x="3508"/>
        <item m="1" x="4533"/>
        <item m="1" x="5530"/>
        <item m="1" x="6543"/>
        <item m="1" x="7559"/>
        <item m="1" x="606"/>
        <item m="1" x="1609"/>
        <item m="1" x="2617"/>
        <item m="1" x="3633"/>
        <item m="1" x="4651"/>
        <item m="1" x="5653"/>
        <item m="1" x="6669"/>
        <item m="1" x="7683"/>
        <item m="1" x="724"/>
        <item m="1" x="1727"/>
        <item m="1" x="2734"/>
        <item m="1" x="3757"/>
        <item m="1" x="4771"/>
        <item m="1" x="5773"/>
        <item m="1" x="6791"/>
        <item m="1" x="7806"/>
        <item m="1" x="846"/>
        <item m="1" x="1845"/>
        <item m="1" x="2859"/>
        <item m="1" x="3886"/>
        <item m="1" x="4896"/>
        <item m="1" x="5896"/>
        <item m="1" x="6914"/>
        <item m="1" x="7926"/>
        <item m="1" x="969"/>
        <item m="1" x="1969"/>
        <item m="1" x="2984"/>
        <item m="1" x="4011"/>
        <item m="1" x="5017"/>
        <item m="1" x="6018"/>
        <item m="1" x="7035"/>
        <item m="1" x="83"/>
        <item m="1" x="3822"/>
        <item m="1" x="4834"/>
        <item m="1" x="5839"/>
        <item m="1" x="6853"/>
        <item m="1" x="7866"/>
        <item m="1" x="905"/>
        <item m="1" x="1911"/>
        <item m="1" x="2921"/>
        <item m="1" x="3948"/>
        <item m="1" x="4953"/>
        <item m="1" x="5960"/>
        <item m="1" x="6974"/>
        <item m="1" x="7990"/>
        <item m="1" x="1028"/>
        <item m="1" x="2034"/>
        <item m="1" x="3045"/>
        <item m="1" x="4073"/>
        <item m="1" x="5072"/>
        <item m="1" x="6083"/>
        <item m="1" x="7098"/>
        <item m="1" x="146"/>
        <item m="1" x="1150"/>
        <item m="1" x="2155"/>
        <item m="1" x="3167"/>
        <item m="1" x="4191"/>
        <item m="1" x="5194"/>
        <item m="1" x="6204"/>
        <item m="1" x="7222"/>
        <item m="1" x="264"/>
        <item m="1" x="1269"/>
        <item m="1" x="2271"/>
        <item m="1" x="3291"/>
        <item m="1" x="4312"/>
        <item m="1" x="5318"/>
        <item m="1" x="6324"/>
        <item m="1" x="7344"/>
        <item m="1" x="385"/>
        <item m="1" x="1390"/>
        <item m="1" x="2395"/>
        <item m="1" x="3416"/>
        <item m="1" x="4438"/>
        <item m="1" x="5440"/>
        <item m="1" x="6447"/>
        <item m="1" x="7466"/>
        <item m="1" x="508"/>
        <item m="1" x="1515"/>
        <item m="1" x="2520"/>
        <item m="1" x="3541"/>
        <item m="1" x="4557"/>
        <item m="1" x="5562"/>
        <item m="1" x="6569"/>
        <item m="1" x="7590"/>
        <item m="1" x="629"/>
        <item m="1" x="1638"/>
        <item m="1" x="2641"/>
        <item m="1" x="3664"/>
        <item m="1" x="4675"/>
        <item m="1" x="5682"/>
        <item m="1" x="6695"/>
        <item m="1" x="7713"/>
        <item m="1" x="749"/>
        <item m="1" x="1755"/>
        <item m="1" x="2763"/>
        <item m="1" x="3789"/>
        <item m="1" x="4799"/>
        <item m="1" x="5804"/>
        <item m="1" x="6818"/>
        <item m="1" x="7836"/>
        <item m="1" x="871"/>
        <item m="1" x="1874"/>
        <item m="1" x="2885"/>
        <item m="1" x="3917"/>
        <item m="1" x="4920"/>
        <item m="1" x="5925"/>
        <item m="1" x="6938"/>
        <item m="1" x="7957"/>
        <item m="1" x="993"/>
        <item m="1" x="1998"/>
        <item m="1" x="3008"/>
        <item m="1" x="4041"/>
        <item m="1" x="5039"/>
        <item m="1" x="6048"/>
        <item m="1" x="7062"/>
        <item m="1" x="113"/>
        <item m="1" x="1115"/>
        <item m="1" x="2120"/>
        <item m="1" x="3132"/>
        <item m="1" x="4160"/>
        <item m="1" x="5160"/>
        <item m="1" x="6173"/>
        <item m="1" x="7189"/>
        <item m="1" x="234"/>
        <item m="1" x="1236"/>
        <item m="1" x="2240"/>
        <item m="1" x="3256"/>
        <item m="1" x="4283"/>
        <item m="1" x="5285"/>
        <item m="1" x="6292"/>
        <item m="1" x="7309"/>
        <item m="1" x="354"/>
        <item m="1" x="1355"/>
        <item m="1" x="2362"/>
        <item m="1" x="3380"/>
        <item m="1" x="4406"/>
        <item m="1" x="5405"/>
        <item m="1" x="6415"/>
        <item m="1" x="7430"/>
        <item m="1" x="479"/>
        <item m="1" x="1479"/>
        <item m="1" x="2489"/>
        <item m="1" x="3504"/>
        <item m="1" x="4529"/>
        <item m="1" x="5527"/>
        <item m="1" x="6538"/>
        <item m="1" x="7555"/>
        <item m="1" x="602"/>
        <item m="1" x="1605"/>
        <item m="1" x="2612"/>
        <item m="1" x="3628"/>
        <item m="1" x="4646"/>
        <item m="1" x="5650"/>
        <item m="1" x="6663"/>
        <item m="1" x="2426"/>
        <item m="1" x="3445"/>
        <item m="1" x="4467"/>
        <item m="1" x="5472"/>
        <item m="1" x="6478"/>
        <item m="1" x="7494"/>
        <item m="1" x="538"/>
        <item m="1" x="1546"/>
        <item m="1" x="2549"/>
        <item m="1" x="3568"/>
        <item m="1" x="4583"/>
        <item m="1" x="5594"/>
        <item m="1" x="6601"/>
        <item m="1" x="7619"/>
        <item m="1" x="657"/>
        <item m="1" x="1669"/>
        <item m="1" x="2671"/>
        <item m="1" x="3693"/>
        <item m="1" x="4704"/>
        <item m="1" x="5713"/>
        <item m="1" x="6727"/>
        <item m="1" x="7741"/>
        <item m="1" x="780"/>
        <item m="1" x="1784"/>
        <item m="1" x="2793"/>
        <item m="1" x="3817"/>
        <item m="1" x="4828"/>
        <item m="1" x="5832"/>
        <item m="1" x="6848"/>
        <item m="1" x="7860"/>
        <item m="1" x="900"/>
        <item m="1" x="1904"/>
        <item m="1" x="2915"/>
        <item m="1" x="3942"/>
        <item m="1" x="4948"/>
        <item m="1" x="5953"/>
        <item m="1" x="6969"/>
        <item m="1" x="7984"/>
        <item m="1" x="1023"/>
        <item m="1" x="2027"/>
        <item m="1" x="3039"/>
        <item m="1" x="4067"/>
        <item m="1" x="5066"/>
        <item m="1" x="6076"/>
        <item m="1" x="7092"/>
        <item m="1" x="140"/>
        <item m="1" x="1145"/>
        <item m="1" x="2147"/>
        <item m="1" x="3162"/>
        <item m="1" x="4185"/>
        <item m="1" x="5189"/>
        <item m="1" x="6198"/>
        <item m="1" x="7218"/>
        <item m="1" x="259"/>
        <item m="1" x="1266"/>
        <item m="1" x="2266"/>
        <item m="1" x="3288"/>
        <item m="1" x="4308"/>
        <item m="1" x="5314"/>
        <item m="1" x="6319"/>
        <item m="1" x="7341"/>
        <item m="1" x="381"/>
        <item m="1" x="1387"/>
        <item m="1" x="2390"/>
        <item m="1" x="3413"/>
        <item m="1" x="4433"/>
        <item m="1" x="5437"/>
        <item m="1" x="6442"/>
        <item m="1" x="7463"/>
        <item m="1" x="504"/>
        <item m="1" x="1511"/>
        <item m="1" x="2515"/>
        <item m="1" x="3537"/>
        <item m="1" x="4552"/>
        <item m="1" x="5557"/>
        <item m="1" x="6564"/>
        <item m="1" x="7585"/>
        <item m="1" x="625"/>
        <item m="1" x="1634"/>
        <item m="1" x="2637"/>
        <item m="1" x="3661"/>
        <item m="1" x="4671"/>
        <item m="1" x="5679"/>
        <item m="1" x="6691"/>
        <item m="1" x="7710"/>
        <item m="1" x="746"/>
        <item m="1" x="1752"/>
        <item m="1" x="2758"/>
        <item m="1" x="3785"/>
        <item m="1" x="4795"/>
        <item m="1" x="5801"/>
        <item m="1" x="6814"/>
        <item m="1" x="7833"/>
        <item m="1" x="868"/>
        <item m="1" x="1871"/>
        <item m="1" x="2881"/>
        <item m="1" x="3913"/>
        <item m="1" x="4916"/>
        <item m="1" x="5921"/>
        <item m="1" x="6934"/>
        <item m="1" x="7953"/>
        <item m="1" x="990"/>
        <item m="1" x="1994"/>
        <item m="1" x="3004"/>
        <item m="1" x="4037"/>
        <item m="1" x="5035"/>
        <item m="1" x="6044"/>
        <item m="1" x="7057"/>
        <item m="1" x="108"/>
        <item m="1" x="1112"/>
        <item m="1" x="2116"/>
        <item m="1" x="3128"/>
        <item m="1" x="4156"/>
        <item m="1" x="5155"/>
        <item m="1" x="6168"/>
        <item m="1" x="7185"/>
        <item m="1" x="230"/>
        <item m="1" x="1233"/>
        <item m="1" x="2235"/>
        <item m="1" x="3252"/>
        <item m="1" x="4279"/>
        <item m="1" x="5280"/>
        <item m="1" x="44"/>
        <item m="1" x="1057"/>
        <item m="1" x="2057"/>
        <item m="1" x="3070"/>
        <item m="1" x="4094"/>
        <item m="1" x="5099"/>
        <item m="1" x="6106"/>
        <item m="1" x="7122"/>
        <item m="1" x="167"/>
        <item m="1" x="1177"/>
        <item m="1" x="2178"/>
        <item m="1" x="3192"/>
        <item m="1" x="4215"/>
        <item m="1" x="5222"/>
        <item m="1" x="6229"/>
        <item m="1" x="7248"/>
        <item m="1" x="289"/>
        <item m="1" x="1297"/>
        <item m="1" x="2298"/>
        <item m="1" x="3316"/>
        <item m="1" x="4338"/>
        <item m="1" x="5345"/>
        <item m="1" x="6352"/>
        <item m="1" x="7369"/>
        <item m="1" x="411"/>
        <item m="1" x="1417"/>
        <item m="1" x="2422"/>
        <item m="1" x="3440"/>
        <item m="1" x="4463"/>
        <item m="1" x="5466"/>
        <item m="1" x="6473"/>
        <item m="1" x="7489"/>
        <item m="1" x="533"/>
        <item m="1" x="1540"/>
        <item m="1" x="2544"/>
        <item m="1" x="3563"/>
        <item m="1" x="4579"/>
        <item m="1" x="5588"/>
        <item m="1" x="6596"/>
        <item m="1" x="7614"/>
        <item m="1" x="653"/>
        <item m="1" x="1663"/>
        <item m="1" x="2667"/>
        <item m="1" x="3688"/>
        <item m="1" x="4700"/>
        <item m="1" x="5707"/>
        <item m="1" x="6723"/>
        <item m="1" x="7736"/>
        <item m="1" x="775"/>
        <item m="1" x="1778"/>
        <item m="1" x="2789"/>
        <item m="1" x="3812"/>
        <item m="1" x="4824"/>
        <item m="1" x="5827"/>
        <item m="1" x="6845"/>
        <item m="1" x="7857"/>
        <item m="1" x="898"/>
        <item m="1" x="1900"/>
        <item m="1" x="2913"/>
        <item m="1" x="3939"/>
        <item m="1" x="4946"/>
        <item m="1" x="5949"/>
        <item m="1" x="6967"/>
        <item m="1" x="7980"/>
        <item m="1" x="1020"/>
        <item m="1" x="2023"/>
        <item m="1" x="3036"/>
        <item m="1" x="4064"/>
        <item m="1" x="5064"/>
        <item m="1" x="6071"/>
        <item m="1" x="7089"/>
        <item m="1" x="136"/>
        <item m="1" x="1142"/>
        <item m="1" x="2143"/>
        <item m="1" x="3159"/>
        <item m="1" x="4182"/>
        <item m="1" x="5186"/>
        <item m="1" x="6194"/>
        <item m="1" x="7215"/>
        <item m="1" x="255"/>
        <item m="1" x="1262"/>
        <item m="1" x="2262"/>
        <item m="1" x="3285"/>
        <item m="1" x="4305"/>
        <item m="1" x="5311"/>
        <item m="1" x="6315"/>
        <item m="1" x="7338"/>
        <item m="1" x="376"/>
        <item m="1" x="1383"/>
        <item m="1" x="2385"/>
        <item m="1" x="3410"/>
        <item m="1" x="4430"/>
        <item m="1" x="5434"/>
        <item m="1" x="6438"/>
        <item m="1" x="7460"/>
        <item m="1" x="500"/>
        <item m="1" x="1507"/>
        <item m="1" x="2511"/>
        <item m="1" x="3532"/>
        <item m="1" x="4549"/>
        <item m="1" x="5552"/>
        <item m="1" x="6560"/>
        <item m="1" x="7581"/>
        <item m="1" x="621"/>
        <item m="1" x="1630"/>
        <item m="1" x="2633"/>
        <item m="1" x="3657"/>
        <item m="1" x="4668"/>
        <item m="1" x="5675"/>
        <item m="1" x="6687"/>
        <item m="1" x="7706"/>
        <item m="1" x="742"/>
        <item m="1" x="1748"/>
        <item m="1" x="2753"/>
        <item m="1" x="3781"/>
        <item m="1" x="4792"/>
        <item m="1" x="5796"/>
        <item m="1" x="6810"/>
        <item m="1" x="7829"/>
        <item m="1" x="864"/>
        <item m="1" x="1866"/>
        <item m="1" x="2877"/>
        <item m="1" x="6626"/>
        <item m="1" x="7643"/>
        <item m="1" x="684"/>
        <item m="1" x="1691"/>
        <item m="1" x="2694"/>
        <item m="1" x="3716"/>
        <item m="1" x="4732"/>
        <item m="1" x="5736"/>
        <item m="1" x="6750"/>
        <item m="1" x="7764"/>
        <item m="1" x="806"/>
        <item m="1" x="1807"/>
        <item m="1" x="2819"/>
        <item m="1" x="3842"/>
        <item m="1" x="4856"/>
        <item m="1" x="5858"/>
        <item m="1" x="6874"/>
        <item m="1" x="7885"/>
        <item m="1" x="930"/>
        <item m="1" x="1930"/>
        <item m="1" x="2943"/>
        <item m="1" x="3968"/>
        <item m="1" x="4978"/>
        <item m="1" x="5979"/>
        <item m="1" x="6995"/>
        <item m="1" x="41"/>
        <item m="1" x="1050"/>
        <item m="1" x="2052"/>
        <item m="1" x="3064"/>
        <item m="1" x="4090"/>
        <item m="1" x="5093"/>
        <item m="1" x="6102"/>
        <item m="1" x="7117"/>
        <item m="1" x="163"/>
        <item m="1" x="1171"/>
        <item m="1" x="2173"/>
        <item m="1" x="3187"/>
        <item m="1" x="4210"/>
        <item m="1" x="5216"/>
        <item m="1" x="6225"/>
        <item m="1" x="7243"/>
        <item m="1" x="285"/>
        <item m="1" x="1291"/>
        <item m="1" x="2293"/>
        <item m="1" x="3311"/>
        <item m="1" x="4334"/>
        <item m="1" x="5339"/>
        <item m="1" x="6348"/>
        <item m="1" x="7364"/>
        <item m="1" x="407"/>
        <item m="1" x="1411"/>
        <item m="1" x="2418"/>
        <item m="1" x="3435"/>
        <item m="1" x="4459"/>
        <item m="1" x="5461"/>
        <item m="1" x="6470"/>
        <item m="1" x="7486"/>
        <item m="1" x="530"/>
        <item m="1" x="1536"/>
        <item m="1" x="2542"/>
        <item m="1" x="3560"/>
        <item m="1" x="4577"/>
        <item m="1" x="5584"/>
        <item m="1" x="6594"/>
        <item m="1" x="7611"/>
        <item m="1" x="651"/>
        <item m="1" x="1659"/>
        <item m="1" x="2665"/>
        <item m="1" x="3684"/>
        <item m="1" x="4696"/>
        <item m="1" x="5703"/>
        <item m="1" x="6720"/>
        <item m="1" x="7733"/>
        <item m="1" x="772"/>
        <item m="1" x="1774"/>
        <item m="1" x="2786"/>
        <item m="1" x="3808"/>
        <item m="1" x="4821"/>
        <item m="1" x="5823"/>
        <item m="1" x="6842"/>
        <item m="1" x="7854"/>
        <item m="1" x="895"/>
        <item m="1" x="1896"/>
        <item m="1" x="2910"/>
        <item m="1" x="3935"/>
        <item m="1" x="4942"/>
        <item m="1" x="5945"/>
        <item m="1" x="6962"/>
        <item m="1" x="7976"/>
        <item m="1" x="1017"/>
        <item m="1" x="2019"/>
        <item m="1" x="3033"/>
        <item m="1" x="4060"/>
        <item m="1" x="5061"/>
        <item m="1" x="6067"/>
        <item m="1" x="7086"/>
        <item m="1" x="133"/>
        <item m="1" x="1138"/>
        <item m="1" x="2139"/>
        <item m="1" x="3155"/>
        <item m="1" x="4178"/>
        <item m="1" x="5182"/>
        <item m="1" x="6190"/>
        <item m="1" x="7211"/>
        <item m="1" x="252"/>
        <item m="1" x="1258"/>
        <item m="1" x="2258"/>
        <item m="1" x="3281"/>
        <item m="1" x="4301"/>
        <item m="1" x="5307"/>
        <item m="1" x="6311"/>
        <item m="1" x="7334"/>
        <item m="1" x="373"/>
        <item m="1" x="1378"/>
        <item m="1" x="2381"/>
        <item m="1" x="3406"/>
        <item m="1" x="4426"/>
        <item m="1" x="5429"/>
        <item m="1" x="6433"/>
        <item m="1" x="7455"/>
        <item m="1" x="497"/>
        <item m="1" x="1501"/>
        <item m="1" x="4743"/>
        <item m="1" x="5245"/>
        <item m="1" x="5747"/>
        <item m="1" x="6252"/>
        <item m="1" x="6761"/>
        <item m="1" x="7269"/>
        <item m="1" x="7776"/>
        <item m="1" x="315"/>
        <item m="1" x="818"/>
        <item m="1" x="1319"/>
        <item m="1" x="1818"/>
        <item m="1" x="2321"/>
        <item m="1" x="2830"/>
        <item m="1" x="3339"/>
        <item m="1" x="3853"/>
        <item m="1" x="4364"/>
        <item m="1" x="4868"/>
        <item m="1" x="5367"/>
        <item m="1" x="5868"/>
        <item m="1" x="6375"/>
        <item m="1" x="6885"/>
        <item m="1" x="7389"/>
        <item m="1" x="7896"/>
        <item m="1" x="437"/>
        <item m="1" x="942"/>
        <item m="1" x="1440"/>
        <item m="1" x="1941"/>
        <item m="1" x="2446"/>
        <item m="1" x="2954"/>
        <item m="1" x="3463"/>
        <item m="1" x="3980"/>
        <item m="1" x="4489"/>
        <item m="1" x="4990"/>
        <item m="1" x="5491"/>
        <item m="1" x="5990"/>
        <item m="1" x="6498"/>
        <item m="1" x="7008"/>
        <item m="1" x="7513"/>
        <item m="1" x="53"/>
        <item m="1" x="560"/>
        <item m="1" x="1066"/>
        <item m="1" x="1567"/>
        <item m="1" x="2065"/>
        <item m="1" x="2570"/>
        <item m="1" x="3080"/>
        <item m="1" x="3588"/>
        <item m="1" x="4103"/>
        <item m="1" x="4606"/>
        <item m="1" x="5110"/>
        <item m="1" x="5613"/>
        <item m="1" x="6114"/>
        <item m="1" x="6622"/>
        <item m="1" x="7133"/>
        <item m="1" x="7638"/>
        <item m="1" x="175"/>
        <item m="1" x="678"/>
        <item m="1" x="1186"/>
        <item m="1" x="1686"/>
        <item m="1" x="2185"/>
        <item m="1" x="2689"/>
        <item m="1" x="3200"/>
        <item m="1" x="3712"/>
        <item m="1" x="4222"/>
        <item m="1" x="4726"/>
        <item m="1" x="5230"/>
        <item m="1" x="5731"/>
        <item m="1" x="6236"/>
        <item m="1" x="6745"/>
        <item m="1" x="7256"/>
        <item m="1" x="7759"/>
        <item m="1" x="297"/>
        <item m="1" x="800"/>
        <item m="1" x="1306"/>
        <item m="1" x="1803"/>
        <item m="1" x="2306"/>
        <item m="1" x="2814"/>
        <item m="1" x="3325"/>
        <item m="1" x="3838"/>
        <item m="1" x="4346"/>
        <item m="1" x="4850"/>
        <item m="1" x="5354"/>
        <item m="1" x="5853"/>
        <item m="1" x="6359"/>
        <item m="1" x="6869"/>
        <item m="1" x="7377"/>
        <item m="1" x="7880"/>
        <item m="1" x="418"/>
        <item m="1" x="924"/>
        <item m="1" x="1426"/>
        <item m="1" x="1925"/>
        <item m="1" x="2431"/>
        <item m="1" x="2938"/>
        <item m="1" x="3450"/>
        <item m="1" x="3964"/>
        <item m="1" x="4471"/>
        <item m="1" x="4971"/>
        <item m="1" x="5477"/>
        <item m="1" x="5975"/>
        <item m="1" x="6482"/>
        <item m="1" x="6989"/>
        <item m="1" x="7499"/>
        <item m="1" x="36"/>
        <item m="1" x="542"/>
        <item m="1" x="1044"/>
        <item m="1" x="1551"/>
        <item m="1" x="2049"/>
        <item m="1" x="2554"/>
        <item m="1" x="3060"/>
        <item m="1" x="3573"/>
        <item m="1" x="4088"/>
        <item m="1" x="4588"/>
        <item m="1" x="5089"/>
        <item m="1" x="5599"/>
        <item m="1" x="6100"/>
        <item m="1" x="6606"/>
        <item m="1" x="7114"/>
        <item m="1" x="7625"/>
        <item m="1" x="160"/>
        <item m="1" x="661"/>
        <item m="1" x="1167"/>
        <item m="1" x="1674"/>
        <item m="1" x="2170"/>
        <item m="1" x="2676"/>
        <item m="1" x="3184"/>
        <item m="1" x="3699"/>
        <item m="1" x="4208"/>
        <item m="1" x="4709"/>
        <item m="1" x="5212"/>
        <item m="1" x="5719"/>
        <item m="1" x="6223"/>
        <item m="1" x="6731"/>
        <item m="1" x="7239"/>
        <item m="1" x="7746"/>
        <item m="1" x="282"/>
        <item m="1" x="784"/>
        <item m="1" x="1287"/>
        <item m="1" x="1790"/>
        <item m="1" x="2291"/>
        <item m="1" x="2798"/>
        <item m="1" x="3308"/>
        <item m="1" x="3823"/>
        <item m="1" x="4331"/>
        <item m="1" x="4835"/>
        <item m="1" x="5335"/>
        <item m="1" x="5840"/>
        <item m="1" x="6345"/>
        <item m="1" x="6854"/>
        <item m="1" x="7360"/>
        <item m="1" x="7867"/>
        <item m="1" x="403"/>
        <item m="1" x="906"/>
        <item m="1" x="1407"/>
        <item m="1" x="1912"/>
        <item m="1" x="2414"/>
        <item m="1" x="2922"/>
        <item m="1" x="3432"/>
        <item m="1" x="3949"/>
        <item m="1" x="4455"/>
        <item m="1" x="4954"/>
        <item m="1" x="5457"/>
        <item m="1" x="5961"/>
        <item m="1" x="6467"/>
        <item m="1" x="6975"/>
        <item m="1" x="7482"/>
        <item m="1" x="7991"/>
        <item m="1" x="526"/>
        <item m="1" x="1029"/>
        <item m="1" x="1532"/>
        <item m="1" x="2035"/>
        <item m="1" x="2539"/>
        <item m="1" x="3046"/>
        <item m="1" x="3557"/>
        <item m="1" x="4074"/>
        <item m="1" x="4574"/>
        <item m="1" x="5073"/>
        <item m="1" x="5579"/>
        <item m="1" x="6084"/>
        <item m="1" x="6590"/>
        <item m="1" x="7099"/>
        <item m="1" x="7607"/>
        <item m="1" x="147"/>
        <item m="1" x="648"/>
        <item m="1" x="1151"/>
        <item m="1" x="1655"/>
        <item m="1" x="2156"/>
        <item m="1" x="2661"/>
        <item m="1" x="3168"/>
        <item m="1" x="3681"/>
        <item m="1" x="4192"/>
        <item m="1" x="4693"/>
        <item m="1" x="5195"/>
        <item m="1" x="5699"/>
        <item m="1" x="6205"/>
        <item m="1" x="6716"/>
        <item m="1" x="7223"/>
        <item m="1" x="7729"/>
        <item m="1" x="265"/>
        <item m="1" x="768"/>
        <item m="1" x="1270"/>
        <item m="1" x="1770"/>
        <item m="1" x="2272"/>
        <item m="1" x="2782"/>
        <item m="1" x="3292"/>
        <item m="1" x="3805"/>
        <item m="1" x="4313"/>
        <item m="1" x="4817"/>
        <item m="1" x="5319"/>
        <item m="1" x="5819"/>
        <item m="1" x="6325"/>
        <item m="1" x="6838"/>
        <item m="1" x="7345"/>
        <item m="1" x="7850"/>
        <item m="1" x="386"/>
        <item m="1" x="891"/>
        <item m="1" x="1391"/>
        <item m="1" x="1891"/>
        <item m="1" x="2396"/>
        <item m="1" x="2905"/>
        <item m="1" x="3417"/>
        <item m="1" x="3932"/>
        <item m="1" x="4439"/>
        <item m="1" x="4937"/>
        <item m="1" x="5441"/>
        <item m="1" x="5941"/>
        <item m="1" x="6448"/>
        <item m="1" x="6958"/>
        <item m="1" x="7467"/>
        <item m="1" x="7972"/>
        <item m="1" x="509"/>
        <item m="1" x="1012"/>
        <item m="1" x="1516"/>
        <item m="1" x="2015"/>
        <item m="1" x="2521"/>
        <item m="1" x="3029"/>
        <item m="1" x="3542"/>
        <item m="1" x="4057"/>
        <item m="1" x="4558"/>
        <item m="1" x="5056"/>
        <item m="1" x="5563"/>
        <item m="1" x="6063"/>
        <item m="1" x="6570"/>
        <item m="1" x="7082"/>
        <item m="1" x="7591"/>
        <item m="1" x="128"/>
        <item m="1" x="3351"/>
        <item m="1" x="3870"/>
        <item m="1" x="4376"/>
        <item m="1" x="4878"/>
        <item m="1" x="5378"/>
        <item m="1" x="5880"/>
        <item m="1" x="6385"/>
        <item m="1" x="6894"/>
        <item m="1" x="7400"/>
        <item m="1" x="7909"/>
        <item m="1" x="447"/>
        <item m="1" x="951"/>
        <item m="1" x="1450"/>
        <item m="1" x="1951"/>
        <item m="1" x="2457"/>
        <item m="1" x="2962"/>
        <item m="1" x="3474"/>
        <item m="1" x="3993"/>
        <item m="1" x="4500"/>
        <item m="1" x="4999"/>
        <item m="1" x="5501"/>
        <item m="1" x="6001"/>
        <item m="1" x="6509"/>
        <item m="1" x="7016"/>
        <item m="1" x="7526"/>
        <item m="1" x="66"/>
        <item m="1" x="572"/>
        <item m="1" x="1075"/>
        <item m="1" x="1576"/>
        <item m="1" x="2076"/>
        <item m="1" x="2581"/>
        <item m="1" x="3088"/>
        <item m="1" x="3599"/>
        <item m="1" x="4116"/>
        <item m="1" x="4617"/>
        <item m="1" x="5118"/>
        <item m="1" x="5623"/>
        <item m="1" x="6126"/>
        <item m="1" x="6634"/>
        <item m="1" x="7143"/>
        <item m="1" x="7650"/>
        <item m="1" x="189"/>
        <item m="1" x="692"/>
        <item m="1" x="1196"/>
        <item m="1" x="1698"/>
        <item m="1" x="2197"/>
        <item m="1" x="2702"/>
        <item m="1" x="3211"/>
        <item m="1" x="3724"/>
        <item m="1" x="4236"/>
        <item m="1" x="4740"/>
        <item m="1" x="5241"/>
        <item m="1" x="5743"/>
        <item m="1" x="6247"/>
        <item m="1" x="6757"/>
        <item m="1" x="7265"/>
        <item m="1" x="7771"/>
        <item m="1" x="309"/>
        <item m="1" x="814"/>
        <item m="1" x="1314"/>
        <item m="1" x="1813"/>
        <item m="1" x="2316"/>
        <item m="1" x="2826"/>
        <item m="1" x="3334"/>
        <item m="1" x="3848"/>
        <item m="1" x="4358"/>
        <item m="1" x="4863"/>
        <item m="1" x="5361"/>
        <item m="1" x="5864"/>
        <item m="1" x="6369"/>
        <item m="1" x="6881"/>
        <item m="1" x="7385"/>
        <item m="1" x="7891"/>
        <item m="1" x="431"/>
        <item m="1" x="938"/>
        <item m="1" x="1435"/>
        <item m="1" x="1936"/>
        <item m="1" x="2441"/>
        <item m="1" x="2950"/>
        <item m="1" x="3458"/>
        <item m="1" x="3975"/>
        <item m="1" x="4483"/>
        <item m="1" x="4986"/>
        <item m="1" x="5486"/>
        <item m="1" x="5986"/>
        <item m="1" x="6493"/>
        <item m="1" x="7003"/>
        <item m="1" x="7509"/>
        <item m="1" x="48"/>
        <item m="1" x="554"/>
        <item m="1" x="1061"/>
        <item m="1" x="1563"/>
        <item m="1" x="2060"/>
        <item m="1" x="2565"/>
        <item m="1" x="3075"/>
        <item m="1" x="3583"/>
        <item m="1" x="4097"/>
        <item m="1" x="4600"/>
        <item m="1" x="5104"/>
        <item m="1" x="5608"/>
        <item m="1" x="6110"/>
        <item m="1" x="6617"/>
        <item m="1" x="7127"/>
        <item m="1" x="7635"/>
        <item m="1" x="170"/>
        <item m="1" x="674"/>
        <item m="1" x="1181"/>
        <item m="1" x="1684"/>
        <item m="1" x="2181"/>
        <item m="1" x="2686"/>
        <item m="1" x="3196"/>
        <item m="1" x="3709"/>
        <item m="1" x="4218"/>
        <item m="1" x="4722"/>
        <item m="1" x="5226"/>
        <item m="1" x="5729"/>
        <item m="1" x="6233"/>
        <item m="1" x="6742"/>
        <item m="1" x="7252"/>
        <item m="1" x="7757"/>
        <item m="1" x="293"/>
        <item m="1" x="796"/>
        <item m="1" x="1302"/>
        <item m="1" x="1801"/>
        <item m="1" x="2302"/>
        <item m="1" x="2810"/>
        <item m="1" x="3321"/>
        <item m="1" x="3835"/>
        <item m="1" x="4341"/>
        <item m="1" x="4846"/>
        <item m="1" x="5350"/>
        <item m="1" x="5850"/>
        <item m="1" x="6356"/>
        <item m="1" x="6866"/>
        <item m="1" x="7373"/>
        <item m="1" x="7877"/>
        <item m="1" x="414"/>
        <item m="1" x="918"/>
        <item m="1" x="1422"/>
        <item m="1" x="1922"/>
        <item m="1" x="2427"/>
        <item m="1" x="2932"/>
        <item m="1" x="3446"/>
        <item m="1" x="3960"/>
        <item m="1" x="4468"/>
        <item m="1" x="4966"/>
        <item m="1" x="5473"/>
        <item m="1" x="5972"/>
        <item m="1" x="6479"/>
        <item m="1" x="6985"/>
        <item m="1" x="7495"/>
        <item m="1" x="33"/>
        <item m="1" x="539"/>
        <item m="1" x="1039"/>
        <item m="1" x="1547"/>
        <item m="1" x="2046"/>
        <item m="1" x="2550"/>
        <item m="1" x="3055"/>
        <item m="1" x="3569"/>
        <item m="1" x="4084"/>
        <item m="1" x="4584"/>
        <item m="1" x="5084"/>
        <item m="1" x="5595"/>
        <item m="1" x="6096"/>
        <item m="1" x="6602"/>
        <item m="1" x="7110"/>
        <item m="1" x="7620"/>
        <item m="1" x="157"/>
        <item m="1" x="658"/>
        <item m="1" x="1162"/>
        <item m="1" x="1670"/>
        <item m="1" x="2167"/>
        <item m="1" x="2672"/>
        <item m="1" x="3178"/>
        <item m="1" x="3694"/>
        <item m="1" x="4204"/>
        <item m="1" x="4705"/>
        <item m="1" x="5206"/>
        <item m="1" x="5714"/>
        <item m="1" x="6220"/>
        <item m="1" x="6728"/>
        <item m="1" x="7235"/>
        <item m="1" x="7742"/>
        <item m="1" x="279"/>
        <item m="1" x="781"/>
        <item m="1" x="1282"/>
        <item m="1" x="1785"/>
        <item m="1" x="2288"/>
        <item m="1" x="2794"/>
        <item m="1" x="3303"/>
        <item m="1" x="3818"/>
        <item m="1" x="4327"/>
        <item m="1" x="4829"/>
        <item m="1" x="5330"/>
        <item m="1" x="5833"/>
        <item m="1" x="6340"/>
        <item m="1" x="6849"/>
        <item m="1" x="7356"/>
        <item m="1" x="7861"/>
        <item m="1" x="398"/>
        <item m="1" x="901"/>
        <item m="1" x="1402"/>
        <item m="1" x="1905"/>
        <item m="1" x="2409"/>
        <item m="1" x="2916"/>
        <item m="1" x="3427"/>
        <item m="1" x="3943"/>
        <item m="1" x="4451"/>
        <item m="1" x="4949"/>
        <item m="1" x="5452"/>
        <item m="1" x="5954"/>
        <item m="1" x="6463"/>
        <item m="1" x="6970"/>
        <item m="1" x="7478"/>
        <item m="1" x="7985"/>
        <item m="1" x="522"/>
        <item m="1" x="1024"/>
        <item m="1" x="1527"/>
        <item m="1" x="2028"/>
        <item m="1" x="2535"/>
        <item m="1" x="3040"/>
        <item m="1" x="3552"/>
        <item m="1" x="4068"/>
        <item m="1" x="4570"/>
        <item m="1" x="5067"/>
        <item m="1" x="5573"/>
        <item m="1" x="6077"/>
        <item m="1" x="6584"/>
        <item m="1" x="7093"/>
        <item m="1" x="7603"/>
        <item m="1" x="141"/>
        <item m="1" x="643"/>
        <item m="1" x="1146"/>
        <item m="1" x="1650"/>
        <item m="1" x="2148"/>
        <item m="1" x="2656"/>
        <item m="1" x="3163"/>
        <item m="1" x="3676"/>
        <item m="1" x="4186"/>
        <item m="1" x="4688"/>
        <item m="1" x="5190"/>
        <item m="1" x="5694"/>
        <item m="1" x="6199"/>
        <item m="1" x="6710"/>
        <item m="1" x="1463"/>
        <item m="1" x="1963"/>
        <item m="1" x="2469"/>
        <item m="1" x="2975"/>
        <item m="1" x="3488"/>
        <item m="1" x="4006"/>
        <item m="1" x="4509"/>
        <item m="1" x="5009"/>
        <item m="1" x="5511"/>
        <item m="1" x="6012"/>
        <item m="1" x="6517"/>
        <item m="1" x="7026"/>
        <item m="1" x="7539"/>
        <item m="1" x="77"/>
        <item m="1" x="580"/>
        <item m="1" x="1085"/>
        <item m="1" x="1587"/>
        <item m="1" x="2086"/>
        <item m="1" x="2590"/>
        <item m="1" x="3099"/>
        <item m="1" x="3612"/>
        <item m="1" x="4126"/>
        <item m="1" x="4626"/>
        <item m="1" x="5129"/>
        <item m="1" x="5634"/>
        <item m="1" x="6136"/>
        <item m="1" x="6643"/>
        <item m="1" x="7154"/>
        <item m="1" x="7663"/>
        <item m="1" x="200"/>
        <item m="1" x="701"/>
        <item m="1" x="1206"/>
        <item m="1" x="1709"/>
        <item m="1" x="2207"/>
        <item m="1" x="2711"/>
        <item m="1" x="3223"/>
        <item m="1" x="3738"/>
        <item m="1" x="4249"/>
        <item m="1" x="4750"/>
        <item m="1" x="5252"/>
        <item m="1" x="5756"/>
        <item m="1" x="6260"/>
        <item m="1" x="6768"/>
        <item m="1" x="7276"/>
        <item m="1" x="7787"/>
        <item m="1" x="323"/>
        <item m="1" x="824"/>
        <item m="1" x="1326"/>
        <item m="1" x="1826"/>
        <item m="1" x="2329"/>
        <item m="1" x="2837"/>
        <item m="1" x="3346"/>
        <item m="1" x="3863"/>
        <item m="1" x="4372"/>
        <item m="1" x="4873"/>
        <item m="1" x="5373"/>
        <item m="1" x="5875"/>
        <item m="1" x="6382"/>
        <item m="1" x="6890"/>
        <item m="1" x="7396"/>
        <item m="1" x="7904"/>
        <item m="1" x="444"/>
        <item m="1" x="947"/>
        <item m="1" x="1447"/>
        <item m="1" x="1947"/>
        <item m="1" x="2454"/>
        <item m="1" x="2959"/>
        <item m="1" x="3470"/>
        <item m="1" x="3988"/>
        <item m="1" x="4497"/>
        <item m="1" x="4995"/>
        <item m="1" x="5497"/>
        <item m="1" x="5997"/>
        <item m="1" x="6506"/>
        <item m="1" x="7012"/>
        <item m="1" x="7521"/>
        <item m="1" x="61"/>
        <item m="1" x="568"/>
        <item m="1" x="1070"/>
        <item m="1" x="1573"/>
        <item m="1" x="2072"/>
        <item m="1" x="2577"/>
        <item m="1" x="3085"/>
        <item m="1" x="3595"/>
        <item m="1" x="4111"/>
        <item m="1" x="4614"/>
        <item m="1" x="5114"/>
        <item m="1" x="5619"/>
        <item m="1" x="6122"/>
        <item m="1" x="6630"/>
        <item m="1" x="7139"/>
        <item m="1" x="7646"/>
        <item m="1" x="184"/>
        <item m="1" x="688"/>
        <item m="1" x="1193"/>
        <item m="1" x="1695"/>
        <item m="1" x="2193"/>
        <item m="1" x="2698"/>
        <item m="1" x="3208"/>
        <item m="1" x="3720"/>
        <item m="1" x="4231"/>
        <item m="1" x="4736"/>
        <item m="1" x="5238"/>
        <item m="1" x="5739"/>
        <item m="1" x="6244"/>
        <item m="1" x="6754"/>
        <item m="1" x="7263"/>
        <item m="1" x="7767"/>
        <item m="1" x="306"/>
        <item m="1" x="810"/>
        <item m="1" x="1312"/>
        <item m="1" x="1811"/>
        <item m="1" x="2314"/>
        <item m="1" x="2823"/>
        <item m="1" x="3332"/>
        <item m="1" x="3845"/>
        <item m="1" x="4355"/>
        <item m="1" x="4860"/>
        <item m="1" x="5360"/>
        <item m="1" x="5861"/>
        <item m="1" x="6367"/>
        <item m="1" x="6878"/>
        <item m="1" x="7383"/>
        <item m="1" x="7888"/>
        <item m="1" x="428"/>
        <item m="1" x="935"/>
        <item m="1" x="1434"/>
        <item m="1" x="1934"/>
        <item m="1" x="2439"/>
        <item m="1" x="2947"/>
        <item m="1" x="3457"/>
        <item m="1" x="3972"/>
        <item m="1" x="4480"/>
        <item m="1" x="4983"/>
        <item m="1" x="5485"/>
        <item m="1" x="5983"/>
        <item m="1" x="6490"/>
        <item m="1" x="7000"/>
        <item m="1" x="7506"/>
        <item m="1" x="45"/>
        <item m="1" x="550"/>
        <item m="1" x="1058"/>
        <item m="1" x="1560"/>
        <item m="1" x="2058"/>
        <item m="1" x="2562"/>
        <item m="1" x="3071"/>
        <item m="1" x="3581"/>
        <item m="1" x="4095"/>
        <item m="1" x="4596"/>
        <item m="1" x="5100"/>
        <item m="1" x="5606"/>
        <item m="1" x="6107"/>
        <item m="1" x="6613"/>
        <item m="1" x="7123"/>
        <item m="1" x="7632"/>
        <item m="1" x="168"/>
        <item m="1" x="670"/>
        <item m="1" x="1178"/>
        <item m="1" x="1682"/>
        <item m="1" x="2179"/>
        <item m="1" x="2683"/>
        <item m="1" x="3193"/>
        <item m="1" x="3707"/>
        <item m="1" x="4216"/>
        <item m="1" x="4718"/>
        <item m="1" x="5223"/>
        <item m="1" x="5727"/>
        <item m="1" x="6230"/>
        <item m="1" x="6738"/>
        <item m="1" x="7249"/>
        <item m="1" x="7754"/>
        <item m="1" x="290"/>
        <item m="1" x="792"/>
        <item m="1" x="1298"/>
        <item m="1" x="1797"/>
        <item m="1" x="2299"/>
        <item m="1" x="2806"/>
        <item m="1" x="3317"/>
        <item m="1" x="3831"/>
        <item m="1" x="4339"/>
        <item m="1" x="4842"/>
        <item m="1" x="5346"/>
        <item m="1" x="5848"/>
        <item m="1" x="6353"/>
        <item m="1" x="6861"/>
        <item m="1" x="7370"/>
        <item m="1" x="7875"/>
        <item m="1" x="412"/>
        <item m="1" x="914"/>
        <item m="1" x="1418"/>
        <item m="1" x="1920"/>
        <item m="1" x="2423"/>
        <item m="1" x="2929"/>
        <item m="1" x="3441"/>
        <item m="1" x="3957"/>
        <item m="1" x="4464"/>
        <item m="1" x="4962"/>
        <item m="1" x="5467"/>
        <item m="1" x="5969"/>
        <item m="1" x="6474"/>
        <item m="1" x="6981"/>
        <item m="1" x="7490"/>
        <item m="1" x="7998"/>
        <item m="1" x="534"/>
        <item m="1" x="1035"/>
        <item m="1" x="1541"/>
        <item m="1" x="2042"/>
        <item m="1" x="2545"/>
        <item m="1" x="3052"/>
        <item m="1" x="3564"/>
        <item m="1" x="4081"/>
        <item m="1" x="4580"/>
        <item m="1" x="5080"/>
        <item m="1" x="5589"/>
        <item m="1" x="6093"/>
        <item m="1" x="6597"/>
        <item m="1" x="7106"/>
        <item m="1" x="7615"/>
        <item m="1" x="154"/>
        <item m="1" x="654"/>
        <item m="1" x="1158"/>
        <item m="1" x="1664"/>
        <item m="1" x="2164"/>
        <item m="1" x="2668"/>
        <item m="1" x="3175"/>
        <item m="1" x="3689"/>
        <item m="1" x="4200"/>
        <item m="1" x="4701"/>
        <item m="1" x="5202"/>
        <item m="1" x="5708"/>
        <item m="1" x="6216"/>
        <item m="1" x="6724"/>
        <item m="1" x="7231"/>
        <item m="1" x="7737"/>
        <item m="1" x="275"/>
        <item m="1" x="776"/>
        <item m="1" x="1277"/>
        <item m="1" x="1779"/>
        <item m="1" x="2283"/>
        <item m="1" x="2790"/>
        <item m="1" x="3300"/>
        <item m="1" x="3813"/>
        <item m="1" x="4322"/>
        <item m="1" x="4825"/>
        <item m="1" x="88"/>
        <item m="1" x="593"/>
        <item m="1" x="1097"/>
        <item m="1" x="1599"/>
        <item m="1" x="2096"/>
        <item m="1" x="2602"/>
        <item m="1" x="3112"/>
        <item m="1" x="3623"/>
        <item m="1" x="4135"/>
        <item m="1" x="4638"/>
        <item m="1" x="5140"/>
        <item m="1" x="5644"/>
        <item m="1" x="6146"/>
        <item m="1" x="6654"/>
        <item m="1" x="7167"/>
        <item m="1" x="7674"/>
        <item m="1" x="209"/>
        <item m="1" x="712"/>
        <item m="1" x="1217"/>
        <item m="1" x="1719"/>
        <item m="1" x="2215"/>
        <item m="1" x="2722"/>
        <item m="1" x="3236"/>
        <item m="1" x="3749"/>
        <item m="1" x="4257"/>
        <item m="1" x="4762"/>
        <item m="1" x="5263"/>
        <item m="1" x="5766"/>
        <item m="1" x="6268"/>
        <item m="1" x="6779"/>
        <item m="1" x="7289"/>
        <item m="1" x="7798"/>
        <item m="1" x="332"/>
        <item m="1" x="836"/>
        <item m="1" x="1337"/>
        <item m="1" x="1838"/>
        <item m="1" x="2338"/>
        <item m="1" x="2847"/>
        <item m="1" x="3361"/>
        <item m="1" x="3878"/>
        <item m="1" x="4383"/>
        <item m="1" x="4886"/>
        <item m="1" x="5386"/>
        <item m="1" x="5889"/>
        <item m="1" x="6392"/>
        <item m="1" x="6902"/>
        <item m="1" x="7410"/>
        <item m="1" x="7919"/>
        <item m="1" x="454"/>
        <item m="1" x="958"/>
        <item m="1" x="1459"/>
        <item m="1" x="1960"/>
        <item m="1" x="2464"/>
        <item m="1" x="2970"/>
        <item m="1" x="3482"/>
        <item m="1" x="4001"/>
        <item m="1" x="4504"/>
        <item m="1" x="5006"/>
        <item m="1" x="5507"/>
        <item m="1" x="6008"/>
        <item m="1" x="6514"/>
        <item m="1" x="7022"/>
        <item m="1" x="7534"/>
        <item m="1" x="73"/>
        <item m="1" x="576"/>
        <item m="1" x="1081"/>
        <item m="1" x="1583"/>
        <item m="1" x="2083"/>
        <item m="1" x="2586"/>
        <item m="1" x="3095"/>
        <item m="1" x="3607"/>
        <item m="1" x="4123"/>
        <item m="1" x="4622"/>
        <item m="1" x="5126"/>
        <item m="1" x="5630"/>
        <item m="1" x="6133"/>
        <item m="1" x="6640"/>
        <item m="1" x="7150"/>
        <item m="1" x="7658"/>
        <item m="1" x="197"/>
        <item m="1" x="697"/>
        <item m="1" x="1202"/>
        <item m="1" x="1705"/>
        <item m="1" x="2204"/>
        <item m="1" x="2707"/>
        <item m="1" x="3218"/>
        <item m="1" x="3733"/>
        <item m="1" x="4244"/>
        <item m="1" x="4746"/>
        <item m="1" x="5249"/>
        <item m="1" x="5752"/>
        <item m="1" x="6256"/>
        <item m="1" x="6765"/>
        <item m="1" x="7272"/>
        <item m="1" x="7781"/>
        <item m="1" x="319"/>
        <item m="1" x="821"/>
        <item m="1" x="1322"/>
        <item m="1" x="1822"/>
        <item m="1" x="2325"/>
        <item m="1" x="2833"/>
        <item m="1" x="3342"/>
        <item m="1" x="3858"/>
        <item m="1" x="4368"/>
        <item m="1" x="4871"/>
        <item m="1" x="5371"/>
        <item m="1" x="5873"/>
        <item m="1" x="6379"/>
        <item m="1" x="6889"/>
        <item m="1" x="7393"/>
        <item m="1" x="7901"/>
        <item m="1" x="441"/>
        <item m="1" x="946"/>
        <item m="1" x="1444"/>
        <item m="1" x="1945"/>
        <item m="1" x="2451"/>
        <item m="1" x="2957"/>
        <item m="1" x="3466"/>
        <item m="1" x="3985"/>
        <item m="1" x="4493"/>
        <item m="1" x="4993"/>
        <item m="1" x="5495"/>
        <item m="1" x="5995"/>
        <item m="1" x="6502"/>
        <item m="1" x="7011"/>
        <item m="1" x="7518"/>
        <item m="1" x="58"/>
        <item m="1" x="565"/>
        <item m="1" x="1069"/>
        <item m="1" x="1570"/>
        <item m="1" x="2069"/>
        <item m="1" x="2574"/>
        <item m="1" x="3083"/>
        <item m="1" x="3591"/>
        <item m="1" x="4108"/>
        <item m="1" x="4611"/>
        <item m="1" x="5113"/>
        <item m="1" x="5617"/>
        <item m="1" x="6119"/>
        <item m="1" x="6627"/>
        <item m="1" x="7137"/>
        <item m="1" x="7644"/>
        <item m="1" x="180"/>
        <item m="1" x="685"/>
        <item m="1" x="1191"/>
        <item m="1" x="1692"/>
        <item m="1" x="2189"/>
        <item m="1" x="2695"/>
        <item m="1" x="3205"/>
        <item m="1" x="3717"/>
        <item m="1" x="4227"/>
        <item m="1" x="4733"/>
        <item m="1" x="5235"/>
        <item m="1" x="5737"/>
        <item m="1" x="6241"/>
        <item m="1" x="6751"/>
        <item m="1" x="7260"/>
        <item m="1" x="7765"/>
        <item m="1" x="302"/>
        <item m="1" x="807"/>
        <item m="1" x="1310"/>
        <item m="1" x="1808"/>
        <item m="1" x="2310"/>
        <item m="1" x="2820"/>
        <item m="1" x="3329"/>
        <item m="1" x="3843"/>
        <item m="1" x="4351"/>
        <item m="1" x="4857"/>
        <item m="1" x="5358"/>
        <item m="1" x="5859"/>
        <item m="1" x="6364"/>
        <item m="1" x="6875"/>
        <item m="1" x="7381"/>
        <item m="1" x="7886"/>
        <item m="1" x="424"/>
        <item m="1" x="931"/>
        <item m="1" x="1432"/>
        <item m="1" x="1931"/>
        <item m="1" x="2435"/>
        <item m="1" x="2944"/>
        <item m="1" x="3455"/>
        <item m="1" x="3969"/>
        <item m="1" x="4476"/>
        <item m="1" x="4979"/>
        <item m="1" x="5482"/>
        <item m="1" x="5980"/>
        <item m="1" x="6487"/>
        <item m="1" x="6996"/>
        <item m="1" x="7504"/>
        <item m="1" x="42"/>
        <item m="1" x="547"/>
        <item m="1" x="1051"/>
        <item m="1" x="1557"/>
        <item m="1" x="2053"/>
        <item m="1" x="2558"/>
        <item m="1" x="3065"/>
        <item m="1" x="3578"/>
        <item m="1" x="4091"/>
        <item m="1" x="4592"/>
        <item m="1" x="5094"/>
        <item m="1" x="5603"/>
        <item m="1" x="6103"/>
        <item m="1" x="6610"/>
        <item m="1" x="7118"/>
        <item m="1" x="7629"/>
        <item m="1" x="164"/>
        <item m="1" x="666"/>
        <item m="1" x="1172"/>
        <item m="1" x="1679"/>
        <item m="1" x="2174"/>
        <item m="1" x="2679"/>
        <item m="1" x="3188"/>
        <item m="1" x="3704"/>
        <item m="1" x="4211"/>
        <item m="1" x="4713"/>
        <item m="1" x="5217"/>
        <item m="1" x="5723"/>
        <item m="1" x="6226"/>
        <item m="1" x="6735"/>
        <item m="1" x="7244"/>
        <item m="1" x="7750"/>
        <item m="1" x="286"/>
        <item m="1" x="788"/>
        <item m="1" x="1292"/>
        <item m="1" x="1794"/>
        <item m="1" x="2294"/>
        <item m="1" x="2801"/>
        <item m="1" x="3312"/>
        <item m="1" x="3827"/>
        <item m="1" x="4335"/>
        <item m="1" x="4838"/>
        <item m="1" x="5340"/>
        <item m="1" x="5844"/>
        <item m="1" x="6349"/>
        <item m="1" x="6858"/>
        <item m="1" x="7365"/>
        <item m="1" x="7871"/>
        <item m="1" x="408"/>
        <item m="1" x="910"/>
        <item m="1" x="1412"/>
        <item m="1" x="1916"/>
        <item m="1" x="2419"/>
        <item m="1" x="2925"/>
        <item m="1" x="3436"/>
        <item m="1" x="6159"/>
        <item m="1" x="6670"/>
        <item m="1" x="7179"/>
        <item m="1" x="7684"/>
        <item m="1" x="223"/>
        <item m="1" x="725"/>
        <item m="1" x="1227"/>
        <item m="1" x="1728"/>
        <item m="1" x="2226"/>
        <item m="1" x="2735"/>
        <item m="1" x="3246"/>
        <item m="1" x="3758"/>
        <item m="1" x="4271"/>
        <item m="1" x="4772"/>
        <item m="1" x="5274"/>
        <item m="1" x="5774"/>
        <item m="1" x="6279"/>
        <item m="1" x="6792"/>
        <item m="1" x="7300"/>
        <item m="1" x="7807"/>
        <item m="1" x="345"/>
        <item m="1" x="847"/>
        <item m="1" x="1348"/>
        <item m="1" x="1846"/>
        <item m="1" x="2350"/>
        <item m="1" x="2860"/>
        <item m="1" x="3373"/>
        <item m="1" x="3887"/>
        <item m="1" x="4396"/>
        <item m="1" x="4897"/>
        <item m="1" x="5397"/>
        <item m="1" x="5897"/>
        <item m="1" x="6403"/>
        <item m="1" x="6915"/>
        <item m="1" x="7421"/>
        <item m="1" x="7927"/>
        <item m="1" x="468"/>
        <item m="1" x="970"/>
        <item m="1" x="1471"/>
        <item m="1" x="1970"/>
        <item m="1" x="2477"/>
        <item m="1" x="2985"/>
        <item m="1" x="3496"/>
        <item m="1" x="4012"/>
        <item m="1" x="4518"/>
        <item m="1" x="5018"/>
        <item m="1" x="5519"/>
        <item m="1" x="6019"/>
        <item m="1" x="6525"/>
        <item m="1" x="7036"/>
        <item m="1" x="7547"/>
        <item m="1" x="84"/>
        <item m="1" x="589"/>
        <item m="1" x="1092"/>
        <item m="1" x="1595"/>
        <item m="1" x="2092"/>
        <item m="1" x="2597"/>
        <item m="1" x="3107"/>
        <item m="1" x="3620"/>
        <item m="1" x="4131"/>
        <item m="1" x="4634"/>
        <item m="1" x="5136"/>
        <item m="1" x="5641"/>
        <item m="1" x="6142"/>
        <item m="1" x="6650"/>
        <item m="1" x="7162"/>
        <item m="1" x="7670"/>
        <item m="1" x="204"/>
        <item m="1" x="709"/>
        <item m="1" x="1212"/>
        <item m="1" x="1716"/>
        <item m="1" x="2212"/>
        <item m="1" x="2718"/>
        <item m="1" x="3231"/>
        <item m="1" x="3746"/>
        <item m="1" x="4253"/>
        <item m="1" x="4758"/>
        <item m="1" x="5259"/>
        <item m="1" x="5763"/>
        <item m="1" x="6264"/>
        <item m="1" x="6775"/>
        <item m="1" x="7284"/>
        <item m="1" x="7795"/>
        <item m="1" x="328"/>
        <item m="1" x="833"/>
        <item m="1" x="1333"/>
        <item m="1" x="1834"/>
        <item m="1" x="2335"/>
        <item m="1" x="2843"/>
        <item m="1" x="3356"/>
        <item m="1" x="3874"/>
        <item m="1" x="4380"/>
        <item m="1" x="4882"/>
        <item m="1" x="5382"/>
        <item m="1" x="5885"/>
        <item m="1" x="6388"/>
        <item m="1" x="6897"/>
        <item m="1" x="7405"/>
        <item m="1" x="7914"/>
        <item m="1" x="450"/>
        <item m="1" x="955"/>
        <item m="1" x="1455"/>
        <item m="1" x="1955"/>
        <item m="1" x="2461"/>
        <item m="1" x="2966"/>
        <item m="1" x="3479"/>
        <item m="1" x="3997"/>
        <item m="1" x="4503"/>
        <item m="1" x="5003"/>
        <item m="1" x="5505"/>
        <item m="1" x="6005"/>
        <item m="1" x="6512"/>
        <item m="1" x="7019"/>
        <item m="1" x="7531"/>
        <item m="1" x="70"/>
        <item m="1" x="575"/>
        <item m="1" x="1079"/>
        <item m="1" x="1581"/>
        <item m="1" x="2080"/>
        <item m="1" x="2585"/>
        <item m="1" x="3092"/>
        <item m="1" x="3604"/>
        <item m="1" x="4120"/>
        <item m="1" x="4621"/>
        <item m="1" x="5123"/>
        <item m="1" x="5627"/>
        <item m="1" x="6130"/>
        <item m="1" x="6638"/>
        <item m="1" x="7146"/>
        <item m="1" x="7655"/>
        <item m="1" x="194"/>
        <item m="1" x="695"/>
        <item m="1" x="1200"/>
        <item m="1" x="1703"/>
        <item m="1" x="2201"/>
        <item m="1" x="2705"/>
        <item m="1" x="3215"/>
        <item m="1" x="3729"/>
        <item m="1" x="4241"/>
        <item m="1" x="4744"/>
        <item m="1" x="5246"/>
        <item m="1" x="5748"/>
        <item m="1" x="6253"/>
        <item m="1" x="6762"/>
        <item m="1" x="7270"/>
        <item m="1" x="7777"/>
        <item m="1" x="316"/>
        <item m="1" x="819"/>
        <item m="1" x="1320"/>
        <item m="1" x="1819"/>
        <item m="1" x="2322"/>
        <item m="1" x="2831"/>
        <item m="1" x="3340"/>
        <item m="1" x="3854"/>
        <item m="1" x="4365"/>
        <item m="1" x="4869"/>
        <item m="1" x="5368"/>
        <item m="1" x="5869"/>
        <item m="1" x="6376"/>
        <item m="1" x="6886"/>
        <item m="1" x="7390"/>
        <item m="1" x="7897"/>
        <item m="1" x="438"/>
        <item m="1" x="943"/>
        <item m="1" x="1441"/>
        <item m="1" x="1942"/>
        <item m="1" x="2447"/>
        <item m="1" x="2955"/>
        <item m="1" x="3464"/>
        <item m="1" x="3981"/>
        <item m="1" x="4490"/>
        <item m="1" x="4991"/>
        <item m="1" x="5492"/>
        <item m="1" x="5991"/>
        <item m="1" x="6499"/>
        <item m="1" x="7009"/>
        <item m="1" x="7514"/>
        <item m="1" x="54"/>
        <item m="1" x="561"/>
        <item m="1" x="1067"/>
        <item m="1" x="1568"/>
        <item m="1" x="2066"/>
        <item m="1" x="2571"/>
        <item m="1" x="3081"/>
        <item m="1" x="3589"/>
        <item m="1" x="4104"/>
        <item m="1" x="4607"/>
        <item m="1" x="5111"/>
        <item m="1" x="5614"/>
        <item m="1" x="6115"/>
        <item m="1" x="6623"/>
        <item m="1" x="7134"/>
        <item m="1" x="7639"/>
        <item m="1" x="176"/>
        <item m="1" x="679"/>
        <item m="1" x="1187"/>
        <item m="1" x="1687"/>
        <item m="1" x="2186"/>
        <item m="1" x="2690"/>
        <item m="1" x="3201"/>
        <item m="1" x="3713"/>
        <item m="1" x="4223"/>
        <item m="1" x="4727"/>
        <item m="1" x="5231"/>
        <item m="1" x="5732"/>
        <item m="1" x="6237"/>
        <item m="1" x="6746"/>
        <item m="1" x="7257"/>
        <item m="1" x="7760"/>
        <item m="1" x="298"/>
        <item m="1" x="801"/>
        <item m="1" x="1307"/>
        <item m="1" x="1804"/>
        <item m="1" x="2307"/>
        <item m="1" x="2815"/>
        <item m="1" x="3326"/>
        <item m="1" x="3839"/>
        <item m="1" x="4347"/>
        <item m="1" x="4851"/>
        <item m="1" x="5355"/>
        <item m="1" x="5854"/>
        <item m="1" x="6360"/>
        <item m="1" x="6870"/>
        <item m="1" x="7378"/>
        <item m="1" x="7881"/>
        <item m="1" x="419"/>
        <item m="1" x="925"/>
        <item m="1" x="1427"/>
        <item m="1" x="1926"/>
        <item m="1" x="2432"/>
        <item m="1" x="2939"/>
        <item m="1" x="3451"/>
        <item m="1" x="3965"/>
        <item m="1" x="4472"/>
        <item m="1" x="4972"/>
        <item m="1" x="5478"/>
        <item m="1" x="5976"/>
        <item m="1" x="6483"/>
        <item m="1" x="6990"/>
        <item m="1" x="7500"/>
        <item m="1" x="37"/>
        <item m="1" x="543"/>
        <item m="1" x="1045"/>
        <item m="1" x="1552"/>
        <item m="1" x="4786"/>
        <item m="1" x="5286"/>
        <item m="1" x="5787"/>
        <item m="1" x="6293"/>
        <item m="1" x="6805"/>
        <item m="1" x="7310"/>
        <item m="1" x="7820"/>
        <item m="1" x="355"/>
        <item m="1" x="858"/>
        <item m="1" x="1356"/>
        <item m="1" x="1857"/>
        <item m="1" x="2363"/>
        <item m="1" x="2871"/>
        <item m="1" x="3381"/>
        <item m="1" x="3900"/>
        <item m="1" x="4407"/>
        <item m="1" x="4907"/>
        <item m="1" x="5406"/>
        <item m="1" x="5909"/>
        <item m="1" x="6416"/>
        <item m="1" x="6926"/>
        <item m="1" x="7431"/>
        <item m="1" x="7942"/>
        <item m="1" x="480"/>
        <item m="1" x="981"/>
        <item m="1" x="1480"/>
        <item m="1" x="1981"/>
        <item m="1" x="2490"/>
        <item m="1" x="2996"/>
        <item m="1" x="3505"/>
        <item m="1" x="4025"/>
        <item m="1" x="4530"/>
        <item m="1" x="5028"/>
        <item m="1" x="5528"/>
        <item m="1" x="6031"/>
        <item m="1" x="6539"/>
        <item m="1" x="7049"/>
        <item m="1" x="7556"/>
        <item m="1" x="97"/>
        <item m="1" x="603"/>
        <item m="1" x="1105"/>
        <item m="1" x="1606"/>
        <item m="1" x="2104"/>
        <item m="1" x="2613"/>
        <item m="1" x="3120"/>
        <item m="1" x="3629"/>
        <item m="1" x="4144"/>
        <item m="1" x="4647"/>
        <item m="1" x="5148"/>
        <item m="1" x="5651"/>
        <item m="1" x="6154"/>
        <item m="1" x="6664"/>
        <item m="1" x="7175"/>
        <item m="1" x="7679"/>
        <item m="1" x="217"/>
        <item m="1" x="719"/>
        <item m="1" x="1224"/>
        <item m="1" x="1724"/>
        <item m="1" x="2222"/>
        <item m="1" x="2730"/>
        <item m="1" x="3243"/>
        <item m="1" x="3754"/>
        <item m="1" x="4266"/>
        <item m="1" x="4768"/>
        <item m="1" x="5271"/>
        <item m="1" x="5771"/>
        <item m="1" x="6275"/>
        <item m="1" x="6787"/>
        <item m="1" x="7297"/>
        <item m="1" x="7803"/>
        <item m="1" x="340"/>
        <item m="1" x="843"/>
        <item m="1" x="1345"/>
        <item m="1" x="1842"/>
        <item m="1" x="2345"/>
        <item m="1" x="2855"/>
        <item m="1" x="3369"/>
        <item m="1" x="3882"/>
        <item m="1" x="4391"/>
        <item m="1" x="4893"/>
        <item m="1" x="5393"/>
        <item m="1" x="5894"/>
        <item m="1" x="6399"/>
        <item m="1" x="6910"/>
        <item m="1" x="7418"/>
        <item m="1" x="7923"/>
        <item m="1" x="462"/>
        <item m="1" x="966"/>
        <item m="1" x="1467"/>
        <item m="1" x="1966"/>
        <item m="1" x="2472"/>
        <item m="1" x="2980"/>
        <item m="1" x="3492"/>
        <item m="1" x="4009"/>
        <item m="1" x="4513"/>
        <item m="1" x="5014"/>
        <item m="1" x="5515"/>
        <item m="1" x="6016"/>
        <item m="1" x="6521"/>
        <item m="1" x="7031"/>
        <item m="1" x="7543"/>
        <item m="1" x="81"/>
        <item m="1" x="584"/>
        <item m="1" x="1089"/>
        <item m="1" x="1591"/>
        <item m="1" x="2090"/>
        <item m="1" x="2593"/>
        <item m="1" x="3104"/>
        <item m="1" x="3616"/>
        <item m="1" x="4129"/>
        <item m="1" x="4630"/>
        <item m="1" x="5134"/>
        <item m="1" x="5638"/>
        <item m="1" x="6140"/>
        <item m="1" x="6647"/>
        <item m="1" x="7159"/>
        <item m="1" x="7667"/>
        <item m="1" x="203"/>
        <item m="1" x="705"/>
        <item m="1" x="1210"/>
        <item m="1" x="1713"/>
        <item m="1" x="2210"/>
        <item m="1" x="2714"/>
        <item m="1" x="3228"/>
        <item m="1" x="3743"/>
        <item m="1" x="4252"/>
        <item m="1" x="4754"/>
        <item m="1" x="5257"/>
        <item m="1" x="5760"/>
        <item m="1" x="6263"/>
        <item m="1" x="6772"/>
        <item m="1" x="7281"/>
        <item m="1" x="7792"/>
        <item m="1" x="327"/>
        <item m="1" x="829"/>
        <item m="1" x="1330"/>
        <item m="1" x="1831"/>
        <item m="1" x="2332"/>
        <item m="1" x="2840"/>
        <item m="1" x="3352"/>
        <item m="1" x="3871"/>
        <item m="1" x="4377"/>
        <item m="1" x="4879"/>
        <item m="1" x="5379"/>
        <item m="1" x="5881"/>
        <item m="1" x="6386"/>
        <item m="1" x="6895"/>
        <item m="1" x="7401"/>
        <item m="1" x="7910"/>
        <item m="1" x="448"/>
        <item m="1" x="952"/>
        <item m="1" x="1451"/>
        <item m="1" x="1952"/>
        <item m="1" x="2458"/>
        <item m="1" x="2963"/>
        <item m="1" x="3475"/>
        <item m="1" x="3994"/>
        <item m="1" x="4501"/>
        <item m="1" x="5000"/>
        <item m="1" x="5502"/>
        <item m="1" x="6002"/>
        <item m="1" x="6510"/>
        <item m="1" x="7017"/>
        <item m="1" x="7527"/>
        <item m="1" x="67"/>
        <item m="1" x="573"/>
        <item m="1" x="1076"/>
        <item m="1" x="1577"/>
        <item m="1" x="2077"/>
        <item m="1" x="2582"/>
        <item m="1" x="3089"/>
        <item m="1" x="3600"/>
        <item m="1" x="4117"/>
        <item m="1" x="4618"/>
        <item m="1" x="5119"/>
        <item m="1" x="5624"/>
        <item m="1" x="6127"/>
        <item m="1" x="6635"/>
        <item m="1" x="7144"/>
        <item m="1" x="7651"/>
        <item m="1" x="190"/>
        <item m="1" x="693"/>
        <item m="1" x="1197"/>
        <item m="1" x="1699"/>
        <item m="1" x="2198"/>
        <item m="1" x="2703"/>
        <item m="1" x="3212"/>
        <item m="1" x="3725"/>
        <item m="1" x="4237"/>
        <item m="1" x="4741"/>
        <item m="1" x="5242"/>
        <item m="1" x="5744"/>
        <item m="1" x="6248"/>
        <item m="1" x="6758"/>
        <item m="1" x="7266"/>
        <item m="1" x="7772"/>
        <item m="1" x="310"/>
        <item m="1" x="815"/>
        <item m="1" x="1315"/>
        <item m="1" x="1814"/>
        <item m="1" x="2317"/>
        <item m="1" x="2827"/>
        <item m="1" x="3335"/>
        <item m="1" x="3849"/>
        <item m="1" x="4359"/>
        <item m="1" x="4864"/>
        <item m="1" x="5362"/>
        <item m="1" x="5865"/>
        <item m="1" x="6370"/>
        <item m="1" x="6882"/>
        <item m="1" x="7386"/>
        <item m="1" x="7892"/>
        <item m="1" x="432"/>
        <item m="1" x="939"/>
        <item m="1" x="1436"/>
        <item m="1" x="1937"/>
        <item m="1" x="2442"/>
        <item m="1" x="2951"/>
        <item m="1" x="3459"/>
        <item m="1" x="3976"/>
        <item m="1" x="4484"/>
        <item m="1" x="4987"/>
        <item m="1" x="5487"/>
        <item m="1" x="5987"/>
        <item m="1" x="6494"/>
        <item m="1" x="7004"/>
        <item m="1" x="7510"/>
        <item m="1" x="49"/>
        <item m="1" x="555"/>
        <item m="1" x="1062"/>
        <item m="1" x="1564"/>
        <item m="1" x="2061"/>
        <item m="1" x="2566"/>
        <item m="1" x="3076"/>
        <item m="1" x="3584"/>
        <item m="1" x="4098"/>
        <item m="1" x="4601"/>
        <item m="1" x="5105"/>
        <item m="1" x="5609"/>
        <item m="1" x="6111"/>
        <item m="1" x="6618"/>
        <item m="1" x="7128"/>
        <item m="1" x="7636"/>
        <item m="1" x="171"/>
        <item m="1" x="2882"/>
        <item m="1" x="3395"/>
        <item m="1" x="3914"/>
        <item m="1" x="4419"/>
        <item m="1" x="4917"/>
        <item m="1" x="5418"/>
        <item m="1" x="5922"/>
        <item m="1" x="6427"/>
        <item m="1" x="6935"/>
        <item m="1" x="7444"/>
        <item m="1" x="7954"/>
        <item m="1" x="490"/>
        <item m="1" x="991"/>
        <item m="1" x="1491"/>
        <item m="1" x="1995"/>
        <item m="1" x="2501"/>
        <item m="1" x="3005"/>
        <item m="1" x="3518"/>
        <item m="1" x="4038"/>
        <item m="1" x="4540"/>
        <item m="1" x="5036"/>
        <item m="1" x="5540"/>
        <item m="1" x="6045"/>
        <item m="1" x="6551"/>
        <item m="1" x="7058"/>
        <item m="1" x="7569"/>
        <item m="1" x="109"/>
        <item m="1" x="613"/>
        <item m="1" x="1113"/>
        <item m="1" x="1618"/>
        <item m="1" x="2117"/>
        <item m="1" x="2624"/>
        <item m="1" x="3129"/>
        <item m="1" x="3643"/>
        <item m="1" x="4157"/>
        <item m="1" x="4659"/>
        <item m="1" x="5156"/>
        <item m="1" x="5662"/>
        <item m="1" x="6169"/>
        <item m="1" x="6678"/>
        <item m="1" x="7186"/>
        <item m="1" x="7693"/>
        <item m="1" x="231"/>
        <item m="1" x="734"/>
        <item m="1" x="1234"/>
        <item m="1" x="1736"/>
        <item m="1" x="2236"/>
        <item m="1" x="2745"/>
        <item m="1" x="3253"/>
        <item m="1" x="3767"/>
        <item m="1" x="4280"/>
        <item m="1" x="4782"/>
        <item m="1" x="5281"/>
        <item m="1" x="5782"/>
        <item m="1" x="6287"/>
        <item m="1" x="6800"/>
        <item m="1" x="7304"/>
        <item m="1" x="7815"/>
        <item m="1" x="351"/>
        <item m="1" x="854"/>
        <item m="1" x="1353"/>
        <item m="1" x="1853"/>
        <item m="1" x="2358"/>
        <item m="1" x="2867"/>
        <item m="1" x="3377"/>
        <item m="1" x="3895"/>
        <item m="1" x="4403"/>
        <item m="1" x="4904"/>
        <item m="1" x="5402"/>
        <item m="1" x="5904"/>
        <item m="1" x="6411"/>
        <item m="1" x="6923"/>
        <item m="1" x="7427"/>
        <item m="1" x="7937"/>
        <item m="1" x="476"/>
        <item m="1" x="978"/>
        <item m="1" x="1477"/>
        <item m="1" x="1977"/>
        <item m="1" x="2485"/>
        <item m="1" x="2993"/>
        <item m="1" x="3501"/>
        <item m="1" x="4020"/>
        <item m="1" x="4526"/>
        <item m="1" x="5025"/>
        <item m="1" x="5524"/>
        <item m="1" x="6026"/>
        <item m="1" x="6534"/>
        <item m="1" x="7044"/>
        <item m="1" x="7552"/>
        <item m="1" x="92"/>
        <item m="1" x="599"/>
        <item m="1" x="1101"/>
        <item m="1" x="1603"/>
        <item m="1" x="2100"/>
        <item m="1" x="2607"/>
        <item m="1" x="3116"/>
        <item m="1" x="3626"/>
        <item m="1" x="4139"/>
        <item m="1" x="4642"/>
        <item m="1" x="5144"/>
        <item m="1" x="5647"/>
        <item m="1" x="6149"/>
        <item m="1" x="6659"/>
        <item m="1" x="7171"/>
        <item m="1" x="7677"/>
        <item m="1" x="213"/>
        <item m="1" x="717"/>
        <item m="1" x="1221"/>
        <item m="1" x="1723"/>
        <item m="1" x="2219"/>
        <item m="1" x="2727"/>
        <item m="1" x="3240"/>
        <item m="1" x="3753"/>
        <item m="1" x="4262"/>
        <item m="1" x="4766"/>
        <item m="1" x="5268"/>
        <item m="1" x="5769"/>
        <item m="1" x="6271"/>
        <item m="1" x="6784"/>
        <item m="1" x="7293"/>
        <item m="1" x="7801"/>
        <item m="1" x="336"/>
        <item m="1" x="841"/>
        <item m="1" x="1341"/>
        <item m="1" x="1841"/>
        <item m="1" x="2342"/>
        <item m="1" x="2852"/>
        <item m="1" x="3366"/>
        <item m="1" x="3881"/>
        <item m="1" x="4387"/>
        <item m="1" x="4890"/>
        <item m="1" x="5390"/>
        <item m="1" x="5892"/>
        <item m="1" x="6395"/>
        <item m="1" x="6907"/>
        <item m="1" x="7415"/>
        <item m="1" x="7922"/>
        <item m="1" x="458"/>
        <item m="1" x="963"/>
        <item m="1" x="1464"/>
        <item m="1" x="1964"/>
        <item m="1" x="2470"/>
        <item m="1" x="2976"/>
        <item m="1" x="3489"/>
        <item m="1" x="4007"/>
        <item m="1" x="4510"/>
        <item m="1" x="5010"/>
        <item m="1" x="5512"/>
        <item m="1" x="6013"/>
        <item m="1" x="6518"/>
        <item m="1" x="7027"/>
        <item m="1" x="7540"/>
        <item m="1" x="78"/>
        <item m="1" x="581"/>
        <item m="1" x="1086"/>
        <item m="1" x="1588"/>
        <item m="1" x="2087"/>
        <item m="1" x="2591"/>
        <item m="1" x="3100"/>
        <item m="1" x="3613"/>
        <item m="1" x="4127"/>
        <item m="1" x="4627"/>
        <item m="1" x="5130"/>
        <item m="1" x="5635"/>
        <item m="1" x="6137"/>
        <item m="1" x="6644"/>
        <item m="1" x="7155"/>
        <item m="1" x="7664"/>
        <item m="1" x="201"/>
        <item m="1" x="702"/>
        <item m="1" x="1207"/>
        <item m="1" x="1710"/>
        <item m="1" x="2208"/>
        <item m="1" x="2712"/>
        <item m="1" x="3224"/>
        <item m="1" x="3739"/>
        <item m="1" x="4250"/>
        <item m="1" x="4751"/>
        <item m="1" x="5253"/>
        <item m="1" x="5757"/>
        <item m="1" x="6261"/>
        <item m="1" x="6769"/>
        <item m="1" x="7277"/>
        <item m="1" x="7788"/>
        <item m="1" x="324"/>
        <item m="1" x="825"/>
        <item m="1" x="1327"/>
        <item m="1" x="1827"/>
        <item m="1" x="2330"/>
        <item m="1" x="2838"/>
        <item m="1" x="3347"/>
        <item m="1" x="3864"/>
        <item m="1" x="4373"/>
        <item m="1" x="4874"/>
        <item m="1" x="5374"/>
        <item m="1" x="5876"/>
        <item m="1" x="6383"/>
        <item m="1" x="6891"/>
        <item m="1" x="7397"/>
        <item m="1" x="7905"/>
        <item m="1" x="445"/>
        <item m="1" x="948"/>
        <item m="1" x="1448"/>
        <item m="1" x="1948"/>
        <item m="1" x="2455"/>
        <item m="1" x="2960"/>
        <item m="1" x="3471"/>
        <item m="1" x="3989"/>
        <item m="1" x="4498"/>
        <item m="1" x="4996"/>
        <item m="1" x="5498"/>
        <item m="1" x="5998"/>
        <item m="1" x="6507"/>
        <item m="1" x="7013"/>
        <item m="1" x="7522"/>
        <item m="1" x="62"/>
        <item m="1" x="569"/>
        <item m="1" x="1071"/>
        <item m="1" x="1574"/>
        <item m="1" x="2073"/>
        <item m="1" x="2578"/>
        <item m="1" x="3086"/>
        <item m="1" x="3596"/>
        <item m="1" x="4112"/>
        <item m="1" x="4615"/>
        <item m="1" x="5115"/>
        <item m="1" x="5620"/>
        <item m="1" x="6123"/>
        <item m="1" x="6631"/>
        <item m="1" x="7140"/>
        <item m="1" x="7647"/>
        <item m="1" x="185"/>
        <item m="1" x="689"/>
        <item m="1" x="1194"/>
        <item m="1" x="1696"/>
        <item m="1" x="2194"/>
        <item m="1" x="2699"/>
        <item m="1" x="3209"/>
        <item m="1" x="3721"/>
        <item m="1" x="4232"/>
        <item m="1" x="4737"/>
        <item m="1" x="5239"/>
        <item m="1" x="5740"/>
        <item m="1" x="6245"/>
        <item m="1" x="1508"/>
        <item m="1" x="2007"/>
        <item m="1" x="2512"/>
        <item m="1" x="3019"/>
        <item m="1" x="3533"/>
        <item m="1" x="4049"/>
        <item m="1" x="4550"/>
        <item m="1" x="5047"/>
        <item m="1" x="5553"/>
        <item m="1" x="6055"/>
        <item m="1" x="6561"/>
        <item m="1" x="7072"/>
        <item m="1" x="7582"/>
        <item m="1" x="120"/>
        <item m="1" x="622"/>
        <item m="1" x="1124"/>
        <item m="1" x="1631"/>
        <item m="1" x="2128"/>
        <item m="1" x="2634"/>
        <item m="1" x="3142"/>
        <item m="1" x="3658"/>
        <item m="1" x="4169"/>
        <item m="1" x="4669"/>
        <item m="1" x="5170"/>
        <item m="1" x="5676"/>
        <item m="1" x="6181"/>
        <item m="1" x="6688"/>
        <item m="1" x="7199"/>
        <item m="1" x="7707"/>
        <item m="1" x="242"/>
        <item m="1" x="743"/>
        <item m="1" x="1246"/>
        <item m="1" x="1749"/>
        <item m="1" x="2247"/>
        <item m="1" x="2754"/>
        <item m="1" x="3267"/>
        <item m="1" x="3782"/>
        <item m="1" x="4291"/>
        <item m="1" x="4793"/>
        <item m="1" x="5295"/>
        <item m="1" x="5797"/>
        <item m="1" x="6301"/>
        <item m="1" x="6811"/>
        <item m="1" x="7319"/>
        <item m="1" x="7830"/>
        <item m="1" x="363"/>
        <item m="1" x="865"/>
        <item m="1" x="1364"/>
        <item m="1" x="1867"/>
        <item m="1" x="2371"/>
        <item m="1" x="2878"/>
        <item m="1" x="3390"/>
        <item m="1" x="3909"/>
        <item m="1" x="4415"/>
        <item m="1" x="4913"/>
        <item m="1" x="5413"/>
        <item m="1" x="5917"/>
        <item m="1" x="6424"/>
        <item m="1" x="6931"/>
        <item m="1" x="7439"/>
        <item m="1" x="7950"/>
        <item m="1" x="487"/>
        <item m="1" x="987"/>
        <item m="1" x="1487"/>
        <item m="1" x="1990"/>
        <item m="1" x="2497"/>
        <item m="1" x="3000"/>
        <item m="1" x="3513"/>
        <item m="1" x="4033"/>
        <item m="1" x="4537"/>
        <item m="1" x="5033"/>
        <item m="1" x="5536"/>
        <item m="1" x="6040"/>
        <item m="1" x="6548"/>
        <item m="1" x="7054"/>
        <item m="1" x="7564"/>
        <item m="1" x="105"/>
        <item m="1" x="610"/>
        <item m="1" x="1109"/>
        <item m="1" x="1613"/>
        <item m="1" x="2112"/>
        <item m="1" x="2621"/>
        <item m="1" x="3125"/>
        <item m="1" x="3638"/>
        <item m="1" x="4153"/>
        <item m="1" x="4655"/>
        <item m="1" x="5153"/>
        <item m="1" x="5658"/>
        <item m="1" x="6164"/>
        <item m="1" x="6674"/>
        <item m="1" x="7183"/>
        <item m="1" x="7688"/>
        <item m="1" x="227"/>
        <item m="1" x="730"/>
        <item m="1" x="1230"/>
        <item m="1" x="1731"/>
        <item m="1" x="2231"/>
        <item m="1" x="2740"/>
        <item m="1" x="3249"/>
        <item m="1" x="3762"/>
        <item m="1" x="4276"/>
        <item m="1" x="4777"/>
        <item m="1" x="5278"/>
        <item m="1" x="5778"/>
        <item m="1" x="6284"/>
        <item m="1" x="6796"/>
        <item m="1" x="7303"/>
        <item m="1" x="7811"/>
        <item m="1" x="349"/>
        <item m="1" x="851"/>
        <item m="1" x="1351"/>
        <item m="1" x="1849"/>
        <item m="1" x="2355"/>
        <item m="1" x="2864"/>
        <item m="1" x="3376"/>
        <item m="1" x="3891"/>
        <item m="1" x="4401"/>
        <item m="1" x="4901"/>
        <item m="1" x="5401"/>
        <item m="1" x="5901"/>
        <item m="1" x="6408"/>
        <item m="1" x="6919"/>
        <item m="1" x="7425"/>
        <item m="1" x="7932"/>
        <item m="1" x="472"/>
        <item m="1" x="974"/>
        <item m="1" x="1475"/>
        <item m="1" x="1973"/>
        <item m="1" x="2482"/>
        <item m="1" x="2990"/>
        <item m="1" x="3499"/>
        <item m="1" x="4016"/>
        <item m="1" x="4524"/>
        <item m="1" x="5022"/>
        <item m="1" x="5522"/>
        <item m="1" x="6023"/>
        <item m="1" x="6530"/>
        <item m="1" x="7041"/>
        <item m="1" x="7550"/>
        <item m="1" x="89"/>
        <item m="1" x="594"/>
        <item m="1" x="1098"/>
        <item m="1" x="1600"/>
        <item m="1" x="2097"/>
        <item m="1" x="2603"/>
        <item m="1" x="3113"/>
        <item m="1" x="3624"/>
        <item m="1" x="4136"/>
        <item m="1" x="4639"/>
        <item m="1" x="5141"/>
        <item m="1" x="5645"/>
        <item m="1" x="6147"/>
        <item m="1" x="6655"/>
        <item m="1" x="7168"/>
        <item m="1" x="7675"/>
        <item m="1" x="210"/>
        <item m="1" x="713"/>
        <item m="1" x="1218"/>
        <item m="1" x="1720"/>
        <item m="1" x="2216"/>
        <item m="1" x="2723"/>
        <item m="1" x="3237"/>
        <item m="1" x="3750"/>
        <item m="1" x="4258"/>
        <item m="1" x="4763"/>
        <item m="1" x="5264"/>
        <item m="1" x="5767"/>
        <item m="1" x="6269"/>
        <item m="1" x="6780"/>
        <item m="1" x="7290"/>
        <item m="1" x="7799"/>
        <item m="1" x="333"/>
        <item m="1" x="837"/>
        <item m="1" x="1338"/>
        <item m="1" x="1839"/>
        <item m="1" x="2339"/>
        <item m="1" x="2848"/>
        <item m="1" x="3362"/>
        <item m="1" x="3879"/>
        <item m="1" x="4384"/>
        <item m="1" x="4887"/>
        <item m="1" x="5387"/>
        <item m="1" x="5890"/>
        <item m="1" x="6393"/>
        <item m="1" x="6903"/>
        <item m="1" x="7411"/>
        <item m="1" x="7920"/>
        <item m="1" x="455"/>
        <item m="1" x="959"/>
        <item m="1" x="1460"/>
        <item m="1" x="1961"/>
        <item m="1" x="2465"/>
        <item m="1" x="2971"/>
        <item m="1" x="3483"/>
        <item m="1" x="4002"/>
        <item m="1" x="4505"/>
        <item m="1" x="5007"/>
        <item m="1" x="5508"/>
        <item m="1" x="6009"/>
        <item m="1" x="6515"/>
        <item m="1" x="7023"/>
        <item m="1" x="7535"/>
        <item m="1" x="74"/>
        <item m="1" x="577"/>
        <item m="1" x="1082"/>
        <item m="1" x="1584"/>
        <item m="1" x="2084"/>
        <item m="1" x="2587"/>
        <item m="1" x="3096"/>
        <item m="1" x="3608"/>
        <item m="1" x="4124"/>
        <item m="1" x="4623"/>
        <item m="1" x="5127"/>
        <item m="1" x="5631"/>
        <item m="1" x="6134"/>
        <item m="1" x="6641"/>
        <item m="1" x="7151"/>
        <item m="1" x="7659"/>
        <item m="1" x="198"/>
        <item m="1" x="698"/>
        <item m="1" x="1203"/>
        <item m="1" x="1706"/>
        <item m="1" x="2205"/>
        <item m="1" x="2708"/>
        <item m="1" x="3219"/>
        <item m="1" x="3734"/>
        <item m="1" x="4245"/>
        <item m="1" x="4747"/>
        <item m="1" x="5250"/>
        <item m="1" x="5753"/>
        <item m="1" x="6257"/>
        <item m="1" x="6766"/>
        <item m="1" x="7273"/>
        <item m="1" x="7782"/>
        <item m="1" x="320"/>
        <item m="1" x="822"/>
        <item m="1" x="1323"/>
        <item m="1" x="1823"/>
        <item m="1" x="2326"/>
        <item m="1" x="2834"/>
        <item m="1" x="3343"/>
        <item m="1" x="3859"/>
        <item m="1" x="4369"/>
        <item m="1" x="4872"/>
        <item m="1" x="7596"/>
        <item m="1" x="134"/>
        <item m="1" x="635"/>
        <item m="1" x="1139"/>
        <item m="1" x="1644"/>
        <item m="1" x="2140"/>
        <item m="1" x="2647"/>
        <item m="1" x="3156"/>
        <item m="1" x="3669"/>
        <item m="1" x="4179"/>
        <item m="1" x="4680"/>
        <item m="1" x="5183"/>
        <item m="1" x="5687"/>
        <item m="1" x="6191"/>
        <item m="1" x="6701"/>
        <item m="1" x="7212"/>
        <item m="1" x="7717"/>
        <item m="1" x="253"/>
        <item m="1" x="755"/>
        <item m="1" x="1259"/>
        <item m="1" x="1759"/>
        <item m="1" x="2259"/>
        <item m="1" x="2769"/>
        <item m="1" x="3282"/>
        <item m="1" x="3793"/>
        <item m="1" x="4302"/>
        <item m="1" x="4804"/>
        <item m="1" x="5308"/>
        <item m="1" x="5808"/>
        <item m="1" x="6312"/>
        <item m="1" x="6824"/>
        <item m="1" x="7335"/>
        <item m="1" x="7840"/>
        <item m="1" x="374"/>
        <item m="1" x="877"/>
        <item m="1" x="1379"/>
        <item m="1" x="1880"/>
        <item m="1" x="2382"/>
        <item m="1" x="2891"/>
        <item m="1" x="3407"/>
        <item m="1" x="3922"/>
        <item m="1" x="4427"/>
        <item m="1" x="4925"/>
        <item m="1" x="5430"/>
        <item m="1" x="5930"/>
        <item m="1" x="6434"/>
        <item m="1" x="6944"/>
        <item m="1" x="7456"/>
        <item m="1" x="7962"/>
        <item m="1" x="498"/>
        <item m="1" x="999"/>
        <item m="1" x="1502"/>
        <item m="1" x="2003"/>
        <item m="1" x="2507"/>
        <item m="1" x="3013"/>
        <item m="1" x="3527"/>
        <item m="1" x="4045"/>
        <item m="1" x="4546"/>
        <item m="1" x="5043"/>
        <item m="1" x="5548"/>
        <item m="1" x="6052"/>
        <item m="1" x="6557"/>
        <item m="1" x="7067"/>
        <item m="1" x="7578"/>
        <item m="1" x="117"/>
        <item m="1" x="619"/>
        <item m="1" x="1120"/>
        <item m="1" x="1626"/>
        <item m="1" x="2125"/>
        <item m="1" x="2630"/>
        <item m="1" x="3137"/>
        <item m="1" x="3654"/>
        <item m="1" x="4166"/>
        <item m="1" x="4665"/>
        <item m="1" x="5165"/>
        <item m="1" x="5671"/>
        <item m="1" x="6177"/>
        <item m="1" x="6683"/>
        <item m="1" x="7194"/>
        <item m="1" x="7703"/>
        <item m="1" x="238"/>
        <item m="1" x="740"/>
        <item m="1" x="1242"/>
        <item m="1" x="1744"/>
        <item m="1" x="2244"/>
        <item m="1" x="2750"/>
        <item m="1" x="3261"/>
        <item m="1" x="3778"/>
        <item m="1" x="4287"/>
        <item m="1" x="4789"/>
        <item m="1" x="5289"/>
        <item m="1" x="5792"/>
        <item m="1" x="6297"/>
        <item m="1" x="6808"/>
        <item m="1" x="7314"/>
        <item m="1" x="7826"/>
        <item m="1" x="359"/>
        <item m="1" x="862"/>
        <item m="1" x="1360"/>
        <item m="1" x="1862"/>
        <item m="1" x="2367"/>
        <item m="1" x="2875"/>
        <item m="1" x="3385"/>
        <item m="1" x="3906"/>
        <item m="1" x="4411"/>
        <item m="1" x="4911"/>
        <item m="1" x="5409"/>
        <item m="1" x="5914"/>
        <item m="1" x="6420"/>
        <item m="1" x="6929"/>
        <item m="1" x="7435"/>
        <item m="1" x="7948"/>
        <item m="1" x="484"/>
        <item m="1" x="985"/>
        <item m="1" x="1484"/>
        <item m="1" x="1986"/>
        <item m="1" x="2494"/>
        <item m="1" x="2999"/>
        <item m="1" x="3509"/>
        <item m="1" x="4031"/>
        <item m="1" x="4534"/>
        <item m="1" x="5031"/>
        <item m="1" x="5531"/>
        <item m="1" x="6036"/>
        <item m="1" x="6544"/>
        <item m="1" x="7052"/>
        <item m="1" x="7560"/>
        <item m="1" x="103"/>
        <item m="1" x="607"/>
        <item m="1" x="1108"/>
        <item m="1" x="1610"/>
        <item m="1" x="2109"/>
        <item m="1" x="2618"/>
        <item m="1" x="3124"/>
        <item m="1" x="3634"/>
        <item m="1" x="4150"/>
        <item m="1" x="4652"/>
        <item m="1" x="5151"/>
        <item m="1" x="5654"/>
        <item m="1" x="6160"/>
        <item m="1" x="6671"/>
        <item m="1" x="7180"/>
        <item m="1" x="7685"/>
        <item m="1" x="224"/>
        <item m="1" x="726"/>
        <item m="1" x="1228"/>
        <item m="1" x="1729"/>
        <item m="1" x="2227"/>
        <item m="1" x="2736"/>
        <item m="1" x="3247"/>
        <item m="1" x="3759"/>
        <item m="1" x="4272"/>
        <item m="1" x="4773"/>
        <item m="1" x="5275"/>
        <item m="1" x="5775"/>
        <item m="1" x="6280"/>
        <item m="1" x="6793"/>
        <item m="1" x="7301"/>
        <item m="1" x="7808"/>
        <item m="1" x="346"/>
        <item m="1" x="848"/>
        <item m="1" x="1349"/>
        <item m="1" x="1847"/>
        <item m="1" x="2351"/>
        <item m="1" x="2861"/>
        <item m="1" x="3374"/>
        <item m="1" x="3888"/>
        <item m="1" x="4397"/>
        <item m="1" x="4898"/>
        <item m="1" x="5398"/>
        <item m="1" x="5898"/>
        <item m="1" x="6404"/>
        <item m="1" x="6916"/>
        <item m="1" x="7422"/>
        <item m="1" x="7928"/>
        <item m="1" x="469"/>
        <item m="1" x="971"/>
        <item m="1" x="1472"/>
        <item m="1" x="1971"/>
        <item m="1" x="2478"/>
        <item m="1" x="2986"/>
        <item m="1" x="3497"/>
        <item m="1" x="4013"/>
        <item m="1" x="4519"/>
        <item m="1" x="5019"/>
        <item m="1" x="5520"/>
        <item m="1" x="6020"/>
        <item m="1" x="6526"/>
        <item m="1" x="7037"/>
        <item m="1" x="7548"/>
        <item m="1" x="85"/>
        <item m="1" x="590"/>
        <item m="1" x="1093"/>
        <item m="1" x="1596"/>
        <item m="1" x="2093"/>
        <item m="1" x="2598"/>
        <item m="1" x="3108"/>
        <item m="1" x="3621"/>
        <item m="1" x="4132"/>
        <item m="1" x="4635"/>
        <item m="1" x="5137"/>
        <item m="1" x="5642"/>
        <item m="1" x="6143"/>
        <item m="1" x="6651"/>
        <item m="1" x="7163"/>
        <item m="1" x="7671"/>
        <item m="1" x="205"/>
        <item m="1" x="710"/>
        <item m="1" x="1213"/>
        <item m="1" x="1717"/>
        <item m="1" x="2213"/>
        <item m="1" x="2719"/>
        <item m="1" x="3232"/>
        <item m="1" x="3747"/>
        <item m="1" x="4254"/>
        <item m="1" x="4759"/>
        <item m="1" x="5260"/>
        <item m="1" x="5764"/>
        <item m="1" x="6265"/>
        <item m="1" x="6776"/>
        <item m="1" x="7285"/>
        <item m="1" x="7796"/>
        <item m="1" x="329"/>
        <item m="1" x="834"/>
        <item m="1" x="1334"/>
        <item m="1" x="1835"/>
        <item m="1" x="2336"/>
        <item m="1" x="2844"/>
        <item m="1" x="3357"/>
        <item m="1" x="3875"/>
        <item m="1" x="4381"/>
        <item m="1" x="4883"/>
        <item m="1" x="5383"/>
        <item m="1" x="5886"/>
        <item m="1" x="6389"/>
        <item m="1" x="6898"/>
        <item m="1" x="7406"/>
        <item m="1" x="7915"/>
        <item m="1" x="451"/>
        <item m="1" x="956"/>
        <item m="1" x="1456"/>
        <item m="1" x="1956"/>
        <item m="1" x="2462"/>
        <item m="1" x="2967"/>
        <item m="1" x="5700"/>
        <item m="1" x="6206"/>
        <item m="1" x="6717"/>
        <item m="1" x="7224"/>
        <item m="1" x="7730"/>
        <item m="1" x="266"/>
        <item m="1" x="769"/>
        <item m="1" x="1271"/>
        <item m="1" x="1771"/>
        <item m="1" x="2273"/>
        <item m="1" x="2783"/>
        <item m="1" x="3293"/>
        <item m="1" x="3806"/>
        <item m="1" x="4314"/>
        <item m="1" x="4818"/>
        <item m="1" x="5320"/>
        <item m="1" x="5820"/>
        <item m="1" x="6326"/>
        <item m="1" x="6839"/>
        <item m="1" x="7346"/>
        <item m="1" x="7851"/>
        <item m="1" x="387"/>
        <item m="1" x="892"/>
        <item m="1" x="1392"/>
        <item m="1" x="1892"/>
        <item m="1" x="2397"/>
        <item m="1" x="2906"/>
        <item m="1" x="3418"/>
        <item m="1" x="3933"/>
        <item m="1" x="4440"/>
        <item m="1" x="4938"/>
        <item m="1" x="5442"/>
        <item m="1" x="5942"/>
        <item m="1" x="6449"/>
        <item m="1" x="6959"/>
        <item m="1" x="7468"/>
        <item m="1" x="7973"/>
        <item m="1" x="510"/>
        <item m="1" x="1013"/>
        <item m="1" x="1517"/>
        <item m="1" x="2016"/>
        <item m="1" x="2522"/>
        <item m="1" x="3030"/>
        <item m="1" x="3543"/>
        <item m="1" x="4058"/>
        <item m="1" x="4559"/>
        <item m="1" x="5057"/>
        <item m="1" x="5564"/>
        <item m="1" x="6064"/>
        <item m="1" x="6571"/>
        <item m="1" x="7083"/>
        <item m="1" x="7592"/>
        <item m="1" x="129"/>
        <item m="1" x="630"/>
        <item m="1" x="1133"/>
        <item m="1" x="1639"/>
        <item m="1" x="2134"/>
        <item m="1" x="2642"/>
        <item m="1" x="3151"/>
        <item m="1" x="3665"/>
        <item m="1" x="4176"/>
        <item m="1" x="4676"/>
        <item m="1" x="5178"/>
        <item m="1" x="5683"/>
        <item m="1" x="6187"/>
        <item m="1" x="6696"/>
        <item m="1" x="7208"/>
        <item m="1" x="7714"/>
        <item m="1" x="249"/>
        <item m="1" x="750"/>
        <item m="1" x="1254"/>
        <item m="1" x="1756"/>
        <item m="1" x="2255"/>
        <item m="1" x="2764"/>
        <item m="1" x="3278"/>
        <item m="1" x="3790"/>
        <item m="1" x="4299"/>
        <item m="1" x="4800"/>
        <item m="1" x="5303"/>
        <item m="1" x="5805"/>
        <item m="1" x="6308"/>
        <item m="1" x="6819"/>
        <item m="1" x="7330"/>
        <item m="1" x="7837"/>
        <item m="1" x="370"/>
        <item m="1" x="872"/>
        <item m="1" x="1374"/>
        <item m="1" x="1875"/>
        <item m="1" x="2378"/>
        <item m="1" x="2886"/>
        <item m="1" x="3402"/>
        <item m="1" x="3918"/>
        <item m="1" x="4424"/>
        <item m="1" x="4921"/>
        <item m="1" x="5424"/>
        <item m="1" x="5926"/>
        <item m="1" x="6431"/>
        <item m="1" x="6939"/>
        <item m="1" x="7450"/>
        <item m="1" x="7958"/>
        <item m="1" x="494"/>
        <item m="1" x="994"/>
        <item m="1" x="1496"/>
        <item m="1" x="1999"/>
        <item m="1" x="2505"/>
        <item m="1" x="3009"/>
        <item m="1" x="3524"/>
        <item m="1" x="4042"/>
        <item m="1" x="4545"/>
        <item m="1" x="5040"/>
        <item m="1" x="5545"/>
        <item m="1" x="6049"/>
        <item m="1" x="6556"/>
        <item m="1" x="7063"/>
        <item m="1" x="7575"/>
        <item m="1" x="114"/>
        <item m="1" x="617"/>
        <item m="1" x="1116"/>
        <item m="1" x="1623"/>
        <item m="1" x="2121"/>
        <item m="1" x="2628"/>
        <item m="1" x="3133"/>
        <item m="1" x="3649"/>
        <item m="1" x="4161"/>
        <item m="1" x="4663"/>
        <item m="1" x="5161"/>
        <item m="1" x="5667"/>
        <item m="1" x="6174"/>
        <item m="1" x="6682"/>
        <item m="1" x="7190"/>
        <item m="1" x="7699"/>
        <item m="1" x="235"/>
        <item m="1" x="738"/>
        <item m="1" x="1237"/>
        <item m="1" x="1741"/>
        <item m="1" x="2241"/>
        <item m="1" x="2749"/>
        <item m="1" x="3257"/>
        <item m="1" x="3773"/>
        <item m="1" x="4284"/>
        <item m="1" x="4787"/>
        <item m="1" x="5287"/>
        <item m="1" x="5788"/>
        <item m="1" x="6294"/>
        <item m="1" x="6806"/>
        <item m="1" x="7311"/>
        <item m="1" x="7821"/>
        <item m="1" x="356"/>
        <item m="1" x="859"/>
        <item m="1" x="1357"/>
        <item m="1" x="1858"/>
        <item m="1" x="2364"/>
        <item m="1" x="2872"/>
        <item m="1" x="3382"/>
        <item m="1" x="3901"/>
        <item m="1" x="4408"/>
        <item m="1" x="4908"/>
        <item m="1" x="5407"/>
        <item m="1" x="5910"/>
        <item m="1" x="6417"/>
        <item m="1" x="6927"/>
        <item m="1" x="7432"/>
        <item m="1" x="7943"/>
        <item m="1" x="481"/>
        <item m="1" x="982"/>
        <item m="1" x="1481"/>
        <item m="1" x="1982"/>
        <item m="1" x="2491"/>
        <item m="1" x="2997"/>
        <item m="1" x="3506"/>
        <item m="1" x="4026"/>
        <item m="1" x="4531"/>
        <item m="1" x="5029"/>
        <item m="1" x="5529"/>
        <item m="1" x="6032"/>
        <item m="1" x="6540"/>
        <item m="1" x="7050"/>
        <item m="1" x="7557"/>
        <item m="1" x="98"/>
        <item m="1" x="604"/>
        <item m="1" x="1106"/>
        <item m="1" x="1607"/>
        <item m="1" x="2105"/>
        <item m="1" x="2614"/>
        <item m="1" x="3121"/>
        <item m="1" x="3630"/>
        <item m="1" x="4145"/>
        <item m="1" x="4648"/>
        <item m="1" x="5149"/>
        <item m="1" x="5652"/>
        <item m="1" x="6155"/>
        <item m="1" x="6665"/>
        <item m="1" x="7176"/>
        <item m="1" x="7680"/>
        <item m="1" x="218"/>
        <item m="1" x="720"/>
        <item m="1" x="1225"/>
        <item m="1" x="1725"/>
        <item m="1" x="2223"/>
        <item m="1" x="2731"/>
        <item m="1" x="3244"/>
        <item m="1" x="3755"/>
        <item m="1" x="4267"/>
        <item m="1" x="4769"/>
        <item m="1" x="5272"/>
        <item m="1" x="5772"/>
        <item m="1" x="6276"/>
        <item m="1" x="6788"/>
        <item m="1" x="7298"/>
        <item m="1" x="7804"/>
        <item m="1" x="341"/>
        <item m="1" x="844"/>
        <item m="1" x="1346"/>
        <item m="1" x="1843"/>
        <item m="1" x="2346"/>
        <item m="1" x="2856"/>
        <item m="1" x="3370"/>
        <item m="1" x="3883"/>
        <item m="1" x="4392"/>
        <item m="1" x="4894"/>
        <item m="1" x="5394"/>
        <item m="1" x="5895"/>
        <item m="1" x="6400"/>
        <item m="1" x="6911"/>
        <item m="1" x="7419"/>
        <item m="1" x="7924"/>
        <item m="1" x="463"/>
        <item m="1" x="967"/>
        <item m="1" x="1468"/>
        <item m="1" x="1967"/>
        <item m="1" x="2473"/>
        <item m="1" x="2981"/>
        <item m="1" x="3493"/>
        <item m="1" x="4010"/>
        <item m="1" x="4514"/>
        <item m="1" x="5015"/>
        <item m="1" x="5516"/>
        <item m="1" x="6017"/>
        <item m="1" x="6522"/>
        <item m="1" x="7032"/>
        <item m="1" x="7544"/>
        <item m="1" x="82"/>
        <item m="1" x="585"/>
        <item m="1" x="1090"/>
        <item m="1" x="1592"/>
        <item m="1" x="4328"/>
        <item m="1" x="4830"/>
        <item m="1" x="5331"/>
        <item m="1" x="5834"/>
        <item m="1" x="6341"/>
        <item m="1" x="6850"/>
        <item m="1" x="7357"/>
        <item m="1" x="7862"/>
        <item m="1" x="399"/>
        <item m="1" x="902"/>
        <item m="1" x="1403"/>
        <item m="1" x="1906"/>
        <item m="1" x="2410"/>
        <item m="1" x="2917"/>
        <item m="1" x="3428"/>
        <item m="1" x="3944"/>
        <item m="1" x="4452"/>
        <item m="1" x="4950"/>
        <item m="1" x="5453"/>
        <item m="1" x="5955"/>
        <item m="1" x="6464"/>
        <item m="1" x="6971"/>
        <item m="1" x="7479"/>
        <item m="1" x="7986"/>
        <item m="1" x="523"/>
        <item m="1" x="1025"/>
        <item m="1" x="1528"/>
        <item m="1" x="2029"/>
        <item m="1" x="2536"/>
        <item m="1" x="3041"/>
        <item m="1" x="3553"/>
        <item m="1" x="4069"/>
        <item m="1" x="4571"/>
        <item m="1" x="5068"/>
        <item m="1" x="5574"/>
        <item m="1" x="6078"/>
        <item m="1" x="6585"/>
        <item m="1" x="7094"/>
        <item m="1" x="7604"/>
        <item m="1" x="142"/>
        <item m="1" x="644"/>
        <item m="1" x="1147"/>
        <item m="1" x="1651"/>
        <item m="1" x="2149"/>
        <item m="1" x="2657"/>
        <item m="1" x="3164"/>
        <item m="1" x="3677"/>
        <item m="1" x="4187"/>
        <item m="1" x="4689"/>
        <item m="1" x="5191"/>
        <item m="1" x="5695"/>
        <item m="1" x="6200"/>
        <item m="1" x="6711"/>
        <item m="1" x="7219"/>
        <item m="1" x="7725"/>
        <item m="1" x="260"/>
        <item m="1" x="763"/>
        <item m="1" x="1267"/>
        <item m="1" x="1766"/>
        <item m="1" x="2267"/>
        <item m="1" x="2778"/>
        <item m="1" x="3289"/>
        <item m="1" x="3801"/>
        <item m="1" x="4309"/>
        <item m="1" x="4813"/>
        <item m="1" x="5315"/>
        <item m="1" x="5814"/>
        <item m="1" x="6320"/>
        <item m="1" x="6833"/>
        <item m="1" x="7342"/>
        <item m="1" x="7847"/>
        <item m="1" x="382"/>
        <item m="1" x="886"/>
        <item m="1" x="1388"/>
        <item m="1" x="1887"/>
        <item m="1" x="2391"/>
        <item m="1" x="2901"/>
        <item m="1" x="3414"/>
        <item m="1" x="3928"/>
        <item m="1" x="4434"/>
        <item m="1" x="4933"/>
        <item m="1" x="5438"/>
        <item m="1" x="5937"/>
        <item m="1" x="6443"/>
        <item m="1" x="6954"/>
        <item m="1" x="7464"/>
        <item m="1" x="7969"/>
        <item m="1" x="505"/>
        <item m="1" x="1008"/>
        <item m="1" x="1512"/>
        <item m="1" x="2012"/>
        <item m="1" x="2516"/>
        <item m="1" x="3025"/>
        <item m="1" x="3538"/>
        <item m="1" x="4053"/>
        <item m="1" x="4553"/>
        <item m="1" x="5052"/>
        <item m="1" x="5558"/>
        <item m="1" x="6059"/>
        <item m="1" x="6565"/>
        <item m="1" x="7078"/>
        <item m="1" x="7586"/>
        <item m="1" x="125"/>
        <item m="1" x="626"/>
        <item m="1" x="1129"/>
        <item m="1" x="1635"/>
        <item m="1" x="2132"/>
        <item m="1" x="2638"/>
        <item m="1" x="3148"/>
        <item m="1" x="3662"/>
        <item m="1" x="4173"/>
        <item m="1" x="4672"/>
        <item m="1" x="5175"/>
        <item m="1" x="5680"/>
        <item m="1" x="6185"/>
        <item m="1" x="6692"/>
        <item m="1" x="7205"/>
        <item m="1" x="7711"/>
        <item m="1" x="247"/>
        <item m="1" x="747"/>
        <item m="1" x="1251"/>
        <item m="1" x="1753"/>
        <item m="1" x="2252"/>
        <item m="1" x="2759"/>
        <item m="1" x="3273"/>
        <item m="1" x="3786"/>
        <item m="1" x="4296"/>
        <item m="1" x="4796"/>
        <item m="1" x="5300"/>
        <item m="1" x="5802"/>
        <item m="1" x="6305"/>
        <item m="1" x="6815"/>
        <item m="1" x="7326"/>
        <item m="1" x="7834"/>
        <item m="1" x="367"/>
        <item m="1" x="869"/>
        <item m="1" x="1370"/>
        <item m="1" x="1872"/>
        <item m="1" x="2375"/>
        <item m="1" x="2883"/>
        <item m="1" x="3396"/>
        <item m="1" x="3915"/>
        <item m="1" x="4420"/>
        <item m="1" x="4918"/>
        <item m="1" x="5419"/>
        <item m="1" x="5923"/>
        <item m="1" x="6428"/>
        <item m="1" x="6936"/>
        <item m="1" x="7445"/>
        <item m="1" x="7955"/>
        <item m="1" x="491"/>
        <item m="1" x="992"/>
        <item m="1" x="1492"/>
        <item m="1" x="1996"/>
        <item m="1" x="2502"/>
        <item m="1" x="3006"/>
        <item m="1" x="3519"/>
        <item m="1" x="4039"/>
        <item m="1" x="4541"/>
        <item m="1" x="5037"/>
        <item m="1" x="5541"/>
        <item m="1" x="6046"/>
        <item m="1" x="6552"/>
        <item m="1" x="7059"/>
        <item m="1" x="7570"/>
        <item m="1" x="110"/>
        <item m="1" x="614"/>
        <item m="1" x="1114"/>
        <item m="1" x="1619"/>
        <item m="1" x="2118"/>
        <item m="1" x="2625"/>
        <item m="1" x="3130"/>
        <item m="1" x="3644"/>
        <item m="1" x="4158"/>
        <item m="1" x="4660"/>
        <item m="1" x="5157"/>
        <item m="1" x="5663"/>
        <item m="1" x="6170"/>
        <item m="1" x="6679"/>
        <item m="1" x="7187"/>
        <item m="1" x="7694"/>
        <item m="1" x="232"/>
        <item m="1" x="735"/>
        <item m="1" x="1235"/>
        <item m="1" x="1737"/>
        <item m="1" x="2237"/>
        <item m="1" x="2746"/>
        <item m="1" x="3254"/>
        <item m="1" x="3768"/>
        <item m="1" x="4281"/>
        <item m="1" x="4783"/>
        <item m="1" x="5282"/>
        <item m="1" x="5783"/>
        <item m="1" x="6288"/>
        <item m="1" x="6801"/>
        <item m="1" x="7305"/>
        <item m="1" x="7816"/>
        <item m="1" x="352"/>
        <item m="1" x="855"/>
        <item m="1" x="1354"/>
        <item m="1" x="1854"/>
        <item m="1" x="2359"/>
        <item m="1" x="2868"/>
        <item m="1" x="3378"/>
        <item m="1" x="3896"/>
        <item m="1" x="4404"/>
        <item m="1" x="4905"/>
        <item m="1" x="5403"/>
        <item m="1" x="5905"/>
        <item m="1" x="6412"/>
        <item m="1" x="6924"/>
        <item m="1" x="7428"/>
        <item m="1" x="7938"/>
        <item m="1" x="477"/>
        <item m="1" x="979"/>
        <item m="1" x="1478"/>
        <item m="1" x="1978"/>
        <item m="1" x="2486"/>
        <item m="1" x="2994"/>
        <item m="1" x="3502"/>
        <item m="1" x="4021"/>
        <item m="1" x="4527"/>
        <item m="1" x="5026"/>
        <item m="1" x="5525"/>
        <item m="1" x="6027"/>
        <item m="1" x="6535"/>
        <item m="1" x="7045"/>
        <item m="1" x="7553"/>
        <item m="1" x="93"/>
        <item m="1" x="600"/>
        <item m="1" x="1102"/>
        <item m="1" x="1604"/>
        <item m="1" x="2101"/>
        <item m="1" x="2608"/>
        <item m="1" x="3117"/>
        <item m="1" x="3627"/>
        <item m="1" x="4140"/>
        <item m="1" x="4643"/>
        <item m="1" x="5145"/>
        <item m="1" x="5648"/>
        <item m="1" x="6150"/>
        <item m="1" x="6660"/>
        <item m="1" x="7172"/>
        <item m="1" x="7678"/>
        <item m="1" x="2424"/>
        <item m="1" x="2930"/>
        <item m="1" x="3442"/>
        <item m="1" x="3958"/>
        <item m="1" x="4465"/>
        <item m="1" x="4963"/>
        <item m="1" x="5468"/>
        <item m="1" x="5970"/>
        <item m="1" x="6475"/>
        <item m="1" x="6982"/>
        <item m="1" x="7491"/>
        <item m="1" x="7999"/>
        <item m="1" x="535"/>
        <item m="1" x="1036"/>
        <item m="1" x="1542"/>
        <item m="1" x="2043"/>
        <item m="1" x="2546"/>
        <item m="1" x="3053"/>
        <item m="1" x="3565"/>
        <item m="1" x="4082"/>
        <item m="1" x="4581"/>
        <item m="1" x="5081"/>
        <item m="1" x="5590"/>
        <item m="1" x="6094"/>
        <item m="1" x="6598"/>
        <item m="1" x="7107"/>
        <item m="1" x="7616"/>
        <item m="1" x="155"/>
        <item m="1" x="655"/>
        <item m="1" x="1159"/>
        <item m="1" x="1665"/>
        <item m="1" x="2165"/>
        <item m="1" x="2669"/>
        <item m="1" x="3176"/>
        <item m="1" x="3690"/>
        <item m="1" x="4201"/>
        <item m="1" x="4702"/>
        <item m="1" x="5203"/>
        <item m="1" x="5709"/>
        <item m="1" x="6217"/>
        <item m="1" x="6725"/>
        <item m="1" x="7232"/>
        <item m="1" x="7738"/>
        <item m="1" x="276"/>
        <item m="1" x="777"/>
        <item m="1" x="1278"/>
        <item m="1" x="1780"/>
        <item m="1" x="2284"/>
        <item m="1" x="2791"/>
        <item m="1" x="3301"/>
        <item m="1" x="3814"/>
        <item m="1" x="4323"/>
        <item m="1" x="4826"/>
        <item m="1" x="5326"/>
        <item m="1" x="5828"/>
        <item m="1" x="6335"/>
        <item m="1" x="6846"/>
        <item m="1" x="7353"/>
        <item m="1" x="7858"/>
        <item m="1" x="395"/>
        <item m="1" x="899"/>
        <item m="1" x="1399"/>
        <item m="1" x="1901"/>
        <item m="1" x="2406"/>
        <item m="1" x="2914"/>
        <item m="1" x="3425"/>
        <item m="1" x="3940"/>
        <item m="1" x="4448"/>
        <item m="1" x="4947"/>
        <item m="1" x="5449"/>
        <item m="1" x="5950"/>
        <item m="1" x="6460"/>
        <item m="1" x="6968"/>
        <item m="1" x="7475"/>
        <item m="1" x="7981"/>
        <item m="1" x="519"/>
        <item m="1" x="1021"/>
        <item m="1" x="1523"/>
        <item m="1" x="2024"/>
        <item m="1" x="2532"/>
        <item m="1" x="3037"/>
        <item m="1" x="3550"/>
        <item m="1" x="4065"/>
        <item m="1" x="4567"/>
        <item m="1" x="5065"/>
        <item m="1" x="5570"/>
        <item m="1" x="6072"/>
        <item m="1" x="6581"/>
        <item m="1" x="7090"/>
        <item m="1" x="7600"/>
        <item m="1" x="137"/>
        <item m="1" x="640"/>
        <item m="1" x="1143"/>
        <item m="1" x="1648"/>
        <item m="1" x="2144"/>
        <item m="1" x="2653"/>
        <item m="1" x="3160"/>
        <item m="1" x="3674"/>
        <item m="1" x="4183"/>
        <item m="1" x="4685"/>
        <item m="1" x="5187"/>
        <item m="1" x="5692"/>
        <item m="1" x="6195"/>
        <item m="1" x="6707"/>
        <item m="1" x="7216"/>
        <item m="1" x="7722"/>
        <item m="1" x="256"/>
        <item m="1" x="760"/>
        <item m="1" x="1263"/>
        <item m="1" x="1763"/>
        <item m="1" x="2263"/>
        <item m="1" x="2775"/>
        <item m="1" x="3286"/>
        <item m="1" x="3798"/>
        <item m="1" x="4306"/>
        <item m="1" x="4809"/>
        <item m="1" x="5312"/>
        <item m="1" x="5812"/>
        <item m="1" x="6316"/>
        <item m="1" x="6830"/>
        <item m="1" x="7339"/>
        <item m="1" x="7844"/>
        <item m="1" x="377"/>
        <item m="1" x="882"/>
        <item m="1" x="1384"/>
        <item m="1" x="1884"/>
        <item m="1" x="2386"/>
        <item m="1" x="2897"/>
        <item m="1" x="3411"/>
        <item m="1" x="3926"/>
        <item m="1" x="4431"/>
        <item m="1" x="4930"/>
        <item m="1" x="5435"/>
        <item m="1" x="5935"/>
        <item m="1" x="6439"/>
        <item m="1" x="6950"/>
        <item m="1" x="7461"/>
        <item m="1" x="7966"/>
        <item m="1" x="501"/>
        <item m="1" x="1004"/>
        <item m="1" x="1509"/>
        <item m="1" x="2008"/>
        <item m="1" x="2513"/>
        <item m="1" x="3020"/>
        <item m="1" x="3534"/>
        <item m="1" x="4050"/>
        <item m="1" x="4551"/>
        <item m="1" x="5048"/>
        <item m="1" x="5554"/>
        <item m="1" x="6056"/>
        <item m="1" x="6562"/>
        <item m="1" x="7073"/>
        <item m="1" x="7583"/>
        <item m="1" x="121"/>
        <item m="1" x="623"/>
        <item m="1" x="1125"/>
        <item m="1" x="1632"/>
        <item m="1" x="2129"/>
        <item m="1" x="2635"/>
        <item m="1" x="3143"/>
        <item m="1" x="3659"/>
        <item m="1" x="4170"/>
        <item m="1" x="4670"/>
        <item m="1" x="5171"/>
        <item m="1" x="5677"/>
        <item m="1" x="6182"/>
        <item m="1" x="6689"/>
        <item m="1" x="7200"/>
        <item m="1" x="7708"/>
        <item m="1" x="243"/>
        <item m="1" x="744"/>
        <item m="1" x="1247"/>
        <item m="1" x="1750"/>
        <item m="1" x="2248"/>
        <item m="1" x="2755"/>
        <item m="1" x="3268"/>
        <item m="1" x="3783"/>
        <item m="1" x="4292"/>
        <item m="1" x="4794"/>
        <item m="1" x="5296"/>
        <item m="1" x="5798"/>
        <item m="1" x="6302"/>
        <item m="1" x="6812"/>
        <item m="1" x="7320"/>
        <item m="1" x="7831"/>
        <item m="1" x="364"/>
        <item m="1" x="866"/>
        <item m="1" x="1365"/>
        <item m="1" x="1868"/>
        <item m="1" x="2372"/>
        <item m="1" x="2879"/>
        <item m="1" x="3391"/>
        <item m="1" x="3910"/>
        <item m="1" x="4416"/>
        <item m="1" x="4914"/>
        <item m="1" x="5414"/>
        <item m="1" x="5918"/>
        <item m="1" x="6425"/>
        <item m="1" x="6932"/>
        <item m="1" x="7440"/>
        <item m="1" x="7951"/>
        <item m="1" x="488"/>
        <item m="1" x="988"/>
        <item m="1" x="1488"/>
        <item m="1" x="1991"/>
        <item m="1" x="2498"/>
        <item m="1" x="3001"/>
        <item m="1" x="3514"/>
        <item m="1" x="4034"/>
        <item m="1" x="4538"/>
        <item m="1" x="5034"/>
        <item m="1" x="5537"/>
        <item m="1" x="6041"/>
        <item m="1" x="6549"/>
        <item m="1" x="7055"/>
        <item m="1" x="7565"/>
        <item m="1" x="106"/>
        <item m="1" x="611"/>
        <item m="1" x="1110"/>
        <item m="1" x="1614"/>
        <item m="1" x="2113"/>
        <item m="1" x="2622"/>
        <item m="1" x="3126"/>
        <item m="1" x="3639"/>
        <item m="1" x="4154"/>
        <item m="1" x="4656"/>
        <item m="1" x="5154"/>
        <item m="1" x="5659"/>
        <item m="1" x="6165"/>
        <item m="1" x="6675"/>
        <item m="1" x="7184"/>
        <item m="1" x="7689"/>
        <item m="1" x="228"/>
        <item m="1" x="731"/>
        <item m="1" x="1231"/>
        <item m="1" x="1732"/>
        <item m="1" x="2232"/>
        <item m="1" x="2741"/>
        <item m="1" x="3250"/>
        <item m="1" x="3763"/>
        <item m="1" x="4277"/>
        <item m="1" x="4778"/>
        <item m="1" x="5279"/>
        <item m="1" x="5779"/>
        <item m="1" x="1052"/>
        <item m="1" x="1558"/>
        <item m="1" x="2054"/>
        <item m="1" x="2559"/>
        <item m="1" x="3066"/>
        <item m="1" x="3579"/>
        <item m="1" x="4092"/>
        <item m="1" x="4593"/>
        <item m="1" x="5095"/>
        <item m="1" x="5604"/>
        <item m="1" x="6104"/>
        <item m="1" x="6611"/>
        <item m="1" x="7119"/>
        <item m="1" x="7630"/>
        <item m="1" x="165"/>
        <item m="1" x="667"/>
        <item m="1" x="1173"/>
        <item m="1" x="1680"/>
        <item m="1" x="2175"/>
        <item m="1" x="2680"/>
        <item m="1" x="3189"/>
        <item m="1" x="3705"/>
        <item m="1" x="4212"/>
        <item m="1" x="4714"/>
        <item m="1" x="5218"/>
        <item m="1" x="5724"/>
        <item m="1" x="6227"/>
        <item m="1" x="6736"/>
        <item m="1" x="7245"/>
        <item m="1" x="7751"/>
        <item m="1" x="287"/>
        <item m="1" x="789"/>
        <item m="1" x="1293"/>
        <item m="1" x="1795"/>
        <item m="1" x="2295"/>
        <item m="1" x="2802"/>
        <item m="1" x="3313"/>
        <item m="1" x="3828"/>
        <item m="1" x="4336"/>
        <item m="1" x="4839"/>
        <item m="1" x="5341"/>
        <item m="1" x="5845"/>
        <item m="1" x="6350"/>
        <item m="1" x="6859"/>
        <item m="1" x="7366"/>
        <item m="1" x="7872"/>
        <item m="1" x="409"/>
        <item m="1" x="911"/>
        <item m="1" x="1413"/>
        <item m="1" x="1917"/>
        <item m="1" x="2420"/>
        <item m="1" x="2926"/>
        <item m="1" x="3437"/>
        <item m="1" x="3953"/>
        <item m="1" x="4460"/>
        <item m="1" x="4957"/>
        <item m="1" x="5462"/>
        <item m="1" x="5965"/>
        <item m="1" x="6471"/>
        <item m="1" x="6979"/>
        <item m="1" x="7487"/>
        <item m="1" x="7995"/>
        <item m="1" x="531"/>
        <item m="1" x="1032"/>
        <item m="1" x="1537"/>
        <item m="1" x="2039"/>
        <item m="1" x="2543"/>
        <item m="1" x="3049"/>
        <item m="1" x="3561"/>
        <item m="1" x="4078"/>
        <item m="1" x="4578"/>
        <item m="1" x="5077"/>
        <item m="1" x="5585"/>
        <item m="1" x="6090"/>
        <item m="1" x="6595"/>
        <item m="1" x="7104"/>
        <item m="1" x="7612"/>
        <item m="1" x="151"/>
        <item m="1" x="652"/>
        <item m="1" x="1155"/>
        <item m="1" x="1660"/>
        <item m="1" x="2161"/>
        <item m="1" x="2666"/>
        <item m="1" x="3172"/>
        <item m="1" x="3685"/>
        <item m="1" x="4197"/>
        <item m="1" x="4697"/>
        <item m="1" x="5199"/>
        <item m="1" x="5704"/>
        <item m="1" x="6213"/>
        <item m="1" x="6721"/>
        <item m="1" x="7229"/>
        <item m="1" x="7734"/>
        <item m="1" x="271"/>
        <item m="1" x="773"/>
        <item m="1" x="1275"/>
        <item m="1" x="1775"/>
        <item m="1" x="2279"/>
        <item m="1" x="2787"/>
        <item m="1" x="3297"/>
        <item m="1" x="3809"/>
        <item m="1" x="4319"/>
        <item m="1" x="4822"/>
        <item m="1" x="5324"/>
        <item m="1" x="5824"/>
        <item m="1" x="6332"/>
        <item m="1" x="6843"/>
        <item m="1" x="7351"/>
        <item m="1" x="7855"/>
        <item m="1" x="392"/>
        <item m="1" x="896"/>
        <item m="1" x="1397"/>
        <item m="1" x="1897"/>
        <item m="1" x="2403"/>
        <item m="1" x="2911"/>
        <item m="1" x="3422"/>
        <item m="1" x="3936"/>
        <item m="1" x="4445"/>
        <item m="1" x="4943"/>
        <item m="1" x="5446"/>
        <item m="1" x="5946"/>
        <item m="1" x="6455"/>
        <item m="1" x="6963"/>
        <item m="1" x="7472"/>
        <item m="1" x="7977"/>
        <item m="1" x="515"/>
        <item m="1" x="1018"/>
        <item m="1" x="1521"/>
        <item m="1" x="2020"/>
        <item m="1" x="2528"/>
        <item m="1" x="3034"/>
        <item m="1" x="3547"/>
        <item m="1" x="4061"/>
        <item m="1" x="4564"/>
        <item m="1" x="5062"/>
        <item m="1" x="5568"/>
        <item m="1" x="6068"/>
        <item m="1" x="6577"/>
        <item m="1" x="7087"/>
        <item m="1" x="7597"/>
        <item m="1" x="135"/>
        <item m="1" x="636"/>
        <item m="1" x="1140"/>
        <item m="1" x="1645"/>
        <item m="1" x="2141"/>
        <item m="1" x="2648"/>
        <item m="1" x="3157"/>
        <item m="1" x="3670"/>
        <item m="1" x="4180"/>
        <item m="1" x="4681"/>
        <item m="1" x="5184"/>
        <item m="1" x="5688"/>
        <item m="1" x="6192"/>
        <item m="1" x="6702"/>
        <item m="1" x="7213"/>
        <item m="1" x="7718"/>
        <item m="1" x="254"/>
        <item m="1" x="756"/>
        <item m="1" x="1260"/>
        <item m="1" x="1760"/>
        <item m="1" x="2260"/>
        <item m="1" x="2770"/>
        <item m="1" x="3283"/>
        <item m="1" x="3794"/>
        <item m="1" x="4303"/>
        <item m="1" x="4805"/>
        <item m="1" x="5309"/>
        <item m="1" x="5809"/>
        <item m="1" x="6313"/>
        <item m="1" x="6825"/>
        <item m="1" x="7336"/>
        <item m="1" x="7841"/>
        <item m="1" x="375"/>
        <item m="1" x="878"/>
        <item m="1" x="1380"/>
        <item m="1" x="1881"/>
        <item m="1" x="2383"/>
        <item m="1" x="2892"/>
        <item m="1" x="3408"/>
        <item m="1" x="3923"/>
        <item m="1" x="4428"/>
        <item m="1" x="4926"/>
        <item m="1" x="5431"/>
        <item m="1" x="5931"/>
        <item m="1" x="6435"/>
        <item m="1" x="6945"/>
        <item m="1" x="7457"/>
        <item m="1" x="7963"/>
        <item m="1" x="499"/>
        <item m="1" x="1000"/>
        <item m="1" x="1503"/>
        <item m="1" x="2004"/>
        <item m="1" x="2508"/>
        <item m="1" x="3014"/>
        <item m="1" x="3528"/>
        <item m="1" x="4046"/>
        <item m="1" x="4547"/>
        <item m="1" x="5044"/>
        <item m="1" x="5549"/>
        <item m="1" x="6053"/>
        <item m="1" x="6558"/>
        <item m="1" x="7068"/>
        <item m="1" x="7579"/>
        <item m="1" x="118"/>
        <item m="1" x="620"/>
        <item m="1" x="1121"/>
        <item m="1" x="1627"/>
        <item m="1" x="2126"/>
        <item m="1" x="2631"/>
        <item m="1" x="3138"/>
        <item m="1" x="3655"/>
        <item m="1" x="4167"/>
        <item m="1" x="4666"/>
        <item m="1" x="5166"/>
        <item m="1" x="5672"/>
        <item m="1" x="6178"/>
        <item m="1" x="6684"/>
        <item m="1" x="7195"/>
        <item m="1" x="7704"/>
        <item m="1" x="239"/>
        <item m="1" x="741"/>
        <item m="1" x="1243"/>
        <item m="1" x="1745"/>
        <item m="1" x="2245"/>
        <item m="1" x="2751"/>
        <item m="1" x="3262"/>
        <item m="1" x="3779"/>
        <item m="1" x="4288"/>
        <item m="1" x="4790"/>
        <item m="1" x="5290"/>
        <item m="1" x="5793"/>
        <item m="1" x="6298"/>
        <item m="1" x="6809"/>
        <item m="1" x="7315"/>
        <item m="1" x="7827"/>
        <item m="1" x="360"/>
        <item m="1" x="863"/>
        <item m="1" x="1361"/>
        <item m="1" x="1863"/>
        <item m="1" x="2368"/>
        <item m="1" x="2876"/>
        <item m="1" x="3386"/>
        <item m="1" x="3907"/>
        <item m="1" x="4412"/>
        <item m="1" x="7135"/>
        <item m="1" x="7640"/>
        <item m="1" x="177"/>
        <item m="1" x="680"/>
        <item m="1" x="1188"/>
        <item m="1" x="1688"/>
        <item m="1" x="2187"/>
        <item m="1" x="2691"/>
        <item m="1" x="3202"/>
        <item m="1" x="3714"/>
        <item m="1" x="4224"/>
        <item m="1" x="4728"/>
        <item m="1" x="5232"/>
        <item m="1" x="5733"/>
        <item m="1" x="6238"/>
        <item m="1" x="6747"/>
        <item m="1" x="7258"/>
        <item m="1" x="7761"/>
        <item m="1" x="299"/>
        <item m="1" x="802"/>
        <item m="1" x="1308"/>
        <item m="1" x="1805"/>
        <item m="1" x="2308"/>
        <item m="1" x="2816"/>
        <item m="1" x="3327"/>
        <item m="1" x="3840"/>
        <item m="1" x="4348"/>
        <item m="1" x="4852"/>
        <item m="1" x="5356"/>
        <item m="1" x="5855"/>
        <item m="1" x="6361"/>
        <item m="1" x="6871"/>
        <item m="1" x="7379"/>
        <item m="1" x="7882"/>
        <item m="1" x="420"/>
        <item m="1" x="926"/>
        <item m="1" x="1428"/>
        <item m="1" x="1927"/>
        <item m="1" x="2433"/>
        <item m="1" x="2940"/>
        <item m="1" x="3452"/>
        <item m="1" x="3966"/>
        <item m="1" x="4473"/>
        <item m="1" x="4973"/>
        <item m="1" x="5479"/>
        <item m="1" x="5977"/>
        <item m="1" x="6484"/>
        <item m="1" x="6991"/>
        <item m="1" x="7501"/>
        <item m="1" x="38"/>
        <item m="1" x="544"/>
        <item m="1" x="1046"/>
        <item m="1" x="1553"/>
        <item m="1" x="2050"/>
        <item m="1" x="2555"/>
        <item m="1" x="3061"/>
        <item m="1" x="3574"/>
        <item m="1" x="4089"/>
        <item m="1" x="4589"/>
        <item m="1" x="5090"/>
        <item m="1" x="5600"/>
        <item m="1" x="6101"/>
        <item m="1" x="6607"/>
        <item m="1" x="7115"/>
        <item m="1" x="7626"/>
        <item m="1" x="161"/>
        <item m="1" x="662"/>
        <item m="1" x="1168"/>
        <item m="1" x="1675"/>
        <item m="1" x="2171"/>
        <item m="1" x="2677"/>
        <item m="1" x="3185"/>
        <item m="1" x="3700"/>
        <item m="1" x="4209"/>
        <item m="1" x="4710"/>
        <item m="1" x="5213"/>
        <item m="1" x="5720"/>
        <item m="1" x="6224"/>
        <item m="1" x="6732"/>
        <item m="1" x="7240"/>
        <item m="1" x="7747"/>
        <item m="1" x="283"/>
        <item m="1" x="785"/>
        <item m="1" x="1288"/>
        <item m="1" x="1791"/>
        <item m="1" x="2292"/>
        <item m="1" x="2799"/>
        <item m="1" x="3309"/>
        <item m="1" x="3824"/>
        <item m="1" x="4332"/>
        <item m="1" x="4836"/>
        <item m="1" x="5336"/>
        <item m="1" x="5841"/>
        <item m="1" x="6346"/>
        <item m="1" x="6855"/>
        <item m="1" x="7361"/>
        <item m="1" x="7868"/>
        <item m="1" x="404"/>
        <item m="1" x="907"/>
        <item m="1" x="1408"/>
        <item m="1" x="1913"/>
        <item m="1" x="2415"/>
        <item m="1" x="2923"/>
        <item m="1" x="3433"/>
        <item m="1" x="3950"/>
        <item m="1" x="4456"/>
        <item m="1" x="4955"/>
        <item m="1" x="5458"/>
        <item m="1" x="5962"/>
        <item m="1" x="6468"/>
        <item m="1" x="6976"/>
        <item m="1" x="7483"/>
        <item m="1" x="7992"/>
        <item m="1" x="527"/>
        <item m="1" x="1030"/>
        <item m="1" x="1533"/>
        <item m="1" x="2036"/>
        <item m="1" x="2540"/>
        <item m="1" x="3047"/>
        <item m="1" x="3558"/>
        <item m="1" x="4075"/>
        <item m="1" x="4575"/>
        <item m="1" x="5074"/>
        <item m="1" x="5580"/>
        <item m="1" x="6085"/>
        <item m="1" x="6591"/>
        <item m="1" x="7100"/>
        <item m="1" x="7608"/>
        <item m="1" x="148"/>
        <item m="1" x="649"/>
        <item m="1" x="1152"/>
        <item m="1" x="1656"/>
        <item m="1" x="2157"/>
        <item m="1" x="2662"/>
        <item m="1" x="3169"/>
        <item m="1" x="3682"/>
        <item m="1" x="4193"/>
        <item m="1" x="4694"/>
        <item m="1" x="5196"/>
        <item m="1" x="5701"/>
        <item m="1" x="6207"/>
        <item m="1" x="6718"/>
        <item m="1" x="7225"/>
        <item m="1" x="7731"/>
        <item m="1" x="267"/>
        <item m="1" x="770"/>
        <item m="1" x="1272"/>
        <item m="1" x="1772"/>
        <item m="1" x="2274"/>
        <item m="1" x="2784"/>
        <item m="1" x="3294"/>
        <item m="1" x="3807"/>
        <item m="1" x="4315"/>
        <item m="1" x="4819"/>
        <item m="1" x="5321"/>
        <item m="1" x="5821"/>
        <item m="1" x="6327"/>
        <item m="1" x="6840"/>
        <item m="1" x="7347"/>
        <item m="1" x="7852"/>
        <item m="1" x="388"/>
        <item m="1" x="893"/>
        <item m="1" x="1393"/>
        <item m="1" x="1893"/>
        <item m="1" x="2398"/>
        <item m="1" x="2907"/>
        <item m="1" x="3419"/>
        <item m="1" x="3934"/>
        <item m="1" x="4441"/>
        <item m="1" x="4939"/>
        <item m="1" x="5443"/>
        <item m="1" x="5943"/>
        <item m="1" x="6450"/>
        <item m="1" x="6960"/>
        <item m="1" x="7469"/>
        <item m="1" x="7974"/>
        <item m="1" x="511"/>
        <item m="1" x="1014"/>
        <item m="1" x="1518"/>
        <item m="1" x="2017"/>
        <item m="1" x="2523"/>
        <item m="1" x="3031"/>
        <item m="1" x="3544"/>
        <item m="1" x="4059"/>
        <item m="1" x="4560"/>
        <item m="1" x="5058"/>
        <item m="1" x="5565"/>
        <item m="1" x="6065"/>
        <item m="1" x="6572"/>
        <item m="1" x="7084"/>
        <item m="1" x="7593"/>
        <item m="1" x="130"/>
        <item m="1" x="631"/>
        <item m="1" x="1134"/>
        <item m="1" x="1640"/>
        <item m="1" x="2135"/>
        <item m="1" x="2643"/>
        <item m="1" x="3152"/>
        <item m="1" x="3666"/>
        <item m="1" x="4177"/>
        <item m="1" x="4677"/>
        <item m="1" x="5179"/>
        <item m="1" x="5684"/>
        <item m="1" x="6188"/>
        <item m="1" x="6697"/>
        <item m="1" x="7209"/>
        <item m="1" x="7715"/>
        <item m="1" x="250"/>
        <item m="1" x="751"/>
        <item m="1" x="1255"/>
        <item m="1" x="1757"/>
        <item m="1" x="2256"/>
        <item m="1" x="2765"/>
        <item m="1" x="3279"/>
        <item m="1" x="3791"/>
        <item m="1" x="4300"/>
        <item m="1" x="4801"/>
        <item m="1" x="5304"/>
        <item m="1" x="5806"/>
        <item m="1" x="6309"/>
        <item m="1" x="6820"/>
        <item m="1" x="7331"/>
        <item m="1" x="7838"/>
        <item m="1" x="371"/>
        <item m="1" x="873"/>
        <item m="1" x="1375"/>
        <item m="1" x="1876"/>
        <item m="1" x="2379"/>
        <item m="1" x="2887"/>
        <item m="1" x="3403"/>
        <item m="1" x="3919"/>
        <item m="1" x="4425"/>
        <item m="1" x="4922"/>
        <item m="1" x="5425"/>
        <item m="1" x="5927"/>
        <item m="1" x="6432"/>
        <item m="1" x="6940"/>
        <item m="1" x="7451"/>
        <item m="1" x="7959"/>
        <item m="1" x="495"/>
        <item m="1" x="995"/>
        <item m="1" x="1497"/>
        <item m="1" x="2000"/>
        <item m="1" x="2506"/>
        <item m="1" x="5745"/>
        <item m="1" x="6249"/>
        <item m="1" x="6759"/>
        <item m="1" x="7267"/>
        <item m="1" x="7773"/>
        <item m="1" x="311"/>
        <item m="1" x="816"/>
        <item m="1" x="1316"/>
        <item m="1" x="1815"/>
        <item m="1" x="2318"/>
        <item m="1" x="2828"/>
        <item m="1" x="3336"/>
        <item m="1" x="3850"/>
        <item m="1" x="4360"/>
        <item m="1" x="4865"/>
        <item m="1" x="5363"/>
        <item m="1" x="5866"/>
        <item m="1" x="6371"/>
        <item m="1" x="6883"/>
        <item m="1" x="7387"/>
        <item m="1" x="7893"/>
        <item m="1" x="433"/>
        <item m="1" x="940"/>
        <item m="1" x="1437"/>
        <item m="1" x="1938"/>
        <item m="1" x="2443"/>
        <item m="1" x="2952"/>
        <item m="1" x="3460"/>
        <item m="1" x="3977"/>
        <item m="1" x="4485"/>
        <item m="1" x="4988"/>
        <item m="1" x="5488"/>
        <item m="1" x="5988"/>
        <item m="1" x="6495"/>
        <item m="1" x="7005"/>
        <item m="1" x="7511"/>
        <item m="1" x="50"/>
        <item m="1" x="556"/>
        <item m="1" x="1063"/>
        <item m="1" x="1565"/>
        <item m="1" x="2062"/>
        <item m="1" x="2567"/>
        <item m="1" x="3077"/>
        <item m="1" x="3585"/>
        <item m="1" x="4099"/>
        <item m="1" x="4602"/>
        <item m="1" x="5106"/>
        <item m="1" x="5610"/>
        <item m="1" x="6112"/>
        <item m="1" x="6619"/>
        <item m="1" x="7129"/>
        <item m="1" x="7637"/>
        <item m="1" x="172"/>
        <item m="1" x="675"/>
        <item m="1" x="1182"/>
        <item m="1" x="1685"/>
        <item m="1" x="2182"/>
        <item m="1" x="2687"/>
        <item m="1" x="3197"/>
        <item m="1" x="3710"/>
        <item m="1" x="4219"/>
        <item m="1" x="4723"/>
        <item m="1" x="5227"/>
        <item m="1" x="5730"/>
        <item m="1" x="6234"/>
        <item m="1" x="6743"/>
        <item m="1" x="7253"/>
        <item m="1" x="7758"/>
        <item m="1" x="294"/>
        <item m="1" x="797"/>
        <item m="1" x="1303"/>
        <item m="1" x="1802"/>
        <item m="1" x="2303"/>
        <item m="1" x="2811"/>
        <item m="1" x="3322"/>
        <item m="1" x="3836"/>
        <item m="1" x="4342"/>
        <item m="1" x="4847"/>
        <item m="1" x="5351"/>
        <item m="1" x="5851"/>
        <item m="1" x="6357"/>
        <item m="1" x="6867"/>
        <item m="1" x="7374"/>
        <item m="1" x="7878"/>
        <item m="1" x="415"/>
        <item m="1" x="919"/>
        <item m="1" x="1423"/>
        <item m="1" x="1923"/>
        <item m="1" x="2428"/>
        <item m="1" x="2933"/>
        <item m="1" x="3447"/>
        <item m="1" x="3961"/>
        <item m="1" x="4469"/>
        <item m="1" x="4967"/>
        <item m="1" x="5474"/>
        <item m="1" x="5973"/>
        <item m="1" x="6480"/>
        <item m="1" x="6986"/>
        <item m="1" x="7496"/>
        <item m="1" x="34"/>
        <item m="1" x="540"/>
        <item m="1" x="1040"/>
        <item m="1" x="1548"/>
        <item m="1" x="2047"/>
        <item m="1" x="2551"/>
        <item m="1" x="3056"/>
        <item m="1" x="3570"/>
        <item m="1" x="4085"/>
        <item m="1" x="4585"/>
        <item m="1" x="5085"/>
        <item m="1" x="5596"/>
        <item m="1" x="6097"/>
        <item m="1" x="6603"/>
        <item m="1" x="7111"/>
        <item m="1" x="7621"/>
        <item m="1" x="158"/>
        <item m="1" x="659"/>
        <item m="1" x="1163"/>
        <item m="1" x="1671"/>
        <item m="1" x="2168"/>
        <item m="1" x="2673"/>
        <item m="1" x="3179"/>
        <item m="1" x="3695"/>
        <item m="1" x="4205"/>
        <item m="1" x="4706"/>
        <item m="1" x="5207"/>
        <item m="1" x="5715"/>
        <item m="1" x="6221"/>
        <item m="1" x="6729"/>
        <item m="1" x="7236"/>
        <item m="1" x="7743"/>
        <item m="1" x="280"/>
        <item m="1" x="782"/>
        <item m="1" x="1283"/>
        <item m="1" x="1786"/>
        <item m="1" x="2289"/>
        <item m="1" x="2795"/>
        <item m="1" x="3304"/>
        <item m="1" x="3819"/>
        <item m="1" x="4329"/>
        <item m="1" x="4831"/>
        <item m="1" x="5332"/>
        <item m="1" x="5835"/>
        <item m="1" x="6342"/>
        <item m="1" x="6851"/>
        <item m="1" x="7358"/>
        <item m="1" x="7863"/>
        <item m="1" x="400"/>
        <item m="1" x="903"/>
        <item m="1" x="1404"/>
        <item m="1" x="1907"/>
        <item m="1" x="2411"/>
        <item m="1" x="2918"/>
        <item m="1" x="3429"/>
        <item m="1" x="3945"/>
        <item m="1" x="4453"/>
        <item m="1" x="4951"/>
        <item m="1" x="5454"/>
        <item m="1" x="5956"/>
        <item m="1" x="6465"/>
        <item m="1" x="6972"/>
        <item m="1" x="7480"/>
        <item m="1" x="7987"/>
        <item m="1" x="524"/>
        <item m="1" x="1026"/>
        <item m="1" x="1529"/>
        <item m="1" x="2030"/>
        <item m="1" x="2537"/>
        <item m="1" x="3042"/>
        <item m="1" x="3554"/>
        <item m="1" x="4070"/>
        <item m="1" x="4572"/>
        <item m="1" x="5069"/>
        <item m="1" x="5575"/>
        <item m="1" x="6079"/>
        <item m="1" x="6586"/>
        <item m="1" x="7095"/>
        <item m="1" x="7605"/>
        <item m="1" x="143"/>
        <item m="1" x="645"/>
        <item m="1" x="1148"/>
        <item m="1" x="1652"/>
        <item m="1" x="2150"/>
        <item m="1" x="2658"/>
        <item m="1" x="3165"/>
        <item m="1" x="3678"/>
        <item m="1" x="4188"/>
        <item m="1" x="4690"/>
        <item m="1" x="5192"/>
        <item m="1" x="5696"/>
        <item m="1" x="6201"/>
        <item m="1" x="6712"/>
        <item m="1" x="7220"/>
        <item m="1" x="7726"/>
        <item m="1" x="261"/>
        <item m="1" x="764"/>
        <item m="1" x="1268"/>
        <item m="1" x="1767"/>
        <item m="1" x="2268"/>
        <item m="1" x="2779"/>
        <item m="1" x="3290"/>
        <item m="1" x="3802"/>
        <item m="1" x="4310"/>
        <item m="1" x="4814"/>
        <item m="1" x="5316"/>
        <item m="1" x="5815"/>
        <item m="1" x="6321"/>
        <item m="1" x="6834"/>
        <item m="1" x="7343"/>
        <item m="1" x="7848"/>
        <item m="1" x="383"/>
        <item m="1" x="887"/>
        <item m="1" x="1389"/>
        <item m="1" x="1888"/>
        <item m="1" x="2392"/>
        <item m="1" x="2902"/>
        <item m="1" x="3415"/>
        <item m="1" x="3929"/>
        <item m="1" x="4435"/>
        <item m="1" x="4934"/>
        <item m="1" x="5439"/>
        <item m="1" x="5938"/>
        <item m="1" x="6444"/>
        <item m="1" x="6955"/>
        <item m="1" x="7465"/>
        <item m="1" x="7970"/>
        <item m="1" x="506"/>
        <item m="1" x="1009"/>
        <item m="1" x="1513"/>
        <item m="1" x="2013"/>
        <item m="1" x="2517"/>
        <item m="1" x="3026"/>
        <item m="1" x="3539"/>
        <item m="1" x="4054"/>
        <item m="1" x="4554"/>
        <item m="1" x="5053"/>
        <item m="1" x="5559"/>
        <item m="1" x="6060"/>
        <item m="1" x="6566"/>
        <item m="1" x="7079"/>
        <item m="1" x="7587"/>
        <item m="1" x="126"/>
        <item m="1" x="627"/>
        <item m="1" x="1130"/>
        <item m="1" x="3865"/>
        <item m="1" x="4374"/>
        <item m="1" x="4875"/>
        <item m="1" x="5375"/>
        <item m="1" x="5877"/>
        <item m="1" x="2466"/>
        <item m="1" x="2972"/>
        <item m="1" x="3484"/>
        <item m="1" x="4003"/>
        <item m="1" x="591"/>
        <item m="1" x="1094"/>
        <item m="1" x="1597"/>
        <item m="1" x="2094"/>
        <item m="1" x="2599"/>
        <item m="1" x="6920"/>
        <item m="1" x="7177"/>
        <item m="1" x="7426"/>
        <item m="1" x="7681"/>
        <item m="1" x="7933"/>
        <item m="1" x="219"/>
        <item m="1" x="473"/>
        <item m="1" x="721"/>
        <item m="1" x="975"/>
        <item m="1" x="5283"/>
        <item m="1" x="5532"/>
        <item m="1" x="5784"/>
        <item m="1" x="6037"/>
        <item m="1" x="6289"/>
        <item m="1" x="6545"/>
        <item m="1" x="6802"/>
        <item m="1" x="7053"/>
        <item m="1" x="7306"/>
        <item m="1" x="3650"/>
        <item m="1" x="3911"/>
        <item m="1" x="4162"/>
        <item m="1" x="4417"/>
        <item m="1" x="4664"/>
        <item m="1" x="4915"/>
        <item m="1" x="5162"/>
        <item m="1" x="5415"/>
        <item m="1" x="5668"/>
        <item m="1" x="2005"/>
        <item m="1" x="2253"/>
        <item m="1" x="2509"/>
        <item m="1" x="2760"/>
        <item m="1" x="3015"/>
        <item m="1" x="3274"/>
        <item m="1" x="3529"/>
        <item m="1" x="3787"/>
        <item m="1" x="4047"/>
        <item m="1" x="131"/>
        <item m="1" x="378"/>
        <item m="1" x="632"/>
        <item m="1" x="883"/>
        <item m="1" x="1135"/>
        <item m="1" x="1385"/>
        <item m="1" x="1641"/>
        <item m="1" x="1885"/>
        <item m="1" x="2136"/>
        <item m="1" x="2387"/>
        <item m="1" x="6456"/>
        <item m="1" x="6713"/>
        <item m="1" x="6964"/>
        <item m="1" x="7221"/>
        <item m="1" x="7473"/>
        <item m="1" x="7727"/>
        <item m="1" x="7978"/>
        <item m="1" x="262"/>
        <item m="1" x="516"/>
        <item m="1" x="765"/>
        <item m="1" x="4827"/>
        <item m="1" x="5075"/>
        <item m="1" x="5327"/>
        <item m="1" x="5581"/>
        <item m="1" x="5829"/>
        <item m="1" x="6086"/>
        <item m="1" x="6336"/>
        <item m="1" x="6592"/>
        <item m="1" x="6847"/>
        <item m="1" x="7101"/>
        <item m="1" x="3180"/>
        <item m="1" x="3438"/>
        <item m="1" x="3696"/>
        <item m="1" x="3954"/>
        <item m="1" x="4206"/>
        <item m="1" x="4461"/>
        <item m="1" x="4707"/>
        <item m="1" x="4958"/>
        <item m="1" x="5208"/>
        <item m="1" x="5463"/>
        <item m="1" x="1554"/>
        <item m="1" x="1798"/>
        <item m="1" x="2051"/>
        <item m="1" x="2300"/>
        <item m="1" x="2556"/>
        <item m="1" x="2807"/>
        <item m="1" x="3062"/>
        <item m="1" x="3318"/>
        <item m="1" x="3575"/>
        <item m="1" x="3832"/>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34" firstHeaderRow="0" firstDataRow="1" firstDataCol="1"/>
  <pivotFields count="19">
    <pivotField showAll="0">
      <items count="189">
        <item m="1" x="181"/>
        <item m="1" x="161"/>
        <item m="1" x="75"/>
        <item m="1" x="19"/>
        <item m="1" x="62"/>
        <item m="1" x="182"/>
        <item m="1" x="7"/>
        <item m="1" x="158"/>
        <item m="1" x="46"/>
        <item m="1" x="134"/>
        <item m="1" x="79"/>
        <item m="1" x="179"/>
        <item m="1" x="68"/>
        <item m="1" x="11"/>
        <item m="1" x="135"/>
        <item m="1" x="82"/>
        <item m="1" x="88"/>
        <item m="1" x="115"/>
        <item m="1" x="140"/>
        <item m="1" x="34"/>
        <item m="1" x="50"/>
        <item m="1" x="183"/>
        <item m="1" x="8"/>
        <item m="1" x="176"/>
        <item m="1" x="51"/>
        <item m="1" x="83"/>
        <item m="1" x="58"/>
        <item m="1" x="91"/>
        <item m="1" x="95"/>
        <item m="1" x="69"/>
        <item m="1" x="23"/>
        <item m="1" x="153"/>
        <item m="1" x="32"/>
        <item m="1" x="35"/>
        <item m="1" x="144"/>
        <item m="1" x="99"/>
        <item m="1" x="63"/>
        <item m="1" x="184"/>
        <item m="1" x="145"/>
        <item m="1" x="100"/>
        <item m="1" x="165"/>
        <item m="1" x="44"/>
        <item m="1" x="12"/>
        <item m="1" x="20"/>
        <item m="1" x="127"/>
        <item m="1" x="109"/>
        <item m="1" x="111"/>
        <item m="1" x="80"/>
        <item m="1" x="92"/>
        <item m="1" x="89"/>
        <item m="1" x="66"/>
        <item m="1" x="177"/>
        <item m="1" x="4"/>
        <item m="1" x="185"/>
        <item m="1" x="116"/>
        <item m="1" x="5"/>
        <item m="1" x="84"/>
        <item m="1" x="150"/>
        <item m="1" x="148"/>
        <item m="1" x="21"/>
        <item m="1" x="93"/>
        <item m="1" x="67"/>
        <item m="1" x="141"/>
        <item m="1" x="40"/>
        <item m="1" x="159"/>
        <item m="1" x="170"/>
        <item m="1" x="24"/>
        <item m="1" x="119"/>
        <item m="1" x="137"/>
        <item m="1" x="166"/>
        <item m="1" x="157"/>
        <item m="1" x="104"/>
        <item m="1" x="130"/>
        <item m="1" x="162"/>
        <item m="1" x="52"/>
        <item m="1" x="36"/>
        <item m="1" x="70"/>
        <item m="1" x="105"/>
        <item m="1" x="101"/>
        <item m="1" x="41"/>
        <item m="1" x="147"/>
        <item m="1" x="37"/>
        <item m="1" x="149"/>
        <item m="1" x="72"/>
        <item m="1" x="64"/>
        <item m="1" x="171"/>
        <item m="1" x="186"/>
        <item m="1" x="1"/>
        <item m="1" x="167"/>
        <item m="1" x="187"/>
        <item m="1" x="131"/>
        <item m="1" x="138"/>
        <item m="1" x="27"/>
        <item m="1" x="154"/>
        <item m="1" x="133"/>
        <item m="1" x="47"/>
        <item m="1" x="73"/>
        <item x="0"/>
        <item m="1" x="128"/>
        <item m="1" x="90"/>
        <item m="1" x="76"/>
        <item m="1" x="48"/>
        <item m="1" x="14"/>
        <item m="1" x="117"/>
        <item m="1" x="59"/>
        <item m="1" x="155"/>
        <item m="1" x="85"/>
        <item m="1" x="56"/>
        <item m="1" x="28"/>
        <item m="1" x="60"/>
        <item m="1" x="2"/>
        <item m="1" x="33"/>
        <item m="1" x="22"/>
        <item m="1" x="6"/>
        <item m="1" x="123"/>
        <item m="1" x="86"/>
        <item m="1" x="49"/>
        <item m="1" x="30"/>
        <item m="1" x="38"/>
        <item m="1" x="129"/>
        <item m="1" x="160"/>
        <item m="1" x="29"/>
        <item m="1" x="124"/>
        <item m="1" x="13"/>
        <item m="1" x="42"/>
        <item m="1" x="17"/>
        <item m="1" x="102"/>
        <item m="1" x="74"/>
        <item m="1" x="77"/>
        <item m="1" x="16"/>
        <item m="1" x="172"/>
        <item m="1" x="173"/>
        <item m="1" x="110"/>
        <item m="1" x="142"/>
        <item m="1" x="53"/>
        <item m="1" x="25"/>
        <item m="1" x="106"/>
        <item m="1" x="146"/>
        <item m="1" x="120"/>
        <item m="1" x="39"/>
        <item m="1" x="174"/>
        <item m="1" x="112"/>
        <item m="1" x="9"/>
        <item m="1" x="163"/>
        <item m="1" x="18"/>
        <item m="1" x="45"/>
        <item m="1" x="96"/>
        <item m="1" x="71"/>
        <item m="1" x="125"/>
        <item m="1" x="156"/>
        <item m="1" x="103"/>
        <item m="1" x="113"/>
        <item m="1" x="54"/>
        <item m="1" x="15"/>
        <item m="1" x="43"/>
        <item m="1" x="55"/>
        <item m="1" x="107"/>
        <item m="1" x="121"/>
        <item m="1" x="132"/>
        <item m="1" x="126"/>
        <item m="1" x="78"/>
        <item m="1" x="94"/>
        <item m="1" x="26"/>
        <item m="1" x="57"/>
        <item m="1" x="164"/>
        <item m="1" x="97"/>
        <item m="1" x="3"/>
        <item m="1" x="143"/>
        <item m="1" x="180"/>
        <item m="1" x="65"/>
        <item m="1" x="118"/>
        <item m="1" x="136"/>
        <item m="1" x="81"/>
        <item m="1" x="98"/>
        <item m="1" x="114"/>
        <item m="1" x="122"/>
        <item m="1" x="168"/>
        <item m="1" x="10"/>
        <item m="1" x="139"/>
        <item m="1" x="175"/>
        <item m="1" x="178"/>
        <item m="1" x="31"/>
        <item m="1" x="61"/>
        <item m="1" x="151"/>
        <item m="1" x="169"/>
        <item m="1" x="152"/>
        <item m="1" x="87"/>
        <item m="1" x="108"/>
        <item t="default"/>
      </items>
    </pivotField>
    <pivotField showAll="0">
      <items count="417">
        <item m="1" x="15"/>
        <item m="1" x="383"/>
        <item m="1" x="94"/>
        <item m="1" x="307"/>
        <item m="1" x="273"/>
        <item m="1" x="320"/>
        <item m="1" x="314"/>
        <item m="1" x="284"/>
        <item m="1" x="375"/>
        <item m="1" x="128"/>
        <item m="1" x="51"/>
        <item m="1" x="315"/>
        <item m="1" x="203"/>
        <item m="1" x="258"/>
        <item m="1" x="39"/>
        <item m="1" x="366"/>
        <item m="1" x="274"/>
        <item m="1" x="204"/>
        <item m="1" x="321"/>
        <item m="1" x="332"/>
        <item m="1" x="211"/>
        <item m="1" x="40"/>
        <item m="1" x="229"/>
        <item m="1" x="65"/>
        <item m="1" x="16"/>
        <item m="1" x="298"/>
        <item m="1" x="182"/>
        <item m="1" x="347"/>
        <item m="1" x="32"/>
        <item m="1" x="245"/>
        <item m="1" x="118"/>
        <item m="1" x="7"/>
        <item m="1" x="384"/>
        <item m="1" x="72"/>
        <item m="1" x="164"/>
        <item m="1" x="22"/>
        <item m="1" x="398"/>
        <item m="1" x="275"/>
        <item m="1" x="205"/>
        <item m="1" x="149"/>
        <item m="1" x="354"/>
        <item m="1" x="373"/>
        <item m="1" x="190"/>
        <item m="1" x="399"/>
        <item m="1" x="23"/>
        <item m="1" x="333"/>
        <item m="1" x="276"/>
        <item m="1" x="112"/>
        <item m="1" x="109"/>
        <item m="1" x="367"/>
        <item m="1" x="360"/>
        <item m="1" x="119"/>
        <item m="1" x="230"/>
        <item m="1" x="10"/>
        <item m="1" x="361"/>
        <item m="1" x="390"/>
        <item m="1" x="165"/>
        <item m="1" x="328"/>
        <item m="1" x="24"/>
        <item m="1" x="80"/>
        <item m="1" x="246"/>
        <item m="1" x="124"/>
        <item m="1" x="11"/>
        <item m="1" x="299"/>
        <item m="1" x="238"/>
        <item m="1" x="101"/>
        <item m="1" x="266"/>
        <item m="1" x="197"/>
        <item m="1" x="348"/>
        <item m="1" x="285"/>
        <item m="1" x="33"/>
        <item m="1" x="87"/>
        <item m="1" x="135"/>
        <item m="1" x="300"/>
        <item m="1" x="206"/>
        <item m="1" x="17"/>
        <item m="1" x="34"/>
        <item m="1" x="88"/>
        <item m="1" x="150"/>
        <item m="1" x="247"/>
        <item m="1" x="376"/>
        <item m="1" x="166"/>
        <item m="1" x="385"/>
        <item m="1" x="325"/>
        <item m="1" x="198"/>
        <item m="1" x="212"/>
        <item m="1" x="391"/>
        <item m="1" x="102"/>
        <item m="1" x="267"/>
        <item m="1" x="25"/>
        <item m="1" x="405"/>
        <item m="1" x="349"/>
        <item m="1" x="277"/>
        <item m="1" x="167"/>
        <item m="1" x="26"/>
        <item m="1" x="151"/>
        <item m="1" x="248"/>
        <item m="1" x="406"/>
        <item m="1" x="113"/>
        <item m="1" x="173"/>
        <item m="1" x="278"/>
        <item m="1" x="183"/>
        <item m="1" x="268"/>
        <item m="1" x="59"/>
        <item m="1" x="159"/>
        <item m="1" x="368"/>
        <item m="1" x="400"/>
        <item m="1" x="177"/>
        <item m="1" x="219"/>
        <item m="1" x="308"/>
        <item m="1" x="377"/>
        <item m="1" x="254"/>
        <item m="1" x="362"/>
        <item m="1" x="184"/>
        <item m="1" x="45"/>
        <item m="1" x="392"/>
        <item m="1" x="129"/>
        <item m="1" x="280"/>
        <item m="1" x="220"/>
        <item m="1" x="160"/>
        <item m="1" x="73"/>
        <item m="1" x="125"/>
        <item m="1" x="41"/>
        <item m="1" x="322"/>
        <item m="1" x="89"/>
        <item m="1" x="329"/>
        <item m="1" x="27"/>
        <item m="1" x="234"/>
        <item m="1" x="95"/>
        <item m="1" x="259"/>
        <item m="1" x="199"/>
        <item m="1" x="126"/>
        <item m="1" x="90"/>
        <item m="1" x="289"/>
        <item m="1" x="114"/>
        <item m="1" x="161"/>
        <item m="1" x="193"/>
        <item m="1" x="301"/>
        <item m="1" x="66"/>
        <item m="1" x="226"/>
        <item m="1" x="52"/>
        <item m="1" x="67"/>
        <item m="1" x="152"/>
        <item m="1" x="174"/>
        <item m="1" x="110"/>
        <item m="1" x="60"/>
        <item m="1" x="178"/>
        <item m="1" x="326"/>
        <item m="1" x="185"/>
        <item m="1" x="18"/>
        <item m="1" x="141"/>
        <item m="1" x="1"/>
        <item m="1" x="103"/>
        <item m="1" x="53"/>
        <item m="1" x="231"/>
        <item m="1" x="337"/>
        <item m="1" x="221"/>
        <item m="1" x="241"/>
        <item m="1" x="28"/>
        <item m="1" x="286"/>
        <item m="1" x="249"/>
        <item m="1" x="290"/>
        <item m="1" x="378"/>
        <item m="1" x="407"/>
        <item m="1" x="260"/>
        <item m="1" x="120"/>
        <item m="1" x="369"/>
        <item m="1" x="153"/>
        <item m="1" x="316"/>
        <item m="1" x="130"/>
        <item m="1" x="61"/>
        <item m="1" x="194"/>
        <item m="1" x="261"/>
        <item m="1" x="121"/>
        <item m="1" x="46"/>
        <item m="1" x="379"/>
        <item m="1" x="74"/>
        <item x="0"/>
        <item m="1" x="291"/>
        <item m="1" x="42"/>
        <item m="1" x="186"/>
        <item m="1" x="281"/>
        <item m="1" x="142"/>
        <item m="1" x="269"/>
        <item m="1" x="8"/>
        <item m="1" x="111"/>
        <item m="1" x="156"/>
        <item m="1" x="323"/>
        <item m="1" x="338"/>
        <item m="1" x="413"/>
        <item m="1" x="168"/>
        <item m="1" x="2"/>
        <item m="1" x="350"/>
        <item m="1" x="287"/>
        <item m="1" x="62"/>
        <item m="1" x="235"/>
        <item m="1" x="408"/>
        <item m="1" x="179"/>
        <item m="1" x="43"/>
        <item m="1" x="187"/>
        <item m="1" x="262"/>
        <item m="1" x="342"/>
        <item m="1" x="200"/>
        <item m="1" x="282"/>
        <item m="1" x="270"/>
        <item m="1" x="29"/>
        <item m="1" x="207"/>
        <item m="1" x="54"/>
        <item m="1" x="317"/>
        <item m="1" x="401"/>
        <item m="1" x="334"/>
        <item m="1" x="91"/>
        <item m="1" x="180"/>
        <item m="1" x="255"/>
        <item m="1" x="414"/>
        <item m="1" x="96"/>
        <item m="1" x="188"/>
        <item m="1" x="47"/>
        <item m="1" x="393"/>
        <item m="1" x="271"/>
        <item m="1" x="154"/>
        <item m="1" x="250"/>
        <item m="1" x="131"/>
        <item m="1" x="195"/>
        <item m="1" x="343"/>
        <item m="1" x="143"/>
        <item m="1" x="75"/>
        <item m="1" x="374"/>
        <item m="1" x="355"/>
        <item m="1" x="380"/>
        <item m="1" x="256"/>
        <item m="1" x="12"/>
        <item m="1" x="115"/>
        <item m="1" x="97"/>
        <item m="1" x="189"/>
        <item m="1" x="370"/>
        <item m="1" x="48"/>
        <item m="1" x="76"/>
        <item m="1" x="242"/>
        <item m="1" x="3"/>
        <item m="1" x="55"/>
        <item m="1" x="81"/>
        <item m="1" x="213"/>
        <item m="1" x="292"/>
        <item m="1" x="302"/>
        <item m="1" x="98"/>
        <item m="1" x="263"/>
        <item m="1" x="122"/>
        <item m="1" x="144"/>
        <item m="1" x="77"/>
        <item m="1" x="169"/>
        <item m="1" x="330"/>
        <item m="1" x="351"/>
        <item m="1" x="56"/>
        <item m="1" x="35"/>
        <item m="1" x="132"/>
        <item m="1" x="293"/>
        <item m="1" x="381"/>
        <item m="1" x="63"/>
        <item m="1" x="181"/>
        <item m="1" x="363"/>
        <item m="1" x="68"/>
        <item m="1" x="99"/>
        <item m="1" x="19"/>
        <item m="1" x="309"/>
        <item m="1" x="78"/>
        <item m="1" x="318"/>
        <item m="1" x="402"/>
        <item m="1" x="82"/>
        <item m="1" x="294"/>
        <item m="1" x="324"/>
        <item m="1" x="116"/>
        <item m="1" x="136"/>
        <item m="1" x="222"/>
        <item m="1" x="344"/>
        <item m="1" x="371"/>
        <item m="1" x="49"/>
        <item m="1" x="394"/>
        <item m="1" x="4"/>
        <item m="1" x="191"/>
        <item m="1" x="352"/>
        <item m="1" x="57"/>
        <item m="1" x="83"/>
        <item m="1" x="335"/>
        <item m="1" x="356"/>
        <item m="1" x="214"/>
        <item m="1" x="295"/>
        <item m="1" x="409"/>
        <item m="1" x="364"/>
        <item m="1" x="303"/>
        <item m="1" x="415"/>
        <item m="1" x="201"/>
        <item m="1" x="145"/>
        <item m="1" x="227"/>
        <item m="1" x="310"/>
        <item m="1" x="30"/>
        <item m="1" x="58"/>
        <item m="1" x="133"/>
        <item m="1" x="215"/>
        <item m="1" x="296"/>
        <item m="1" x="339"/>
        <item m="1" x="386"/>
        <item m="1" x="69"/>
        <item m="1" x="239"/>
        <item m="1" x="20"/>
        <item m="1" x="123"/>
        <item m="1" x="283"/>
        <item m="1" x="79"/>
        <item m="1" x="104"/>
        <item m="1" x="192"/>
        <item m="1" x="208"/>
        <item m="1" x="232"/>
        <item m="1" x="403"/>
        <item m="1" x="251"/>
        <item m="1" x="357"/>
        <item m="1" x="36"/>
        <item m="1" x="410"/>
        <item m="1" x="223"/>
        <item m="1" x="264"/>
        <item m="1" x="50"/>
        <item m="1" x="311"/>
        <item m="1" x="395"/>
        <item m="1" x="105"/>
        <item m="1" x="84"/>
        <item m="1" x="175"/>
        <item m="1" x="336"/>
        <item m="1" x="358"/>
        <item m="1" x="157"/>
        <item m="1" x="411"/>
        <item m="1" x="345"/>
        <item m="1" x="146"/>
        <item m="1" x="228"/>
        <item m="1" x="312"/>
        <item m="1" x="155"/>
        <item m="1" x="85"/>
        <item m="1" x="176"/>
        <item m="1" x="134"/>
        <item m="1" x="412"/>
        <item m="1" x="92"/>
        <item m="1" x="117"/>
        <item m="1" x="387"/>
        <item m="1" x="327"/>
        <item m="1" x="100"/>
        <item m="1" x="147"/>
        <item m="1" x="396"/>
        <item m="1" x="170"/>
        <item m="1" x="233"/>
        <item m="1" x="319"/>
        <item m="1" x="9"/>
        <item m="1" x="279"/>
        <item m="1" x="216"/>
        <item m="1" x="382"/>
        <item m="1" x="137"/>
        <item m="1" x="171"/>
        <item m="1" x="243"/>
        <item m="1" x="106"/>
        <item m="1" x="31"/>
        <item m="1" x="209"/>
        <item m="1" x="86"/>
        <item m="1" x="359"/>
        <item m="1" x="37"/>
        <item m="1" x="217"/>
        <item m="1" x="236"/>
        <item m="1" x="257"/>
        <item m="1" x="138"/>
        <item m="1" x="224"/>
        <item m="1" x="304"/>
        <item m="1" x="388"/>
        <item m="1" x="346"/>
        <item m="1" x="21"/>
        <item m="1" x="148"/>
        <item m="1" x="397"/>
        <item m="1" x="107"/>
        <item m="1" x="252"/>
        <item m="1" x="158"/>
        <item m="1" x="44"/>
        <item m="1" x="70"/>
        <item m="1" x="372"/>
        <item m="1" x="244"/>
        <item m="1" x="5"/>
        <item m="1" x="272"/>
        <item m="1" x="288"/>
        <item m="1" x="253"/>
        <item m="1" x="218"/>
        <item m="1" x="365"/>
        <item m="1" x="331"/>
        <item m="1" x="6"/>
        <item m="1" x="353"/>
        <item m="1" x="127"/>
        <item m="1" x="38"/>
        <item m="1" x="64"/>
        <item m="1" x="196"/>
        <item m="1" x="139"/>
        <item m="1" x="305"/>
        <item m="1" x="162"/>
        <item m="1" x="265"/>
        <item m="1" x="108"/>
        <item m="1" x="340"/>
        <item m="1" x="13"/>
        <item m="1" x="140"/>
        <item m="1" x="163"/>
        <item m="1" x="240"/>
        <item m="1" x="210"/>
        <item m="1" x="93"/>
        <item m="1" x="341"/>
        <item m="1" x="389"/>
        <item m="1" x="202"/>
        <item m="1" x="172"/>
        <item m="1" x="297"/>
        <item m="1" x="237"/>
        <item m="1" x="14"/>
        <item m="1" x="225"/>
        <item m="1" x="306"/>
        <item m="1" x="71"/>
        <item m="1" x="404"/>
        <item m="1" x="313"/>
        <item t="default"/>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17">
        <item m="1" x="24"/>
        <item m="1" x="87"/>
        <item m="1" x="47"/>
        <item m="1" x="151"/>
        <item m="1" x="164"/>
        <item m="1" x="27"/>
        <item m="1" x="132"/>
        <item m="1" x="80"/>
        <item m="1" x="296"/>
        <item m="1" x="191"/>
        <item m="1" x="128"/>
        <item m="1" x="250"/>
        <item m="1" x="297"/>
        <item m="1" x="314"/>
        <item m="1" x="273"/>
        <item m="1" x="208"/>
        <item m="1" x="192"/>
        <item m="1" x="298"/>
        <item m="1" x="220"/>
        <item m="1" x="92"/>
        <item m="1" x="37"/>
        <item m="1" x="200"/>
        <item m="1" x="387"/>
        <item m="1" x="17"/>
        <item m="1" x="307"/>
        <item m="1" x="201"/>
        <item m="1" x="133"/>
        <item m="1" x="259"/>
        <item m="1" x="281"/>
        <item m="1" x="102"/>
        <item m="1" x="230"/>
        <item m="1" x="177"/>
        <item m="1" x="274"/>
        <item m="1" x="275"/>
        <item m="1" x="388"/>
        <item m="1" x="129"/>
        <item m="1" x="282"/>
        <item m="1" x="130"/>
        <item m="1" x="254"/>
        <item m="1" x="1"/>
        <item m="1" x="99"/>
        <item m="1" x="401"/>
        <item m="1" x="323"/>
        <item m="1" x="231"/>
        <item m="1" x="46"/>
        <item m="1" x="152"/>
        <item m="1" x="187"/>
        <item m="1" x="88"/>
        <item m="1" x="52"/>
        <item m="1" x="28"/>
        <item m="1" x="353"/>
        <item m="1" x="153"/>
        <item m="1" x="145"/>
        <item m="1" x="25"/>
        <item m="1" x="244"/>
        <item m="1" x="89"/>
        <item m="1" x="308"/>
        <item m="1" x="283"/>
        <item m="1" x="116"/>
        <item m="1" x="260"/>
        <item m="1" x="407"/>
        <item m="1" x="134"/>
        <item m="1" x="29"/>
        <item m="1" x="193"/>
        <item m="1" x="359"/>
        <item m="1" x="146"/>
        <item m="1" x="268"/>
        <item m="1" x="154"/>
        <item m="1" x="371"/>
        <item m="1" x="389"/>
        <item m="1" x="48"/>
        <item m="1" x="255"/>
        <item m="1" x="221"/>
        <item m="1" x="374"/>
        <item m="1" x="360"/>
        <item m="1" x="155"/>
        <item m="1" x="251"/>
        <item m="1" x="11"/>
        <item m="1" x="261"/>
        <item m="1" x="209"/>
        <item m="1" x="344"/>
        <item m="1" x="378"/>
        <item m="1" x="245"/>
        <item m="1" x="202"/>
        <item m="1" x="318"/>
        <item m="1" x="30"/>
        <item m="1" x="93"/>
        <item m="1" x="216"/>
        <item m="1" x="379"/>
        <item m="1" x="393"/>
        <item m="1" x="75"/>
        <item m="1" x="135"/>
        <item m="1" x="210"/>
        <item m="1" x="303"/>
        <item m="1" x="402"/>
        <item m="1" x="222"/>
        <item m="1" x="136"/>
        <item m="1" x="69"/>
        <item m="1" x="137"/>
        <item m="1" x="232"/>
        <item m="1" x="269"/>
        <item m="1" x="38"/>
        <item m="1" x="223"/>
        <item m="1" x="18"/>
        <item m="1" x="252"/>
        <item m="1" x="118"/>
        <item m="1" x="53"/>
        <item m="1" x="178"/>
        <item m="1" x="410"/>
        <item m="1" x="309"/>
        <item m="1" x="6"/>
        <item m="1" x="276"/>
        <item m="1" x="90"/>
        <item m="1" x="2"/>
        <item m="1" x="345"/>
        <item m="1" x="211"/>
        <item m="1" x="111"/>
        <item m="1" x="138"/>
        <item m="1" x="304"/>
        <item m="1" x="284"/>
        <item m="1" x="112"/>
        <item m="1" x="253"/>
        <item m="1" x="224"/>
        <item m="1" x="54"/>
        <item m="1" x="70"/>
        <item m="1" x="7"/>
        <item m="1" x="100"/>
        <item m="1" x="12"/>
        <item m="1" x="76"/>
        <item m="1" x="212"/>
        <item m="1" x="58"/>
        <item m="1" x="256"/>
        <item m="1" x="346"/>
        <item m="1" x="262"/>
        <item m="1" x="328"/>
        <item m="1" x="289"/>
        <item m="1" x="81"/>
        <item m="1" x="156"/>
        <item m="1" x="117"/>
        <item m="1" x="157"/>
        <item m="1" x="179"/>
        <item m="1" x="361"/>
        <item m="1" x="3"/>
        <item m="1" x="233"/>
        <item m="1" x="354"/>
        <item m="1" x="383"/>
        <item m="1" x="355"/>
        <item m="1" x="362"/>
        <item m="1" x="203"/>
        <item m="1" x="59"/>
        <item m="1" x="188"/>
        <item m="1" x="394"/>
        <item m="1" x="324"/>
        <item m="1" x="356"/>
        <item m="1" x="291"/>
        <item m="1" x="335"/>
        <item m="1" x="270"/>
        <item m="1" x="363"/>
        <item m="1" x="55"/>
        <item m="1" x="299"/>
        <item m="1" x="380"/>
        <item m="1" x="336"/>
        <item m="1" x="8"/>
        <item m="1" x="357"/>
        <item m="1" x="180"/>
        <item m="1" x="257"/>
        <item m="1" x="119"/>
        <item m="1" x="225"/>
        <item m="1" x="139"/>
        <item m="1" x="39"/>
        <item m="1" x="91"/>
        <item m="1" x="347"/>
        <item m="1" x="94"/>
        <item m="1" x="181"/>
        <item m="1" x="384"/>
        <item m="1" x="71"/>
        <item m="1" x="19"/>
        <item m="1" x="395"/>
        <item m="1" x="169"/>
        <item m="1" x="348"/>
        <item m="1" x="337"/>
        <item m="1" x="13"/>
        <item m="1" x="325"/>
        <item m="1" x="103"/>
        <item m="1" x="246"/>
        <item m="1" x="131"/>
        <item m="1" x="49"/>
        <item m="1" x="390"/>
        <item m="1" x="120"/>
        <item m="1" x="4"/>
        <item m="1" x="375"/>
        <item m="1" x="364"/>
        <item m="1" x="391"/>
        <item m="1" x="370"/>
        <item m="1" x="40"/>
        <item m="1" x="159"/>
        <item m="1" x="56"/>
        <item m="1" x="170"/>
        <item m="1" x="326"/>
        <item m="1" x="338"/>
        <item m="1" x="411"/>
        <item m="1" x="182"/>
        <item m="1" x="171"/>
        <item m="1" x="95"/>
        <item m="1" x="263"/>
        <item m="1" x="140"/>
        <item m="1" x="319"/>
        <item m="1" x="320"/>
        <item m="1" x="310"/>
        <item m="1" x="172"/>
        <item m="1" x="147"/>
        <item m="1" x="121"/>
        <item m="1" x="165"/>
        <item m="1" x="64"/>
        <item m="1" x="349"/>
        <item m="1" x="329"/>
        <item m="1" x="65"/>
        <item m="1" x="198"/>
        <item m="1" x="189"/>
        <item m="1" x="285"/>
        <item m="1" x="174"/>
        <item m="1" x="113"/>
        <item m="1" x="9"/>
        <item m="1" x="286"/>
        <item m="1" x="31"/>
        <item m="1" x="57"/>
        <item m="1" x="287"/>
        <item m="1" x="104"/>
        <item m="1" x="50"/>
        <item m="1" x="376"/>
        <item m="1" x="292"/>
        <item m="1" x="277"/>
        <item m="1" x="300"/>
        <item m="1" x="66"/>
        <item m="1" x="412"/>
        <item m="1" x="175"/>
        <item m="1" x="101"/>
        <item m="1" x="199"/>
        <item m="1" x="41"/>
        <item m="1" x="408"/>
        <item m="1" x="217"/>
        <item m="1" x="327"/>
        <item m="1" x="339"/>
        <item m="1" x="218"/>
        <item m="1" x="60"/>
        <item m="1" x="381"/>
        <item m="1" x="122"/>
        <item m="1" x="293"/>
        <item m="1" x="237"/>
        <item m="1" x="301"/>
        <item m="1" x="396"/>
        <item m="1" x="219"/>
        <item m="1" x="340"/>
        <item m="1" x="114"/>
        <item m="1" x="77"/>
        <item m="1" x="350"/>
        <item m="1" x="226"/>
        <item m="1" x="321"/>
        <item m="1" x="105"/>
        <item m="1" x="42"/>
        <item m="1" x="20"/>
        <item m="1" x="397"/>
        <item m="1" x="96"/>
        <item m="1" x="32"/>
        <item m="1" x="238"/>
        <item m="1" x="247"/>
        <item m="1" x="351"/>
        <item m="1" x="330"/>
        <item m="1" x="311"/>
        <item m="1" x="51"/>
        <item m="1" x="398"/>
        <item m="1" x="106"/>
        <item m="1" x="213"/>
        <item m="1" x="107"/>
        <item m="1" x="315"/>
        <item m="1" x="385"/>
        <item m="1" x="14"/>
        <item m="1" x="365"/>
        <item m="1" x="214"/>
        <item m="1" x="331"/>
        <item m="1" x="234"/>
        <item m="1" x="366"/>
        <item m="1" x="61"/>
        <item m="1" x="123"/>
        <item m="1" x="294"/>
        <item m="1" x="377"/>
        <item m="1" x="82"/>
        <item m="1" x="271"/>
        <item m="1" x="43"/>
        <item m="1" x="399"/>
        <item m="1" x="10"/>
        <item m="1" x="124"/>
        <item m="1" x="83"/>
        <item m="1" x="141"/>
        <item m="1" x="258"/>
        <item m="1" x="413"/>
        <item m="1" x="239"/>
        <item m="1" x="358"/>
        <item m="1" x="312"/>
        <item m="1" x="264"/>
        <item m="1" x="302"/>
        <item m="1" x="341"/>
        <item m="1" x="227"/>
        <item m="1" x="166"/>
        <item m="1" x="332"/>
        <item m="1" x="342"/>
        <item m="1" x="125"/>
        <item m="1" x="115"/>
        <item m="1" x="142"/>
        <item m="1" x="240"/>
        <item m="1" x="62"/>
        <item m="1" x="392"/>
        <item m="1" x="183"/>
        <item m="1" x="288"/>
        <item m="1" x="386"/>
        <item m="1" x="143"/>
        <item m="1" x="84"/>
        <item m="1" x="33"/>
        <item m="1" x="176"/>
        <item m="1" x="97"/>
        <item m="1" x="21"/>
        <item m="1" x="108"/>
        <item m="1" x="305"/>
        <item m="1" x="26"/>
        <item m="1" x="190"/>
        <item m="1" x="248"/>
        <item m="1" x="313"/>
        <item m="1" x="15"/>
        <item m="1" x="78"/>
        <item m="1" x="148"/>
        <item m="1" x="228"/>
        <item m="1" x="204"/>
        <item m="1" x="109"/>
        <item m="1" x="352"/>
        <item m="1" x="235"/>
        <item m="1" x="194"/>
        <item m="1" x="229"/>
        <item m="1" x="367"/>
        <item m="1" x="205"/>
        <item m="1" x="249"/>
        <item m="1" x="167"/>
        <item m="1" x="414"/>
        <item m="1" x="34"/>
        <item m="1" x="278"/>
        <item m="1" x="279"/>
        <item m="1" x="290"/>
        <item m="1" x="241"/>
        <item m="1" x="85"/>
        <item m="1" x="149"/>
        <item m="1" x="333"/>
        <item m="1" x="110"/>
        <item m="1" x="306"/>
        <item m="1" x="382"/>
        <item m="1" x="72"/>
        <item m="1" x="158"/>
        <item m="1" x="16"/>
        <item m="1" x="242"/>
        <item m="1" x="415"/>
        <item m="1" x="195"/>
        <item m="1" x="73"/>
        <item m="1" x="44"/>
        <item m="1" x="45"/>
        <item m="1" x="86"/>
        <item m="1" x="22"/>
        <item m="1" x="403"/>
        <item m="1" x="35"/>
        <item m="1" x="168"/>
        <item m="1" x="184"/>
        <item m="1" x="334"/>
        <item m="1" x="185"/>
        <item m="1" x="368"/>
        <item m="1" x="322"/>
        <item m="1" x="144"/>
        <item m="1" x="160"/>
        <item m="1" x="372"/>
        <item m="1" x="295"/>
        <item m="1" x="404"/>
        <item m="1" x="79"/>
        <item m="1" x="265"/>
        <item m="1" x="215"/>
        <item m="1" x="74"/>
        <item m="1" x="405"/>
        <item m="1" x="63"/>
        <item m="1" x="280"/>
        <item m="1" x="206"/>
        <item m="1" x="36"/>
        <item m="1" x="400"/>
        <item m="1" x="23"/>
        <item m="1" x="406"/>
        <item m="1" x="126"/>
        <item m="1" x="207"/>
        <item m="1" x="266"/>
        <item m="1" x="161"/>
        <item m="1" x="67"/>
        <item m="1" x="173"/>
        <item m="1" x="272"/>
        <item m="1" x="150"/>
        <item m="1" x="127"/>
        <item m="1" x="98"/>
        <item m="1" x="343"/>
        <item m="1" x="316"/>
        <item m="1" x="186"/>
        <item m="1" x="243"/>
        <item m="1" x="267"/>
        <item m="1" x="196"/>
        <item m="1" x="5"/>
        <item m="1" x="409"/>
        <item m="1" x="373"/>
        <item m="1" x="317"/>
        <item m="1" x="369"/>
        <item m="1" x="68"/>
        <item m="1" x="162"/>
        <item m="1" x="197"/>
        <item m="1" x="236"/>
        <item x="0"/>
        <item m="1" x="16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m="1" x="3592"/>
        <item m="1" x="7515"/>
        <item m="1" x="1498"/>
        <item m="1" x="5420"/>
        <item m="1" x="1366"/>
        <item m="1" x="5291"/>
        <item m="1" x="1238"/>
        <item m="1" x="5158"/>
        <item m="1" x="7124"/>
        <item m="1" x="3067"/>
        <item m="1" x="6992"/>
        <item m="1" x="2934"/>
        <item m="1" x="6862"/>
        <item m="1" x="2803"/>
        <item m="1" x="4774"/>
        <item m="1" x="722"/>
        <item m="1" x="4644"/>
        <item m="1" x="595"/>
        <item m="1" x="3530"/>
        <item m="1" x="4520"/>
        <item m="1" x="7452"/>
        <item m="1" x="464"/>
        <item m="1" x="2412"/>
        <item m="1" x="3397"/>
        <item m="1" x="6337"/>
        <item m="1" x="7321"/>
        <item m="1" x="2280"/>
        <item m="1" x="3263"/>
        <item m="1" x="5233"/>
        <item m="1" x="6208"/>
        <item m="1" x="1183"/>
        <item m="1" x="2151"/>
        <item m="1" x="5101"/>
        <item m="1" x="6073"/>
        <item m="1" x="75"/>
        <item m="1" x="1053"/>
        <item m="1" x="3998"/>
        <item m="1" x="4974"/>
        <item m="1" x="7911"/>
        <item m="1" x="920"/>
        <item m="1" x="2869"/>
        <item m="1" x="3866"/>
        <item m="1" x="6797"/>
        <item m="1" x="7783"/>
        <item m="1" x="2737"/>
        <item m="1" x="3730"/>
        <item m="1" x="5685"/>
        <item m="1" x="6666"/>
        <item m="1" x="1636"/>
        <item m="1" x="2609"/>
        <item m="1" x="5555"/>
        <item m="1" x="6531"/>
        <item m="1" x="532"/>
        <item m="1" x="1504"/>
        <item m="1" x="1987"/>
        <item m="1" x="4457"/>
        <item m="1" x="4940"/>
        <item m="1" x="5426"/>
        <item m="1" x="7879"/>
        <item m="1" x="401"/>
        <item m="1" x="888"/>
        <item m="1" x="1371"/>
        <item m="1" x="3333"/>
        <item m="1" x="3833"/>
        <item m="1" x="4324"/>
        <item m="1" x="4810"/>
        <item m="1" x="7261"/>
        <item m="1" x="7752"/>
        <item m="1" x="272"/>
        <item m="1" x="2706"/>
        <item m="1" x="3203"/>
        <item m="1" x="3701"/>
        <item m="1" x="4194"/>
        <item m="1" x="6141"/>
        <item m="1" x="6636"/>
        <item m="1" x="7130"/>
        <item m="1" x="7622"/>
        <item m="1" x="2088"/>
        <item m="1" x="2579"/>
        <item m="1" x="3072"/>
        <item m="1" x="5523"/>
        <item m="1" x="6010"/>
        <item m="1" x="6503"/>
        <item m="1" x="6997"/>
        <item m="1" x="986"/>
        <item m="1" x="1473"/>
        <item m="1" x="1957"/>
        <item m="1" x="2448"/>
        <item m="1" x="4909"/>
        <item m="1" x="5395"/>
        <item m="1" x="5882"/>
        <item m="1" x="6372"/>
        <item m="1" x="368"/>
        <item m="1" x="856"/>
        <item m="1" x="1342"/>
        <item m="1" x="1828"/>
        <item m="1" x="3799"/>
        <item m="1" x="4293"/>
        <item m="1" x="4779"/>
        <item m="1" x="5265"/>
        <item m="1" x="7719"/>
        <item m="1" x="240"/>
        <item m="1" x="727"/>
        <item m="1" x="1214"/>
        <item m="1" x="3170"/>
        <item m="1" x="3667"/>
        <item m="1" x="4163"/>
        <item m="1" x="4649"/>
        <item m="1" x="6604"/>
        <item m="1" x="7096"/>
        <item m="1" x="7588"/>
        <item m="1" x="111"/>
        <item m="1" x="2547"/>
        <item m="1" x="3038"/>
        <item m="1" x="3535"/>
        <item m="1" x="4035"/>
        <item m="1" x="5981"/>
        <item m="1" x="6472"/>
        <item m="1" x="6965"/>
        <item m="1" x="7458"/>
        <item m="1" x="1442"/>
        <item m="1" x="1689"/>
        <item m="1" x="1928"/>
        <item m="1" x="2172"/>
        <item m="1" x="2416"/>
        <item m="1" x="2663"/>
        <item m="1" x="2908"/>
        <item m="1" x="3153"/>
        <item m="1" x="5120"/>
        <item m="1" x="5364"/>
        <item m="1" x="5611"/>
        <item m="1" x="5852"/>
        <item m="1" x="6098"/>
        <item m="1" x="6343"/>
        <item m="1" x="6587"/>
        <item m="1" x="6835"/>
        <item m="1" x="826"/>
        <item m="1" x="1072"/>
        <item m="1" x="1313"/>
        <item m="1" x="1561"/>
        <item m="1" x="1799"/>
        <item m="1" x="2044"/>
        <item m="1" x="2285"/>
        <item m="1" x="4259"/>
        <item m="1" x="4506"/>
        <item m="1" x="4748"/>
        <item m="1" x="4994"/>
        <item m="1" x="5236"/>
        <item m="1" x="5483"/>
        <item m="1" x="5725"/>
        <item m="1" x="5966"/>
        <item m="1" x="7929"/>
        <item m="1" x="206"/>
        <item m="1" x="452"/>
        <item m="1" x="696"/>
        <item m="1" x="944"/>
        <item m="1" x="1189"/>
        <item m="1" x="1429"/>
        <item m="1" x="1676"/>
        <item m="1" x="3631"/>
        <item m="1" x="3884"/>
        <item m="1" x="4130"/>
        <item m="1" x="4378"/>
        <item m="1" x="4619"/>
        <item m="1" x="4866"/>
        <item m="1" x="5107"/>
        <item m="1" x="7060"/>
        <item m="1" x="7307"/>
        <item m="1" x="7554"/>
        <item m="1" x="7802"/>
        <item m="1" x="79"/>
        <item m="1" x="325"/>
        <item m="1" x="570"/>
        <item m="1" x="811"/>
        <item m="1" x="2756"/>
        <item m="1" x="3002"/>
        <item m="1" x="3251"/>
        <item m="1" x="3500"/>
        <item m="1" x="3751"/>
        <item m="1" x="4004"/>
        <item m="1" x="4246"/>
        <item m="1" x="4494"/>
        <item m="1" x="6436"/>
        <item m="1" x="6685"/>
        <item m="1" x="6930"/>
        <item m="1" x="7181"/>
        <item m="1" x="7423"/>
        <item m="1" x="7672"/>
        <item m="1" x="7916"/>
        <item m="1" x="1894"/>
        <item m="1" x="2137"/>
        <item m="1" x="2380"/>
        <item m="1" x="2629"/>
        <item m="1" x="2873"/>
        <item m="1" x="3122"/>
        <item m="1" x="3371"/>
        <item m="1" x="3617"/>
        <item m="1" x="5576"/>
        <item m="1" x="5816"/>
        <item m="1" x="6061"/>
        <item m="1" x="6306"/>
        <item m="1" x="6553"/>
        <item m="1" x="6803"/>
        <item m="1" x="7046"/>
        <item m="1" x="7294"/>
        <item m="1" x="1279"/>
        <item m="1" x="1524"/>
        <item m="1" x="1764"/>
        <item m="1" x="2009"/>
        <item m="1" x="2249"/>
        <item m="1" x="2499"/>
        <item m="1" x="2742"/>
        <item m="1" x="4715"/>
        <item m="1" x="4959"/>
        <item m="1" x="5200"/>
        <item m="1" x="5447"/>
        <item m="1" x="5689"/>
        <item m="1" x="5932"/>
        <item m="1" x="6179"/>
        <item m="1" x="6421"/>
        <item m="1" x="421"/>
        <item m="1" x="663"/>
        <item m="1" x="908"/>
        <item m="1" x="1153"/>
        <item m="1" x="1394"/>
        <item m="1" x="1642"/>
        <item m="1" x="1877"/>
        <item m="1" x="2122"/>
        <item m="1" x="4100"/>
        <item m="1" x="4343"/>
        <item m="1" x="4586"/>
        <item m="1" x="4832"/>
        <item m="1" x="5070"/>
        <item m="1" x="5317"/>
        <item m="1" x="5560"/>
        <item m="1" x="7523"/>
        <item m="1" x="7768"/>
        <item m="1" x="46"/>
        <item m="1" x="291"/>
        <item m="1" x="536"/>
        <item m="1" x="778"/>
        <item m="1" x="1022"/>
        <item m="1" x="1264"/>
        <item m="1" x="3220"/>
        <item m="1" x="3467"/>
        <item m="1" x="3718"/>
        <item m="1" x="3970"/>
        <item m="1" x="4213"/>
        <item m="1" x="4462"/>
        <item m="1" x="4698"/>
        <item m="1" x="4944"/>
        <item m="1" x="6899"/>
        <item m="1" x="7147"/>
        <item m="1" x="7391"/>
        <item m="1" x="7516"/>
        <item m="1" x="7641"/>
        <item m="1" x="7762"/>
        <item m="1" x="7883"/>
        <item m="1" x="39"/>
        <item m="1" x="162"/>
        <item m="1" x="284"/>
        <item m="1" x="405"/>
        <item m="1" x="528"/>
        <item m="1" x="2347"/>
        <item m="1" x="2474"/>
        <item m="1" x="2594"/>
        <item m="1" x="2715"/>
        <item m="1" x="2841"/>
        <item m="1" x="2964"/>
        <item m="1" x="3090"/>
        <item m="1" x="3213"/>
        <item m="1" x="3337"/>
        <item m="1" x="3461"/>
        <item m="1" x="3586"/>
        <item m="1" x="3711"/>
        <item m="1" x="3837"/>
        <item m="1" x="3962"/>
        <item m="1" x="4086"/>
        <item m="1" x="5906"/>
        <item m="1" x="6028"/>
        <item m="1" x="6151"/>
        <item m="1" x="6272"/>
        <item m="1" x="6396"/>
        <item m="1" x="6519"/>
        <item m="1" x="6645"/>
        <item m="1" x="6770"/>
        <item m="1" x="6892"/>
        <item m="1" x="7014"/>
        <item m="1" x="7141"/>
        <item m="1" x="7264"/>
        <item m="1" x="7384"/>
        <item m="1" x="7507"/>
        <item m="1" x="7633"/>
        <item m="1" x="7755"/>
        <item m="1" x="1615"/>
        <item m="1" x="1733"/>
        <item m="1" x="1850"/>
        <item m="1" x="1974"/>
        <item m="1" x="2098"/>
        <item m="1" x="2217"/>
        <item m="1" x="2340"/>
        <item m="1" x="2467"/>
        <item m="1" x="2588"/>
        <item m="1" x="2709"/>
        <item m="1" x="2835"/>
        <item m="1" x="2958"/>
        <item m="1" x="3084"/>
        <item m="1" x="3206"/>
        <item m="1" x="3330"/>
        <item m="1" x="5167"/>
        <item m="1" x="5292"/>
        <item m="1" x="5410"/>
        <item m="1" x="5533"/>
        <item m="1" x="5655"/>
        <item m="1" x="5776"/>
        <item m="1" x="5899"/>
        <item m="1" x="6021"/>
        <item m="1" x="6144"/>
        <item m="1" x="6266"/>
        <item m="1" x="6390"/>
        <item m="1" x="6513"/>
        <item m="1" x="6639"/>
        <item m="1" x="6763"/>
        <item m="1" x="6887"/>
        <item m="1" x="752"/>
        <item m="1" x="874"/>
        <item m="1" x="996"/>
        <item m="1" x="1117"/>
        <item m="1" x="1239"/>
        <item m="1" x="1358"/>
        <item m="1" x="1482"/>
        <item m="1" x="1608"/>
        <item m="1" x="1726"/>
        <item m="1" x="1844"/>
        <item m="1" x="1968"/>
        <item m="1" x="2091"/>
        <item m="1" x="2211"/>
        <item m="1" x="2333"/>
        <item m="1" x="2459"/>
        <item m="1" x="2583"/>
        <item m="1" x="4436"/>
        <item m="1" x="4555"/>
        <item m="1" x="4673"/>
        <item m="1" x="4797"/>
        <item m="1" x="4919"/>
        <item m="1" x="5038"/>
        <item m="1" x="5159"/>
        <item m="1" x="5284"/>
        <item m="1" x="5404"/>
        <item m="1" x="5526"/>
        <item m="1" x="5649"/>
        <item m="1" x="5770"/>
        <item m="1" x="5893"/>
        <item m="1" x="6014"/>
        <item m="1" x="6138"/>
        <item m="1" x="7982"/>
        <item m="1" x="138"/>
        <item m="1" x="257"/>
        <item m="1" x="379"/>
        <item m="1" x="502"/>
        <item m="1" x="624"/>
        <item m="1" x="745"/>
        <item m="1" x="867"/>
        <item m="1" x="989"/>
        <item m="1" x="1111"/>
        <item m="1" x="1232"/>
        <item m="1" x="1352"/>
        <item m="1" x="1476"/>
        <item m="1" x="1601"/>
        <item m="1" x="1721"/>
        <item m="1" x="3686"/>
        <item m="1" x="3810"/>
        <item m="1" x="3937"/>
        <item m="1" x="4062"/>
        <item m="1" x="4181"/>
        <item m="1" x="4304"/>
        <item m="1" x="4429"/>
        <item m="1" x="4548"/>
        <item m="1" x="4667"/>
        <item m="1" x="4791"/>
        <item m="1" x="4912"/>
        <item m="1" x="5032"/>
        <item m="1" x="5152"/>
        <item m="1" x="5276"/>
        <item m="1" x="5399"/>
        <item m="1" x="7241"/>
        <item m="1" x="7362"/>
        <item m="1" x="7484"/>
        <item m="1" x="7609"/>
        <item m="1" x="7732"/>
        <item m="1" x="7853"/>
        <item m="1" x="7975"/>
        <item m="1" x="132"/>
        <item m="1" x="251"/>
        <item m="1" x="372"/>
        <item m="1" x="496"/>
        <item m="1" x="618"/>
        <item m="1" x="739"/>
        <item m="1" x="860"/>
        <item m="1" x="983"/>
        <item m="1" x="2812"/>
        <item m="1" x="2935"/>
        <item m="1" x="3057"/>
        <item m="1" x="3181"/>
        <item m="1" x="3305"/>
        <item m="1" x="3430"/>
        <item m="1" x="3555"/>
        <item m="1" x="3679"/>
        <item m="1" x="3803"/>
        <item m="1" x="3930"/>
        <item m="1" x="4055"/>
        <item m="1" x="4174"/>
        <item m="1" x="4297"/>
        <item m="1" x="4421"/>
        <item m="1" x="4542"/>
        <item m="1" x="6491"/>
        <item m="1" x="6614"/>
        <item m="1" x="6739"/>
        <item m="1" x="6863"/>
        <item m="1" x="6983"/>
        <item m="1" x="7108"/>
        <item m="1" x="7233"/>
        <item m="1" x="7354"/>
        <item m="1" x="7476"/>
        <item m="1" x="7601"/>
        <item m="1" x="7723"/>
        <item m="1" x="7845"/>
        <item m="1" x="7967"/>
        <item m="1" x="122"/>
        <item m="1" x="244"/>
        <item m="1" x="2070"/>
        <item m="1" x="2190"/>
        <item m="1" x="2311"/>
        <item m="1" x="2436"/>
        <item m="1" x="2560"/>
        <item m="1" x="2681"/>
        <item m="1" x="2804"/>
        <item m="1" x="2927"/>
        <item m="1" x="3050"/>
        <item m="1" x="3173"/>
        <item m="1" x="3298"/>
        <item m="1" x="3423"/>
        <item m="1" x="3548"/>
        <item m="1" x="3671"/>
        <item m="1" x="3795"/>
        <item m="1" x="5628"/>
        <item m="1" x="5749"/>
        <item m="1" x="5870"/>
        <item m="1" x="5992"/>
        <item m="1" x="6116"/>
        <item m="1" x="6239"/>
        <item m="1" x="6362"/>
        <item m="1" x="6485"/>
        <item m="1" x="6608"/>
        <item m="1" x="6733"/>
        <item m="1" x="6856"/>
        <item m="1" x="6977"/>
        <item m="1" x="7102"/>
        <item m="1" x="7226"/>
        <item m="1" x="7348"/>
        <item m="1" x="1331"/>
        <item m="1" x="1452"/>
        <item m="1" x="1578"/>
        <item m="1" x="1700"/>
        <item m="1" x="1816"/>
        <item m="1" x="1939"/>
        <item m="1" x="2063"/>
        <item m="1" x="2183"/>
        <item m="1" x="2304"/>
        <item m="1" x="2429"/>
        <item m="1" x="2552"/>
        <item m="1" x="2674"/>
        <item m="1" x="2796"/>
        <item m="1" x="2919"/>
        <item m="1" x="3043"/>
        <item m="1" x="4891"/>
        <item m="1" x="5011"/>
        <item m="1" x="5131"/>
        <item m="1" x="5254"/>
        <item m="1" x="5376"/>
        <item m="1" x="5499"/>
        <item m="1" x="5621"/>
        <item m="1" x="5741"/>
        <item m="1" x="5862"/>
        <item m="1" x="5984"/>
        <item m="1" x="6108"/>
        <item m="1" x="6231"/>
        <item m="1" x="6354"/>
        <item m="1" x="6476"/>
        <item m="1" x="6599"/>
        <item m="1" x="474"/>
        <item m="1" x="596"/>
        <item m="1" x="714"/>
        <item m="1" x="838"/>
        <item m="1" x="960"/>
        <item m="1" x="1083"/>
        <item m="1" x="1204"/>
        <item m="1" x="1324"/>
        <item m="1" x="1445"/>
        <item m="1" x="1571"/>
        <item m="1" x="1693"/>
        <item m="1" x="1809"/>
        <item m="1" x="1932"/>
        <item m="1" x="2055"/>
        <item m="1" x="2176"/>
        <item m="1" x="2296"/>
        <item m="1" x="4151"/>
        <item m="1" x="4273"/>
        <item m="1" x="4398"/>
        <item m="1" x="4521"/>
        <item m="1" x="4636"/>
        <item m="1" x="4760"/>
        <item m="1" x="4884"/>
        <item m="1" x="5004"/>
        <item m="1" x="5124"/>
        <item m="1" x="5247"/>
        <item m="1" x="5369"/>
        <item m="1" x="5493"/>
        <item m="1" x="5615"/>
        <item m="1" x="5734"/>
        <item m="1" x="5856"/>
        <item m="1" x="3651"/>
        <item m="1" x="7700"/>
        <item m="1" x="3774"/>
        <item m="1" x="7822"/>
        <item m="1" x="3902"/>
        <item m="1" x="7944"/>
        <item m="1" x="4027"/>
        <item m="1" x="99"/>
        <item m="1" x="4146"/>
        <item m="1" x="220"/>
        <item m="1" x="4268"/>
        <item m="1" x="342"/>
        <item m="1" x="4393"/>
        <item m="1" x="465"/>
        <item m="1" x="4515"/>
        <item m="1" x="586"/>
        <item m="1" x="4631"/>
        <item m="1" x="706"/>
        <item m="1" x="4755"/>
        <item m="1" x="830"/>
        <item m="1" x="4880"/>
        <item m="1" x="953"/>
        <item m="1" x="5001"/>
        <item m="1" x="1077"/>
        <item m="1" x="5121"/>
        <item m="1" x="1198"/>
        <item m="1" x="5243"/>
        <item m="1" x="1317"/>
        <item m="1" x="5365"/>
        <item m="1" x="1438"/>
        <item m="1" x="5489"/>
        <item m="1" x="3275"/>
        <item m="1" x="7327"/>
        <item m="1" x="3398"/>
        <item m="1" x="7446"/>
        <item m="1" x="3520"/>
        <item m="1" x="7571"/>
        <item m="1" x="3645"/>
        <item m="1" x="7695"/>
        <item m="1" x="3769"/>
        <item m="1" x="7817"/>
        <item m="1" x="3897"/>
        <item m="1" x="7939"/>
        <item m="1" x="4022"/>
        <item m="1" x="94"/>
        <item m="1" x="4141"/>
        <item m="1" x="214"/>
        <item m="1" x="4263"/>
        <item m="1" x="337"/>
        <item m="1" x="4388"/>
        <item m="1" x="459"/>
        <item m="1" x="4511"/>
        <item m="1" x="582"/>
        <item m="1" x="4628"/>
        <item m="1" x="703"/>
        <item m="1" x="4752"/>
        <item m="1" x="827"/>
        <item m="1" x="4876"/>
        <item m="1" x="949"/>
        <item m="1" x="4997"/>
        <item m="1" x="1073"/>
        <item m="1" x="5116"/>
        <item m="1" x="2898"/>
        <item m="1" x="6951"/>
        <item m="1" x="3021"/>
        <item m="1" x="7074"/>
        <item m="1" x="3144"/>
        <item m="1" x="7201"/>
        <item m="1" x="3269"/>
        <item m="1" x="7322"/>
        <item m="1" x="3392"/>
        <item m="1" x="7441"/>
        <item m="1" x="3515"/>
        <item m="1" x="7566"/>
        <item m="1" x="3640"/>
        <item m="1" x="7690"/>
        <item m="1" x="3764"/>
        <item m="1" x="7812"/>
        <item m="1" x="3892"/>
        <item m="1" x="7934"/>
        <item m="1" x="4017"/>
        <item m="1" x="90"/>
        <item m="1" x="4137"/>
        <item m="1" x="211"/>
        <item m="1" x="4260"/>
        <item m="1" x="334"/>
        <item m="1" x="4385"/>
        <item m="1" x="456"/>
        <item m="1" x="4507"/>
        <item m="1" x="578"/>
        <item m="1" x="4624"/>
        <item m="1" x="699"/>
        <item m="1" x="6457"/>
        <item m="1" x="2529"/>
        <item m="1" x="6578"/>
        <item m="1" x="2649"/>
        <item m="1" x="6703"/>
        <item m="1" x="2771"/>
        <item m="1" x="6826"/>
        <item m="1" x="2893"/>
        <item m="1" x="6946"/>
        <item m="1" x="3016"/>
        <item m="1" x="7069"/>
        <item m="1" x="3139"/>
        <item m="1" x="7196"/>
        <item m="1" x="3264"/>
        <item m="1" x="7316"/>
        <item m="1" x="3387"/>
        <item m="1" x="7436"/>
        <item m="1" x="3510"/>
        <item m="1" x="7561"/>
        <item m="1" x="3635"/>
        <item m="1" x="7686"/>
        <item m="1" x="3760"/>
        <item m="1" x="7809"/>
        <item m="1" x="3889"/>
        <item m="1" x="7930"/>
        <item m="1" x="4014"/>
        <item m="1" x="86"/>
        <item m="1" x="4133"/>
        <item m="1" x="207"/>
        <item m="1" x="4255"/>
        <item m="1" x="330"/>
        <item m="1" x="6087"/>
        <item m="1" x="2158"/>
        <item m="1" x="6209"/>
        <item m="1" x="2275"/>
        <item m="1" x="6328"/>
        <item m="1" x="2399"/>
        <item m="1" x="6451"/>
        <item m="1" x="2524"/>
        <item m="1" x="6573"/>
        <item m="1" x="2644"/>
        <item m="1" x="6698"/>
        <item m="1" x="2766"/>
        <item m="1" x="6821"/>
        <item m="1" x="2888"/>
        <item m="1" x="6941"/>
        <item m="1" x="3010"/>
        <item m="1" x="7064"/>
        <item m="1" x="3134"/>
        <item m="1" x="7191"/>
        <item m="1" x="3258"/>
        <item m="1" x="7312"/>
        <item m="1" x="3383"/>
        <item m="1" x="7433"/>
        <item m="1" x="3507"/>
        <item m="1" x="7558"/>
        <item m="1" x="3632"/>
        <item m="1" x="7682"/>
        <item m="1" x="3756"/>
        <item m="1" x="7805"/>
        <item m="1" x="3885"/>
        <item m="1" x="7925"/>
        <item m="1" x="5716"/>
        <item m="1" x="1787"/>
        <item m="1" x="5836"/>
        <item m="1" x="1908"/>
        <item m="1" x="5957"/>
        <item m="1" x="2031"/>
        <item m="1" x="6080"/>
        <item m="1" x="2152"/>
        <item m="1" x="6202"/>
        <item m="1" x="2269"/>
        <item m="1" x="6322"/>
        <item m="1" x="2393"/>
        <item m="1" x="6445"/>
        <item m="1" x="2518"/>
        <item m="1" x="6567"/>
        <item m="1" x="2639"/>
        <item m="1" x="6693"/>
        <item m="1" x="2761"/>
        <item m="1" x="6816"/>
        <item m="1" x="2884"/>
        <item m="1" x="6937"/>
        <item m="1" x="3007"/>
        <item m="1" x="7061"/>
        <item m="1" x="3131"/>
        <item m="1" x="7188"/>
        <item m="1" x="3255"/>
        <item m="1" x="7308"/>
        <item m="1" x="3379"/>
        <item m="1" x="7429"/>
        <item m="1" x="3503"/>
        <item m="1" x="1299"/>
        <item m="1" x="5347"/>
        <item m="1" x="1419"/>
        <item m="1" x="5469"/>
        <item m="1" x="1543"/>
        <item m="1" x="5591"/>
        <item m="1" x="1666"/>
        <item m="1" x="5710"/>
        <item m="1" x="1781"/>
        <item m="1" x="5830"/>
        <item m="1" x="1902"/>
        <item m="1" x="5951"/>
        <item m="1" x="2025"/>
        <item m="1" x="6074"/>
        <item m="1" x="2145"/>
        <item m="1" x="6196"/>
        <item m="1" x="2264"/>
        <item m="1" x="6317"/>
        <item m="1" x="2388"/>
        <item m="1" x="6440"/>
        <item m="1" x="2514"/>
        <item m="1" x="6563"/>
        <item m="1" x="2636"/>
        <item m="1" x="6690"/>
        <item m="1" x="2757"/>
        <item m="1" x="6813"/>
        <item m="1" x="2880"/>
        <item m="1" x="6933"/>
        <item m="1" x="3003"/>
        <item m="1" x="7056"/>
        <item m="1" x="3127"/>
        <item m="1" x="932"/>
        <item m="1" x="4980"/>
        <item m="1" x="1054"/>
        <item m="1" x="5096"/>
        <item m="1" x="1174"/>
        <item m="1" x="5219"/>
        <item m="1" x="1294"/>
        <item m="1" x="5342"/>
        <item m="1" x="1414"/>
        <item m="1" x="5464"/>
        <item m="1" x="1538"/>
        <item m="1" x="5586"/>
        <item m="1" x="1661"/>
        <item m="1" x="5705"/>
        <item m="1" x="1776"/>
        <item m="1" x="5825"/>
        <item m="1" x="1898"/>
        <item m="1" x="5947"/>
        <item m="1" x="2021"/>
        <item m="1" x="6069"/>
        <item m="1" x="2142"/>
        <item m="1" x="6193"/>
        <item m="1" x="2261"/>
        <item m="1" x="6314"/>
        <item m="1" x="2384"/>
        <item m="1" x="6437"/>
        <item m="1" x="2510"/>
        <item m="1" x="6559"/>
        <item m="1" x="2632"/>
        <item m="1" x="6686"/>
        <item m="1" x="2752"/>
        <item m="1" x="562"/>
        <item m="1" x="4608"/>
        <item m="1" x="681"/>
        <item m="1" x="4729"/>
        <item m="1" x="803"/>
        <item m="1" x="4853"/>
        <item m="1" x="927"/>
        <item m="1" x="4975"/>
        <item m="1" x="1047"/>
        <item m="1" x="5091"/>
        <item m="1" x="1169"/>
        <item m="1" x="5214"/>
        <item m="1" x="1289"/>
        <item m="1" x="5337"/>
        <item m="1" x="1409"/>
        <item m="1" x="5459"/>
        <item m="1" x="1534"/>
        <item m="1" x="5582"/>
        <item m="1" x="1657"/>
        <item m="1" x="5702"/>
        <item m="1" x="1773"/>
        <item m="1" x="5822"/>
        <item m="1" x="1895"/>
        <item m="1" x="5944"/>
        <item m="1" x="2018"/>
        <item m="1" x="6066"/>
        <item m="1" x="2138"/>
        <item m="1" x="6189"/>
        <item m="1" x="2257"/>
        <item m="1" x="6310"/>
        <item m="1" x="191"/>
        <item m="1" x="4238"/>
        <item m="1" x="312"/>
        <item m="1" x="4361"/>
        <item m="1" x="434"/>
        <item m="1" x="4486"/>
        <item m="1" x="557"/>
        <item m="1" x="4603"/>
        <item m="1" x="676"/>
        <item m="1" x="4724"/>
        <item m="1" x="798"/>
        <item m="1" x="4848"/>
        <item m="1" x="921"/>
        <item m="1" x="4968"/>
        <item m="1" x="1041"/>
        <item m="1" x="5086"/>
        <item m="1" x="1164"/>
        <item m="1" x="5209"/>
        <item m="1" x="1284"/>
        <item m="1" x="5333"/>
        <item m="1" x="1405"/>
        <item m="1" x="5455"/>
        <item m="1" x="1530"/>
        <item m="1" x="5577"/>
        <item m="1" x="1653"/>
        <item m="1" x="5697"/>
        <item m="1" x="1768"/>
        <item m="1" x="5817"/>
        <item m="1" x="1889"/>
        <item m="1" x="5939"/>
        <item m="1" x="3740"/>
        <item m="1" x="7789"/>
        <item m="1" x="3867"/>
        <item m="1" x="7906"/>
        <item m="1" x="3990"/>
        <item m="1" x="63"/>
        <item m="1" x="4113"/>
        <item m="1" x="186"/>
        <item m="1" x="4233"/>
        <item m="1" x="307"/>
        <item m="1" x="4356"/>
        <item m="1" x="429"/>
        <item m="1" x="4481"/>
        <item m="1" x="551"/>
        <item m="1" x="4597"/>
        <item m="1" x="671"/>
        <item m="1" x="4719"/>
        <item m="1" x="793"/>
        <item m="1" x="4843"/>
        <item m="1" x="915"/>
        <item m="1" x="4964"/>
        <item m="1" x="1037"/>
        <item m="1" x="5082"/>
        <item m="1" x="1160"/>
        <item m="1" x="5204"/>
        <item m="1" x="1280"/>
        <item m="1" x="5328"/>
        <item m="1" x="1400"/>
        <item m="1" x="5450"/>
        <item m="1" x="1525"/>
        <item m="1" x="5571"/>
        <item m="1" x="3363"/>
        <item m="1" x="7412"/>
        <item m="1" x="3485"/>
        <item m="1" x="7536"/>
        <item m="1" x="3609"/>
        <item m="1" x="7660"/>
        <item m="1" x="3735"/>
        <item m="1" x="7784"/>
        <item m="1" x="3860"/>
        <item m="1" x="7902"/>
        <item m="1" x="3986"/>
        <item m="1" x="59"/>
        <item m="1" x="4109"/>
        <item m="1" x="181"/>
        <item m="1" x="4228"/>
        <item m="1" x="303"/>
        <item m="1" x="4352"/>
        <item m="1" x="425"/>
        <item m="1" x="4477"/>
        <item m="1" x="548"/>
        <item m="1" x="4594"/>
        <item m="1" x="668"/>
        <item m="1" x="4716"/>
        <item m="1" x="790"/>
        <item m="1" x="4840"/>
        <item m="1" x="912"/>
        <item m="1" x="4960"/>
        <item m="1" x="1033"/>
        <item m="1" x="5078"/>
        <item m="1" x="1156"/>
        <item m="1" x="2987"/>
        <item m="1" x="7038"/>
        <item m="1" x="3109"/>
        <item m="1" x="7164"/>
        <item m="1" x="3233"/>
        <item m="1" x="7286"/>
        <item m="1" x="3358"/>
        <item m="1" x="7407"/>
        <item m="1" x="3480"/>
        <item m="1" x="7532"/>
        <item m="1" x="3605"/>
        <item m="1" x="7656"/>
        <item m="1" x="3731"/>
        <item m="1" x="7778"/>
        <item m="1" x="3855"/>
        <item m="1" x="7898"/>
        <item m="1" x="3982"/>
        <item m="1" x="55"/>
        <item m="1" x="4105"/>
        <item m="1" x="178"/>
        <item m="1" x="4225"/>
        <item m="1" x="300"/>
        <item m="1" x="4349"/>
        <item m="1" x="422"/>
        <item m="1" x="4474"/>
        <item m="1" x="545"/>
        <item m="1" x="4590"/>
        <item m="1" x="664"/>
        <item m="1" x="4711"/>
        <item m="1" x="786"/>
        <item m="1" x="6541"/>
        <item m="1" x="2615"/>
        <item m="1" x="6667"/>
        <item m="1" x="2732"/>
        <item m="1" x="6789"/>
        <item m="1" x="2857"/>
        <item m="1" x="6912"/>
        <item m="1" x="2982"/>
        <item m="1" x="7033"/>
        <item m="1" x="3105"/>
        <item m="1" x="7160"/>
        <item m="1" x="3229"/>
        <item m="1" x="7282"/>
        <item m="1" x="3353"/>
        <item m="1" x="7402"/>
        <item m="1" x="3476"/>
        <item m="1" x="7528"/>
        <item m="1" x="3601"/>
        <item m="1" x="7652"/>
        <item m="1" x="3726"/>
        <item m="1" x="7774"/>
        <item m="1" x="3851"/>
        <item m="1" x="7894"/>
        <item m="1" x="3978"/>
        <item m="1" x="51"/>
        <item m="1" x="4101"/>
        <item m="1" x="173"/>
        <item m="1" x="4220"/>
        <item m="1" x="295"/>
        <item m="1" x="4344"/>
        <item m="1" x="416"/>
        <item m="1" x="6171"/>
        <item m="1" x="2238"/>
        <item m="1" x="6290"/>
        <item m="1" x="2360"/>
        <item m="1" x="6413"/>
        <item m="1" x="2487"/>
        <item m="1" x="6536"/>
        <item m="1" x="2610"/>
        <item m="1" x="6661"/>
        <item m="1" x="2728"/>
        <item m="1" x="6785"/>
        <item m="1" x="2853"/>
        <item m="1" x="6908"/>
        <item m="1" x="2977"/>
        <item m="1" x="7028"/>
        <item m="1" x="3101"/>
        <item m="1" x="7156"/>
        <item m="1" x="3225"/>
        <item m="1" x="7278"/>
        <item m="1" x="3348"/>
        <item m="1" x="7398"/>
        <item m="1" x="3472"/>
        <item m="1" x="7524"/>
        <item m="1" x="3597"/>
        <item m="1" x="7648"/>
        <item m="1" x="3722"/>
        <item m="1" x="7769"/>
        <item m="1" x="3846"/>
        <item m="1" x="7889"/>
        <item m="1" x="3973"/>
        <item m="1" x="5799"/>
        <item m="1" x="1869"/>
        <item m="1" x="5919"/>
        <item m="1" x="1992"/>
        <item m="1" x="6042"/>
        <item m="1" x="2114"/>
        <item m="1" x="6166"/>
        <item m="1" x="2233"/>
        <item m="1" x="6285"/>
        <item m="1" x="2356"/>
        <item m="1" x="6409"/>
        <item m="1" x="2483"/>
        <item m="1" x="6532"/>
        <item m="1" x="2604"/>
        <item m="1" x="6656"/>
        <item m="1" x="2724"/>
        <item m="1" x="6781"/>
        <item m="1" x="2849"/>
        <item m="1" x="6904"/>
        <item m="1" x="2973"/>
        <item m="1" x="7024"/>
        <item m="1" x="3097"/>
        <item m="1" x="7152"/>
        <item m="1" x="3221"/>
        <item m="1" x="7274"/>
        <item m="1" x="3344"/>
        <item m="1" x="7394"/>
        <item m="1" x="3468"/>
        <item m="1" x="7519"/>
        <item m="1" x="3593"/>
        <item m="1" x="1381"/>
        <item m="1" x="5432"/>
        <item m="1" x="1505"/>
        <item m="1" x="5550"/>
        <item m="1" x="1628"/>
        <item m="1" x="5673"/>
        <item m="1" x="1746"/>
        <item m="1" x="5794"/>
        <item m="1" x="1864"/>
        <item m="1" x="5915"/>
        <item m="1" x="1988"/>
        <item m="1" x="6038"/>
        <item m="1" x="2110"/>
        <item m="1" x="6161"/>
        <item m="1" x="2228"/>
        <item m="1" x="6281"/>
        <item m="1" x="2352"/>
        <item m="1" x="6405"/>
        <item m="1" x="2479"/>
        <item m="1" x="6527"/>
        <item m="1" x="2600"/>
        <item m="1" x="6652"/>
        <item m="1" x="2720"/>
        <item m="1" x="6777"/>
        <item m="1" x="2845"/>
        <item m="1" x="6900"/>
        <item m="1" x="2968"/>
        <item m="1" x="7020"/>
        <item m="1" x="3093"/>
        <item m="1" x="7148"/>
        <item m="1" x="3216"/>
        <item m="1" x="1015"/>
        <item m="1" x="5059"/>
        <item m="1" x="1136"/>
        <item m="1" x="5180"/>
        <item m="1" x="1256"/>
        <item m="1" x="5305"/>
        <item m="1" x="7332"/>
        <item m="1" x="1376"/>
        <item m="1" x="3404"/>
        <item m="1" x="5427"/>
        <item m="1" x="7453"/>
        <item m="1" x="1499"/>
        <item m="1" x="3525"/>
        <item m="1" x="5546"/>
        <item m="1" x="7576"/>
        <item m="1" x="1624"/>
        <item m="1" x="3652"/>
        <item m="1" x="5669"/>
        <item m="1" x="7701"/>
        <item m="1" x="1742"/>
        <item m="1" x="3775"/>
        <item m="1" x="5789"/>
        <item m="1" x="7823"/>
        <item m="1" x="1859"/>
        <item m="1" x="3903"/>
        <item m="1" x="5911"/>
        <item m="1" x="7945"/>
        <item m="1" x="1983"/>
        <item m="1" x="4028"/>
        <item m="1" x="6033"/>
        <item m="1" x="100"/>
        <item m="1" x="2106"/>
        <item m="1" x="4147"/>
        <item m="1" x="6156"/>
        <item m="1" x="221"/>
        <item m="1" x="2224"/>
        <item m="1" x="4269"/>
        <item m="1" x="6277"/>
        <item m="1" x="343"/>
        <item m="1" x="2348"/>
        <item m="1" x="4394"/>
        <item m="1" x="6401"/>
        <item m="1" x="466"/>
        <item m="1" x="2475"/>
        <item m="1" x="4516"/>
        <item m="1" x="6523"/>
        <item m="1" x="587"/>
        <item m="1" x="2595"/>
        <item m="1" x="4632"/>
        <item m="1" x="6648"/>
        <item m="1" x="707"/>
        <item m="1" x="2716"/>
        <item m="1" x="4756"/>
        <item m="1" x="6773"/>
        <item m="1" x="831"/>
        <item m="1" x="6588"/>
        <item m="1" x="646"/>
        <item m="1" x="2659"/>
        <item m="1" x="4691"/>
        <item m="1" x="6714"/>
        <item m="1" x="766"/>
        <item m="1" x="2780"/>
        <item m="1" x="4815"/>
        <item m="1" x="6836"/>
        <item m="1" x="889"/>
        <item m="1" x="2903"/>
        <item m="1" x="4935"/>
        <item m="1" x="6956"/>
        <item m="1" x="1010"/>
        <item m="1" x="3027"/>
        <item m="1" x="5054"/>
        <item m="1" x="7080"/>
        <item m="1" x="1131"/>
        <item m="1" x="3149"/>
        <item m="1" x="5176"/>
        <item m="1" x="7206"/>
        <item m="1" x="1252"/>
        <item m="1" x="3276"/>
        <item m="1" x="5301"/>
        <item m="1" x="7328"/>
        <item m="1" x="1372"/>
        <item m="1" x="3399"/>
        <item m="1" x="5421"/>
        <item m="1" x="7447"/>
        <item m="1" x="1493"/>
        <item m="1" x="3521"/>
        <item m="1" x="5542"/>
        <item m="1" x="7572"/>
        <item m="1" x="1620"/>
        <item m="1" x="3646"/>
        <item m="1" x="5664"/>
        <item m="1" x="7696"/>
        <item m="1" x="1738"/>
        <item m="1" x="3770"/>
        <item m="1" x="5785"/>
        <item m="1" x="7818"/>
        <item m="1" x="1855"/>
        <item m="1" x="3898"/>
        <item m="1" x="5907"/>
        <item m="1" x="7940"/>
        <item m="1" x="1979"/>
        <item m="1" x="4023"/>
        <item m="1" x="6029"/>
        <item m="1" x="95"/>
        <item m="1" x="2102"/>
        <item m="1" x="4142"/>
        <item m="1" x="6152"/>
        <item m="1" x="215"/>
        <item m="1" x="2220"/>
        <item m="1" x="4264"/>
        <item m="1" x="6273"/>
        <item m="1" x="338"/>
        <item m="1" x="2343"/>
        <item m="1" x="4389"/>
        <item m="1" x="6397"/>
        <item m="1" x="460"/>
        <item m="1" x="4202"/>
        <item m="1" x="6218"/>
        <item m="1" x="277"/>
        <item m="1" x="2286"/>
        <item m="1" x="4325"/>
        <item m="1" x="6338"/>
        <item m="1" x="396"/>
        <item m="1" x="2407"/>
        <item m="1" x="4449"/>
        <item m="1" x="6461"/>
        <item m="1" x="520"/>
        <item m="1" x="2533"/>
        <item m="1" x="4568"/>
        <item m="1" x="6582"/>
        <item m="1" x="641"/>
        <item m="1" x="2654"/>
        <item m="1" x="4686"/>
        <item m="1" x="6708"/>
        <item m="1" x="761"/>
        <item m="1" x="2776"/>
        <item m="1" x="4811"/>
        <item m="1" x="6831"/>
        <item m="1" x="884"/>
        <item m="1" x="2899"/>
        <item m="1" x="4931"/>
        <item m="1" x="6952"/>
        <item m="1" x="1005"/>
        <item m="1" x="3022"/>
        <item m="1" x="5049"/>
        <item m="1" x="7075"/>
        <item m="1" x="1126"/>
        <item m="1" x="3145"/>
        <item m="1" x="5172"/>
        <item m="1" x="7202"/>
        <item m="1" x="1248"/>
        <item m="1" x="3270"/>
        <item m="1" x="5297"/>
        <item m="1" x="7323"/>
        <item m="1" x="1367"/>
        <item m="1" x="3393"/>
        <item m="1" x="5416"/>
        <item m="1" x="7442"/>
        <item m="1" x="1489"/>
        <item m="1" x="3516"/>
        <item m="1" x="5538"/>
        <item m="1" x="7567"/>
        <item m="1" x="1616"/>
        <item m="1" x="3641"/>
        <item m="1" x="5660"/>
        <item m="1" x="7691"/>
        <item m="1" x="1734"/>
        <item m="1" x="3765"/>
        <item m="1" x="5780"/>
        <item m="1" x="7813"/>
        <item m="1" x="1851"/>
        <item m="1" x="3893"/>
        <item m="1" x="5902"/>
        <item m="1" x="7935"/>
        <item m="1" x="1975"/>
        <item m="1" x="4018"/>
        <item m="1" x="6024"/>
        <item m="1" x="3829"/>
        <item m="1" x="5846"/>
        <item m="1" x="7873"/>
        <item m="1" x="1918"/>
        <item m="1" x="3955"/>
        <item m="1" x="5967"/>
        <item m="1" x="7996"/>
        <item m="1" x="2040"/>
        <item m="1" x="4079"/>
        <item m="1" x="6091"/>
        <item m="1" x="152"/>
        <item m="1" x="2162"/>
        <item m="1" x="4198"/>
        <item m="1" x="6214"/>
        <item m="1" x="273"/>
        <item m="1" x="2281"/>
        <item m="1" x="4320"/>
        <item m="1" x="6333"/>
        <item m="1" x="393"/>
        <item m="1" x="2404"/>
        <item m="1" x="4446"/>
        <item m="1" x="6458"/>
        <item m="1" x="517"/>
        <item m="1" x="2530"/>
        <item m="1" x="4565"/>
        <item m="1" x="6579"/>
        <item m="1" x="637"/>
        <item m="1" x="2650"/>
        <item m="1" x="4682"/>
        <item m="1" x="6704"/>
        <item m="1" x="757"/>
        <item m="1" x="2772"/>
        <item m="1" x="4806"/>
        <item m="1" x="6827"/>
        <item m="1" x="879"/>
        <item m="1" x="2894"/>
        <item m="1" x="4927"/>
        <item m="1" x="6947"/>
        <item m="1" x="1001"/>
        <item m="1" x="3017"/>
        <item m="1" x="5045"/>
        <item m="1" x="7070"/>
        <item m="1" x="1122"/>
        <item m="1" x="3140"/>
        <item m="1" x="5168"/>
        <item m="1" x="7197"/>
        <item m="1" x="1244"/>
        <item m="1" x="3265"/>
        <item m="1" x="5293"/>
        <item m="1" x="7317"/>
        <item m="1" x="1362"/>
        <item m="1" x="3388"/>
        <item m="1" x="5411"/>
        <item m="1" x="7437"/>
        <item m="1" x="1485"/>
        <item m="1" x="3511"/>
        <item m="1" x="5534"/>
        <item m="1" x="7562"/>
        <item m="1" x="1611"/>
        <item m="1" x="3636"/>
        <item m="1" x="5656"/>
        <item m="1" x="1430"/>
        <item m="1" x="3453"/>
        <item m="1" x="5480"/>
        <item m="1" x="7502"/>
        <item m="1" x="1555"/>
        <item m="1" x="3576"/>
        <item m="1" x="5601"/>
        <item m="1" x="7627"/>
        <item m="1" x="1677"/>
        <item m="1" x="3702"/>
        <item m="1" x="5721"/>
        <item m="1" x="7748"/>
        <item m="1" x="1792"/>
        <item m="1" x="3825"/>
        <item m="1" x="5842"/>
        <item m="1" x="7869"/>
        <item m="1" x="1914"/>
        <item m="1" x="3951"/>
        <item m="1" x="5963"/>
        <item m="1" x="7993"/>
        <item m="1" x="2037"/>
        <item m="1" x="4076"/>
        <item m="1" x="6088"/>
        <item m="1" x="149"/>
        <item m="1" x="2159"/>
        <item m="1" x="4195"/>
        <item m="1" x="6210"/>
        <item m="1" x="268"/>
        <item m="1" x="2276"/>
        <item m="1" x="4316"/>
        <item m="1" x="6329"/>
        <item m="1" x="389"/>
        <item m="1" x="2400"/>
        <item m="1" x="4442"/>
        <item m="1" x="6452"/>
        <item m="1" x="512"/>
        <item m="1" x="2525"/>
        <item m="1" x="4561"/>
        <item m="1" x="6574"/>
        <item m="1" x="633"/>
        <item m="1" x="2645"/>
        <item m="1" x="4678"/>
        <item m="1" x="6699"/>
        <item m="1" x="753"/>
        <item m="1" x="2767"/>
        <item m="1" x="4802"/>
        <item m="1" x="6822"/>
        <item m="1" x="875"/>
        <item m="1" x="2889"/>
        <item m="1" x="4923"/>
        <item m="1" x="6942"/>
        <item m="1" x="997"/>
        <item m="1" x="3011"/>
        <item m="1" x="5041"/>
        <item m="1" x="7065"/>
        <item m="1" x="1118"/>
        <item m="1" x="3135"/>
        <item m="1" x="5163"/>
        <item m="1" x="7192"/>
        <item m="1" x="1240"/>
        <item m="1" x="3259"/>
        <item m="1" x="7006"/>
        <item m="1" x="1064"/>
        <item m="1" x="3078"/>
        <item m="1" x="5108"/>
        <item m="1" x="7131"/>
        <item m="1" x="1184"/>
        <item m="1" x="3198"/>
        <item m="1" x="5228"/>
        <item m="1" x="7254"/>
        <item m="1" x="1304"/>
        <item m="1" x="3323"/>
        <item m="1" x="5352"/>
        <item m="1" x="7375"/>
        <item m="1" x="1424"/>
        <item m="1" x="3448"/>
        <item m="1" x="5475"/>
        <item m="1" x="7497"/>
        <item m="1" x="1549"/>
        <item m="1" x="3571"/>
        <item m="1" x="5597"/>
        <item m="1" x="7623"/>
        <item m="1" x="1672"/>
        <item m="1" x="3697"/>
        <item m="1" x="5717"/>
        <item m="1" x="7744"/>
        <item m="1" x="1788"/>
        <item m="1" x="3820"/>
        <item m="1" x="5837"/>
        <item m="1" x="7864"/>
        <item m="1" x="1909"/>
        <item m="1" x="3946"/>
        <item m="1" x="5958"/>
        <item m="1" x="7988"/>
        <item m="1" x="2032"/>
        <item m="1" x="4071"/>
        <item m="1" x="6081"/>
        <item m="1" x="144"/>
        <item m="1" x="2153"/>
        <item m="1" x="4189"/>
        <item m="1" x="6203"/>
        <item m="1" x="263"/>
        <item m="1" x="2270"/>
        <item m="1" x="4311"/>
        <item m="1" x="6323"/>
        <item m="1" x="384"/>
        <item m="1" x="2394"/>
        <item m="1" x="4437"/>
        <item m="1" x="6446"/>
        <item m="1" x="507"/>
        <item m="1" x="2519"/>
        <item m="1" x="4556"/>
        <item m="1" x="6568"/>
        <item m="1" x="628"/>
        <item m="1" x="2640"/>
        <item m="1" x="4674"/>
        <item m="1" x="6694"/>
        <item m="1" x="748"/>
        <item m="1" x="2762"/>
        <item m="1" x="4798"/>
        <item m="1" x="6817"/>
        <item m="1" x="870"/>
        <item m="1" x="6632"/>
        <item m="1" x="690"/>
        <item m="1" x="2700"/>
        <item m="1" x="4738"/>
        <item m="1" x="6755"/>
        <item m="1" x="812"/>
        <item m="1" x="2824"/>
        <item m="1" x="4861"/>
        <item m="1" x="6879"/>
        <item m="1" x="936"/>
        <item m="1" x="2948"/>
        <item m="1" x="4984"/>
        <item m="1" x="7001"/>
        <item m="1" x="1059"/>
        <item m="1" x="3073"/>
        <item m="1" x="5102"/>
        <item m="1" x="7125"/>
        <item m="1" x="1179"/>
        <item m="1" x="3194"/>
        <item m="1" x="5224"/>
        <item m="1" x="7250"/>
        <item m="1" x="1300"/>
        <item m="1" x="3319"/>
        <item m="1" x="5348"/>
        <item m="1" x="7371"/>
        <item m="1" x="1420"/>
        <item m="1" x="3443"/>
        <item m="1" x="5470"/>
        <item m="1" x="7492"/>
        <item m="1" x="1544"/>
        <item m="1" x="3566"/>
        <item m="1" x="5592"/>
        <item m="1" x="7617"/>
        <item m="1" x="1667"/>
        <item m="1" x="3691"/>
        <item m="1" x="5711"/>
        <item m="1" x="7739"/>
        <item m="1" x="1782"/>
        <item m="1" x="3815"/>
        <item m="1" x="5831"/>
        <item m="1" x="7859"/>
        <item m="1" x="1903"/>
        <item m="1" x="3941"/>
        <item m="1" x="5952"/>
        <item m="1" x="7983"/>
        <item m="1" x="2026"/>
        <item m="1" x="4066"/>
        <item m="1" x="6075"/>
        <item m="1" x="139"/>
        <item m="1" x="2146"/>
        <item m="1" x="4184"/>
        <item m="1" x="6197"/>
        <item m="1" x="258"/>
        <item m="1" x="2265"/>
        <item m="1" x="4307"/>
        <item m="1" x="6318"/>
        <item m="1" x="380"/>
        <item m="1" x="2389"/>
        <item m="1" x="4432"/>
        <item m="1" x="6441"/>
        <item m="1" x="503"/>
        <item m="1" x="4247"/>
        <item m="1" x="6258"/>
        <item m="1" x="321"/>
        <item m="1" x="2327"/>
        <item m="1" x="4370"/>
        <item m="1" x="6380"/>
        <item m="1" x="442"/>
        <item m="1" x="2452"/>
        <item m="1" x="4495"/>
        <item m="1" x="6504"/>
        <item m="1" x="566"/>
        <item m="1" x="2575"/>
        <item m="1" x="4612"/>
        <item m="1" x="6628"/>
        <item m="1" x="686"/>
        <item m="1" x="2696"/>
        <item m="1" x="4734"/>
        <item m="1" x="6752"/>
        <item m="1" x="808"/>
        <item m="1" x="2821"/>
        <item m="1" x="4858"/>
        <item m="1" x="6876"/>
        <item m="1" x="933"/>
        <item m="1" x="2945"/>
        <item m="1" x="4981"/>
        <item m="1" x="6998"/>
        <item m="1" x="1055"/>
        <item m="1" x="3068"/>
        <item m="1" x="5097"/>
        <item m="1" x="7120"/>
        <item m="1" x="1175"/>
        <item m="1" x="3190"/>
        <item m="1" x="5220"/>
        <item m="1" x="7246"/>
        <item m="1" x="1295"/>
        <item m="1" x="3314"/>
        <item m="1" x="5343"/>
        <item m="1" x="7367"/>
        <item m="1" x="1415"/>
        <item m="1" x="3439"/>
        <item m="1" x="5465"/>
        <item m="1" x="7488"/>
        <item m="1" x="1539"/>
        <item m="1" x="3562"/>
        <item m="1" x="5587"/>
        <item m="1" x="7613"/>
        <item m="1" x="1662"/>
        <item m="1" x="3687"/>
        <item m="1" x="5706"/>
        <item m="1" x="7735"/>
        <item m="1" x="1777"/>
        <item m="1" x="3811"/>
        <item m="1" x="5826"/>
        <item m="1" x="7856"/>
        <item m="1" x="1899"/>
        <item m="1" x="3938"/>
        <item m="1" x="5948"/>
        <item m="1" x="7979"/>
        <item m="1" x="2022"/>
        <item m="1" x="4063"/>
        <item m="1" x="6070"/>
        <item m="1" x="1836"/>
        <item m="1" x="3876"/>
        <item m="1" x="5887"/>
        <item m="1" x="7917"/>
        <item m="1" x="1958"/>
        <item m="1" x="3999"/>
        <item m="1" x="6006"/>
        <item m="1" x="71"/>
        <item m="1" x="2081"/>
        <item m="1" x="4121"/>
        <item m="1" x="6131"/>
        <item m="1" x="195"/>
        <item m="1" x="2202"/>
        <item m="1" x="4242"/>
        <item m="1" x="6254"/>
        <item m="1" x="317"/>
        <item m="1" x="2323"/>
        <item m="1" x="4366"/>
        <item m="1" x="6377"/>
        <item m="1" x="439"/>
        <item m="1" x="2449"/>
        <item m="1" x="4491"/>
        <item m="1" x="6500"/>
        <item m="1" x="563"/>
        <item m="1" x="2572"/>
        <item m="1" x="4609"/>
        <item m="1" x="6624"/>
        <item m="1" x="682"/>
        <item m="1" x="2692"/>
        <item m="1" x="4730"/>
        <item m="1" x="6748"/>
        <item m="1" x="804"/>
        <item m="1" x="2817"/>
        <item m="1" x="4854"/>
        <item m="1" x="6872"/>
        <item m="1" x="928"/>
        <item m="1" x="2941"/>
        <item m="1" x="4976"/>
        <item m="1" x="6993"/>
        <item m="1" x="1048"/>
        <item m="1" x="3063"/>
        <item m="1" x="5092"/>
        <item m="1" x="7116"/>
        <item m="1" x="1170"/>
        <item m="1" x="3186"/>
        <item m="1" x="5215"/>
        <item m="1" x="7242"/>
        <item m="1" x="1290"/>
        <item m="1" x="3310"/>
        <item m="1" x="5338"/>
        <item m="1" x="7363"/>
        <item m="1" x="1410"/>
        <item m="1" x="3434"/>
        <item m="1" x="5460"/>
        <item m="1" x="7485"/>
        <item m="1" x="1535"/>
        <item m="1" x="3559"/>
        <item m="1" x="5583"/>
        <item m="1" x="7610"/>
        <item m="1" x="1658"/>
        <item m="1" x="3683"/>
        <item m="1" x="1469"/>
        <item m="1" x="3494"/>
        <item m="1" x="5517"/>
        <item m="1" x="7545"/>
        <item m="1" x="1593"/>
        <item m="1" x="3618"/>
        <item m="1" x="5639"/>
        <item m="1" x="7668"/>
        <item m="1" x="1714"/>
        <item m="1" x="3744"/>
        <item m="1" x="5761"/>
        <item m="1" x="7793"/>
        <item m="1" x="1832"/>
        <item m="1" x="3872"/>
        <item m="1" x="5883"/>
        <item m="1" x="7912"/>
        <item m="1" x="1953"/>
        <item m="1" x="3995"/>
        <item m="1" x="6003"/>
        <item m="1" x="68"/>
        <item m="1" x="2078"/>
        <item m="1" x="4118"/>
        <item m="1" x="6128"/>
        <item m="1" x="192"/>
        <item m="1" x="2199"/>
        <item m="1" x="4239"/>
        <item m="1" x="6250"/>
        <item m="1" x="313"/>
        <item m="1" x="2319"/>
        <item m="1" x="4362"/>
        <item m="1" x="6373"/>
        <item m="1" x="435"/>
        <item m="1" x="2444"/>
        <item m="1" x="4487"/>
        <item m="1" x="6496"/>
        <item m="1" x="558"/>
        <item m="1" x="2568"/>
        <item m="1" x="4604"/>
        <item m="1" x="6620"/>
        <item m="1" x="677"/>
        <item m="1" x="2688"/>
        <item m="1" x="4725"/>
        <item m="1" x="6744"/>
        <item m="1" x="799"/>
        <item m="1" x="2813"/>
        <item m="1" x="4849"/>
        <item m="1" x="6868"/>
        <item m="1" x="922"/>
        <item m="1" x="2936"/>
        <item m="1" x="4969"/>
        <item m="1" x="6987"/>
        <item m="1" x="1042"/>
        <item m="1" x="3058"/>
        <item m="1" x="5087"/>
        <item m="1" x="7112"/>
        <item m="1" x="1165"/>
        <item m="1" x="3182"/>
        <item m="1" x="5210"/>
        <item m="1" x="7237"/>
        <item m="1" x="1285"/>
        <item m="1" x="3306"/>
        <item m="1" x="7047"/>
        <item m="1" x="1103"/>
        <item m="1" x="3118"/>
        <item m="1" x="5146"/>
        <item m="1" x="7173"/>
        <item m="1" x="1222"/>
        <item m="1" x="3241"/>
        <item m="1" x="5269"/>
        <item m="1" x="7295"/>
        <item m="1" x="1343"/>
        <item m="1" x="3367"/>
        <item m="1" x="5391"/>
        <item m="1" x="7416"/>
        <item m="1" x="1465"/>
        <item m="1" x="3490"/>
        <item m="1" x="5513"/>
        <item m="1" x="7541"/>
        <item m="1" x="1589"/>
        <item m="1" x="3614"/>
        <item m="1" x="5636"/>
        <item m="1" x="7665"/>
        <item m="1" x="1711"/>
        <item m="1" x="3741"/>
        <item m="1" x="5758"/>
        <item m="1" x="7790"/>
        <item m="1" x="1829"/>
        <item m="1" x="3868"/>
        <item m="1" x="5878"/>
        <item m="1" x="7907"/>
        <item m="1" x="1949"/>
        <item m="1" x="3991"/>
        <item m="1" x="5999"/>
        <item m="1" x="64"/>
        <item m="1" x="2074"/>
        <item m="1" x="4114"/>
        <item m="1" x="6124"/>
        <item m="1" x="187"/>
        <item m="1" x="2195"/>
        <item m="1" x="4234"/>
        <item m="1" x="6246"/>
        <item m="1" x="308"/>
        <item m="1" x="2315"/>
        <item m="1" x="4357"/>
        <item m="1" x="6368"/>
        <item m="1" x="430"/>
        <item m="1" x="2440"/>
        <item m="1" x="4482"/>
        <item m="1" x="6492"/>
        <item m="1" x="552"/>
        <item m="1" x="2563"/>
        <item m="1" x="4598"/>
        <item m="1" x="6615"/>
        <item m="1" x="672"/>
        <item m="1" x="2684"/>
        <item m="1" x="4720"/>
        <item m="1" x="6740"/>
        <item m="1" x="794"/>
        <item m="1" x="2808"/>
        <item m="1" x="4844"/>
        <item m="1" x="6864"/>
        <item m="1" x="916"/>
        <item m="1" x="4657"/>
        <item m="1" x="6676"/>
        <item m="1" x="732"/>
        <item m="1" x="2743"/>
        <item m="1" x="4780"/>
        <item m="1" x="6798"/>
        <item m="1" x="852"/>
        <item m="1" x="2865"/>
        <item m="1" x="4902"/>
        <item m="1" x="6921"/>
        <item m="1" x="976"/>
        <item m="1" x="2991"/>
        <item m="1" x="5023"/>
        <item m="1" x="7042"/>
        <item m="1" x="1099"/>
        <item m="1" x="3114"/>
        <item m="1" x="5142"/>
        <item m="1" x="7169"/>
        <item m="1" x="1219"/>
        <item m="1" x="3238"/>
        <item m="1" x="5266"/>
        <item m="1" x="7291"/>
        <item m="1" x="1339"/>
        <item m="1" x="3364"/>
        <item m="1" x="5388"/>
        <item m="1" x="7413"/>
        <item m="1" x="1461"/>
        <item m="1" x="3486"/>
        <item m="1" x="5509"/>
        <item m="1" x="7537"/>
        <item m="1" x="1585"/>
        <item m="1" x="3610"/>
        <item m="1" x="5632"/>
        <item m="1" x="7661"/>
        <item m="1" x="1707"/>
        <item m="1" x="3736"/>
        <item m="1" x="5754"/>
        <item m="1" x="7785"/>
        <item m="1" x="1824"/>
        <item m="1" x="3861"/>
        <item m="1" x="5874"/>
        <item m="1" x="7903"/>
        <item m="1" x="1946"/>
        <item m="1" x="3987"/>
        <item m="1" x="5996"/>
        <item m="1" x="60"/>
        <item m="1" x="2071"/>
        <item m="1" x="4110"/>
        <item m="1" x="6120"/>
        <item m="1" x="182"/>
        <item m="1" x="2191"/>
        <item m="1" x="4229"/>
        <item m="1" x="6242"/>
        <item m="1" x="304"/>
        <item m="1" x="2312"/>
        <item m="1" x="4353"/>
        <item m="1" x="6365"/>
        <item m="1" x="426"/>
        <item m="1" x="2437"/>
        <item m="1" x="4478"/>
        <item m="1" x="6488"/>
        <item m="1" x="4289"/>
        <item m="1" x="6299"/>
        <item m="1" x="361"/>
        <item m="1" x="2369"/>
        <item m="1" x="4413"/>
        <item m="1" x="6422"/>
        <item m="1" x="485"/>
        <item m="1" x="2495"/>
        <item m="1" x="4535"/>
        <item m="1" x="6546"/>
        <item m="1" x="608"/>
        <item m="1" x="2619"/>
        <item m="1" x="4653"/>
        <item m="1" x="6672"/>
        <item m="1" x="728"/>
        <item m="1" x="2738"/>
        <item m="1" x="4775"/>
        <item m="1" x="6794"/>
        <item m="1" x="849"/>
        <item m="1" x="2862"/>
        <item m="1" x="4899"/>
        <item m="1" x="6917"/>
        <item m="1" x="972"/>
        <item m="1" x="2988"/>
        <item m="1" x="5020"/>
        <item m="1" x="7039"/>
        <item m="1" x="1095"/>
        <item m="1" x="3110"/>
        <item m="1" x="5138"/>
        <item m="1" x="7165"/>
        <item m="1" x="1215"/>
        <item m="1" x="3234"/>
        <item m="1" x="5261"/>
        <item m="1" x="7287"/>
        <item m="1" x="1335"/>
        <item m="1" x="3359"/>
        <item m="1" x="5384"/>
        <item m="1" x="7408"/>
        <item m="1" x="1457"/>
        <item m="1" x="3481"/>
        <item m="1" x="5506"/>
        <item m="1" x="7533"/>
        <item m="1" x="1582"/>
        <item m="1" x="3606"/>
        <item m="1" x="5629"/>
        <item m="1" x="7657"/>
        <item m="1" x="1704"/>
        <item m="1" x="3732"/>
        <item m="1" x="5750"/>
        <item m="1" x="7779"/>
        <item m="1" x="1820"/>
        <item m="1" x="3856"/>
        <item m="1" x="5871"/>
        <item m="1" x="7899"/>
        <item m="1" x="1943"/>
        <item m="1" x="3983"/>
        <item m="1" x="5993"/>
        <item m="1" x="56"/>
        <item m="1" x="2067"/>
        <item m="1" x="4106"/>
        <item m="1" x="6117"/>
        <item m="1" x="1878"/>
        <item m="1" x="3920"/>
        <item m="1" x="5928"/>
        <item m="1" x="7960"/>
        <item m="1" x="2001"/>
        <item m="1" x="4043"/>
        <item m="1" x="6050"/>
        <item m="1" x="115"/>
        <item m="1" x="2123"/>
        <item m="1" x="4164"/>
        <item m="1" x="6175"/>
        <item m="1" x="236"/>
        <item m="1" x="2242"/>
        <item m="1" x="4285"/>
        <item m="1" x="6295"/>
        <item m="1" x="357"/>
        <item m="1" x="2365"/>
        <item m="1" x="4409"/>
        <item m="1" x="6418"/>
        <item m="1" x="482"/>
        <item m="1" x="2492"/>
        <item m="1" x="4532"/>
        <item m="1" x="6542"/>
        <item m="1" x="605"/>
        <item m="1" x="2616"/>
        <item m="1" x="4650"/>
        <item m="1" x="6668"/>
        <item m="1" x="723"/>
        <item m="1" x="2733"/>
        <item m="1" x="4770"/>
        <item m="1" x="6790"/>
        <item m="1" x="845"/>
        <item m="1" x="2858"/>
        <item m="1" x="4895"/>
        <item m="1" x="6913"/>
        <item m="1" x="968"/>
        <item m="1" x="2983"/>
        <item m="1" x="5016"/>
        <item m="1" x="7034"/>
        <item m="1" x="1091"/>
        <item m="1" x="3106"/>
        <item m="1" x="5135"/>
        <item m="1" x="7161"/>
        <item m="1" x="1211"/>
        <item m="1" x="3230"/>
        <item m="1" x="5258"/>
        <item m="1" x="7283"/>
        <item m="1" x="1332"/>
        <item m="1" x="3354"/>
        <item m="1" x="5380"/>
        <item m="1" x="7403"/>
        <item m="1" x="1453"/>
        <item m="1" x="3477"/>
        <item m="1" x="5503"/>
        <item m="1" x="7529"/>
        <item m="1" x="1579"/>
        <item m="1" x="3602"/>
        <item m="1" x="5625"/>
        <item m="1" x="7653"/>
        <item m="1" x="1701"/>
        <item m="1" x="3727"/>
        <item m="1" x="1514"/>
        <item m="1" x="3540"/>
        <item m="1" x="5561"/>
        <item m="1" x="7589"/>
        <item m="1" x="1637"/>
        <item m="1" x="3663"/>
        <item m="1" x="5681"/>
        <item m="1" x="7712"/>
        <item m="1" x="1754"/>
        <item m="1" x="3788"/>
        <item m="1" x="5803"/>
        <item m="1" x="7835"/>
        <item m="1" x="1873"/>
        <item m="1" x="3916"/>
        <item m="1" x="5924"/>
        <item m="1" x="7956"/>
        <item m="1" x="1997"/>
        <item m="1" x="4040"/>
        <item m="1" x="6047"/>
        <item m="1" x="112"/>
        <item m="1" x="2119"/>
        <item m="1" x="4159"/>
        <item m="1" x="6172"/>
        <item m="1" x="233"/>
        <item m="1" x="2239"/>
        <item m="1" x="4282"/>
        <item m="1" x="6291"/>
        <item m="1" x="353"/>
        <item m="1" x="2361"/>
        <item m="1" x="4405"/>
        <item m="1" x="6414"/>
        <item m="1" x="478"/>
        <item m="1" x="2488"/>
        <item m="1" x="4528"/>
        <item m="1" x="6537"/>
        <item m="1" x="601"/>
        <item m="1" x="2611"/>
        <item m="1" x="4645"/>
        <item m="1" x="6662"/>
        <item m="1" x="718"/>
        <item m="1" x="2729"/>
        <item m="1" x="4767"/>
        <item m="1" x="6786"/>
        <item m="1" x="842"/>
        <item m="1" x="2854"/>
        <item m="1" x="4892"/>
        <item m="1" x="6909"/>
        <item m="1" x="964"/>
        <item m="1" x="2978"/>
        <item m="1" x="5012"/>
        <item m="1" x="7029"/>
        <item m="1" x="1087"/>
        <item m="1" x="3102"/>
        <item m="1" x="5132"/>
        <item m="1" x="7157"/>
        <item m="1" x="1208"/>
        <item m="1" x="3226"/>
        <item m="1" x="5255"/>
        <item m="1" x="7279"/>
        <item m="1" x="1328"/>
        <item m="1" x="3349"/>
        <item m="1" x="7091"/>
        <item m="1" x="1144"/>
        <item m="1" x="3161"/>
        <item m="1" x="5188"/>
        <item m="1" x="7217"/>
        <item m="1" x="1265"/>
        <item m="1" x="3287"/>
        <item m="1" x="5313"/>
        <item m="1" x="7340"/>
        <item m="1" x="1386"/>
        <item m="1" x="3412"/>
        <item m="1" x="5436"/>
        <item m="1" x="7462"/>
        <item m="1" x="1510"/>
        <item m="1" x="3536"/>
        <item m="1" x="5556"/>
        <item m="1" x="7584"/>
        <item m="1" x="1633"/>
        <item m="1" x="3660"/>
        <item m="1" x="5678"/>
        <item m="1" x="7709"/>
        <item m="1" x="1751"/>
        <item m="1" x="3784"/>
        <item m="1" x="5800"/>
        <item m="1" x="7832"/>
        <item m="1" x="1870"/>
        <item m="1" x="3912"/>
        <item m="1" x="5920"/>
        <item m="1" x="7952"/>
        <item m="1" x="1993"/>
        <item m="1" x="4036"/>
        <item m="1" x="6043"/>
        <item m="1" x="107"/>
        <item m="1" x="2115"/>
        <item m="1" x="4155"/>
        <item m="1" x="6167"/>
        <item m="1" x="229"/>
        <item m="1" x="2234"/>
        <item m="1" x="4278"/>
        <item m="1" x="6286"/>
        <item m="1" x="350"/>
        <item m="1" x="2357"/>
        <item m="1" x="4402"/>
        <item m="1" x="6410"/>
        <item m="1" x="475"/>
        <item m="1" x="2484"/>
        <item m="1" x="4525"/>
        <item m="1" x="6533"/>
        <item m="1" x="597"/>
        <item m="1" x="2605"/>
        <item m="1" x="4640"/>
        <item m="1" x="6657"/>
        <item m="1" x="715"/>
        <item m="1" x="2725"/>
        <item m="1" x="4764"/>
        <item m="1" x="6782"/>
        <item m="1" x="839"/>
        <item m="1" x="2850"/>
        <item m="1" x="4888"/>
        <item m="1" x="6905"/>
        <item m="1" x="961"/>
        <item m="1" x="4699"/>
        <item m="1" x="6722"/>
        <item m="1" x="774"/>
        <item m="1" x="2788"/>
        <item m="1" x="4823"/>
        <item m="1" x="6844"/>
        <item m="1" x="897"/>
        <item m="1" x="2912"/>
        <item m="1" x="4945"/>
        <item m="1" x="6966"/>
        <item m="1" x="1019"/>
        <item m="1" x="3035"/>
        <item m="1" x="5063"/>
        <item m="1" x="7088"/>
        <item m="1" x="1141"/>
        <item m="1" x="3158"/>
        <item m="1" x="5185"/>
        <item m="1" x="7214"/>
        <item m="1" x="1261"/>
        <item m="1" x="3284"/>
        <item m="1" x="5310"/>
        <item m="1" x="7337"/>
        <item m="1" x="1382"/>
        <item m="1" x="3409"/>
        <item m="1" x="5433"/>
        <item m="1" x="7459"/>
        <item m="1" x="1506"/>
        <item m="1" x="3531"/>
        <item m="1" x="5551"/>
        <item m="1" x="7580"/>
        <item m="1" x="1629"/>
        <item m="1" x="3656"/>
        <item m="1" x="5674"/>
        <item m="1" x="7705"/>
        <item m="1" x="1747"/>
        <item m="1" x="3780"/>
        <item m="1" x="5795"/>
        <item m="1" x="7828"/>
        <item m="1" x="1865"/>
        <item m="1" x="3908"/>
        <item m="1" x="5916"/>
        <item m="1" x="7949"/>
        <item m="1" x="1989"/>
        <item m="1" x="4032"/>
        <item m="1" x="6039"/>
        <item m="1" x="104"/>
        <item m="1" x="2111"/>
        <item m="1" x="4152"/>
        <item m="1" x="6162"/>
        <item m="1" x="225"/>
        <item m="1" x="2229"/>
        <item m="1" x="4274"/>
        <item m="1" x="6282"/>
        <item m="1" x="347"/>
        <item m="1" x="2353"/>
        <item m="1" x="4399"/>
        <item m="1" x="6406"/>
        <item m="1" x="470"/>
        <item m="1" x="2480"/>
        <item m="1" x="4522"/>
        <item m="1" x="6528"/>
        <item m="1" x="4333"/>
        <item m="1" x="6347"/>
        <item m="1" x="406"/>
        <item m="1" x="2417"/>
        <item m="1" x="4458"/>
        <item m="1" x="6469"/>
        <item m="1" x="529"/>
        <item m="1" x="2541"/>
        <item m="1" x="4576"/>
        <item m="1" x="6593"/>
        <item m="1" x="650"/>
        <item m="1" x="2664"/>
        <item m="1" x="4695"/>
        <item m="1" x="6719"/>
        <item m="1" x="771"/>
        <item m="1" x="2785"/>
        <item m="1" x="4820"/>
        <item m="1" x="6841"/>
        <item m="1" x="894"/>
        <item m="1" x="2909"/>
        <item m="1" x="4941"/>
        <item m="1" x="6961"/>
        <item m="1" x="1016"/>
        <item m="1" x="3032"/>
        <item m="1" x="5060"/>
        <item m="1" x="7085"/>
        <item m="1" x="1137"/>
        <item m="1" x="3154"/>
        <item m="1" x="5181"/>
        <item m="1" x="7210"/>
        <item m="1" x="1257"/>
        <item m="1" x="3280"/>
        <item m="1" x="5306"/>
        <item m="1" x="7333"/>
        <item m="1" x="1377"/>
        <item m="1" x="3405"/>
        <item m="1" x="5428"/>
        <item m="1" x="7454"/>
        <item m="1" x="1500"/>
        <item m="1" x="3526"/>
        <item m="1" x="5547"/>
        <item m="1" x="7577"/>
        <item m="1" x="1625"/>
        <item m="1" x="3653"/>
        <item m="1" x="5670"/>
        <item m="1" x="7702"/>
        <item m="1" x="1743"/>
        <item m="1" x="3776"/>
        <item m="1" x="5790"/>
        <item m="1" x="7824"/>
        <item m="1" x="1860"/>
        <item m="1" x="3904"/>
        <item m="1" x="5912"/>
        <item m="1" x="7946"/>
        <item m="1" x="1984"/>
        <item m="1" x="4029"/>
        <item m="1" x="6034"/>
        <item m="1" x="101"/>
        <item m="1" x="2107"/>
        <item m="1" x="4148"/>
        <item m="1" x="6157"/>
        <item m="1" x="923"/>
        <item m="1" x="1924"/>
        <item m="1" x="2937"/>
        <item m="1" x="3963"/>
        <item m="1" x="4970"/>
        <item m="1" x="5974"/>
        <item m="1" x="6988"/>
        <item m="1" x="35"/>
        <item m="1" x="1043"/>
        <item m="1" x="2048"/>
        <item m="1" x="3059"/>
        <item m="1" x="4087"/>
        <item m="1" x="5088"/>
        <item m="1" x="6099"/>
        <item m="1" x="7113"/>
        <item m="1" x="159"/>
        <item m="1" x="1166"/>
        <item m="1" x="2169"/>
        <item m="1" x="3183"/>
        <item m="1" x="4207"/>
        <item m="1" x="5211"/>
        <item m="1" x="6222"/>
        <item m="1" x="7238"/>
        <item m="1" x="281"/>
        <item m="1" x="1286"/>
        <item m="1" x="2290"/>
        <item m="1" x="3307"/>
        <item m="1" x="4330"/>
        <item m="1" x="5334"/>
        <item m="1" x="6344"/>
        <item m="1" x="7359"/>
        <item m="1" x="402"/>
        <item m="1" x="1406"/>
        <item m="1" x="2413"/>
        <item m="1" x="3431"/>
        <item m="1" x="4454"/>
        <item m="1" x="5456"/>
        <item m="1" x="6466"/>
        <item m="1" x="7481"/>
        <item m="1" x="525"/>
        <item m="1" x="1531"/>
        <item m="1" x="2538"/>
        <item m="1" x="3556"/>
        <item m="1" x="4573"/>
        <item m="1" x="5578"/>
        <item m="1" x="6589"/>
        <item m="1" x="7606"/>
        <item m="1" x="647"/>
        <item m="1" x="1654"/>
        <item m="1" x="2660"/>
        <item m="1" x="3680"/>
        <item m="1" x="4692"/>
        <item m="1" x="5698"/>
        <item m="1" x="6715"/>
        <item m="1" x="7728"/>
        <item m="1" x="767"/>
        <item m="1" x="1769"/>
        <item m="1" x="2781"/>
        <item m="1" x="3804"/>
        <item m="1" x="4816"/>
        <item m="1" x="5818"/>
        <item m="1" x="6837"/>
        <item m="1" x="7849"/>
        <item m="1" x="890"/>
        <item m="1" x="1890"/>
        <item m="1" x="2904"/>
        <item m="1" x="3931"/>
        <item m="1" x="4936"/>
        <item m="1" x="5940"/>
        <item m="1" x="6957"/>
        <item m="1" x="7971"/>
        <item m="1" x="1011"/>
        <item m="1" x="2014"/>
        <item m="1" x="3028"/>
        <item m="1" x="4056"/>
        <item m="1" x="5055"/>
        <item m="1" x="6062"/>
        <item m="1" x="7081"/>
        <item m="1" x="127"/>
        <item m="1" x="1132"/>
        <item m="1" x="2133"/>
        <item m="1" x="3150"/>
        <item m="1" x="4175"/>
        <item m="1" x="5177"/>
        <item m="1" x="6186"/>
        <item m="1" x="7207"/>
        <item m="1" x="248"/>
        <item m="1" x="1253"/>
        <item m="1" x="2254"/>
        <item m="1" x="3277"/>
        <item m="1" x="4298"/>
        <item m="1" x="5302"/>
        <item m="1" x="6307"/>
        <item m="1" x="7329"/>
        <item m="1" x="369"/>
        <item m="1" x="1373"/>
        <item m="1" x="2376"/>
        <item m="1" x="3400"/>
        <item m="1" x="4422"/>
        <item m="1" x="5422"/>
        <item m="1" x="6429"/>
        <item m="1" x="7448"/>
        <item m="1" x="492"/>
        <item m="1" x="1494"/>
        <item m="1" x="2503"/>
        <item m="1" x="3522"/>
        <item m="1" x="4543"/>
        <item m="1" x="5543"/>
        <item m="1" x="6554"/>
        <item m="1" x="7573"/>
        <item m="1" x="615"/>
        <item m="1" x="1621"/>
        <item m="1" x="2626"/>
        <item m="1" x="3647"/>
        <item m="1" x="4661"/>
        <item m="1" x="5665"/>
        <item m="1" x="6680"/>
        <item m="1" x="7697"/>
        <item m="1" x="736"/>
        <item m="1" x="1739"/>
        <item m="1" x="2747"/>
        <item m="1" x="3771"/>
        <item m="1" x="4784"/>
        <item m="1" x="7508"/>
        <item m="1" x="553"/>
        <item m="1" x="1562"/>
        <item m="1" x="2564"/>
        <item m="1" x="3582"/>
        <item m="1" x="4599"/>
        <item m="1" x="5607"/>
        <item m="1" x="6616"/>
        <item m="1" x="7634"/>
        <item m="1" x="673"/>
        <item m="1" x="1683"/>
        <item m="1" x="2685"/>
        <item m="1" x="3708"/>
        <item m="1" x="4721"/>
        <item m="1" x="5728"/>
        <item m="1" x="6741"/>
        <item m="1" x="7756"/>
        <item m="1" x="795"/>
        <item m="1" x="1800"/>
        <item m="1" x="2809"/>
        <item m="1" x="3834"/>
        <item m="1" x="4845"/>
        <item m="1" x="5849"/>
        <item m="1" x="6865"/>
        <item m="1" x="7876"/>
        <item m="1" x="917"/>
        <item m="1" x="1921"/>
        <item m="1" x="2931"/>
        <item m="1" x="3959"/>
        <item m="1" x="4965"/>
        <item m="1" x="5971"/>
        <item m="1" x="6984"/>
        <item m="1" x="32"/>
        <item m="1" x="1038"/>
        <item m="1" x="2045"/>
        <item m="1" x="3054"/>
        <item m="1" x="4083"/>
        <item m="1" x="5083"/>
        <item m="1" x="6095"/>
        <item m="1" x="7109"/>
        <item m="1" x="156"/>
        <item m="1" x="1161"/>
        <item m="1" x="2166"/>
        <item m="1" x="3177"/>
        <item m="1" x="4203"/>
        <item m="1" x="5205"/>
        <item m="1" x="6219"/>
        <item m="1" x="7234"/>
        <item m="1" x="278"/>
        <item m="1" x="1281"/>
        <item m="1" x="2287"/>
        <item m="1" x="3302"/>
        <item m="1" x="4326"/>
        <item m="1" x="5329"/>
        <item m="1" x="6339"/>
        <item m="1" x="7355"/>
        <item m="1" x="397"/>
        <item m="1" x="1401"/>
        <item m="1" x="2408"/>
        <item m="1" x="3426"/>
        <item m="1" x="4450"/>
        <item m="1" x="5451"/>
        <item m="1" x="6462"/>
        <item m="1" x="7477"/>
        <item m="1" x="521"/>
        <item m="1" x="1526"/>
        <item m="1" x="2534"/>
        <item m="1" x="3551"/>
        <item m="1" x="4569"/>
        <item m="1" x="5572"/>
        <item m="1" x="6583"/>
        <item m="1" x="7602"/>
        <item m="1" x="642"/>
        <item m="1" x="1649"/>
        <item m="1" x="2655"/>
        <item m="1" x="3675"/>
        <item m="1" x="4687"/>
        <item m="1" x="5693"/>
        <item m="1" x="6709"/>
        <item m="1" x="7724"/>
        <item m="1" x="762"/>
        <item m="1" x="1765"/>
        <item m="1" x="2777"/>
        <item m="1" x="3800"/>
        <item m="1" x="4812"/>
        <item m="1" x="5813"/>
        <item m="1" x="6832"/>
        <item m="1" x="7846"/>
        <item m="1" x="885"/>
        <item m="1" x="1886"/>
        <item m="1" x="2900"/>
        <item m="1" x="3927"/>
        <item m="1" x="4932"/>
        <item m="1" x="5936"/>
        <item m="1" x="6953"/>
        <item m="1" x="7968"/>
        <item m="1" x="1006"/>
        <item m="1" x="2010"/>
        <item m="1" x="3023"/>
        <item m="1" x="4051"/>
        <item m="1" x="5050"/>
        <item m="1" x="6057"/>
        <item m="1" x="7076"/>
        <item m="1" x="123"/>
        <item m="1" x="1127"/>
        <item m="1" x="2130"/>
        <item m="1" x="3146"/>
        <item m="1" x="4171"/>
        <item m="1" x="5173"/>
        <item m="1" x="6183"/>
        <item m="1" x="7203"/>
        <item m="1" x="245"/>
        <item m="1" x="1249"/>
        <item m="1" x="2250"/>
        <item m="1" x="3271"/>
        <item m="1" x="4294"/>
        <item m="1" x="5298"/>
        <item m="1" x="6303"/>
        <item m="1" x="7324"/>
        <item m="1" x="365"/>
        <item m="1" x="1368"/>
        <item m="1" x="2373"/>
        <item m="1" x="6121"/>
        <item m="1" x="7138"/>
        <item m="1" x="183"/>
        <item m="1" x="1192"/>
        <item m="1" x="2192"/>
        <item m="1" x="3207"/>
        <item m="1" x="4230"/>
        <item m="1" x="5237"/>
        <item m="1" x="6243"/>
        <item m="1" x="7262"/>
        <item m="1" x="305"/>
        <item m="1" x="1311"/>
        <item m="1" x="2313"/>
        <item m="1" x="3331"/>
        <item m="1" x="4354"/>
        <item m="1" x="5359"/>
        <item m="1" x="6366"/>
        <item m="1" x="7382"/>
        <item m="1" x="427"/>
        <item m="1" x="1433"/>
        <item m="1" x="2438"/>
        <item m="1" x="3456"/>
        <item m="1" x="4479"/>
        <item m="1" x="5484"/>
        <item m="1" x="6489"/>
        <item m="1" x="7505"/>
        <item m="1" x="549"/>
        <item m="1" x="1559"/>
        <item m="1" x="2561"/>
        <item m="1" x="3580"/>
        <item m="1" x="4595"/>
        <item m="1" x="5605"/>
        <item m="1" x="6612"/>
        <item m="1" x="7631"/>
        <item m="1" x="669"/>
        <item m="1" x="1681"/>
        <item m="1" x="2682"/>
        <item m="1" x="3706"/>
        <item m="1" x="4717"/>
        <item m="1" x="5726"/>
        <item m="1" x="6737"/>
        <item m="1" x="7753"/>
        <item m="1" x="791"/>
        <item m="1" x="1796"/>
        <item m="1" x="2805"/>
        <item m="1" x="3830"/>
        <item m="1" x="4841"/>
        <item m="1" x="5847"/>
        <item m="1" x="6860"/>
        <item m="1" x="7874"/>
        <item m="1" x="913"/>
        <item m="1" x="1919"/>
        <item m="1" x="2928"/>
        <item m="1" x="3956"/>
        <item m="1" x="4961"/>
        <item m="1" x="5968"/>
        <item m="1" x="6980"/>
        <item m="1" x="7997"/>
        <item m="1" x="1034"/>
        <item m="1" x="2041"/>
        <item m="1" x="3051"/>
        <item m="1" x="4080"/>
        <item m="1" x="5079"/>
        <item m="1" x="6092"/>
        <item m="1" x="7105"/>
        <item m="1" x="153"/>
        <item m="1" x="1157"/>
        <item m="1" x="2163"/>
        <item m="1" x="3174"/>
        <item m="1" x="4199"/>
        <item m="1" x="5201"/>
        <item m="1" x="6215"/>
        <item m="1" x="7230"/>
        <item m="1" x="274"/>
        <item m="1" x="1276"/>
        <item m="1" x="2282"/>
        <item m="1" x="3299"/>
        <item m="1" x="4321"/>
        <item m="1" x="5325"/>
        <item m="1" x="6334"/>
        <item m="1" x="7352"/>
        <item m="1" x="394"/>
        <item m="1" x="1398"/>
        <item m="1" x="2405"/>
        <item m="1" x="3424"/>
        <item m="1" x="4447"/>
        <item m="1" x="5448"/>
        <item m="1" x="6459"/>
        <item m="1" x="7474"/>
        <item m="1" x="518"/>
        <item m="1" x="1522"/>
        <item m="1" x="2531"/>
        <item m="1" x="3549"/>
        <item m="1" x="4566"/>
        <item m="1" x="5569"/>
        <item m="1" x="6580"/>
        <item m="1" x="7598"/>
        <item m="1" x="638"/>
        <item m="1" x="1646"/>
        <item m="1" x="2651"/>
        <item m="1" x="3672"/>
        <item m="1" x="4683"/>
        <item m="1" x="5690"/>
        <item m="1" x="6705"/>
        <item m="1" x="7720"/>
        <item m="1" x="758"/>
        <item m="1" x="1761"/>
        <item m="1" x="2773"/>
        <item m="1" x="3796"/>
        <item m="1" x="4807"/>
        <item m="1" x="5810"/>
        <item m="1" x="6828"/>
        <item m="1" x="7842"/>
        <item m="1" x="880"/>
        <item m="1" x="1882"/>
        <item m="1" x="2895"/>
        <item m="1" x="3924"/>
        <item m="1" x="4928"/>
        <item m="1" x="5933"/>
        <item m="1" x="6948"/>
        <item m="1" x="7964"/>
        <item m="1" x="1002"/>
        <item m="1" x="4745"/>
        <item m="1" x="5751"/>
        <item m="1" x="6764"/>
        <item m="1" x="7780"/>
        <item m="1" x="820"/>
        <item m="1" x="1821"/>
        <item m="1" x="2832"/>
        <item m="1" x="3857"/>
        <item m="1" x="4870"/>
        <item m="1" x="5872"/>
        <item m="1" x="6888"/>
        <item m="1" x="7900"/>
        <item m="1" x="945"/>
        <item m="1" x="1944"/>
        <item m="1" x="2956"/>
        <item m="1" x="3984"/>
        <item m="1" x="4992"/>
        <item m="1" x="5994"/>
        <item m="1" x="7010"/>
        <item m="1" x="57"/>
        <item m="1" x="1068"/>
        <item m="1" x="2068"/>
        <item m="1" x="3082"/>
        <item m="1" x="4107"/>
        <item m="1" x="5112"/>
        <item m="1" x="6118"/>
        <item m="1" x="7136"/>
        <item m="1" x="179"/>
        <item m="1" x="1190"/>
        <item m="1" x="2188"/>
        <item m="1" x="3204"/>
        <item m="1" x="4226"/>
        <item m="1" x="5234"/>
        <item m="1" x="6240"/>
        <item m="1" x="7259"/>
        <item m="1" x="301"/>
        <item m="1" x="1309"/>
        <item m="1" x="2309"/>
        <item m="1" x="3328"/>
        <item m="1" x="4350"/>
        <item m="1" x="5357"/>
        <item m="1" x="6363"/>
        <item m="1" x="7380"/>
        <item m="1" x="423"/>
        <item m="1" x="1431"/>
        <item m="1" x="2434"/>
        <item m="1" x="3454"/>
        <item m="1" x="4475"/>
        <item m="1" x="5481"/>
        <item m="1" x="6486"/>
        <item m="1" x="7503"/>
        <item m="1" x="546"/>
        <item m="1" x="1556"/>
        <item m="1" x="2557"/>
        <item m="1" x="3577"/>
        <item m="1" x="4591"/>
        <item m="1" x="5602"/>
        <item m="1" x="6609"/>
        <item m="1" x="7628"/>
        <item m="1" x="665"/>
        <item m="1" x="1678"/>
        <item m="1" x="2678"/>
        <item m="1" x="3703"/>
        <item m="1" x="4712"/>
        <item m="1" x="5722"/>
        <item m="1" x="6734"/>
        <item m="1" x="7749"/>
        <item m="1" x="787"/>
        <item m="1" x="1793"/>
        <item m="1" x="2800"/>
        <item m="1" x="3826"/>
        <item m="1" x="4837"/>
        <item m="1" x="5843"/>
        <item m="1" x="6857"/>
        <item m="1" x="7870"/>
        <item m="1" x="909"/>
        <item m="1" x="1915"/>
        <item m="1" x="2924"/>
        <item m="1" x="3952"/>
        <item m="1" x="4956"/>
        <item m="1" x="5964"/>
        <item m="1" x="6978"/>
        <item m="1" x="7994"/>
        <item m="1" x="1031"/>
        <item m="1" x="2038"/>
        <item m="1" x="3048"/>
        <item m="1" x="4077"/>
        <item m="1" x="5076"/>
        <item m="1" x="6089"/>
        <item m="1" x="7103"/>
        <item m="1" x="150"/>
        <item m="1" x="1154"/>
        <item m="1" x="2160"/>
        <item m="1" x="3171"/>
        <item m="1" x="4196"/>
        <item m="1" x="5197"/>
        <item m="1" x="6211"/>
        <item m="1" x="7227"/>
        <item m="1" x="269"/>
        <item m="1" x="1273"/>
        <item m="1" x="2277"/>
        <item m="1" x="3295"/>
        <item m="1" x="4317"/>
        <item m="1" x="5322"/>
        <item m="1" x="6330"/>
        <item m="1" x="7349"/>
        <item m="1" x="390"/>
        <item m="1" x="1395"/>
        <item m="1" x="2401"/>
        <item m="1" x="3420"/>
        <item m="1" x="4443"/>
        <item m="1" x="5444"/>
        <item m="1" x="6453"/>
        <item m="1" x="7470"/>
        <item m="1" x="513"/>
        <item m="1" x="1519"/>
        <item m="1" x="2526"/>
        <item m="1" x="3545"/>
        <item m="1" x="4562"/>
        <item m="1" x="5566"/>
        <item m="1" x="6575"/>
        <item m="1" x="7594"/>
        <item m="1" x="2334"/>
        <item m="1" x="3355"/>
        <item m="1" x="4379"/>
        <item m="1" x="5381"/>
        <item m="1" x="6387"/>
        <item m="1" x="7404"/>
        <item m="1" x="449"/>
        <item m="1" x="1454"/>
        <item m="1" x="2460"/>
        <item m="1" x="3478"/>
        <item m="1" x="4502"/>
        <item m="1" x="5504"/>
        <item m="1" x="6511"/>
        <item m="1" x="7530"/>
        <item m="1" x="574"/>
        <item m="1" x="1580"/>
        <item m="1" x="2584"/>
        <item m="1" x="3603"/>
        <item m="1" x="4620"/>
        <item m="1" x="5626"/>
        <item m="1" x="6637"/>
        <item m="1" x="7654"/>
        <item m="1" x="694"/>
        <item m="1" x="1702"/>
        <item m="1" x="2704"/>
        <item m="1" x="3728"/>
        <item m="1" x="4742"/>
        <item m="1" x="5746"/>
        <item m="1" x="6760"/>
        <item m="1" x="7775"/>
        <item m="1" x="817"/>
        <item m="1" x="1817"/>
        <item m="1" x="2829"/>
        <item m="1" x="3852"/>
        <item m="1" x="4867"/>
        <item m="1" x="5867"/>
        <item m="1" x="6884"/>
        <item m="1" x="7895"/>
        <item m="1" x="941"/>
        <item m="1" x="1940"/>
        <item m="1" x="2953"/>
        <item m="1" x="3979"/>
        <item m="1" x="4989"/>
        <item m="1" x="5989"/>
        <item m="1" x="7007"/>
        <item m="1" x="52"/>
        <item m="1" x="1065"/>
        <item m="1" x="2064"/>
        <item m="1" x="3079"/>
        <item m="1" x="4102"/>
        <item m="1" x="5109"/>
        <item m="1" x="6113"/>
        <item m="1" x="7132"/>
        <item m="1" x="174"/>
        <item m="1" x="1185"/>
        <item m="1" x="2184"/>
        <item m="1" x="3199"/>
        <item m="1" x="4221"/>
        <item m="1" x="5229"/>
        <item m="1" x="6235"/>
        <item m="1" x="7255"/>
        <item m="1" x="296"/>
        <item m="1" x="1305"/>
        <item m="1" x="2305"/>
        <item m="1" x="3324"/>
        <item m="1" x="4345"/>
        <item m="1" x="5353"/>
        <item m="1" x="6358"/>
        <item m="1" x="7376"/>
        <item m="1" x="417"/>
        <item m="1" x="1425"/>
        <item m="1" x="2430"/>
        <item m="1" x="3449"/>
        <item m="1" x="4470"/>
        <item m="1" x="5476"/>
        <item m="1" x="6481"/>
        <item m="1" x="7498"/>
        <item m="1" x="541"/>
        <item m="1" x="1550"/>
        <item m="1" x="2553"/>
        <item m="1" x="3572"/>
        <item m="1" x="4587"/>
        <item m="1" x="5598"/>
        <item m="1" x="6605"/>
        <item m="1" x="7624"/>
        <item m="1" x="660"/>
        <item m="1" x="1673"/>
        <item m="1" x="2675"/>
        <item m="1" x="3698"/>
        <item m="1" x="4708"/>
        <item m="1" x="5718"/>
        <item m="1" x="6730"/>
        <item m="1" x="7745"/>
        <item m="1" x="783"/>
        <item m="1" x="1789"/>
        <item m="1" x="2797"/>
        <item m="1" x="3821"/>
        <item m="1" x="4833"/>
        <item m="1" x="5838"/>
        <item m="1" x="6852"/>
        <item m="1" x="7865"/>
        <item m="1" x="904"/>
        <item m="1" x="1910"/>
        <item m="1" x="2920"/>
        <item m="1" x="3947"/>
        <item m="1" x="4952"/>
        <item m="1" x="5959"/>
        <item m="1" x="6973"/>
        <item m="1" x="7989"/>
        <item m="1" x="1027"/>
        <item m="1" x="2033"/>
        <item m="1" x="3044"/>
        <item m="1" x="4072"/>
        <item m="1" x="5071"/>
        <item m="1" x="6082"/>
        <item m="1" x="7097"/>
        <item m="1" x="145"/>
        <item m="1" x="1149"/>
        <item m="1" x="2154"/>
        <item m="1" x="3166"/>
        <item m="1" x="4190"/>
        <item m="1" x="5193"/>
        <item m="1" x="965"/>
        <item m="1" x="1965"/>
        <item m="1" x="2979"/>
        <item m="1" x="4008"/>
        <item m="1" x="5013"/>
        <item m="1" x="6015"/>
        <item m="1" x="7030"/>
        <item m="1" x="80"/>
        <item m="1" x="1088"/>
        <item m="1" x="2089"/>
        <item m="1" x="3103"/>
        <item m="1" x="4128"/>
        <item m="1" x="5133"/>
        <item m="1" x="6139"/>
        <item m="1" x="7158"/>
        <item m="1" x="202"/>
        <item m="1" x="1209"/>
        <item m="1" x="2209"/>
        <item m="1" x="3227"/>
        <item m="1" x="4251"/>
        <item m="1" x="5256"/>
        <item m="1" x="6262"/>
        <item m="1" x="7280"/>
        <item m="1" x="326"/>
        <item m="1" x="1329"/>
        <item m="1" x="2331"/>
        <item m="1" x="3350"/>
        <item m="1" x="4375"/>
        <item m="1" x="5377"/>
        <item m="1" x="6384"/>
        <item m="1" x="7399"/>
        <item m="1" x="446"/>
        <item m="1" x="1449"/>
        <item m="1" x="2456"/>
        <item m="1" x="3473"/>
        <item m="1" x="4499"/>
        <item m="1" x="5500"/>
        <item m="1" x="6508"/>
        <item m="1" x="7525"/>
        <item m="1" x="571"/>
        <item m="1" x="1575"/>
        <item m="1" x="2580"/>
        <item m="1" x="3598"/>
        <item m="1" x="4616"/>
        <item m="1" x="5622"/>
        <item m="1" x="6633"/>
        <item m="1" x="7649"/>
        <item m="1" x="691"/>
        <item m="1" x="1697"/>
        <item m="1" x="2701"/>
        <item m="1" x="3723"/>
        <item m="1" x="4739"/>
        <item m="1" x="5742"/>
        <item m="1" x="6756"/>
        <item m="1" x="7770"/>
        <item m="1" x="813"/>
        <item m="1" x="1812"/>
        <item m="1" x="2825"/>
        <item m="1" x="3847"/>
        <item m="1" x="4862"/>
        <item m="1" x="5863"/>
        <item m="1" x="6880"/>
        <item m="1" x="7890"/>
        <item m="1" x="937"/>
        <item m="1" x="1935"/>
        <item m="1" x="2949"/>
        <item m="1" x="3974"/>
        <item m="1" x="4985"/>
        <item m="1" x="5985"/>
        <item m="1" x="7002"/>
        <item m="1" x="47"/>
        <item m="1" x="1060"/>
        <item m="1" x="2059"/>
        <item m="1" x="3074"/>
        <item m="1" x="4096"/>
        <item m="1" x="5103"/>
        <item m="1" x="6109"/>
        <item m="1" x="7126"/>
        <item m="1" x="169"/>
        <item m="1" x="1180"/>
        <item m="1" x="2180"/>
        <item m="1" x="3195"/>
        <item m="1" x="4217"/>
        <item m="1" x="5225"/>
        <item m="1" x="6232"/>
        <item m="1" x="7251"/>
        <item m="1" x="292"/>
        <item m="1" x="1301"/>
        <item m="1" x="2301"/>
        <item m="1" x="3320"/>
        <item m="1" x="4340"/>
        <item m="1" x="5349"/>
        <item m="1" x="6355"/>
        <item m="1" x="7372"/>
        <item m="1" x="413"/>
        <item m="1" x="1421"/>
        <item m="1" x="2425"/>
        <item m="1" x="3444"/>
        <item m="1" x="4466"/>
        <item m="1" x="5471"/>
        <item m="1" x="6477"/>
        <item m="1" x="7493"/>
        <item m="1" x="537"/>
        <item m="1" x="1545"/>
        <item m="1" x="2548"/>
        <item m="1" x="3567"/>
        <item m="1" x="4582"/>
        <item m="1" x="5593"/>
        <item m="1" x="6600"/>
        <item m="1" x="7618"/>
        <item m="1" x="656"/>
        <item m="1" x="1668"/>
        <item m="1" x="2670"/>
        <item m="1" x="3692"/>
        <item m="1" x="4703"/>
        <item m="1" x="5712"/>
        <item m="1" x="6726"/>
        <item m="1" x="7740"/>
        <item m="1" x="779"/>
        <item m="1" x="1783"/>
        <item m="1" x="2792"/>
        <item m="1" x="3816"/>
        <item m="1" x="7551"/>
        <item m="1" x="598"/>
        <item m="1" x="1602"/>
        <item m="1" x="2606"/>
        <item m="1" x="3625"/>
        <item m="1" x="4641"/>
        <item m="1" x="5646"/>
        <item m="1" x="6658"/>
        <item m="1" x="7676"/>
        <item m="1" x="716"/>
        <item m="1" x="1722"/>
        <item m="1" x="2726"/>
        <item m="1" x="3752"/>
        <item m="1" x="4765"/>
        <item m="1" x="5768"/>
        <item m="1" x="6783"/>
        <item m="1" x="7800"/>
        <item m="1" x="840"/>
        <item m="1" x="1840"/>
        <item m="1" x="2851"/>
        <item m="1" x="3880"/>
        <item m="1" x="4889"/>
        <item m="1" x="5891"/>
        <item m="1" x="6906"/>
        <item m="1" x="7921"/>
        <item m="1" x="962"/>
        <item m="1" x="1962"/>
        <item m="1" x="2974"/>
        <item m="1" x="4005"/>
        <item m="1" x="5008"/>
        <item m="1" x="6011"/>
        <item m="1" x="7025"/>
        <item m="1" x="76"/>
        <item m="1" x="1084"/>
        <item m="1" x="2085"/>
        <item m="1" x="3098"/>
        <item m="1" x="4125"/>
        <item m="1" x="5128"/>
        <item m="1" x="6135"/>
        <item m="1" x="7153"/>
        <item m="1" x="199"/>
        <item m="1" x="1205"/>
        <item m="1" x="2206"/>
        <item m="1" x="3222"/>
        <item m="1" x="4248"/>
        <item m="1" x="5251"/>
        <item m="1" x="6259"/>
        <item m="1" x="7275"/>
        <item m="1" x="322"/>
        <item m="1" x="1325"/>
        <item m="1" x="2328"/>
        <item m="1" x="3345"/>
        <item m="1" x="4371"/>
        <item m="1" x="5372"/>
        <item m="1" x="6381"/>
        <item m="1" x="7395"/>
        <item m="1" x="443"/>
        <item m="1" x="1446"/>
        <item m="1" x="2453"/>
        <item m="1" x="3469"/>
        <item m="1" x="4496"/>
        <item m="1" x="5496"/>
        <item m="1" x="6505"/>
        <item m="1" x="7520"/>
        <item m="1" x="567"/>
        <item m="1" x="1572"/>
        <item m="1" x="2576"/>
        <item m="1" x="3594"/>
        <item m="1" x="4613"/>
        <item m="1" x="5618"/>
        <item m="1" x="6629"/>
        <item m="1" x="7645"/>
        <item m="1" x="687"/>
        <item m="1" x="1694"/>
        <item m="1" x="2697"/>
        <item m="1" x="3719"/>
        <item m="1" x="4735"/>
        <item m="1" x="5738"/>
        <item m="1" x="6753"/>
        <item m="1" x="7766"/>
        <item m="1" x="809"/>
        <item m="1" x="1810"/>
        <item m="1" x="2822"/>
        <item m="1" x="3844"/>
        <item m="1" x="4859"/>
        <item m="1" x="5860"/>
        <item m="1" x="6877"/>
        <item m="1" x="7887"/>
        <item m="1" x="934"/>
        <item m="1" x="1933"/>
        <item m="1" x="2946"/>
        <item m="1" x="3971"/>
        <item m="1" x="4982"/>
        <item m="1" x="5982"/>
        <item m="1" x="6999"/>
        <item m="1" x="43"/>
        <item m="1" x="1056"/>
        <item m="1" x="2056"/>
        <item m="1" x="3069"/>
        <item m="1" x="4093"/>
        <item m="1" x="5098"/>
        <item m="1" x="6105"/>
        <item m="1" x="7121"/>
        <item m="1" x="166"/>
        <item m="1" x="1176"/>
        <item m="1" x="2177"/>
        <item m="1" x="3191"/>
        <item m="1" x="4214"/>
        <item m="1" x="5221"/>
        <item m="1" x="6228"/>
        <item m="1" x="7247"/>
        <item m="1" x="288"/>
        <item m="1" x="1296"/>
        <item m="1" x="2297"/>
        <item m="1" x="3315"/>
        <item m="1" x="4337"/>
        <item m="1" x="5344"/>
        <item m="1" x="6351"/>
        <item m="1" x="7368"/>
        <item m="1" x="410"/>
        <item m="1" x="1416"/>
        <item m="1" x="2421"/>
        <item m="1" x="6163"/>
        <item m="1" x="7182"/>
        <item m="1" x="226"/>
        <item m="1" x="1229"/>
        <item m="1" x="2230"/>
        <item m="1" x="3248"/>
        <item m="1" x="4275"/>
        <item m="1" x="5277"/>
        <item m="1" x="6283"/>
        <item m="1" x="7302"/>
        <item m="1" x="348"/>
        <item m="1" x="1350"/>
        <item m="1" x="2354"/>
        <item m="1" x="3375"/>
        <item m="1" x="4400"/>
        <item m="1" x="5400"/>
        <item m="1" x="6407"/>
        <item m="1" x="7424"/>
        <item m="1" x="471"/>
        <item m="1" x="1474"/>
        <item m="1" x="2481"/>
        <item m="1" x="3498"/>
        <item m="1" x="4523"/>
        <item m="1" x="5521"/>
        <item m="1" x="6529"/>
        <item m="1" x="7549"/>
        <item m="1" x="592"/>
        <item m="1" x="1598"/>
        <item m="1" x="2601"/>
        <item m="1" x="3622"/>
        <item m="1" x="4637"/>
        <item m="1" x="5643"/>
        <item m="1" x="6653"/>
        <item m="1" x="7673"/>
        <item m="1" x="711"/>
        <item m="1" x="1718"/>
        <item m="1" x="2721"/>
        <item m="1" x="3748"/>
        <item m="1" x="4761"/>
        <item m="1" x="5765"/>
        <item m="1" x="6778"/>
        <item m="1" x="7797"/>
        <item m="1" x="835"/>
        <item m="1" x="1837"/>
        <item m="1" x="2846"/>
        <item m="1" x="3877"/>
        <item m="1" x="4885"/>
        <item m="1" x="5888"/>
        <item m="1" x="6901"/>
        <item m="1" x="7918"/>
        <item m="1" x="957"/>
        <item m="1" x="1959"/>
        <item m="1" x="2969"/>
        <item m="1" x="4000"/>
        <item m="1" x="5005"/>
        <item m="1" x="6007"/>
        <item m="1" x="7021"/>
        <item m="1" x="72"/>
        <item m="1" x="1080"/>
        <item m="1" x="2082"/>
        <item m="1" x="3094"/>
        <item m="1" x="4122"/>
        <item m="1" x="5125"/>
        <item m="1" x="6132"/>
        <item m="1" x="7149"/>
        <item m="1" x="196"/>
        <item m="1" x="1201"/>
        <item m="1" x="2203"/>
        <item m="1" x="3217"/>
        <item m="1" x="4243"/>
        <item m="1" x="5248"/>
        <item m="1" x="6255"/>
        <item m="1" x="7271"/>
        <item m="1" x="318"/>
        <item m="1" x="1321"/>
        <item m="1" x="2324"/>
        <item m="1" x="3341"/>
        <item m="1" x="4367"/>
        <item m="1" x="5370"/>
        <item m="1" x="6378"/>
        <item m="1" x="7392"/>
        <item m="1" x="440"/>
        <item m="1" x="1443"/>
        <item m="1" x="2450"/>
        <item m="1" x="3465"/>
        <item m="1" x="4492"/>
        <item m="1" x="5494"/>
        <item m="1" x="6501"/>
        <item m="1" x="7517"/>
        <item m="1" x="564"/>
        <item m="1" x="1569"/>
        <item m="1" x="2573"/>
        <item m="1" x="3590"/>
        <item m="1" x="4610"/>
        <item m="1" x="5616"/>
        <item m="1" x="6625"/>
        <item m="1" x="7642"/>
        <item m="1" x="683"/>
        <item m="1" x="1690"/>
        <item m="1" x="2693"/>
        <item m="1" x="3715"/>
        <item m="1" x="4731"/>
        <item m="1" x="5735"/>
        <item m="1" x="6749"/>
        <item m="1" x="7763"/>
        <item m="1" x="805"/>
        <item m="1" x="1806"/>
        <item m="1" x="2818"/>
        <item m="1" x="3841"/>
        <item m="1" x="4855"/>
        <item m="1" x="5857"/>
        <item m="1" x="6873"/>
        <item m="1" x="7884"/>
        <item m="1" x="929"/>
        <item m="1" x="1929"/>
        <item m="1" x="2942"/>
        <item m="1" x="3967"/>
        <item m="1" x="4977"/>
        <item m="1" x="5978"/>
        <item m="1" x="6994"/>
        <item m="1" x="40"/>
        <item m="1" x="1049"/>
        <item m="1" x="3777"/>
        <item m="1" x="4788"/>
        <item m="1" x="5791"/>
        <item m="1" x="6807"/>
        <item m="1" x="7825"/>
        <item m="1" x="861"/>
        <item m="1" x="1861"/>
        <item m="1" x="2874"/>
        <item m="1" x="3905"/>
        <item m="1" x="4910"/>
        <item m="1" x="5913"/>
        <item m="1" x="6928"/>
        <item m="1" x="7947"/>
        <item m="1" x="984"/>
        <item m="1" x="1985"/>
        <item m="1" x="2998"/>
        <item m="1" x="4030"/>
        <item m="1" x="5030"/>
        <item m="1" x="6035"/>
        <item m="1" x="7051"/>
        <item m="1" x="102"/>
        <item m="1" x="1107"/>
        <item m="1" x="2108"/>
        <item m="1" x="3123"/>
        <item m="1" x="4149"/>
        <item m="1" x="5150"/>
        <item m="1" x="6158"/>
        <item m="1" x="7178"/>
        <item m="1" x="222"/>
        <item m="1" x="1226"/>
        <item m="1" x="2225"/>
        <item m="1" x="3245"/>
        <item m="1" x="4270"/>
        <item m="1" x="5273"/>
        <item m="1" x="6278"/>
        <item m="1" x="7299"/>
        <item m="1" x="344"/>
        <item m="1" x="1347"/>
        <item m="1" x="2349"/>
        <item m="1" x="3372"/>
        <item m="1" x="4395"/>
        <item m="1" x="5396"/>
        <item m="1" x="6402"/>
        <item m="1" x="7420"/>
        <item m="1" x="467"/>
        <item m="1" x="1470"/>
        <item m="1" x="2476"/>
        <item m="1" x="3495"/>
        <item m="1" x="4517"/>
        <item m="1" x="5518"/>
        <item m="1" x="6524"/>
        <item m="1" x="7546"/>
        <item m="1" x="588"/>
        <item m="1" x="1594"/>
        <item m="1" x="2596"/>
        <item m="1" x="3619"/>
        <item m="1" x="4633"/>
        <item m="1" x="5640"/>
        <item m="1" x="6649"/>
        <item m="1" x="7669"/>
        <item m="1" x="708"/>
        <item m="1" x="1715"/>
        <item m="1" x="2717"/>
        <item m="1" x="3745"/>
        <item m="1" x="4757"/>
        <item m="1" x="5762"/>
        <item m="1" x="6774"/>
        <item m="1" x="7794"/>
        <item m="1" x="832"/>
        <item m="1" x="1833"/>
        <item m="1" x="2842"/>
        <item m="1" x="3873"/>
        <item m="1" x="4881"/>
        <item m="1" x="5884"/>
        <item m="1" x="6896"/>
        <item m="1" x="7913"/>
        <item m="1" x="954"/>
        <item m="1" x="1954"/>
        <item m="1" x="2965"/>
        <item m="1" x="3996"/>
        <item m="1" x="5002"/>
        <item m="1" x="6004"/>
        <item m="1" x="7018"/>
        <item m="1" x="69"/>
        <item m="1" x="1078"/>
        <item m="1" x="2079"/>
        <item m="1" x="3091"/>
        <item m="1" x="4119"/>
        <item m="1" x="5122"/>
        <item m="1" x="6129"/>
        <item m="1" x="7145"/>
        <item m="1" x="193"/>
        <item m="1" x="1199"/>
        <item m="1" x="2200"/>
        <item m="1" x="3214"/>
        <item m="1" x="4240"/>
        <item m="1" x="5244"/>
        <item m="1" x="6251"/>
        <item m="1" x="7268"/>
        <item m="1" x="314"/>
        <item m="1" x="1318"/>
        <item m="1" x="2320"/>
        <item m="1" x="3338"/>
        <item m="1" x="4363"/>
        <item m="1" x="5366"/>
        <item m="1" x="6374"/>
        <item m="1" x="7388"/>
        <item m="1" x="436"/>
        <item m="1" x="1439"/>
        <item m="1" x="2445"/>
        <item m="1" x="3462"/>
        <item m="1" x="4488"/>
        <item m="1" x="5490"/>
        <item m="1" x="6497"/>
        <item m="1" x="7512"/>
        <item m="1" x="559"/>
        <item m="1" x="1566"/>
        <item m="1" x="2569"/>
        <item m="1" x="3587"/>
        <item m="1" x="4605"/>
        <item m="1" x="5612"/>
        <item m="1" x="6621"/>
        <item m="1" x="2377"/>
        <item m="1" x="3401"/>
        <item m="1" x="4423"/>
        <item m="1" x="5423"/>
        <item m="1" x="6430"/>
        <item m="1" x="7449"/>
        <item m="1" x="493"/>
        <item m="1" x="1495"/>
        <item m="1" x="2504"/>
        <item m="1" x="3523"/>
        <item m="1" x="4544"/>
        <item m="1" x="5544"/>
        <item m="1" x="6555"/>
        <item m="1" x="7574"/>
        <item m="1" x="616"/>
        <item m="1" x="1622"/>
        <item m="1" x="2627"/>
        <item m="1" x="3648"/>
        <item m="1" x="4662"/>
        <item m="1" x="5666"/>
        <item m="1" x="6681"/>
        <item m="1" x="7698"/>
        <item m="1" x="737"/>
        <item m="1" x="1740"/>
        <item m="1" x="2748"/>
        <item m="1" x="3772"/>
        <item m="1" x="4785"/>
        <item m="1" x="5786"/>
        <item m="1" x="6804"/>
        <item m="1" x="7819"/>
        <item m="1" x="857"/>
        <item m="1" x="1856"/>
        <item m="1" x="2870"/>
        <item m="1" x="3899"/>
        <item m="1" x="4906"/>
        <item m="1" x="5908"/>
        <item m="1" x="6925"/>
        <item m="1" x="7941"/>
        <item m="1" x="980"/>
        <item m="1" x="1980"/>
        <item m="1" x="2995"/>
        <item m="1" x="4024"/>
        <item m="1" x="5027"/>
        <item m="1" x="6030"/>
        <item m="1" x="7048"/>
        <item m="1" x="96"/>
        <item m="1" x="1104"/>
        <item m="1" x="2103"/>
        <item m="1" x="3119"/>
        <item m="1" x="4143"/>
        <item m="1" x="5147"/>
        <item m="1" x="6153"/>
        <item m="1" x="7174"/>
        <item m="1" x="216"/>
        <item m="1" x="1223"/>
        <item m="1" x="2221"/>
        <item m="1" x="3242"/>
        <item m="1" x="4265"/>
        <item m="1" x="5270"/>
        <item m="1" x="6274"/>
        <item m="1" x="7296"/>
        <item m="1" x="339"/>
        <item m="1" x="1344"/>
        <item m="1" x="2344"/>
        <item m="1" x="3368"/>
        <item m="1" x="4390"/>
        <item m="1" x="5392"/>
        <item m="1" x="6398"/>
        <item m="1" x="7417"/>
        <item m="1" x="461"/>
        <item m="1" x="1466"/>
        <item m="1" x="2471"/>
        <item m="1" x="3491"/>
        <item m="1" x="4512"/>
        <item m="1" x="5514"/>
        <item m="1" x="6520"/>
        <item m="1" x="7542"/>
        <item m="1" x="583"/>
        <item m="1" x="1590"/>
        <item m="1" x="2592"/>
        <item m="1" x="3615"/>
        <item m="1" x="4629"/>
        <item m="1" x="5637"/>
        <item m="1" x="6646"/>
        <item m="1" x="7666"/>
        <item m="1" x="704"/>
        <item m="1" x="1712"/>
        <item m="1" x="2713"/>
        <item m="1" x="3742"/>
        <item m="1" x="4753"/>
        <item m="1" x="5759"/>
        <item m="1" x="6771"/>
        <item m="1" x="7791"/>
        <item m="1" x="828"/>
        <item m="1" x="1830"/>
        <item m="1" x="2839"/>
        <item m="1" x="3869"/>
        <item m="1" x="4877"/>
        <item m="1" x="5879"/>
        <item m="1" x="6893"/>
        <item m="1" x="7908"/>
        <item m="1" x="950"/>
        <item m="1" x="1950"/>
        <item m="1" x="2961"/>
        <item m="1" x="3992"/>
        <item m="1" x="4998"/>
        <item m="1" x="6000"/>
        <item m="1" x="7015"/>
        <item m="1" x="65"/>
        <item m="1" x="1074"/>
        <item m="1" x="2075"/>
        <item m="1" x="3087"/>
        <item m="1" x="4115"/>
        <item m="1" x="5117"/>
        <item m="1" x="6125"/>
        <item m="1" x="7142"/>
        <item m="1" x="188"/>
        <item m="1" x="1195"/>
        <item m="1" x="2196"/>
        <item m="1" x="3210"/>
        <item m="1" x="4235"/>
        <item m="1" x="5240"/>
        <item m="1" x="1007"/>
        <item m="1" x="2011"/>
        <item m="1" x="3024"/>
        <item m="1" x="4052"/>
        <item m="1" x="5051"/>
        <item m="1" x="6058"/>
        <item m="1" x="7077"/>
        <item m="1" x="124"/>
        <item m="1" x="1128"/>
        <item m="1" x="2131"/>
        <item m="1" x="3147"/>
        <item m="1" x="4172"/>
        <item m="1" x="5174"/>
        <item m="1" x="6184"/>
        <item m="1" x="7204"/>
        <item m="1" x="246"/>
        <item m="1" x="1250"/>
        <item m="1" x="2251"/>
        <item m="1" x="3272"/>
        <item m="1" x="4295"/>
        <item m="1" x="5299"/>
        <item m="1" x="6304"/>
        <item m="1" x="7325"/>
        <item m="1" x="366"/>
        <item m="1" x="1369"/>
        <item m="1" x="2374"/>
        <item m="1" x="3394"/>
        <item m="1" x="4418"/>
        <item m="1" x="5417"/>
        <item m="1" x="6426"/>
        <item m="1" x="7443"/>
        <item m="1" x="489"/>
        <item m="1" x="1490"/>
        <item m="1" x="2500"/>
        <item m="1" x="3517"/>
        <item m="1" x="4539"/>
        <item m="1" x="5539"/>
        <item m="1" x="6550"/>
        <item m="1" x="7568"/>
        <item m="1" x="612"/>
        <item m="1" x="1617"/>
        <item m="1" x="2623"/>
        <item m="1" x="3642"/>
        <item m="1" x="4658"/>
        <item m="1" x="5661"/>
        <item m="1" x="6677"/>
        <item m="1" x="7692"/>
        <item m="1" x="733"/>
        <item m="1" x="1735"/>
        <item m="1" x="2744"/>
        <item m="1" x="3766"/>
        <item m="1" x="4781"/>
        <item m="1" x="5781"/>
        <item m="1" x="6799"/>
        <item m="1" x="7814"/>
        <item m="1" x="853"/>
        <item m="1" x="1852"/>
        <item m="1" x="2866"/>
        <item m="1" x="3894"/>
        <item m="1" x="4903"/>
        <item m="1" x="5903"/>
        <item m="1" x="6922"/>
        <item m="1" x="7936"/>
        <item m="1" x="977"/>
        <item m="1" x="1976"/>
        <item m="1" x="2992"/>
        <item m="1" x="4019"/>
        <item m="1" x="5024"/>
        <item m="1" x="6025"/>
        <item m="1" x="7043"/>
        <item m="1" x="91"/>
        <item m="1" x="1100"/>
        <item m="1" x="2099"/>
        <item m="1" x="3115"/>
        <item m="1" x="4138"/>
        <item m="1" x="5143"/>
        <item m="1" x="6148"/>
        <item m="1" x="7170"/>
        <item m="1" x="212"/>
        <item m="1" x="1220"/>
        <item m="1" x="2218"/>
        <item m="1" x="3239"/>
        <item m="1" x="4261"/>
        <item m="1" x="5267"/>
        <item m="1" x="6270"/>
        <item m="1" x="7292"/>
        <item m="1" x="335"/>
        <item m="1" x="1340"/>
        <item m="1" x="2341"/>
        <item m="1" x="3365"/>
        <item m="1" x="4386"/>
        <item m="1" x="5389"/>
        <item m="1" x="6394"/>
        <item m="1" x="7414"/>
        <item m="1" x="457"/>
        <item m="1" x="1462"/>
        <item m="1" x="2468"/>
        <item m="1" x="3487"/>
        <item m="1" x="4508"/>
        <item m="1" x="5510"/>
        <item m="1" x="6516"/>
        <item m="1" x="7538"/>
        <item m="1" x="579"/>
        <item m="1" x="1586"/>
        <item m="1" x="2589"/>
        <item m="1" x="3611"/>
        <item m="1" x="4625"/>
        <item m="1" x="5633"/>
        <item m="1" x="6642"/>
        <item m="1" x="7662"/>
        <item m="1" x="700"/>
        <item m="1" x="1708"/>
        <item m="1" x="2710"/>
        <item m="1" x="3737"/>
        <item m="1" x="4749"/>
        <item m="1" x="5755"/>
        <item m="1" x="6767"/>
        <item m="1" x="7786"/>
        <item m="1" x="823"/>
        <item m="1" x="1825"/>
        <item m="1" x="2836"/>
        <item m="1" x="3862"/>
        <item m="1" x="7599"/>
        <item m="1" x="639"/>
        <item m="1" x="1647"/>
        <item m="1" x="2652"/>
        <item m="1" x="3673"/>
        <item m="1" x="4684"/>
        <item m="1" x="5691"/>
        <item m="1" x="6706"/>
        <item m="1" x="7721"/>
        <item m="1" x="759"/>
        <item m="1" x="1762"/>
        <item m="1" x="2774"/>
        <item m="1" x="3797"/>
        <item m="1" x="4808"/>
        <item m="1" x="5811"/>
        <item m="1" x="6829"/>
        <item m="1" x="7843"/>
        <item m="1" x="881"/>
        <item m="1" x="1883"/>
        <item m="1" x="2896"/>
        <item m="1" x="3925"/>
        <item m="1" x="4929"/>
        <item m="1" x="5934"/>
        <item m="1" x="6949"/>
        <item m="1" x="7965"/>
        <item m="1" x="1003"/>
        <item m="1" x="2006"/>
        <item m="1" x="3018"/>
        <item m="1" x="4048"/>
        <item m="1" x="5046"/>
        <item m="1" x="6054"/>
        <item m="1" x="7071"/>
        <item m="1" x="119"/>
        <item m="1" x="1123"/>
        <item m="1" x="2127"/>
        <item m="1" x="3141"/>
        <item m="1" x="4168"/>
        <item m="1" x="5169"/>
        <item m="1" x="6180"/>
        <item m="1" x="7198"/>
        <item m="1" x="241"/>
        <item m="1" x="1245"/>
        <item m="1" x="2246"/>
        <item m="1" x="3266"/>
        <item m="1" x="4290"/>
        <item m="1" x="5294"/>
        <item m="1" x="6300"/>
        <item m="1" x="7318"/>
        <item m="1" x="362"/>
        <item m="1" x="1363"/>
        <item m="1" x="2370"/>
        <item m="1" x="3389"/>
        <item m="1" x="4414"/>
        <item m="1" x="5412"/>
        <item m="1" x="6423"/>
        <item m="1" x="7438"/>
        <item m="1" x="486"/>
        <item m="1" x="1486"/>
        <item m="1" x="2496"/>
        <item m="1" x="3512"/>
        <item m="1" x="4536"/>
        <item m="1" x="5535"/>
        <item m="1" x="6547"/>
        <item m="1" x="7563"/>
        <item m="1" x="609"/>
        <item m="1" x="1612"/>
        <item m="1" x="2620"/>
        <item m="1" x="3637"/>
        <item m="1" x="4654"/>
        <item m="1" x="5657"/>
        <item m="1" x="6673"/>
        <item m="1" x="7687"/>
        <item m="1" x="729"/>
        <item m="1" x="1730"/>
        <item m="1" x="2739"/>
        <item m="1" x="3761"/>
        <item m="1" x="4776"/>
        <item m="1" x="5777"/>
        <item m="1" x="6795"/>
        <item m="1" x="7810"/>
        <item m="1" x="850"/>
        <item m="1" x="1848"/>
        <item m="1" x="2863"/>
        <item m="1" x="3890"/>
        <item m="1" x="4900"/>
        <item m="1" x="5900"/>
        <item m="1" x="6918"/>
        <item m="1" x="7931"/>
        <item m="1" x="973"/>
        <item m="1" x="1972"/>
        <item m="1" x="2989"/>
        <item m="1" x="4015"/>
        <item m="1" x="5021"/>
        <item m="1" x="6022"/>
        <item m="1" x="7040"/>
        <item m="1" x="87"/>
        <item m="1" x="1096"/>
        <item m="1" x="2095"/>
        <item m="1" x="3111"/>
        <item m="1" x="4134"/>
        <item m="1" x="5139"/>
        <item m="1" x="6145"/>
        <item m="1" x="7166"/>
        <item m="1" x="208"/>
        <item m="1" x="1216"/>
        <item m="1" x="2214"/>
        <item m="1" x="3235"/>
        <item m="1" x="4256"/>
        <item m="1" x="5262"/>
        <item m="1" x="6267"/>
        <item m="1" x="7288"/>
        <item m="1" x="331"/>
        <item m="1" x="1336"/>
        <item m="1" x="2337"/>
        <item m="1" x="3360"/>
        <item m="1" x="4382"/>
        <item m="1" x="5385"/>
        <item m="1" x="6391"/>
        <item m="1" x="7409"/>
        <item m="1" x="453"/>
        <item m="1" x="1458"/>
        <item m="1" x="2463"/>
        <item m="1" x="5198"/>
        <item m="1" x="6212"/>
        <item m="1" x="7228"/>
        <item m="1" x="270"/>
        <item m="1" x="1274"/>
        <item m="1" x="2278"/>
        <item m="1" x="3296"/>
        <item m="1" x="4318"/>
        <item m="1" x="5323"/>
        <item m="1" x="6331"/>
        <item m="1" x="7350"/>
        <item m="1" x="391"/>
        <item m="1" x="1396"/>
        <item m="1" x="2402"/>
        <item m="1" x="3421"/>
        <item m="1" x="4444"/>
        <item m="1" x="5445"/>
        <item m="1" x="6454"/>
        <item m="1" x="7471"/>
        <item m="1" x="514"/>
        <item m="1" x="1520"/>
        <item m="1" x="2527"/>
        <item m="1" x="3546"/>
        <item m="1" x="4563"/>
        <item m="1" x="5567"/>
        <item m="1" x="6576"/>
        <item m="1" x="7595"/>
        <item m="1" x="634"/>
        <item m="1" x="1643"/>
        <item m="1" x="2646"/>
        <item m="1" x="3668"/>
        <item m="1" x="4679"/>
        <item m="1" x="5686"/>
        <item m="1" x="6700"/>
        <item m="1" x="7716"/>
        <item m="1" x="754"/>
        <item m="1" x="1758"/>
        <item m="1" x="2768"/>
        <item m="1" x="3792"/>
        <item m="1" x="4803"/>
        <item m="1" x="5807"/>
        <item m="1" x="6823"/>
        <item m="1" x="7839"/>
        <item m="1" x="876"/>
        <item m="1" x="1879"/>
        <item m="1" x="2890"/>
        <item m="1" x="3921"/>
        <item m="1" x="4924"/>
        <item m="1" x="5929"/>
        <item m="1" x="6943"/>
        <item m="1" x="7961"/>
        <item m="1" x="998"/>
        <item m="1" x="2002"/>
        <item m="1" x="3012"/>
        <item m="1" x="4044"/>
        <item m="1" x="5042"/>
        <item m="1" x="6051"/>
        <item m="1" x="7066"/>
        <item m="1" x="116"/>
        <item m="1" x="1119"/>
        <item m="1" x="2124"/>
        <item m="1" x="3136"/>
        <item m="1" x="4165"/>
        <item m="1" x="5164"/>
        <item m="1" x="6176"/>
        <item m="1" x="7193"/>
        <item m="1" x="237"/>
        <item m="1" x="1241"/>
        <item m="1" x="2243"/>
        <item m="1" x="3260"/>
        <item m="1" x="4286"/>
        <item m="1" x="5288"/>
        <item m="1" x="6296"/>
        <item m="1" x="7313"/>
        <item m="1" x="358"/>
        <item m="1" x="1359"/>
        <item m="1" x="2366"/>
        <item m="1" x="3384"/>
        <item m="1" x="4410"/>
        <item m="1" x="5408"/>
        <item m="1" x="6419"/>
        <item m="1" x="7434"/>
        <item m="1" x="483"/>
        <item m="1" x="1483"/>
        <item m="1" x="2493"/>
        <item m="1" x="3508"/>
        <item m="1" x="4533"/>
        <item m="1" x="5530"/>
        <item m="1" x="6543"/>
        <item m="1" x="7559"/>
        <item m="1" x="606"/>
        <item m="1" x="1609"/>
        <item m="1" x="2617"/>
        <item m="1" x="3633"/>
        <item m="1" x="4651"/>
        <item m="1" x="5653"/>
        <item m="1" x="6669"/>
        <item m="1" x="7683"/>
        <item m="1" x="724"/>
        <item m="1" x="1727"/>
        <item m="1" x="2734"/>
        <item m="1" x="3757"/>
        <item m="1" x="4771"/>
        <item m="1" x="5773"/>
        <item m="1" x="6791"/>
        <item m="1" x="7806"/>
        <item m="1" x="846"/>
        <item m="1" x="1845"/>
        <item m="1" x="2859"/>
        <item m="1" x="3886"/>
        <item m="1" x="4896"/>
        <item m="1" x="5896"/>
        <item m="1" x="6914"/>
        <item m="1" x="7926"/>
        <item m="1" x="969"/>
        <item m="1" x="1969"/>
        <item m="1" x="2984"/>
        <item m="1" x="4011"/>
        <item m="1" x="5017"/>
        <item m="1" x="6018"/>
        <item m="1" x="7035"/>
        <item m="1" x="83"/>
        <item m="1" x="3822"/>
        <item m="1" x="4834"/>
        <item m="1" x="5839"/>
        <item m="1" x="6853"/>
        <item m="1" x="7866"/>
        <item m="1" x="905"/>
        <item m="1" x="1911"/>
        <item m="1" x="2921"/>
        <item m="1" x="3948"/>
        <item m="1" x="4953"/>
        <item m="1" x="5960"/>
        <item m="1" x="6974"/>
        <item m="1" x="7990"/>
        <item m="1" x="1028"/>
        <item m="1" x="2034"/>
        <item m="1" x="3045"/>
        <item m="1" x="4073"/>
        <item m="1" x="5072"/>
        <item m="1" x="6083"/>
        <item m="1" x="7098"/>
        <item m="1" x="146"/>
        <item m="1" x="1150"/>
        <item m="1" x="2155"/>
        <item m="1" x="3167"/>
        <item m="1" x="4191"/>
        <item m="1" x="5194"/>
        <item m="1" x="6204"/>
        <item m="1" x="7222"/>
        <item m="1" x="264"/>
        <item m="1" x="1269"/>
        <item m="1" x="2271"/>
        <item m="1" x="3291"/>
        <item m="1" x="4312"/>
        <item m="1" x="5318"/>
        <item m="1" x="6324"/>
        <item m="1" x="7344"/>
        <item m="1" x="385"/>
        <item m="1" x="1390"/>
        <item m="1" x="2395"/>
        <item m="1" x="3416"/>
        <item m="1" x="4438"/>
        <item m="1" x="5440"/>
        <item m="1" x="6447"/>
        <item m="1" x="7466"/>
        <item m="1" x="508"/>
        <item m="1" x="1515"/>
        <item m="1" x="2520"/>
        <item m="1" x="3541"/>
        <item m="1" x="4557"/>
        <item m="1" x="5562"/>
        <item m="1" x="6569"/>
        <item m="1" x="7590"/>
        <item m="1" x="629"/>
        <item m="1" x="1638"/>
        <item m="1" x="2641"/>
        <item m="1" x="3664"/>
        <item m="1" x="4675"/>
        <item m="1" x="5682"/>
        <item m="1" x="6695"/>
        <item m="1" x="7713"/>
        <item m="1" x="749"/>
        <item m="1" x="1755"/>
        <item m="1" x="2763"/>
        <item m="1" x="3789"/>
        <item m="1" x="4799"/>
        <item m="1" x="5804"/>
        <item m="1" x="6818"/>
        <item m="1" x="7836"/>
        <item m="1" x="871"/>
        <item m="1" x="1874"/>
        <item m="1" x="2885"/>
        <item m="1" x="3917"/>
        <item m="1" x="4920"/>
        <item m="1" x="5925"/>
        <item m="1" x="6938"/>
        <item m="1" x="7957"/>
        <item m="1" x="993"/>
        <item m="1" x="1998"/>
        <item m="1" x="3008"/>
        <item m="1" x="4041"/>
        <item m="1" x="5039"/>
        <item m="1" x="6048"/>
        <item m="1" x="7062"/>
        <item m="1" x="113"/>
        <item m="1" x="1115"/>
        <item m="1" x="2120"/>
        <item m="1" x="3132"/>
        <item m="1" x="4160"/>
        <item m="1" x="5160"/>
        <item m="1" x="6173"/>
        <item m="1" x="7189"/>
        <item m="1" x="234"/>
        <item m="1" x="1236"/>
        <item m="1" x="2240"/>
        <item m="1" x="3256"/>
        <item m="1" x="4283"/>
        <item m="1" x="5285"/>
        <item m="1" x="6292"/>
        <item m="1" x="7309"/>
        <item m="1" x="354"/>
        <item m="1" x="1355"/>
        <item m="1" x="2362"/>
        <item m="1" x="3380"/>
        <item m="1" x="4406"/>
        <item m="1" x="5405"/>
        <item m="1" x="6415"/>
        <item m="1" x="7430"/>
        <item m="1" x="479"/>
        <item m="1" x="1479"/>
        <item m="1" x="2489"/>
        <item m="1" x="3504"/>
        <item m="1" x="4529"/>
        <item m="1" x="5527"/>
        <item m="1" x="6538"/>
        <item m="1" x="7555"/>
        <item m="1" x="602"/>
        <item m="1" x="1605"/>
        <item m="1" x="2612"/>
        <item m="1" x="3628"/>
        <item m="1" x="4646"/>
        <item m="1" x="5650"/>
        <item m="1" x="6663"/>
        <item m="1" x="2426"/>
        <item m="1" x="3445"/>
        <item m="1" x="4467"/>
        <item m="1" x="5472"/>
        <item m="1" x="6478"/>
        <item m="1" x="7494"/>
        <item m="1" x="538"/>
        <item m="1" x="1546"/>
        <item m="1" x="2549"/>
        <item m="1" x="3568"/>
        <item m="1" x="4583"/>
        <item m="1" x="5594"/>
        <item m="1" x="6601"/>
        <item m="1" x="7619"/>
        <item m="1" x="657"/>
        <item m="1" x="1669"/>
        <item m="1" x="2671"/>
        <item m="1" x="3693"/>
        <item m="1" x="4704"/>
        <item m="1" x="5713"/>
        <item m="1" x="6727"/>
        <item m="1" x="7741"/>
        <item m="1" x="780"/>
        <item m="1" x="1784"/>
        <item m="1" x="2793"/>
        <item m="1" x="3817"/>
        <item m="1" x="4828"/>
        <item m="1" x="5832"/>
        <item m="1" x="6848"/>
        <item m="1" x="7860"/>
        <item m="1" x="900"/>
        <item m="1" x="1904"/>
        <item m="1" x="2915"/>
        <item m="1" x="3942"/>
        <item m="1" x="4948"/>
        <item m="1" x="5953"/>
        <item m="1" x="6969"/>
        <item m="1" x="7984"/>
        <item m="1" x="1023"/>
        <item m="1" x="2027"/>
        <item m="1" x="3039"/>
        <item m="1" x="4067"/>
        <item m="1" x="5066"/>
        <item m="1" x="6076"/>
        <item m="1" x="7092"/>
        <item m="1" x="140"/>
        <item m="1" x="1145"/>
        <item m="1" x="2147"/>
        <item m="1" x="3162"/>
        <item m="1" x="4185"/>
        <item m="1" x="5189"/>
        <item m="1" x="6198"/>
        <item m="1" x="7218"/>
        <item m="1" x="259"/>
        <item m="1" x="1266"/>
        <item m="1" x="2266"/>
        <item m="1" x="3288"/>
        <item m="1" x="4308"/>
        <item m="1" x="5314"/>
        <item m="1" x="6319"/>
        <item m="1" x="7341"/>
        <item m="1" x="381"/>
        <item m="1" x="1387"/>
        <item m="1" x="2390"/>
        <item m="1" x="3413"/>
        <item m="1" x="4433"/>
        <item m="1" x="5437"/>
        <item m="1" x="6442"/>
        <item m="1" x="7463"/>
        <item m="1" x="504"/>
        <item m="1" x="1511"/>
        <item m="1" x="2515"/>
        <item m="1" x="3537"/>
        <item m="1" x="4552"/>
        <item m="1" x="5557"/>
        <item m="1" x="6564"/>
        <item m="1" x="7585"/>
        <item m="1" x="625"/>
        <item m="1" x="1634"/>
        <item m="1" x="2637"/>
        <item m="1" x="3661"/>
        <item m="1" x="4671"/>
        <item m="1" x="5679"/>
        <item m="1" x="6691"/>
        <item m="1" x="7710"/>
        <item m="1" x="746"/>
        <item m="1" x="1752"/>
        <item m="1" x="2758"/>
        <item m="1" x="3785"/>
        <item m="1" x="4795"/>
        <item m="1" x="5801"/>
        <item m="1" x="6814"/>
        <item m="1" x="7833"/>
        <item m="1" x="868"/>
        <item m="1" x="1871"/>
        <item m="1" x="2881"/>
        <item m="1" x="3913"/>
        <item m="1" x="4916"/>
        <item m="1" x="5921"/>
        <item m="1" x="6934"/>
        <item m="1" x="7953"/>
        <item m="1" x="990"/>
        <item m="1" x="1994"/>
        <item m="1" x="3004"/>
        <item m="1" x="4037"/>
        <item m="1" x="5035"/>
        <item m="1" x="6044"/>
        <item m="1" x="7057"/>
        <item m="1" x="108"/>
        <item m="1" x="1112"/>
        <item m="1" x="2116"/>
        <item m="1" x="3128"/>
        <item m="1" x="4156"/>
        <item m="1" x="5155"/>
        <item m="1" x="6168"/>
        <item m="1" x="7185"/>
        <item m="1" x="230"/>
        <item m="1" x="1233"/>
        <item m="1" x="2235"/>
        <item m="1" x="3252"/>
        <item m="1" x="4279"/>
        <item m="1" x="5280"/>
        <item m="1" x="44"/>
        <item m="1" x="1057"/>
        <item m="1" x="2057"/>
        <item m="1" x="3070"/>
        <item m="1" x="4094"/>
        <item m="1" x="5099"/>
        <item m="1" x="6106"/>
        <item m="1" x="7122"/>
        <item m="1" x="167"/>
        <item m="1" x="1177"/>
        <item m="1" x="2178"/>
        <item m="1" x="3192"/>
        <item m="1" x="4215"/>
        <item m="1" x="5222"/>
        <item m="1" x="6229"/>
        <item m="1" x="7248"/>
        <item m="1" x="289"/>
        <item m="1" x="1297"/>
        <item m="1" x="2298"/>
        <item m="1" x="3316"/>
        <item m="1" x="4338"/>
        <item m="1" x="5345"/>
        <item m="1" x="6352"/>
        <item m="1" x="7369"/>
        <item m="1" x="411"/>
        <item m="1" x="1417"/>
        <item m="1" x="2422"/>
        <item m="1" x="3440"/>
        <item m="1" x="4463"/>
        <item m="1" x="5466"/>
        <item m="1" x="6473"/>
        <item m="1" x="7489"/>
        <item m="1" x="533"/>
        <item m="1" x="1540"/>
        <item m="1" x="2544"/>
        <item m="1" x="3563"/>
        <item m="1" x="4579"/>
        <item m="1" x="5588"/>
        <item m="1" x="6596"/>
        <item m="1" x="7614"/>
        <item m="1" x="653"/>
        <item m="1" x="1663"/>
        <item m="1" x="2667"/>
        <item m="1" x="3688"/>
        <item m="1" x="4700"/>
        <item m="1" x="5707"/>
        <item m="1" x="6723"/>
        <item m="1" x="7736"/>
        <item m="1" x="775"/>
        <item m="1" x="1778"/>
        <item m="1" x="2789"/>
        <item m="1" x="3812"/>
        <item m="1" x="4824"/>
        <item m="1" x="5827"/>
        <item m="1" x="6845"/>
        <item m="1" x="7857"/>
        <item m="1" x="898"/>
        <item m="1" x="1900"/>
        <item m="1" x="2913"/>
        <item m="1" x="3939"/>
        <item m="1" x="4946"/>
        <item m="1" x="5949"/>
        <item m="1" x="6967"/>
        <item m="1" x="7980"/>
        <item m="1" x="1020"/>
        <item m="1" x="2023"/>
        <item m="1" x="3036"/>
        <item m="1" x="4064"/>
        <item m="1" x="5064"/>
        <item m="1" x="6071"/>
        <item m="1" x="7089"/>
        <item m="1" x="136"/>
        <item m="1" x="1142"/>
        <item m="1" x="2143"/>
        <item m="1" x="3159"/>
        <item m="1" x="4182"/>
        <item m="1" x="5186"/>
        <item m="1" x="6194"/>
        <item m="1" x="7215"/>
        <item m="1" x="255"/>
        <item m="1" x="1262"/>
        <item m="1" x="2262"/>
        <item m="1" x="3285"/>
        <item m="1" x="4305"/>
        <item m="1" x="5311"/>
        <item m="1" x="6315"/>
        <item m="1" x="7338"/>
        <item m="1" x="376"/>
        <item m="1" x="1383"/>
        <item m="1" x="2385"/>
        <item m="1" x="3410"/>
        <item m="1" x="4430"/>
        <item m="1" x="5434"/>
        <item m="1" x="6438"/>
        <item m="1" x="7460"/>
        <item m="1" x="500"/>
        <item m="1" x="1507"/>
        <item m="1" x="2511"/>
        <item m="1" x="3532"/>
        <item m="1" x="4549"/>
        <item m="1" x="5552"/>
        <item m="1" x="6560"/>
        <item m="1" x="7581"/>
        <item m="1" x="621"/>
        <item m="1" x="1630"/>
        <item m="1" x="2633"/>
        <item m="1" x="3657"/>
        <item m="1" x="4668"/>
        <item m="1" x="5675"/>
        <item m="1" x="6687"/>
        <item m="1" x="7706"/>
        <item m="1" x="742"/>
        <item m="1" x="1748"/>
        <item m="1" x="2753"/>
        <item m="1" x="3781"/>
        <item m="1" x="4792"/>
        <item m="1" x="5796"/>
        <item m="1" x="6810"/>
        <item m="1" x="7829"/>
        <item m="1" x="864"/>
        <item m="1" x="1866"/>
        <item m="1" x="2877"/>
        <item m="1" x="6626"/>
        <item m="1" x="7643"/>
        <item m="1" x="684"/>
        <item m="1" x="1691"/>
        <item m="1" x="2694"/>
        <item m="1" x="3716"/>
        <item m="1" x="4732"/>
        <item m="1" x="5736"/>
        <item m="1" x="6750"/>
        <item m="1" x="7764"/>
        <item m="1" x="806"/>
        <item m="1" x="1807"/>
        <item m="1" x="2819"/>
        <item m="1" x="3842"/>
        <item m="1" x="4856"/>
        <item m="1" x="5858"/>
        <item m="1" x="6874"/>
        <item m="1" x="7885"/>
        <item m="1" x="930"/>
        <item m="1" x="1930"/>
        <item m="1" x="2943"/>
        <item m="1" x="3968"/>
        <item m="1" x="4978"/>
        <item m="1" x="5979"/>
        <item m="1" x="6995"/>
        <item m="1" x="41"/>
        <item m="1" x="1050"/>
        <item m="1" x="2052"/>
        <item m="1" x="3064"/>
        <item m="1" x="4090"/>
        <item m="1" x="5093"/>
        <item m="1" x="6102"/>
        <item m="1" x="7117"/>
        <item m="1" x="163"/>
        <item m="1" x="1171"/>
        <item m="1" x="2173"/>
        <item m="1" x="3187"/>
        <item m="1" x="4210"/>
        <item m="1" x="5216"/>
        <item m="1" x="6225"/>
        <item m="1" x="7243"/>
        <item m="1" x="285"/>
        <item m="1" x="1291"/>
        <item m="1" x="2293"/>
        <item m="1" x="3311"/>
        <item m="1" x="4334"/>
        <item m="1" x="5339"/>
        <item m="1" x="6348"/>
        <item m="1" x="7364"/>
        <item m="1" x="407"/>
        <item m="1" x="1411"/>
        <item m="1" x="2418"/>
        <item m="1" x="3435"/>
        <item m="1" x="4459"/>
        <item m="1" x="5461"/>
        <item m="1" x="6470"/>
        <item m="1" x="7486"/>
        <item m="1" x="530"/>
        <item m="1" x="1536"/>
        <item m="1" x="2542"/>
        <item m="1" x="3560"/>
        <item m="1" x="4577"/>
        <item m="1" x="5584"/>
        <item m="1" x="6594"/>
        <item m="1" x="7611"/>
        <item m="1" x="651"/>
        <item m="1" x="1659"/>
        <item m="1" x="2665"/>
        <item m="1" x="3684"/>
        <item m="1" x="4696"/>
        <item m="1" x="5703"/>
        <item m="1" x="6720"/>
        <item m="1" x="7733"/>
        <item m="1" x="772"/>
        <item m="1" x="1774"/>
        <item m="1" x="2786"/>
        <item m="1" x="3808"/>
        <item m="1" x="4821"/>
        <item m="1" x="5823"/>
        <item m="1" x="6842"/>
        <item m="1" x="7854"/>
        <item m="1" x="895"/>
        <item m="1" x="1896"/>
        <item m="1" x="2910"/>
        <item m="1" x="3935"/>
        <item m="1" x="4942"/>
        <item m="1" x="5945"/>
        <item m="1" x="6962"/>
        <item m="1" x="7976"/>
        <item m="1" x="1017"/>
        <item m="1" x="2019"/>
        <item m="1" x="3033"/>
        <item m="1" x="4060"/>
        <item m="1" x="5061"/>
        <item m="1" x="6067"/>
        <item m="1" x="7086"/>
        <item m="1" x="133"/>
        <item m="1" x="1138"/>
        <item m="1" x="2139"/>
        <item m="1" x="3155"/>
        <item m="1" x="4178"/>
        <item m="1" x="5182"/>
        <item m="1" x="6190"/>
        <item m="1" x="7211"/>
        <item m="1" x="252"/>
        <item m="1" x="1258"/>
        <item m="1" x="2258"/>
        <item m="1" x="3281"/>
        <item m="1" x="4301"/>
        <item m="1" x="5307"/>
        <item m="1" x="6311"/>
        <item m="1" x="7334"/>
        <item m="1" x="373"/>
        <item m="1" x="1378"/>
        <item m="1" x="2381"/>
        <item m="1" x="3406"/>
        <item m="1" x="4426"/>
        <item m="1" x="5429"/>
        <item m="1" x="6433"/>
        <item m="1" x="7455"/>
        <item m="1" x="497"/>
        <item m="1" x="1501"/>
        <item m="1" x="4743"/>
        <item m="1" x="5245"/>
        <item m="1" x="5747"/>
        <item m="1" x="6252"/>
        <item m="1" x="6761"/>
        <item m="1" x="7269"/>
        <item m="1" x="7776"/>
        <item m="1" x="315"/>
        <item m="1" x="818"/>
        <item m="1" x="1319"/>
        <item m="1" x="1818"/>
        <item m="1" x="2321"/>
        <item m="1" x="2830"/>
        <item m="1" x="3339"/>
        <item m="1" x="3853"/>
        <item m="1" x="4364"/>
        <item m="1" x="4868"/>
        <item m="1" x="5367"/>
        <item m="1" x="5868"/>
        <item m="1" x="6375"/>
        <item m="1" x="6885"/>
        <item m="1" x="7389"/>
        <item m="1" x="7896"/>
        <item m="1" x="437"/>
        <item m="1" x="942"/>
        <item m="1" x="1440"/>
        <item m="1" x="1941"/>
        <item m="1" x="2446"/>
        <item m="1" x="2954"/>
        <item m="1" x="3463"/>
        <item m="1" x="3980"/>
        <item m="1" x="4489"/>
        <item m="1" x="4990"/>
        <item m="1" x="5491"/>
        <item m="1" x="5990"/>
        <item m="1" x="6498"/>
        <item m="1" x="7008"/>
        <item m="1" x="7513"/>
        <item m="1" x="53"/>
        <item m="1" x="560"/>
        <item m="1" x="1066"/>
        <item m="1" x="1567"/>
        <item m="1" x="2065"/>
        <item m="1" x="2570"/>
        <item m="1" x="3080"/>
        <item m="1" x="3588"/>
        <item m="1" x="4103"/>
        <item m="1" x="4606"/>
        <item m="1" x="5110"/>
        <item m="1" x="5613"/>
        <item m="1" x="6114"/>
        <item m="1" x="6622"/>
        <item m="1" x="7133"/>
        <item m="1" x="7638"/>
        <item m="1" x="175"/>
        <item m="1" x="678"/>
        <item m="1" x="1186"/>
        <item m="1" x="1686"/>
        <item m="1" x="2185"/>
        <item m="1" x="2689"/>
        <item m="1" x="3200"/>
        <item m="1" x="3712"/>
        <item m="1" x="4222"/>
        <item m="1" x="4726"/>
        <item m="1" x="5230"/>
        <item m="1" x="5731"/>
        <item m="1" x="6236"/>
        <item m="1" x="6745"/>
        <item m="1" x="7256"/>
        <item m="1" x="7759"/>
        <item m="1" x="297"/>
        <item m="1" x="800"/>
        <item m="1" x="1306"/>
        <item m="1" x="1803"/>
        <item m="1" x="2306"/>
        <item m="1" x="2814"/>
        <item m="1" x="3325"/>
        <item m="1" x="3838"/>
        <item m="1" x="4346"/>
        <item m="1" x="4850"/>
        <item m="1" x="5354"/>
        <item m="1" x="5853"/>
        <item m="1" x="6359"/>
        <item m="1" x="6869"/>
        <item m="1" x="7377"/>
        <item m="1" x="7880"/>
        <item m="1" x="418"/>
        <item m="1" x="924"/>
        <item m="1" x="1426"/>
        <item m="1" x="1925"/>
        <item m="1" x="2431"/>
        <item m="1" x="2938"/>
        <item m="1" x="3450"/>
        <item m="1" x="3964"/>
        <item m="1" x="4471"/>
        <item m="1" x="4971"/>
        <item m="1" x="5477"/>
        <item m="1" x="5975"/>
        <item m="1" x="6482"/>
        <item m="1" x="6989"/>
        <item m="1" x="7499"/>
        <item m="1" x="36"/>
        <item m="1" x="542"/>
        <item m="1" x="1044"/>
        <item m="1" x="1551"/>
        <item m="1" x="2049"/>
        <item m="1" x="2554"/>
        <item m="1" x="3060"/>
        <item m="1" x="3573"/>
        <item m="1" x="4088"/>
        <item m="1" x="4588"/>
        <item m="1" x="5089"/>
        <item m="1" x="5599"/>
        <item m="1" x="6100"/>
        <item m="1" x="6606"/>
        <item m="1" x="7114"/>
        <item m="1" x="7625"/>
        <item m="1" x="160"/>
        <item m="1" x="661"/>
        <item m="1" x="1167"/>
        <item m="1" x="1674"/>
        <item m="1" x="2170"/>
        <item m="1" x="2676"/>
        <item m="1" x="3184"/>
        <item m="1" x="3699"/>
        <item m="1" x="4208"/>
        <item m="1" x="4709"/>
        <item m="1" x="5212"/>
        <item m="1" x="5719"/>
        <item m="1" x="6223"/>
        <item m="1" x="6731"/>
        <item m="1" x="7239"/>
        <item m="1" x="7746"/>
        <item m="1" x="282"/>
        <item m="1" x="784"/>
        <item m="1" x="1287"/>
        <item m="1" x="1790"/>
        <item m="1" x="2291"/>
        <item m="1" x="2798"/>
        <item m="1" x="3308"/>
        <item m="1" x="3823"/>
        <item m="1" x="4331"/>
        <item m="1" x="4835"/>
        <item m="1" x="5335"/>
        <item m="1" x="5840"/>
        <item m="1" x="6345"/>
        <item m="1" x="6854"/>
        <item m="1" x="7360"/>
        <item m="1" x="7867"/>
        <item m="1" x="403"/>
        <item m="1" x="906"/>
        <item m="1" x="1407"/>
        <item m="1" x="1912"/>
        <item m="1" x="2414"/>
        <item m="1" x="2922"/>
        <item m="1" x="3432"/>
        <item m="1" x="3949"/>
        <item m="1" x="4455"/>
        <item m="1" x="4954"/>
        <item m="1" x="5457"/>
        <item m="1" x="5961"/>
        <item m="1" x="6467"/>
        <item m="1" x="6975"/>
        <item m="1" x="7482"/>
        <item m="1" x="7991"/>
        <item m="1" x="526"/>
        <item m="1" x="1029"/>
        <item m="1" x="1532"/>
        <item m="1" x="2035"/>
        <item m="1" x="2539"/>
        <item m="1" x="3046"/>
        <item m="1" x="3557"/>
        <item m="1" x="4074"/>
        <item m="1" x="4574"/>
        <item m="1" x="5073"/>
        <item m="1" x="5579"/>
        <item m="1" x="6084"/>
        <item m="1" x="6590"/>
        <item m="1" x="7099"/>
        <item m="1" x="7607"/>
        <item m="1" x="147"/>
        <item m="1" x="648"/>
        <item m="1" x="1151"/>
        <item m="1" x="1655"/>
        <item m="1" x="2156"/>
        <item m="1" x="2661"/>
        <item m="1" x="3168"/>
        <item m="1" x="3681"/>
        <item m="1" x="4192"/>
        <item m="1" x="4693"/>
        <item m="1" x="5195"/>
        <item m="1" x="5699"/>
        <item m="1" x="6205"/>
        <item m="1" x="6716"/>
        <item m="1" x="7223"/>
        <item m="1" x="7729"/>
        <item m="1" x="265"/>
        <item m="1" x="768"/>
        <item m="1" x="1270"/>
        <item m="1" x="1770"/>
        <item m="1" x="2272"/>
        <item m="1" x="2782"/>
        <item m="1" x="3292"/>
        <item m="1" x="3805"/>
        <item m="1" x="4313"/>
        <item m="1" x="4817"/>
        <item m="1" x="5319"/>
        <item m="1" x="5819"/>
        <item m="1" x="6325"/>
        <item m="1" x="6838"/>
        <item m="1" x="7345"/>
        <item m="1" x="7850"/>
        <item m="1" x="386"/>
        <item m="1" x="891"/>
        <item m="1" x="1391"/>
        <item m="1" x="1891"/>
        <item m="1" x="2396"/>
        <item m="1" x="2905"/>
        <item m="1" x="3417"/>
        <item m="1" x="3932"/>
        <item m="1" x="4439"/>
        <item m="1" x="4937"/>
        <item m="1" x="5441"/>
        <item m="1" x="5941"/>
        <item m="1" x="6448"/>
        <item m="1" x="6958"/>
        <item m="1" x="7467"/>
        <item m="1" x="7972"/>
        <item m="1" x="509"/>
        <item m="1" x="1012"/>
        <item m="1" x="1516"/>
        <item m="1" x="2015"/>
        <item m="1" x="2521"/>
        <item m="1" x="3029"/>
        <item m="1" x="3542"/>
        <item m="1" x="4057"/>
        <item m="1" x="4558"/>
        <item m="1" x="5056"/>
        <item m="1" x="5563"/>
        <item m="1" x="6063"/>
        <item m="1" x="6570"/>
        <item m="1" x="7082"/>
        <item m="1" x="7591"/>
        <item m="1" x="128"/>
        <item m="1" x="3351"/>
        <item m="1" x="3870"/>
        <item m="1" x="4376"/>
        <item m="1" x="4878"/>
        <item m="1" x="5378"/>
        <item m="1" x="5880"/>
        <item m="1" x="6385"/>
        <item m="1" x="6894"/>
        <item m="1" x="7400"/>
        <item m="1" x="7909"/>
        <item m="1" x="447"/>
        <item m="1" x="951"/>
        <item m="1" x="1450"/>
        <item m="1" x="1951"/>
        <item m="1" x="2457"/>
        <item m="1" x="2962"/>
        <item m="1" x="3474"/>
        <item m="1" x="3993"/>
        <item m="1" x="4500"/>
        <item m="1" x="4999"/>
        <item m="1" x="5501"/>
        <item m="1" x="6001"/>
        <item m="1" x="6509"/>
        <item m="1" x="7016"/>
        <item m="1" x="7526"/>
        <item m="1" x="66"/>
        <item m="1" x="572"/>
        <item m="1" x="1075"/>
        <item m="1" x="1576"/>
        <item m="1" x="2076"/>
        <item m="1" x="2581"/>
        <item m="1" x="3088"/>
        <item m="1" x="3599"/>
        <item m="1" x="4116"/>
        <item m="1" x="4617"/>
        <item m="1" x="5118"/>
        <item m="1" x="5623"/>
        <item m="1" x="6126"/>
        <item m="1" x="6634"/>
        <item m="1" x="7143"/>
        <item m="1" x="7650"/>
        <item m="1" x="189"/>
        <item m="1" x="692"/>
        <item m="1" x="1196"/>
        <item m="1" x="1698"/>
        <item m="1" x="2197"/>
        <item m="1" x="2702"/>
        <item m="1" x="3211"/>
        <item m="1" x="3724"/>
        <item m="1" x="4236"/>
        <item m="1" x="4740"/>
        <item m="1" x="5241"/>
        <item m="1" x="5743"/>
        <item m="1" x="6247"/>
        <item m="1" x="6757"/>
        <item m="1" x="7265"/>
        <item m="1" x="7771"/>
        <item m="1" x="309"/>
        <item m="1" x="814"/>
        <item m="1" x="1314"/>
        <item m="1" x="1813"/>
        <item m="1" x="2316"/>
        <item m="1" x="2826"/>
        <item m="1" x="3334"/>
        <item m="1" x="3848"/>
        <item m="1" x="4358"/>
        <item m="1" x="4863"/>
        <item m="1" x="5361"/>
        <item m="1" x="5864"/>
        <item m="1" x="6369"/>
        <item m="1" x="6881"/>
        <item m="1" x="7385"/>
        <item m="1" x="7891"/>
        <item m="1" x="431"/>
        <item m="1" x="938"/>
        <item m="1" x="1435"/>
        <item m="1" x="1936"/>
        <item m="1" x="2441"/>
        <item m="1" x="2950"/>
        <item m="1" x="3458"/>
        <item m="1" x="3975"/>
        <item m="1" x="4483"/>
        <item m="1" x="4986"/>
        <item m="1" x="5486"/>
        <item m="1" x="5986"/>
        <item m="1" x="6493"/>
        <item m="1" x="7003"/>
        <item m="1" x="7509"/>
        <item m="1" x="48"/>
        <item m="1" x="554"/>
        <item m="1" x="1061"/>
        <item m="1" x="1563"/>
        <item m="1" x="2060"/>
        <item m="1" x="2565"/>
        <item m="1" x="3075"/>
        <item m="1" x="3583"/>
        <item m="1" x="4097"/>
        <item m="1" x="4600"/>
        <item m="1" x="5104"/>
        <item m="1" x="5608"/>
        <item m="1" x="6110"/>
        <item m="1" x="6617"/>
        <item m="1" x="7127"/>
        <item m="1" x="7635"/>
        <item m="1" x="170"/>
        <item m="1" x="674"/>
        <item m="1" x="1181"/>
        <item m="1" x="1684"/>
        <item m="1" x="2181"/>
        <item m="1" x="2686"/>
        <item m="1" x="3196"/>
        <item m="1" x="3709"/>
        <item m="1" x="4218"/>
        <item m="1" x="4722"/>
        <item m="1" x="5226"/>
        <item m="1" x="5729"/>
        <item m="1" x="6233"/>
        <item m="1" x="6742"/>
        <item m="1" x="7252"/>
        <item m="1" x="7757"/>
        <item m="1" x="293"/>
        <item m="1" x="796"/>
        <item m="1" x="1302"/>
        <item m="1" x="1801"/>
        <item m="1" x="2302"/>
        <item m="1" x="2810"/>
        <item m="1" x="3321"/>
        <item m="1" x="3835"/>
        <item m="1" x="4341"/>
        <item m="1" x="4846"/>
        <item m="1" x="5350"/>
        <item m="1" x="5850"/>
        <item m="1" x="6356"/>
        <item m="1" x="6866"/>
        <item m="1" x="7373"/>
        <item m="1" x="7877"/>
        <item m="1" x="414"/>
        <item m="1" x="918"/>
        <item m="1" x="1422"/>
        <item m="1" x="1922"/>
        <item m="1" x="2427"/>
        <item m="1" x="2932"/>
        <item m="1" x="3446"/>
        <item m="1" x="3960"/>
        <item m="1" x="4468"/>
        <item m="1" x="4966"/>
        <item m="1" x="5473"/>
        <item m="1" x="5972"/>
        <item m="1" x="6479"/>
        <item m="1" x="6985"/>
        <item m="1" x="7495"/>
        <item m="1" x="33"/>
        <item m="1" x="539"/>
        <item m="1" x="1039"/>
        <item m="1" x="1547"/>
        <item m="1" x="2046"/>
        <item m="1" x="2550"/>
        <item m="1" x="3055"/>
        <item m="1" x="3569"/>
        <item m="1" x="4084"/>
        <item m="1" x="4584"/>
        <item m="1" x="5084"/>
        <item m="1" x="5595"/>
        <item m="1" x="6096"/>
        <item m="1" x="6602"/>
        <item m="1" x="7110"/>
        <item m="1" x="7620"/>
        <item m="1" x="157"/>
        <item m="1" x="658"/>
        <item m="1" x="1162"/>
        <item m="1" x="1670"/>
        <item m="1" x="2167"/>
        <item m="1" x="2672"/>
        <item m="1" x="3178"/>
        <item m="1" x="3694"/>
        <item m="1" x="4204"/>
        <item m="1" x="4705"/>
        <item m="1" x="5206"/>
        <item m="1" x="5714"/>
        <item m="1" x="6220"/>
        <item m="1" x="6728"/>
        <item m="1" x="7235"/>
        <item m="1" x="7742"/>
        <item m="1" x="279"/>
        <item m="1" x="781"/>
        <item m="1" x="1282"/>
        <item m="1" x="1785"/>
        <item m="1" x="2288"/>
        <item m="1" x="2794"/>
        <item m="1" x="3303"/>
        <item m="1" x="3818"/>
        <item m="1" x="4327"/>
        <item m="1" x="4829"/>
        <item m="1" x="5330"/>
        <item m="1" x="5833"/>
        <item m="1" x="6340"/>
        <item m="1" x="6849"/>
        <item m="1" x="7356"/>
        <item m="1" x="7861"/>
        <item m="1" x="398"/>
        <item m="1" x="901"/>
        <item m="1" x="1402"/>
        <item m="1" x="1905"/>
        <item m="1" x="2409"/>
        <item m="1" x="2916"/>
        <item m="1" x="3427"/>
        <item m="1" x="3943"/>
        <item m="1" x="4451"/>
        <item m="1" x="4949"/>
        <item m="1" x="5452"/>
        <item m="1" x="5954"/>
        <item m="1" x="6463"/>
        <item m="1" x="6970"/>
        <item m="1" x="7478"/>
        <item m="1" x="7985"/>
        <item m="1" x="522"/>
        <item m="1" x="1024"/>
        <item m="1" x="1527"/>
        <item m="1" x="2028"/>
        <item m="1" x="2535"/>
        <item m="1" x="3040"/>
        <item m="1" x="3552"/>
        <item m="1" x="4068"/>
        <item m="1" x="4570"/>
        <item m="1" x="5067"/>
        <item m="1" x="5573"/>
        <item m="1" x="6077"/>
        <item m="1" x="6584"/>
        <item m="1" x="7093"/>
        <item m="1" x="7603"/>
        <item m="1" x="141"/>
        <item m="1" x="643"/>
        <item m="1" x="1146"/>
        <item m="1" x="1650"/>
        <item m="1" x="2148"/>
        <item m="1" x="2656"/>
        <item m="1" x="3163"/>
        <item m="1" x="3676"/>
        <item m="1" x="4186"/>
        <item m="1" x="4688"/>
        <item m="1" x="5190"/>
        <item m="1" x="5694"/>
        <item m="1" x="6199"/>
        <item m="1" x="6710"/>
        <item m="1" x="1463"/>
        <item m="1" x="1963"/>
        <item m="1" x="2469"/>
        <item m="1" x="2975"/>
        <item m="1" x="3488"/>
        <item m="1" x="4006"/>
        <item m="1" x="4509"/>
        <item m="1" x="5009"/>
        <item m="1" x="5511"/>
        <item m="1" x="6012"/>
        <item m="1" x="6517"/>
        <item m="1" x="7026"/>
        <item m="1" x="7539"/>
        <item m="1" x="77"/>
        <item m="1" x="580"/>
        <item m="1" x="1085"/>
        <item m="1" x="1587"/>
        <item m="1" x="2086"/>
        <item m="1" x="2590"/>
        <item m="1" x="3099"/>
        <item m="1" x="3612"/>
        <item m="1" x="4126"/>
        <item m="1" x="4626"/>
        <item m="1" x="5129"/>
        <item m="1" x="5634"/>
        <item m="1" x="6136"/>
        <item m="1" x="6643"/>
        <item m="1" x="7154"/>
        <item m="1" x="7663"/>
        <item m="1" x="200"/>
        <item m="1" x="701"/>
        <item m="1" x="1206"/>
        <item m="1" x="1709"/>
        <item m="1" x="2207"/>
        <item m="1" x="2711"/>
        <item m="1" x="3223"/>
        <item m="1" x="3738"/>
        <item m="1" x="4249"/>
        <item m="1" x="4750"/>
        <item m="1" x="5252"/>
        <item m="1" x="5756"/>
        <item m="1" x="6260"/>
        <item m="1" x="6768"/>
        <item m="1" x="7276"/>
        <item m="1" x="7787"/>
        <item m="1" x="323"/>
        <item m="1" x="824"/>
        <item m="1" x="1326"/>
        <item m="1" x="1826"/>
        <item m="1" x="2329"/>
        <item m="1" x="2837"/>
        <item m="1" x="3346"/>
        <item m="1" x="3863"/>
        <item m="1" x="4372"/>
        <item m="1" x="4873"/>
        <item m="1" x="5373"/>
        <item m="1" x="5875"/>
        <item m="1" x="6382"/>
        <item m="1" x="6890"/>
        <item m="1" x="7396"/>
        <item m="1" x="7904"/>
        <item m="1" x="444"/>
        <item m="1" x="947"/>
        <item m="1" x="1447"/>
        <item m="1" x="1947"/>
        <item m="1" x="2454"/>
        <item m="1" x="2959"/>
        <item m="1" x="3470"/>
        <item m="1" x="3988"/>
        <item m="1" x="4497"/>
        <item m="1" x="4995"/>
        <item m="1" x="5497"/>
        <item m="1" x="5997"/>
        <item m="1" x="6506"/>
        <item m="1" x="7012"/>
        <item m="1" x="7521"/>
        <item m="1" x="61"/>
        <item m="1" x="568"/>
        <item m="1" x="1070"/>
        <item m="1" x="1573"/>
        <item m="1" x="2072"/>
        <item m="1" x="2577"/>
        <item m="1" x="3085"/>
        <item m="1" x="3595"/>
        <item m="1" x="4111"/>
        <item m="1" x="4614"/>
        <item m="1" x="5114"/>
        <item m="1" x="5619"/>
        <item m="1" x="6122"/>
        <item m="1" x="6630"/>
        <item m="1" x="7139"/>
        <item m="1" x="7646"/>
        <item m="1" x="184"/>
        <item m="1" x="688"/>
        <item m="1" x="1193"/>
        <item m="1" x="1695"/>
        <item m="1" x="2193"/>
        <item m="1" x="2698"/>
        <item m="1" x="3208"/>
        <item m="1" x="3720"/>
        <item m="1" x="4231"/>
        <item m="1" x="4736"/>
        <item m="1" x="5238"/>
        <item m="1" x="5739"/>
        <item m="1" x="6244"/>
        <item m="1" x="6754"/>
        <item m="1" x="7263"/>
        <item m="1" x="7767"/>
        <item m="1" x="306"/>
        <item m="1" x="810"/>
        <item m="1" x="1312"/>
        <item m="1" x="1811"/>
        <item m="1" x="2314"/>
        <item m="1" x="2823"/>
        <item m="1" x="3332"/>
        <item m="1" x="3845"/>
        <item m="1" x="4355"/>
        <item m="1" x="4860"/>
        <item m="1" x="5360"/>
        <item m="1" x="5861"/>
        <item m="1" x="6367"/>
        <item m="1" x="6878"/>
        <item m="1" x="7383"/>
        <item m="1" x="7888"/>
        <item m="1" x="428"/>
        <item m="1" x="935"/>
        <item m="1" x="1434"/>
        <item m="1" x="1934"/>
        <item m="1" x="2439"/>
        <item m="1" x="2947"/>
        <item m="1" x="3457"/>
        <item m="1" x="3972"/>
        <item m="1" x="4480"/>
        <item m="1" x="4983"/>
        <item m="1" x="5485"/>
        <item m="1" x="5983"/>
        <item m="1" x="6490"/>
        <item m="1" x="7000"/>
        <item m="1" x="7506"/>
        <item m="1" x="45"/>
        <item m="1" x="550"/>
        <item m="1" x="1058"/>
        <item m="1" x="1560"/>
        <item m="1" x="2058"/>
        <item m="1" x="2562"/>
        <item m="1" x="3071"/>
        <item m="1" x="3581"/>
        <item m="1" x="4095"/>
        <item m="1" x="4596"/>
        <item m="1" x="5100"/>
        <item m="1" x="5606"/>
        <item m="1" x="6107"/>
        <item m="1" x="6613"/>
        <item m="1" x="7123"/>
        <item m="1" x="7632"/>
        <item m="1" x="168"/>
        <item m="1" x="670"/>
        <item m="1" x="1178"/>
        <item m="1" x="1682"/>
        <item m="1" x="2179"/>
        <item m="1" x="2683"/>
        <item m="1" x="3193"/>
        <item m="1" x="3707"/>
        <item m="1" x="4216"/>
        <item m="1" x="4718"/>
        <item m="1" x="5223"/>
        <item m="1" x="5727"/>
        <item m="1" x="6230"/>
        <item m="1" x="6738"/>
        <item m="1" x="7249"/>
        <item m="1" x="7754"/>
        <item m="1" x="290"/>
        <item m="1" x="792"/>
        <item m="1" x="1298"/>
        <item m="1" x="1797"/>
        <item m="1" x="2299"/>
        <item m="1" x="2806"/>
        <item m="1" x="3317"/>
        <item m="1" x="3831"/>
        <item m="1" x="4339"/>
        <item m="1" x="4842"/>
        <item m="1" x="5346"/>
        <item m="1" x="5848"/>
        <item m="1" x="6353"/>
        <item m="1" x="6861"/>
        <item m="1" x="7370"/>
        <item m="1" x="7875"/>
        <item m="1" x="412"/>
        <item m="1" x="914"/>
        <item m="1" x="1418"/>
        <item m="1" x="1920"/>
        <item m="1" x="2423"/>
        <item m="1" x="2929"/>
        <item m="1" x="3441"/>
        <item m="1" x="3957"/>
        <item m="1" x="4464"/>
        <item m="1" x="4962"/>
        <item m="1" x="5467"/>
        <item m="1" x="5969"/>
        <item m="1" x="6474"/>
        <item m="1" x="6981"/>
        <item m="1" x="7490"/>
        <item m="1" x="7998"/>
        <item m="1" x="534"/>
        <item m="1" x="1035"/>
        <item m="1" x="1541"/>
        <item m="1" x="2042"/>
        <item m="1" x="2545"/>
        <item m="1" x="3052"/>
        <item m="1" x="3564"/>
        <item m="1" x="4081"/>
        <item m="1" x="4580"/>
        <item m="1" x="5080"/>
        <item m="1" x="5589"/>
        <item m="1" x="6093"/>
        <item m="1" x="6597"/>
        <item m="1" x="7106"/>
        <item m="1" x="7615"/>
        <item m="1" x="154"/>
        <item m="1" x="654"/>
        <item m="1" x="1158"/>
        <item m="1" x="1664"/>
        <item m="1" x="2164"/>
        <item m="1" x="2668"/>
        <item m="1" x="3175"/>
        <item m="1" x="3689"/>
        <item m="1" x="4200"/>
        <item m="1" x="4701"/>
        <item m="1" x="5202"/>
        <item m="1" x="5708"/>
        <item m="1" x="6216"/>
        <item m="1" x="6724"/>
        <item m="1" x="7231"/>
        <item m="1" x="7737"/>
        <item m="1" x="275"/>
        <item m="1" x="776"/>
        <item m="1" x="1277"/>
        <item m="1" x="1779"/>
        <item m="1" x="2283"/>
        <item m="1" x="2790"/>
        <item m="1" x="3300"/>
        <item m="1" x="3813"/>
        <item m="1" x="4322"/>
        <item m="1" x="4825"/>
        <item m="1" x="88"/>
        <item m="1" x="593"/>
        <item m="1" x="1097"/>
        <item m="1" x="1599"/>
        <item m="1" x="2096"/>
        <item m="1" x="2602"/>
        <item m="1" x="3112"/>
        <item m="1" x="3623"/>
        <item m="1" x="4135"/>
        <item m="1" x="4638"/>
        <item m="1" x="5140"/>
        <item m="1" x="5644"/>
        <item m="1" x="6146"/>
        <item m="1" x="6654"/>
        <item m="1" x="7167"/>
        <item m="1" x="7674"/>
        <item m="1" x="209"/>
        <item m="1" x="712"/>
        <item m="1" x="1217"/>
        <item m="1" x="1719"/>
        <item m="1" x="2215"/>
        <item m="1" x="2722"/>
        <item m="1" x="3236"/>
        <item m="1" x="3749"/>
        <item m="1" x="4257"/>
        <item m="1" x="4762"/>
        <item m="1" x="5263"/>
        <item m="1" x="5766"/>
        <item m="1" x="6268"/>
        <item m="1" x="6779"/>
        <item m="1" x="7289"/>
        <item m="1" x="7798"/>
        <item m="1" x="332"/>
        <item m="1" x="836"/>
        <item m="1" x="1337"/>
        <item m="1" x="1838"/>
        <item m="1" x="2338"/>
        <item m="1" x="2847"/>
        <item m="1" x="3361"/>
        <item m="1" x="3878"/>
        <item m="1" x="4383"/>
        <item m="1" x="4886"/>
        <item m="1" x="5386"/>
        <item m="1" x="5889"/>
        <item m="1" x="6392"/>
        <item m="1" x="6902"/>
        <item m="1" x="7410"/>
        <item m="1" x="7919"/>
        <item m="1" x="454"/>
        <item m="1" x="958"/>
        <item m="1" x="1459"/>
        <item m="1" x="1960"/>
        <item m="1" x="2464"/>
        <item m="1" x="2970"/>
        <item m="1" x="3482"/>
        <item m="1" x="4001"/>
        <item m="1" x="4504"/>
        <item m="1" x="5006"/>
        <item m="1" x="5507"/>
        <item m="1" x="6008"/>
        <item m="1" x="6514"/>
        <item m="1" x="7022"/>
        <item m="1" x="7534"/>
        <item m="1" x="73"/>
        <item m="1" x="576"/>
        <item m="1" x="1081"/>
        <item m="1" x="1583"/>
        <item m="1" x="2083"/>
        <item m="1" x="2586"/>
        <item m="1" x="3095"/>
        <item m="1" x="3607"/>
        <item m="1" x="4123"/>
        <item m="1" x="4622"/>
        <item m="1" x="5126"/>
        <item m="1" x="5630"/>
        <item m="1" x="6133"/>
        <item m="1" x="6640"/>
        <item m="1" x="7150"/>
        <item m="1" x="7658"/>
        <item m="1" x="197"/>
        <item m="1" x="697"/>
        <item m="1" x="1202"/>
        <item m="1" x="1705"/>
        <item m="1" x="2204"/>
        <item m="1" x="2707"/>
        <item m="1" x="3218"/>
        <item m="1" x="3733"/>
        <item m="1" x="4244"/>
        <item m="1" x="4746"/>
        <item m="1" x="5249"/>
        <item m="1" x="5752"/>
        <item m="1" x="6256"/>
        <item m="1" x="6765"/>
        <item m="1" x="7272"/>
        <item m="1" x="7781"/>
        <item m="1" x="319"/>
        <item m="1" x="821"/>
        <item m="1" x="1322"/>
        <item m="1" x="1822"/>
        <item m="1" x="2325"/>
        <item m="1" x="2833"/>
        <item m="1" x="3342"/>
        <item m="1" x="3858"/>
        <item m="1" x="4368"/>
        <item m="1" x="4871"/>
        <item m="1" x="5371"/>
        <item m="1" x="5873"/>
        <item m="1" x="6379"/>
        <item m="1" x="6889"/>
        <item m="1" x="7393"/>
        <item m="1" x="7901"/>
        <item m="1" x="441"/>
        <item m="1" x="946"/>
        <item m="1" x="1444"/>
        <item m="1" x="1945"/>
        <item m="1" x="2451"/>
        <item m="1" x="2957"/>
        <item m="1" x="3466"/>
        <item m="1" x="3985"/>
        <item m="1" x="4493"/>
        <item m="1" x="4993"/>
        <item m="1" x="5495"/>
        <item m="1" x="5995"/>
        <item m="1" x="6502"/>
        <item m="1" x="7011"/>
        <item m="1" x="7518"/>
        <item m="1" x="58"/>
        <item m="1" x="565"/>
        <item m="1" x="1069"/>
        <item m="1" x="1570"/>
        <item m="1" x="2069"/>
        <item m="1" x="2574"/>
        <item m="1" x="3083"/>
        <item m="1" x="3591"/>
        <item m="1" x="4108"/>
        <item m="1" x="4611"/>
        <item m="1" x="5113"/>
        <item m="1" x="5617"/>
        <item m="1" x="6119"/>
        <item m="1" x="6627"/>
        <item m="1" x="7137"/>
        <item m="1" x="7644"/>
        <item m="1" x="180"/>
        <item m="1" x="685"/>
        <item m="1" x="1191"/>
        <item m="1" x="1692"/>
        <item m="1" x="2189"/>
        <item m="1" x="2695"/>
        <item m="1" x="3205"/>
        <item m="1" x="3717"/>
        <item m="1" x="4227"/>
        <item m="1" x="4733"/>
        <item m="1" x="5235"/>
        <item m="1" x="5737"/>
        <item m="1" x="6241"/>
        <item m="1" x="6751"/>
        <item m="1" x="7260"/>
        <item m="1" x="7765"/>
        <item m="1" x="302"/>
        <item m="1" x="807"/>
        <item m="1" x="1310"/>
        <item m="1" x="1808"/>
        <item m="1" x="2310"/>
        <item m="1" x="2820"/>
        <item m="1" x="3329"/>
        <item m="1" x="3843"/>
        <item m="1" x="4351"/>
        <item m="1" x="4857"/>
        <item m="1" x="5358"/>
        <item m="1" x="5859"/>
        <item m="1" x="6364"/>
        <item m="1" x="6875"/>
        <item m="1" x="7381"/>
        <item m="1" x="7886"/>
        <item m="1" x="424"/>
        <item m="1" x="931"/>
        <item m="1" x="1432"/>
        <item m="1" x="1931"/>
        <item m="1" x="2435"/>
        <item m="1" x="2944"/>
        <item m="1" x="3455"/>
        <item m="1" x="3969"/>
        <item m="1" x="4476"/>
        <item m="1" x="4979"/>
        <item m="1" x="5482"/>
        <item m="1" x="5980"/>
        <item m="1" x="6487"/>
        <item m="1" x="6996"/>
        <item m="1" x="7504"/>
        <item m="1" x="42"/>
        <item m="1" x="547"/>
        <item m="1" x="1051"/>
        <item m="1" x="1557"/>
        <item m="1" x="2053"/>
        <item m="1" x="2558"/>
        <item m="1" x="3065"/>
        <item m="1" x="3578"/>
        <item m="1" x="4091"/>
        <item m="1" x="4592"/>
        <item m="1" x="5094"/>
        <item m="1" x="5603"/>
        <item m="1" x="6103"/>
        <item m="1" x="6610"/>
        <item m="1" x="7118"/>
        <item m="1" x="7629"/>
        <item m="1" x="164"/>
        <item m="1" x="666"/>
        <item m="1" x="1172"/>
        <item m="1" x="1679"/>
        <item m="1" x="2174"/>
        <item m="1" x="2679"/>
        <item m="1" x="3188"/>
        <item m="1" x="3704"/>
        <item m="1" x="4211"/>
        <item m="1" x="4713"/>
        <item m="1" x="5217"/>
        <item m="1" x="5723"/>
        <item m="1" x="6226"/>
        <item m="1" x="6735"/>
        <item m="1" x="7244"/>
        <item m="1" x="7750"/>
        <item m="1" x="286"/>
        <item m="1" x="788"/>
        <item m="1" x="1292"/>
        <item m="1" x="1794"/>
        <item m="1" x="2294"/>
        <item m="1" x="2801"/>
        <item m="1" x="3312"/>
        <item m="1" x="3827"/>
        <item m="1" x="4335"/>
        <item m="1" x="4838"/>
        <item m="1" x="5340"/>
        <item m="1" x="5844"/>
        <item m="1" x="6349"/>
        <item m="1" x="6858"/>
        <item m="1" x="7365"/>
        <item m="1" x="7871"/>
        <item m="1" x="408"/>
        <item m="1" x="910"/>
        <item m="1" x="1412"/>
        <item m="1" x="1916"/>
        <item m="1" x="2419"/>
        <item m="1" x="2925"/>
        <item m="1" x="3436"/>
        <item m="1" x="6159"/>
        <item m="1" x="6670"/>
        <item m="1" x="7179"/>
        <item m="1" x="7684"/>
        <item m="1" x="223"/>
        <item m="1" x="725"/>
        <item m="1" x="1227"/>
        <item m="1" x="1728"/>
        <item m="1" x="2226"/>
        <item m="1" x="2735"/>
        <item m="1" x="3246"/>
        <item m="1" x="3758"/>
        <item m="1" x="4271"/>
        <item m="1" x="4772"/>
        <item m="1" x="5274"/>
        <item m="1" x="5774"/>
        <item m="1" x="6279"/>
        <item m="1" x="6792"/>
        <item m="1" x="7300"/>
        <item m="1" x="7807"/>
        <item m="1" x="345"/>
        <item m="1" x="847"/>
        <item m="1" x="1348"/>
        <item m="1" x="1846"/>
        <item m="1" x="2350"/>
        <item m="1" x="2860"/>
        <item m="1" x="3373"/>
        <item m="1" x="3887"/>
        <item m="1" x="4396"/>
        <item m="1" x="4897"/>
        <item m="1" x="5397"/>
        <item m="1" x="5897"/>
        <item m="1" x="6403"/>
        <item m="1" x="6915"/>
        <item m="1" x="7421"/>
        <item m="1" x="7927"/>
        <item m="1" x="468"/>
        <item m="1" x="970"/>
        <item m="1" x="1471"/>
        <item m="1" x="1970"/>
        <item m="1" x="2477"/>
        <item m="1" x="2985"/>
        <item m="1" x="3496"/>
        <item m="1" x="4012"/>
        <item m="1" x="4518"/>
        <item m="1" x="5018"/>
        <item m="1" x="5519"/>
        <item m="1" x="6019"/>
        <item m="1" x="6525"/>
        <item m="1" x="7036"/>
        <item m="1" x="7547"/>
        <item m="1" x="84"/>
        <item m="1" x="589"/>
        <item m="1" x="1092"/>
        <item m="1" x="1595"/>
        <item m="1" x="2092"/>
        <item m="1" x="2597"/>
        <item m="1" x="3107"/>
        <item m="1" x="3620"/>
        <item m="1" x="4131"/>
        <item m="1" x="4634"/>
        <item m="1" x="5136"/>
        <item m="1" x="5641"/>
        <item m="1" x="6142"/>
        <item m="1" x="6650"/>
        <item m="1" x="7162"/>
        <item m="1" x="7670"/>
        <item m="1" x="204"/>
        <item m="1" x="709"/>
        <item m="1" x="1212"/>
        <item m="1" x="1716"/>
        <item m="1" x="2212"/>
        <item m="1" x="2718"/>
        <item m="1" x="3231"/>
        <item m="1" x="3746"/>
        <item m="1" x="4253"/>
        <item m="1" x="4758"/>
        <item m="1" x="5259"/>
        <item m="1" x="5763"/>
        <item m="1" x="6264"/>
        <item m="1" x="6775"/>
        <item m="1" x="7284"/>
        <item m="1" x="7795"/>
        <item m="1" x="328"/>
        <item m="1" x="833"/>
        <item m="1" x="1333"/>
        <item m="1" x="1834"/>
        <item m="1" x="2335"/>
        <item m="1" x="2843"/>
        <item m="1" x="3356"/>
        <item m="1" x="3874"/>
        <item m="1" x="4380"/>
        <item m="1" x="4882"/>
        <item m="1" x="5382"/>
        <item m="1" x="5885"/>
        <item m="1" x="6388"/>
        <item m="1" x="6897"/>
        <item m="1" x="7405"/>
        <item m="1" x="7914"/>
        <item m="1" x="450"/>
        <item m="1" x="955"/>
        <item m="1" x="1455"/>
        <item m="1" x="1955"/>
        <item m="1" x="2461"/>
        <item m="1" x="2966"/>
        <item m="1" x="3479"/>
        <item m="1" x="3997"/>
        <item m="1" x="4503"/>
        <item m="1" x="5003"/>
        <item m="1" x="5505"/>
        <item m="1" x="6005"/>
        <item m="1" x="6512"/>
        <item m="1" x="7019"/>
        <item m="1" x="7531"/>
        <item m="1" x="70"/>
        <item m="1" x="575"/>
        <item m="1" x="1079"/>
        <item m="1" x="1581"/>
        <item m="1" x="2080"/>
        <item m="1" x="2585"/>
        <item m="1" x="3092"/>
        <item m="1" x="3604"/>
        <item m="1" x="4120"/>
        <item m="1" x="4621"/>
        <item m="1" x="5123"/>
        <item m="1" x="5627"/>
        <item m="1" x="6130"/>
        <item m="1" x="6638"/>
        <item m="1" x="7146"/>
        <item m="1" x="7655"/>
        <item m="1" x="194"/>
        <item m="1" x="695"/>
        <item m="1" x="1200"/>
        <item m="1" x="1703"/>
        <item m="1" x="2201"/>
        <item m="1" x="2705"/>
        <item m="1" x="3215"/>
        <item m="1" x="3729"/>
        <item m="1" x="4241"/>
        <item m="1" x="4744"/>
        <item m="1" x="5246"/>
        <item m="1" x="5748"/>
        <item m="1" x="6253"/>
        <item m="1" x="6762"/>
        <item m="1" x="7270"/>
        <item m="1" x="7777"/>
        <item m="1" x="316"/>
        <item m="1" x="819"/>
        <item m="1" x="1320"/>
        <item m="1" x="1819"/>
        <item m="1" x="2322"/>
        <item m="1" x="2831"/>
        <item m="1" x="3340"/>
        <item m="1" x="3854"/>
        <item m="1" x="4365"/>
        <item m="1" x="4869"/>
        <item m="1" x="5368"/>
        <item m="1" x="5869"/>
        <item m="1" x="6376"/>
        <item m="1" x="6886"/>
        <item m="1" x="7390"/>
        <item m="1" x="7897"/>
        <item m="1" x="438"/>
        <item m="1" x="943"/>
        <item m="1" x="1441"/>
        <item m="1" x="1942"/>
        <item m="1" x="2447"/>
        <item m="1" x="2955"/>
        <item m="1" x="3464"/>
        <item m="1" x="3981"/>
        <item m="1" x="4490"/>
        <item m="1" x="4991"/>
        <item m="1" x="5492"/>
        <item m="1" x="5991"/>
        <item m="1" x="6499"/>
        <item m="1" x="7009"/>
        <item m="1" x="7514"/>
        <item m="1" x="54"/>
        <item m="1" x="561"/>
        <item m="1" x="1067"/>
        <item m="1" x="1568"/>
        <item m="1" x="2066"/>
        <item m="1" x="2571"/>
        <item m="1" x="3081"/>
        <item m="1" x="3589"/>
        <item m="1" x="4104"/>
        <item m="1" x="4607"/>
        <item m="1" x="5111"/>
        <item m="1" x="5614"/>
        <item m="1" x="6115"/>
        <item m="1" x="6623"/>
        <item m="1" x="7134"/>
        <item m="1" x="7639"/>
        <item m="1" x="176"/>
        <item m="1" x="679"/>
        <item m="1" x="1187"/>
        <item m="1" x="1687"/>
        <item m="1" x="2186"/>
        <item m="1" x="2690"/>
        <item m="1" x="3201"/>
        <item m="1" x="3713"/>
        <item m="1" x="4223"/>
        <item m="1" x="4727"/>
        <item m="1" x="5231"/>
        <item m="1" x="5732"/>
        <item m="1" x="6237"/>
        <item m="1" x="6746"/>
        <item m="1" x="7257"/>
        <item m="1" x="7760"/>
        <item m="1" x="298"/>
        <item m="1" x="801"/>
        <item m="1" x="1307"/>
        <item m="1" x="1804"/>
        <item m="1" x="2307"/>
        <item m="1" x="2815"/>
        <item m="1" x="3326"/>
        <item m="1" x="3839"/>
        <item m="1" x="4347"/>
        <item m="1" x="4851"/>
        <item m="1" x="5355"/>
        <item m="1" x="5854"/>
        <item m="1" x="6360"/>
        <item m="1" x="6870"/>
        <item m="1" x="7378"/>
        <item m="1" x="7881"/>
        <item m="1" x="419"/>
        <item m="1" x="925"/>
        <item m="1" x="1427"/>
        <item m="1" x="1926"/>
        <item m="1" x="2432"/>
        <item m="1" x="2939"/>
        <item m="1" x="3451"/>
        <item m="1" x="3965"/>
        <item m="1" x="4472"/>
        <item m="1" x="4972"/>
        <item m="1" x="5478"/>
        <item m="1" x="5976"/>
        <item m="1" x="6483"/>
        <item m="1" x="6990"/>
        <item m="1" x="7500"/>
        <item m="1" x="37"/>
        <item m="1" x="543"/>
        <item m="1" x="1045"/>
        <item m="1" x="1552"/>
        <item m="1" x="4786"/>
        <item m="1" x="5286"/>
        <item m="1" x="5787"/>
        <item m="1" x="6293"/>
        <item m="1" x="6805"/>
        <item m="1" x="7310"/>
        <item m="1" x="7820"/>
        <item m="1" x="355"/>
        <item m="1" x="858"/>
        <item m="1" x="1356"/>
        <item m="1" x="1857"/>
        <item m="1" x="2363"/>
        <item m="1" x="2871"/>
        <item m="1" x="3381"/>
        <item m="1" x="3900"/>
        <item m="1" x="4407"/>
        <item m="1" x="4907"/>
        <item m="1" x="5406"/>
        <item m="1" x="5909"/>
        <item m="1" x="6416"/>
        <item m="1" x="6926"/>
        <item m="1" x="7431"/>
        <item m="1" x="7942"/>
        <item m="1" x="480"/>
        <item m="1" x="981"/>
        <item m="1" x="1480"/>
        <item m="1" x="1981"/>
        <item m="1" x="2490"/>
        <item m="1" x="2996"/>
        <item m="1" x="3505"/>
        <item m="1" x="4025"/>
        <item m="1" x="4530"/>
        <item m="1" x="5028"/>
        <item m="1" x="5528"/>
        <item m="1" x="6031"/>
        <item m="1" x="6539"/>
        <item m="1" x="7049"/>
        <item m="1" x="7556"/>
        <item m="1" x="97"/>
        <item m="1" x="603"/>
        <item m="1" x="1105"/>
        <item m="1" x="1606"/>
        <item m="1" x="2104"/>
        <item m="1" x="2613"/>
        <item m="1" x="3120"/>
        <item m="1" x="3629"/>
        <item m="1" x="4144"/>
        <item m="1" x="4647"/>
        <item m="1" x="5148"/>
        <item m="1" x="5651"/>
        <item m="1" x="6154"/>
        <item m="1" x="6664"/>
        <item m="1" x="7175"/>
        <item m="1" x="7679"/>
        <item m="1" x="217"/>
        <item m="1" x="719"/>
        <item m="1" x="1224"/>
        <item m="1" x="1724"/>
        <item m="1" x="2222"/>
        <item m="1" x="2730"/>
        <item m="1" x="3243"/>
        <item m="1" x="3754"/>
        <item m="1" x="4266"/>
        <item m="1" x="4768"/>
        <item m="1" x="5271"/>
        <item m="1" x="5771"/>
        <item m="1" x="6275"/>
        <item m="1" x="6787"/>
        <item m="1" x="7297"/>
        <item m="1" x="7803"/>
        <item m="1" x="340"/>
        <item m="1" x="843"/>
        <item m="1" x="1345"/>
        <item m="1" x="1842"/>
        <item m="1" x="2345"/>
        <item m="1" x="2855"/>
        <item m="1" x="3369"/>
        <item m="1" x="3882"/>
        <item m="1" x="4391"/>
        <item m="1" x="4893"/>
        <item m="1" x="5393"/>
        <item m="1" x="5894"/>
        <item m="1" x="6399"/>
        <item m="1" x="6910"/>
        <item m="1" x="7418"/>
        <item m="1" x="7923"/>
        <item m="1" x="462"/>
        <item m="1" x="966"/>
        <item m="1" x="1467"/>
        <item m="1" x="1966"/>
        <item m="1" x="2472"/>
        <item m="1" x="2980"/>
        <item m="1" x="3492"/>
        <item m="1" x="4009"/>
        <item m="1" x="4513"/>
        <item m="1" x="5014"/>
        <item m="1" x="5515"/>
        <item m="1" x="6016"/>
        <item m="1" x="6521"/>
        <item m="1" x="7031"/>
        <item m="1" x="7543"/>
        <item m="1" x="81"/>
        <item m="1" x="584"/>
        <item m="1" x="1089"/>
        <item m="1" x="1591"/>
        <item m="1" x="2090"/>
        <item m="1" x="2593"/>
        <item m="1" x="3104"/>
        <item m="1" x="3616"/>
        <item m="1" x="4129"/>
        <item m="1" x="4630"/>
        <item m="1" x="5134"/>
        <item m="1" x="5638"/>
        <item m="1" x="6140"/>
        <item m="1" x="6647"/>
        <item m="1" x="7159"/>
        <item m="1" x="7667"/>
        <item m="1" x="203"/>
        <item m="1" x="705"/>
        <item m="1" x="1210"/>
        <item m="1" x="1713"/>
        <item m="1" x="2210"/>
        <item m="1" x="2714"/>
        <item m="1" x="3228"/>
        <item m="1" x="3743"/>
        <item m="1" x="4252"/>
        <item m="1" x="4754"/>
        <item m="1" x="5257"/>
        <item m="1" x="5760"/>
        <item m="1" x="6263"/>
        <item m="1" x="6772"/>
        <item m="1" x="7281"/>
        <item m="1" x="7792"/>
        <item m="1" x="327"/>
        <item m="1" x="829"/>
        <item m="1" x="1330"/>
        <item m="1" x="1831"/>
        <item m="1" x="2332"/>
        <item m="1" x="2840"/>
        <item m="1" x="3352"/>
        <item m="1" x="3871"/>
        <item m="1" x="4377"/>
        <item m="1" x="4879"/>
        <item m="1" x="5379"/>
        <item m="1" x="5881"/>
        <item m="1" x="6386"/>
        <item m="1" x="6895"/>
        <item m="1" x="7401"/>
        <item m="1" x="7910"/>
        <item m="1" x="448"/>
        <item m="1" x="952"/>
        <item m="1" x="1451"/>
        <item m="1" x="1952"/>
        <item m="1" x="2458"/>
        <item m="1" x="2963"/>
        <item m="1" x="3475"/>
        <item m="1" x="3994"/>
        <item m="1" x="4501"/>
        <item m="1" x="5000"/>
        <item m="1" x="5502"/>
        <item m="1" x="6002"/>
        <item m="1" x="6510"/>
        <item m="1" x="7017"/>
        <item m="1" x="7527"/>
        <item m="1" x="67"/>
        <item m="1" x="573"/>
        <item m="1" x="1076"/>
        <item m="1" x="1577"/>
        <item m="1" x="2077"/>
        <item m="1" x="2582"/>
        <item m="1" x="3089"/>
        <item m="1" x="3600"/>
        <item m="1" x="4117"/>
        <item m="1" x="4618"/>
        <item m="1" x="5119"/>
        <item m="1" x="5624"/>
        <item m="1" x="6127"/>
        <item m="1" x="6635"/>
        <item m="1" x="7144"/>
        <item m="1" x="7651"/>
        <item m="1" x="190"/>
        <item m="1" x="693"/>
        <item m="1" x="1197"/>
        <item m="1" x="1699"/>
        <item m="1" x="2198"/>
        <item m="1" x="2703"/>
        <item m="1" x="3212"/>
        <item m="1" x="3725"/>
        <item m="1" x="4237"/>
        <item m="1" x="4741"/>
        <item m="1" x="5242"/>
        <item m="1" x="5744"/>
        <item m="1" x="6248"/>
        <item m="1" x="6758"/>
        <item m="1" x="7266"/>
        <item m="1" x="7772"/>
        <item m="1" x="310"/>
        <item m="1" x="815"/>
        <item m="1" x="1315"/>
        <item m="1" x="1814"/>
        <item m="1" x="2317"/>
        <item m="1" x="2827"/>
        <item m="1" x="3335"/>
        <item m="1" x="3849"/>
        <item m="1" x="4359"/>
        <item m="1" x="4864"/>
        <item m="1" x="5362"/>
        <item m="1" x="5865"/>
        <item m="1" x="6370"/>
        <item m="1" x="6882"/>
        <item m="1" x="7386"/>
        <item m="1" x="7892"/>
        <item m="1" x="432"/>
        <item m="1" x="939"/>
        <item m="1" x="1436"/>
        <item m="1" x="1937"/>
        <item m="1" x="2442"/>
        <item m="1" x="2951"/>
        <item m="1" x="3459"/>
        <item m="1" x="3976"/>
        <item m="1" x="4484"/>
        <item m="1" x="4987"/>
        <item m="1" x="5487"/>
        <item m="1" x="5987"/>
        <item m="1" x="6494"/>
        <item m="1" x="7004"/>
        <item m="1" x="7510"/>
        <item m="1" x="49"/>
        <item m="1" x="555"/>
        <item m="1" x="1062"/>
        <item m="1" x="1564"/>
        <item m="1" x="2061"/>
        <item m="1" x="2566"/>
        <item m="1" x="3076"/>
        <item m="1" x="3584"/>
        <item m="1" x="4098"/>
        <item m="1" x="4601"/>
        <item m="1" x="5105"/>
        <item m="1" x="5609"/>
        <item m="1" x="6111"/>
        <item m="1" x="6618"/>
        <item m="1" x="7128"/>
        <item m="1" x="7636"/>
        <item m="1" x="171"/>
        <item m="1" x="2882"/>
        <item m="1" x="3395"/>
        <item m="1" x="3914"/>
        <item m="1" x="4419"/>
        <item m="1" x="4917"/>
        <item m="1" x="5418"/>
        <item m="1" x="5922"/>
        <item m="1" x="6427"/>
        <item m="1" x="6935"/>
        <item m="1" x="7444"/>
        <item m="1" x="7954"/>
        <item m="1" x="490"/>
        <item m="1" x="991"/>
        <item m="1" x="1491"/>
        <item m="1" x="1995"/>
        <item m="1" x="2501"/>
        <item m="1" x="3005"/>
        <item m="1" x="3518"/>
        <item m="1" x="4038"/>
        <item m="1" x="4540"/>
        <item m="1" x="5036"/>
        <item m="1" x="5540"/>
        <item m="1" x="6045"/>
        <item m="1" x="6551"/>
        <item m="1" x="7058"/>
        <item m="1" x="7569"/>
        <item m="1" x="109"/>
        <item m="1" x="613"/>
        <item m="1" x="1113"/>
        <item m="1" x="1618"/>
        <item m="1" x="2117"/>
        <item m="1" x="2624"/>
        <item m="1" x="3129"/>
        <item m="1" x="3643"/>
        <item m="1" x="4157"/>
        <item m="1" x="4659"/>
        <item m="1" x="5156"/>
        <item m="1" x="5662"/>
        <item m="1" x="6169"/>
        <item m="1" x="6678"/>
        <item m="1" x="7186"/>
        <item m="1" x="7693"/>
        <item m="1" x="231"/>
        <item m="1" x="734"/>
        <item m="1" x="1234"/>
        <item m="1" x="1736"/>
        <item m="1" x="2236"/>
        <item m="1" x="2745"/>
        <item m="1" x="3253"/>
        <item m="1" x="3767"/>
        <item m="1" x="4280"/>
        <item m="1" x="4782"/>
        <item m="1" x="5281"/>
        <item m="1" x="5782"/>
        <item m="1" x="6287"/>
        <item m="1" x="6800"/>
        <item m="1" x="7304"/>
        <item m="1" x="7815"/>
        <item m="1" x="351"/>
        <item m="1" x="854"/>
        <item m="1" x="1353"/>
        <item m="1" x="1853"/>
        <item m="1" x="2358"/>
        <item m="1" x="2867"/>
        <item m="1" x="3377"/>
        <item m="1" x="3895"/>
        <item m="1" x="4403"/>
        <item m="1" x="4904"/>
        <item m="1" x="5402"/>
        <item m="1" x="5904"/>
        <item m="1" x="6411"/>
        <item m="1" x="6923"/>
        <item m="1" x="7427"/>
        <item m="1" x="7937"/>
        <item m="1" x="476"/>
        <item m="1" x="978"/>
        <item m="1" x="1477"/>
        <item m="1" x="1977"/>
        <item m="1" x="2485"/>
        <item m="1" x="2993"/>
        <item m="1" x="3501"/>
        <item m="1" x="4020"/>
        <item m="1" x="4526"/>
        <item m="1" x="5025"/>
        <item m="1" x="5524"/>
        <item m="1" x="6026"/>
        <item m="1" x="6534"/>
        <item m="1" x="7044"/>
        <item m="1" x="7552"/>
        <item m="1" x="92"/>
        <item m="1" x="599"/>
        <item m="1" x="1101"/>
        <item m="1" x="1603"/>
        <item m="1" x="2100"/>
        <item m="1" x="2607"/>
        <item m="1" x="3116"/>
        <item m="1" x="3626"/>
        <item m="1" x="4139"/>
        <item m="1" x="4642"/>
        <item m="1" x="5144"/>
        <item m="1" x="5647"/>
        <item m="1" x="6149"/>
        <item m="1" x="6659"/>
        <item m="1" x="7171"/>
        <item m="1" x="7677"/>
        <item m="1" x="213"/>
        <item m="1" x="717"/>
        <item m="1" x="1221"/>
        <item m="1" x="1723"/>
        <item m="1" x="2219"/>
        <item m="1" x="2727"/>
        <item m="1" x="3240"/>
        <item m="1" x="3753"/>
        <item m="1" x="4262"/>
        <item m="1" x="4766"/>
        <item m="1" x="5268"/>
        <item m="1" x="5769"/>
        <item m="1" x="6271"/>
        <item m="1" x="6784"/>
        <item m="1" x="7293"/>
        <item m="1" x="7801"/>
        <item m="1" x="336"/>
        <item m="1" x="841"/>
        <item m="1" x="1341"/>
        <item m="1" x="1841"/>
        <item m="1" x="2342"/>
        <item m="1" x="2852"/>
        <item m="1" x="3366"/>
        <item m="1" x="3881"/>
        <item m="1" x="4387"/>
        <item m="1" x="4890"/>
        <item m="1" x="5390"/>
        <item m="1" x="5892"/>
        <item m="1" x="6395"/>
        <item m="1" x="6907"/>
        <item m="1" x="7415"/>
        <item m="1" x="7922"/>
        <item m="1" x="458"/>
        <item m="1" x="963"/>
        <item m="1" x="1464"/>
        <item m="1" x="1964"/>
        <item m="1" x="2470"/>
        <item m="1" x="2976"/>
        <item m="1" x="3489"/>
        <item m="1" x="4007"/>
        <item m="1" x="4510"/>
        <item m="1" x="5010"/>
        <item m="1" x="5512"/>
        <item m="1" x="6013"/>
        <item m="1" x="6518"/>
        <item m="1" x="7027"/>
        <item m="1" x="7540"/>
        <item m="1" x="78"/>
        <item m="1" x="581"/>
        <item m="1" x="1086"/>
        <item m="1" x="1588"/>
        <item m="1" x="2087"/>
        <item m="1" x="2591"/>
        <item m="1" x="3100"/>
        <item m="1" x="3613"/>
        <item m="1" x="4127"/>
        <item m="1" x="4627"/>
        <item m="1" x="5130"/>
        <item m="1" x="5635"/>
        <item m="1" x="6137"/>
        <item m="1" x="6644"/>
        <item m="1" x="7155"/>
        <item m="1" x="7664"/>
        <item m="1" x="201"/>
        <item m="1" x="702"/>
        <item m="1" x="1207"/>
        <item m="1" x="1710"/>
        <item m="1" x="2208"/>
        <item m="1" x="2712"/>
        <item m="1" x="3224"/>
        <item m="1" x="3739"/>
        <item m="1" x="4250"/>
        <item m="1" x="4751"/>
        <item m="1" x="5253"/>
        <item m="1" x="5757"/>
        <item m="1" x="6261"/>
        <item m="1" x="6769"/>
        <item m="1" x="7277"/>
        <item m="1" x="7788"/>
        <item m="1" x="324"/>
        <item m="1" x="825"/>
        <item m="1" x="1327"/>
        <item m="1" x="1827"/>
        <item m="1" x="2330"/>
        <item m="1" x="2838"/>
        <item m="1" x="3347"/>
        <item m="1" x="3864"/>
        <item m="1" x="4373"/>
        <item m="1" x="4874"/>
        <item m="1" x="5374"/>
        <item m="1" x="5876"/>
        <item m="1" x="6383"/>
        <item m="1" x="6891"/>
        <item m="1" x="7397"/>
        <item m="1" x="7905"/>
        <item m="1" x="445"/>
        <item m="1" x="948"/>
        <item m="1" x="1448"/>
        <item m="1" x="1948"/>
        <item m="1" x="2455"/>
        <item m="1" x="2960"/>
        <item m="1" x="3471"/>
        <item m="1" x="3989"/>
        <item m="1" x="4498"/>
        <item m="1" x="4996"/>
        <item m="1" x="5498"/>
        <item m="1" x="5998"/>
        <item m="1" x="6507"/>
        <item m="1" x="7013"/>
        <item m="1" x="7522"/>
        <item m="1" x="62"/>
        <item m="1" x="569"/>
        <item m="1" x="1071"/>
        <item m="1" x="1574"/>
        <item m="1" x="2073"/>
        <item m="1" x="2578"/>
        <item m="1" x="3086"/>
        <item m="1" x="3596"/>
        <item m="1" x="4112"/>
        <item m="1" x="4615"/>
        <item m="1" x="5115"/>
        <item m="1" x="5620"/>
        <item m="1" x="6123"/>
        <item m="1" x="6631"/>
        <item m="1" x="7140"/>
        <item m="1" x="7647"/>
        <item m="1" x="185"/>
        <item m="1" x="689"/>
        <item m="1" x="1194"/>
        <item m="1" x="1696"/>
        <item m="1" x="2194"/>
        <item m="1" x="2699"/>
        <item m="1" x="3209"/>
        <item m="1" x="3721"/>
        <item m="1" x="4232"/>
        <item m="1" x="4737"/>
        <item m="1" x="5239"/>
        <item m="1" x="5740"/>
        <item m="1" x="6245"/>
        <item m="1" x="1508"/>
        <item m="1" x="2007"/>
        <item m="1" x="2512"/>
        <item m="1" x="3019"/>
        <item m="1" x="3533"/>
        <item m="1" x="4049"/>
        <item m="1" x="4550"/>
        <item m="1" x="5047"/>
        <item m="1" x="5553"/>
        <item m="1" x="6055"/>
        <item m="1" x="6561"/>
        <item m="1" x="7072"/>
        <item m="1" x="7582"/>
        <item m="1" x="120"/>
        <item m="1" x="622"/>
        <item m="1" x="1124"/>
        <item m="1" x="1631"/>
        <item m="1" x="2128"/>
        <item m="1" x="2634"/>
        <item m="1" x="3142"/>
        <item m="1" x="3658"/>
        <item m="1" x="4169"/>
        <item m="1" x="4669"/>
        <item m="1" x="5170"/>
        <item m="1" x="5676"/>
        <item m="1" x="6181"/>
        <item m="1" x="6688"/>
        <item m="1" x="7199"/>
        <item m="1" x="7707"/>
        <item m="1" x="242"/>
        <item m="1" x="743"/>
        <item m="1" x="1246"/>
        <item m="1" x="1749"/>
        <item m="1" x="2247"/>
        <item m="1" x="2754"/>
        <item m="1" x="3267"/>
        <item m="1" x="3782"/>
        <item m="1" x="4291"/>
        <item m="1" x="4793"/>
        <item m="1" x="5295"/>
        <item m="1" x="5797"/>
        <item m="1" x="6301"/>
        <item m="1" x="6811"/>
        <item m="1" x="7319"/>
        <item m="1" x="7830"/>
        <item m="1" x="363"/>
        <item m="1" x="865"/>
        <item m="1" x="1364"/>
        <item m="1" x="1867"/>
        <item m="1" x="2371"/>
        <item m="1" x="2878"/>
        <item m="1" x="3390"/>
        <item m="1" x="3909"/>
        <item m="1" x="4415"/>
        <item m="1" x="4913"/>
        <item m="1" x="5413"/>
        <item m="1" x="5917"/>
        <item m="1" x="6424"/>
        <item m="1" x="6931"/>
        <item m="1" x="7439"/>
        <item m="1" x="7950"/>
        <item m="1" x="487"/>
        <item m="1" x="987"/>
        <item m="1" x="1487"/>
        <item m="1" x="1990"/>
        <item m="1" x="2497"/>
        <item m="1" x="3000"/>
        <item m="1" x="3513"/>
        <item m="1" x="4033"/>
        <item m="1" x="4537"/>
        <item m="1" x="5033"/>
        <item m="1" x="5536"/>
        <item m="1" x="6040"/>
        <item m="1" x="6548"/>
        <item m="1" x="7054"/>
        <item m="1" x="7564"/>
        <item m="1" x="105"/>
        <item m="1" x="610"/>
        <item m="1" x="1109"/>
        <item m="1" x="1613"/>
        <item m="1" x="2112"/>
        <item m="1" x="2621"/>
        <item m="1" x="3125"/>
        <item m="1" x="3638"/>
        <item m="1" x="4153"/>
        <item m="1" x="4655"/>
        <item m="1" x="5153"/>
        <item m="1" x="5658"/>
        <item m="1" x="6164"/>
        <item m="1" x="6674"/>
        <item m="1" x="7183"/>
        <item m="1" x="7688"/>
        <item m="1" x="227"/>
        <item m="1" x="730"/>
        <item m="1" x="1230"/>
        <item m="1" x="1731"/>
        <item m="1" x="2231"/>
        <item m="1" x="2740"/>
        <item m="1" x="3249"/>
        <item m="1" x="3762"/>
        <item m="1" x="4276"/>
        <item m="1" x="4777"/>
        <item m="1" x="5278"/>
        <item m="1" x="5778"/>
        <item m="1" x="6284"/>
        <item m="1" x="6796"/>
        <item m="1" x="7303"/>
        <item m="1" x="7811"/>
        <item m="1" x="349"/>
        <item m="1" x="851"/>
        <item m="1" x="1351"/>
        <item m="1" x="1849"/>
        <item m="1" x="2355"/>
        <item m="1" x="2864"/>
        <item m="1" x="3376"/>
        <item m="1" x="3891"/>
        <item m="1" x="4401"/>
        <item m="1" x="4901"/>
        <item m="1" x="5401"/>
        <item m="1" x="5901"/>
        <item m="1" x="6408"/>
        <item m="1" x="6919"/>
        <item m="1" x="7425"/>
        <item m="1" x="7932"/>
        <item m="1" x="472"/>
        <item m="1" x="974"/>
        <item m="1" x="1475"/>
        <item m="1" x="1973"/>
        <item m="1" x="2482"/>
        <item m="1" x="2990"/>
        <item m="1" x="3499"/>
        <item m="1" x="4016"/>
        <item m="1" x="4524"/>
        <item m="1" x="5022"/>
        <item m="1" x="5522"/>
        <item m="1" x="6023"/>
        <item m="1" x="6530"/>
        <item m="1" x="7041"/>
        <item m="1" x="7550"/>
        <item m="1" x="89"/>
        <item m="1" x="594"/>
        <item m="1" x="1098"/>
        <item m="1" x="1600"/>
        <item m="1" x="2097"/>
        <item m="1" x="2603"/>
        <item m="1" x="3113"/>
        <item m="1" x="3624"/>
        <item m="1" x="4136"/>
        <item m="1" x="4639"/>
        <item m="1" x="5141"/>
        <item m="1" x="5645"/>
        <item m="1" x="6147"/>
        <item m="1" x="6655"/>
        <item m="1" x="7168"/>
        <item m="1" x="7675"/>
        <item m="1" x="210"/>
        <item m="1" x="713"/>
        <item m="1" x="1218"/>
        <item m="1" x="1720"/>
        <item m="1" x="2216"/>
        <item m="1" x="2723"/>
        <item m="1" x="3237"/>
        <item m="1" x="3750"/>
        <item m="1" x="4258"/>
        <item m="1" x="4763"/>
        <item m="1" x="5264"/>
        <item m="1" x="5767"/>
        <item m="1" x="6269"/>
        <item m="1" x="6780"/>
        <item m="1" x="7290"/>
        <item m="1" x="7799"/>
        <item m="1" x="333"/>
        <item m="1" x="837"/>
        <item m="1" x="1338"/>
        <item m="1" x="1839"/>
        <item m="1" x="2339"/>
        <item m="1" x="2848"/>
        <item m="1" x="3362"/>
        <item m="1" x="3879"/>
        <item m="1" x="4384"/>
        <item m="1" x="4887"/>
        <item m="1" x="5387"/>
        <item m="1" x="5890"/>
        <item m="1" x="6393"/>
        <item m="1" x="6903"/>
        <item m="1" x="7411"/>
        <item m="1" x="7920"/>
        <item m="1" x="455"/>
        <item m="1" x="959"/>
        <item m="1" x="1460"/>
        <item m="1" x="1961"/>
        <item m="1" x="2465"/>
        <item m="1" x="2971"/>
        <item m="1" x="3483"/>
        <item m="1" x="4002"/>
        <item m="1" x="4505"/>
        <item m="1" x="5007"/>
        <item m="1" x="5508"/>
        <item m="1" x="6009"/>
        <item m="1" x="6515"/>
        <item m="1" x="7023"/>
        <item m="1" x="7535"/>
        <item m="1" x="74"/>
        <item m="1" x="577"/>
        <item m="1" x="1082"/>
        <item m="1" x="1584"/>
        <item m="1" x="2084"/>
        <item m="1" x="2587"/>
        <item m="1" x="3096"/>
        <item m="1" x="3608"/>
        <item m="1" x="4124"/>
        <item m="1" x="4623"/>
        <item m="1" x="5127"/>
        <item m="1" x="5631"/>
        <item m="1" x="6134"/>
        <item m="1" x="6641"/>
        <item m="1" x="7151"/>
        <item m="1" x="7659"/>
        <item m="1" x="198"/>
        <item m="1" x="698"/>
        <item m="1" x="1203"/>
        <item m="1" x="1706"/>
        <item m="1" x="2205"/>
        <item m="1" x="2708"/>
        <item m="1" x="3219"/>
        <item m="1" x="3734"/>
        <item m="1" x="4245"/>
        <item m="1" x="4747"/>
        <item m="1" x="5250"/>
        <item m="1" x="5753"/>
        <item m="1" x="6257"/>
        <item m="1" x="6766"/>
        <item m="1" x="7273"/>
        <item m="1" x="7782"/>
        <item m="1" x="320"/>
        <item m="1" x="822"/>
        <item m="1" x="1323"/>
        <item m="1" x="1823"/>
        <item m="1" x="2326"/>
        <item m="1" x="2834"/>
        <item m="1" x="3343"/>
        <item m="1" x="3859"/>
        <item m="1" x="4369"/>
        <item m="1" x="4872"/>
        <item m="1" x="7596"/>
        <item m="1" x="134"/>
        <item m="1" x="635"/>
        <item m="1" x="1139"/>
        <item m="1" x="1644"/>
        <item m="1" x="2140"/>
        <item m="1" x="2647"/>
        <item m="1" x="3156"/>
        <item m="1" x="3669"/>
        <item m="1" x="4179"/>
        <item m="1" x="4680"/>
        <item m="1" x="5183"/>
        <item m="1" x="5687"/>
        <item m="1" x="6191"/>
        <item m="1" x="6701"/>
        <item m="1" x="7212"/>
        <item m="1" x="7717"/>
        <item m="1" x="253"/>
        <item m="1" x="755"/>
        <item m="1" x="1259"/>
        <item m="1" x="1759"/>
        <item m="1" x="2259"/>
        <item m="1" x="2769"/>
        <item m="1" x="3282"/>
        <item m="1" x="3793"/>
        <item m="1" x="4302"/>
        <item m="1" x="4804"/>
        <item m="1" x="5308"/>
        <item m="1" x="5808"/>
        <item m="1" x="6312"/>
        <item m="1" x="6824"/>
        <item m="1" x="7335"/>
        <item m="1" x="7840"/>
        <item m="1" x="374"/>
        <item m="1" x="877"/>
        <item m="1" x="1379"/>
        <item m="1" x="1880"/>
        <item m="1" x="2382"/>
        <item m="1" x="2891"/>
        <item m="1" x="3407"/>
        <item m="1" x="3922"/>
        <item m="1" x="4427"/>
        <item m="1" x="4925"/>
        <item m="1" x="5430"/>
        <item m="1" x="5930"/>
        <item m="1" x="6434"/>
        <item m="1" x="6944"/>
        <item m="1" x="7456"/>
        <item m="1" x="7962"/>
        <item m="1" x="498"/>
        <item m="1" x="999"/>
        <item m="1" x="1502"/>
        <item m="1" x="2003"/>
        <item m="1" x="2507"/>
        <item m="1" x="3013"/>
        <item m="1" x="3527"/>
        <item m="1" x="4045"/>
        <item m="1" x="4546"/>
        <item m="1" x="5043"/>
        <item m="1" x="5548"/>
        <item m="1" x="6052"/>
        <item m="1" x="6557"/>
        <item m="1" x="7067"/>
        <item m="1" x="7578"/>
        <item m="1" x="117"/>
        <item m="1" x="619"/>
        <item m="1" x="1120"/>
        <item m="1" x="1626"/>
        <item m="1" x="2125"/>
        <item m="1" x="2630"/>
        <item m="1" x="3137"/>
        <item m="1" x="3654"/>
        <item m="1" x="4166"/>
        <item m="1" x="4665"/>
        <item m="1" x="5165"/>
        <item m="1" x="5671"/>
        <item m="1" x="6177"/>
        <item m="1" x="6683"/>
        <item m="1" x="7194"/>
        <item m="1" x="7703"/>
        <item m="1" x="238"/>
        <item m="1" x="740"/>
        <item m="1" x="1242"/>
        <item m="1" x="1744"/>
        <item m="1" x="2244"/>
        <item m="1" x="2750"/>
        <item m="1" x="3261"/>
        <item m="1" x="3778"/>
        <item m="1" x="4287"/>
        <item m="1" x="4789"/>
        <item m="1" x="5289"/>
        <item m="1" x="5792"/>
        <item m="1" x="6297"/>
        <item m="1" x="6808"/>
        <item m="1" x="7314"/>
        <item m="1" x="7826"/>
        <item m="1" x="359"/>
        <item m="1" x="862"/>
        <item m="1" x="1360"/>
        <item m="1" x="1862"/>
        <item m="1" x="2367"/>
        <item m="1" x="2875"/>
        <item m="1" x="3385"/>
        <item m="1" x="3906"/>
        <item m="1" x="4411"/>
        <item m="1" x="4911"/>
        <item m="1" x="5409"/>
        <item m="1" x="5914"/>
        <item m="1" x="6420"/>
        <item m="1" x="6929"/>
        <item m="1" x="7435"/>
        <item m="1" x="7948"/>
        <item m="1" x="484"/>
        <item m="1" x="985"/>
        <item m="1" x="1484"/>
        <item m="1" x="1986"/>
        <item m="1" x="2494"/>
        <item m="1" x="2999"/>
        <item m="1" x="3509"/>
        <item m="1" x="4031"/>
        <item m="1" x="4534"/>
        <item m="1" x="5031"/>
        <item m="1" x="5531"/>
        <item m="1" x="6036"/>
        <item m="1" x="6544"/>
        <item m="1" x="7052"/>
        <item m="1" x="7560"/>
        <item m="1" x="103"/>
        <item m="1" x="607"/>
        <item m="1" x="1108"/>
        <item m="1" x="1610"/>
        <item m="1" x="2109"/>
        <item m="1" x="2618"/>
        <item m="1" x="3124"/>
        <item m="1" x="3634"/>
        <item m="1" x="4150"/>
        <item m="1" x="4652"/>
        <item m="1" x="5151"/>
        <item m="1" x="5654"/>
        <item m="1" x="6160"/>
        <item m="1" x="6671"/>
        <item m="1" x="7180"/>
        <item m="1" x="7685"/>
        <item m="1" x="224"/>
        <item m="1" x="726"/>
        <item m="1" x="1228"/>
        <item m="1" x="1729"/>
        <item m="1" x="2227"/>
        <item m="1" x="2736"/>
        <item m="1" x="3247"/>
        <item m="1" x="3759"/>
        <item m="1" x="4272"/>
        <item m="1" x="4773"/>
        <item m="1" x="5275"/>
        <item m="1" x="5775"/>
        <item m="1" x="6280"/>
        <item m="1" x="6793"/>
        <item m="1" x="7301"/>
        <item m="1" x="7808"/>
        <item m="1" x="346"/>
        <item m="1" x="848"/>
        <item m="1" x="1349"/>
        <item m="1" x="1847"/>
        <item m="1" x="2351"/>
        <item m="1" x="2861"/>
        <item m="1" x="3374"/>
        <item m="1" x="3888"/>
        <item m="1" x="4397"/>
        <item m="1" x="4898"/>
        <item m="1" x="5398"/>
        <item m="1" x="5898"/>
        <item m="1" x="6404"/>
        <item m="1" x="6916"/>
        <item m="1" x="7422"/>
        <item m="1" x="7928"/>
        <item m="1" x="469"/>
        <item m="1" x="971"/>
        <item m="1" x="1472"/>
        <item m="1" x="1971"/>
        <item m="1" x="2478"/>
        <item m="1" x="2986"/>
        <item m="1" x="3497"/>
        <item m="1" x="4013"/>
        <item m="1" x="4519"/>
        <item m="1" x="5019"/>
        <item m="1" x="5520"/>
        <item m="1" x="6020"/>
        <item m="1" x="6526"/>
        <item m="1" x="7037"/>
        <item m="1" x="7548"/>
        <item m="1" x="85"/>
        <item m="1" x="590"/>
        <item m="1" x="1093"/>
        <item m="1" x="1596"/>
        <item m="1" x="2093"/>
        <item m="1" x="2598"/>
        <item m="1" x="3108"/>
        <item m="1" x="3621"/>
        <item m="1" x="4132"/>
        <item m="1" x="4635"/>
        <item m="1" x="5137"/>
        <item m="1" x="5642"/>
        <item m="1" x="6143"/>
        <item m="1" x="6651"/>
        <item m="1" x="7163"/>
        <item m="1" x="7671"/>
        <item m="1" x="205"/>
        <item m="1" x="710"/>
        <item m="1" x="1213"/>
        <item m="1" x="1717"/>
        <item m="1" x="2213"/>
        <item m="1" x="2719"/>
        <item m="1" x="3232"/>
        <item m="1" x="3747"/>
        <item m="1" x="4254"/>
        <item m="1" x="4759"/>
        <item m="1" x="5260"/>
        <item m="1" x="5764"/>
        <item m="1" x="6265"/>
        <item m="1" x="6776"/>
        <item m="1" x="7285"/>
        <item m="1" x="7796"/>
        <item m="1" x="329"/>
        <item m="1" x="834"/>
        <item m="1" x="1334"/>
        <item m="1" x="1835"/>
        <item m="1" x="2336"/>
        <item m="1" x="2844"/>
        <item m="1" x="3357"/>
        <item m="1" x="3875"/>
        <item m="1" x="4381"/>
        <item m="1" x="4883"/>
        <item m="1" x="5383"/>
        <item m="1" x="5886"/>
        <item m="1" x="6389"/>
        <item m="1" x="6898"/>
        <item m="1" x="7406"/>
        <item m="1" x="7915"/>
        <item m="1" x="451"/>
        <item m="1" x="956"/>
        <item m="1" x="1456"/>
        <item m="1" x="1956"/>
        <item m="1" x="2462"/>
        <item m="1" x="2967"/>
        <item m="1" x="5700"/>
        <item m="1" x="6206"/>
        <item m="1" x="6717"/>
        <item m="1" x="7224"/>
        <item m="1" x="7730"/>
        <item m="1" x="266"/>
        <item m="1" x="769"/>
        <item m="1" x="1271"/>
        <item m="1" x="1771"/>
        <item m="1" x="2273"/>
        <item m="1" x="2783"/>
        <item m="1" x="3293"/>
        <item m="1" x="3806"/>
        <item m="1" x="4314"/>
        <item m="1" x="4818"/>
        <item m="1" x="5320"/>
        <item m="1" x="5820"/>
        <item m="1" x="6326"/>
        <item m="1" x="6839"/>
        <item m="1" x="7346"/>
        <item m="1" x="7851"/>
        <item m="1" x="387"/>
        <item m="1" x="892"/>
        <item m="1" x="1392"/>
        <item m="1" x="1892"/>
        <item m="1" x="2397"/>
        <item m="1" x="2906"/>
        <item m="1" x="3418"/>
        <item m="1" x="3933"/>
        <item m="1" x="4440"/>
        <item m="1" x="4938"/>
        <item m="1" x="5442"/>
        <item m="1" x="5942"/>
        <item m="1" x="6449"/>
        <item m="1" x="6959"/>
        <item m="1" x="7468"/>
        <item m="1" x="7973"/>
        <item m="1" x="510"/>
        <item m="1" x="1013"/>
        <item m="1" x="1517"/>
        <item m="1" x="2016"/>
        <item m="1" x="2522"/>
        <item m="1" x="3030"/>
        <item m="1" x="3543"/>
        <item m="1" x="4058"/>
        <item m="1" x="4559"/>
        <item m="1" x="5057"/>
        <item m="1" x="5564"/>
        <item m="1" x="6064"/>
        <item m="1" x="6571"/>
        <item m="1" x="7083"/>
        <item m="1" x="7592"/>
        <item m="1" x="129"/>
        <item m="1" x="630"/>
        <item m="1" x="1133"/>
        <item m="1" x="1639"/>
        <item m="1" x="2134"/>
        <item m="1" x="2642"/>
        <item m="1" x="3151"/>
        <item m="1" x="3665"/>
        <item m="1" x="4176"/>
        <item m="1" x="4676"/>
        <item m="1" x="5178"/>
        <item m="1" x="5683"/>
        <item m="1" x="6187"/>
        <item m="1" x="6696"/>
        <item m="1" x="7208"/>
        <item m="1" x="7714"/>
        <item m="1" x="249"/>
        <item m="1" x="750"/>
        <item m="1" x="1254"/>
        <item m="1" x="1756"/>
        <item m="1" x="2255"/>
        <item m="1" x="2764"/>
        <item m="1" x="3278"/>
        <item m="1" x="3790"/>
        <item m="1" x="4299"/>
        <item m="1" x="4800"/>
        <item m="1" x="5303"/>
        <item m="1" x="5805"/>
        <item m="1" x="6308"/>
        <item m="1" x="6819"/>
        <item m="1" x="7330"/>
        <item m="1" x="7837"/>
        <item m="1" x="370"/>
        <item m="1" x="872"/>
        <item m="1" x="1374"/>
        <item m="1" x="1875"/>
        <item m="1" x="2378"/>
        <item m="1" x="2886"/>
        <item m="1" x="3402"/>
        <item m="1" x="3918"/>
        <item m="1" x="4424"/>
        <item m="1" x="4921"/>
        <item m="1" x="5424"/>
        <item m="1" x="5926"/>
        <item m="1" x="6431"/>
        <item m="1" x="6939"/>
        <item m="1" x="7450"/>
        <item m="1" x="7958"/>
        <item m="1" x="494"/>
        <item m="1" x="994"/>
        <item m="1" x="1496"/>
        <item m="1" x="1999"/>
        <item m="1" x="2505"/>
        <item m="1" x="3009"/>
        <item m="1" x="3524"/>
        <item m="1" x="4042"/>
        <item m="1" x="4545"/>
        <item m="1" x="5040"/>
        <item m="1" x="5545"/>
        <item m="1" x="6049"/>
        <item m="1" x="6556"/>
        <item m="1" x="7063"/>
        <item m="1" x="7575"/>
        <item m="1" x="114"/>
        <item m="1" x="617"/>
        <item m="1" x="1116"/>
        <item m="1" x="1623"/>
        <item m="1" x="2121"/>
        <item m="1" x="2628"/>
        <item m="1" x="3133"/>
        <item m="1" x="3649"/>
        <item m="1" x="4161"/>
        <item m="1" x="4663"/>
        <item m="1" x="5161"/>
        <item m="1" x="5667"/>
        <item m="1" x="6174"/>
        <item m="1" x="6682"/>
        <item m="1" x="7190"/>
        <item m="1" x="7699"/>
        <item m="1" x="235"/>
        <item m="1" x="738"/>
        <item m="1" x="1237"/>
        <item m="1" x="1741"/>
        <item m="1" x="2241"/>
        <item m="1" x="2749"/>
        <item m="1" x="3257"/>
        <item m="1" x="3773"/>
        <item m="1" x="4284"/>
        <item m="1" x="4787"/>
        <item m="1" x="5287"/>
        <item m="1" x="5788"/>
        <item m="1" x="6294"/>
        <item m="1" x="6806"/>
        <item m="1" x="7311"/>
        <item m="1" x="7821"/>
        <item m="1" x="356"/>
        <item m="1" x="859"/>
        <item m="1" x="1357"/>
        <item m="1" x="1858"/>
        <item m="1" x="2364"/>
        <item m="1" x="2872"/>
        <item m="1" x="3382"/>
        <item m="1" x="3901"/>
        <item m="1" x="4408"/>
        <item m="1" x="4908"/>
        <item m="1" x="5407"/>
        <item m="1" x="5910"/>
        <item m="1" x="6417"/>
        <item m="1" x="6927"/>
        <item m="1" x="7432"/>
        <item m="1" x="7943"/>
        <item m="1" x="481"/>
        <item m="1" x="982"/>
        <item m="1" x="1481"/>
        <item m="1" x="1982"/>
        <item m="1" x="2491"/>
        <item m="1" x="2997"/>
        <item m="1" x="3506"/>
        <item m="1" x="4026"/>
        <item m="1" x="4531"/>
        <item m="1" x="5029"/>
        <item m="1" x="5529"/>
        <item m="1" x="6032"/>
        <item m="1" x="6540"/>
        <item m="1" x="7050"/>
        <item m="1" x="7557"/>
        <item m="1" x="98"/>
        <item m="1" x="604"/>
        <item m="1" x="1106"/>
        <item m="1" x="1607"/>
        <item m="1" x="2105"/>
        <item m="1" x="2614"/>
        <item m="1" x="3121"/>
        <item m="1" x="3630"/>
        <item m="1" x="4145"/>
        <item m="1" x="4648"/>
        <item m="1" x="5149"/>
        <item m="1" x="5652"/>
        <item m="1" x="6155"/>
        <item m="1" x="6665"/>
        <item m="1" x="7176"/>
        <item m="1" x="7680"/>
        <item m="1" x="218"/>
        <item m="1" x="720"/>
        <item m="1" x="1225"/>
        <item m="1" x="1725"/>
        <item m="1" x="2223"/>
        <item m="1" x="2731"/>
        <item m="1" x="3244"/>
        <item m="1" x="3755"/>
        <item m="1" x="4267"/>
        <item m="1" x="4769"/>
        <item m="1" x="5272"/>
        <item m="1" x="5772"/>
        <item m="1" x="6276"/>
        <item m="1" x="6788"/>
        <item m="1" x="7298"/>
        <item m="1" x="7804"/>
        <item m="1" x="341"/>
        <item m="1" x="844"/>
        <item m="1" x="1346"/>
        <item m="1" x="1843"/>
        <item m="1" x="2346"/>
        <item m="1" x="2856"/>
        <item m="1" x="3370"/>
        <item m="1" x="3883"/>
        <item m="1" x="4392"/>
        <item m="1" x="4894"/>
        <item m="1" x="5394"/>
        <item m="1" x="5895"/>
        <item m="1" x="6400"/>
        <item m="1" x="6911"/>
        <item m="1" x="7419"/>
        <item m="1" x="7924"/>
        <item m="1" x="463"/>
        <item m="1" x="967"/>
        <item m="1" x="1468"/>
        <item m="1" x="1967"/>
        <item m="1" x="2473"/>
        <item m="1" x="2981"/>
        <item m="1" x="3493"/>
        <item m="1" x="4010"/>
        <item m="1" x="4514"/>
        <item m="1" x="5015"/>
        <item m="1" x="5516"/>
        <item m="1" x="6017"/>
        <item m="1" x="6522"/>
        <item m="1" x="7032"/>
        <item m="1" x="7544"/>
        <item m="1" x="82"/>
        <item m="1" x="585"/>
        <item m="1" x="1090"/>
        <item m="1" x="1592"/>
        <item m="1" x="4328"/>
        <item m="1" x="4830"/>
        <item m="1" x="5331"/>
        <item m="1" x="5834"/>
        <item m="1" x="6341"/>
        <item m="1" x="6850"/>
        <item m="1" x="7357"/>
        <item m="1" x="7862"/>
        <item m="1" x="399"/>
        <item m="1" x="902"/>
        <item m="1" x="1403"/>
        <item m="1" x="1906"/>
        <item m="1" x="2410"/>
        <item m="1" x="2917"/>
        <item m="1" x="3428"/>
        <item m="1" x="3944"/>
        <item m="1" x="4452"/>
        <item m="1" x="4950"/>
        <item m="1" x="5453"/>
        <item m="1" x="5955"/>
        <item m="1" x="6464"/>
        <item m="1" x="6971"/>
        <item m="1" x="7479"/>
        <item m="1" x="7986"/>
        <item m="1" x="523"/>
        <item m="1" x="1025"/>
        <item m="1" x="1528"/>
        <item m="1" x="2029"/>
        <item m="1" x="2536"/>
        <item m="1" x="3041"/>
        <item m="1" x="3553"/>
        <item m="1" x="4069"/>
        <item m="1" x="4571"/>
        <item m="1" x="5068"/>
        <item m="1" x="5574"/>
        <item m="1" x="6078"/>
        <item m="1" x="6585"/>
        <item m="1" x="7094"/>
        <item m="1" x="7604"/>
        <item m="1" x="142"/>
        <item m="1" x="644"/>
        <item m="1" x="1147"/>
        <item m="1" x="1651"/>
        <item m="1" x="2149"/>
        <item m="1" x="2657"/>
        <item m="1" x="3164"/>
        <item m="1" x="3677"/>
        <item m="1" x="4187"/>
        <item m="1" x="4689"/>
        <item m="1" x="5191"/>
        <item m="1" x="5695"/>
        <item m="1" x="6200"/>
        <item m="1" x="6711"/>
        <item m="1" x="7219"/>
        <item m="1" x="7725"/>
        <item m="1" x="260"/>
        <item m="1" x="763"/>
        <item m="1" x="1267"/>
        <item m="1" x="1766"/>
        <item m="1" x="2267"/>
        <item m="1" x="2778"/>
        <item m="1" x="3289"/>
        <item m="1" x="3801"/>
        <item m="1" x="4309"/>
        <item m="1" x="4813"/>
        <item m="1" x="5315"/>
        <item m="1" x="5814"/>
        <item m="1" x="6320"/>
        <item m="1" x="6833"/>
        <item m="1" x="7342"/>
        <item m="1" x="7847"/>
        <item m="1" x="382"/>
        <item m="1" x="886"/>
        <item m="1" x="1388"/>
        <item m="1" x="1887"/>
        <item m="1" x="2391"/>
        <item m="1" x="2901"/>
        <item m="1" x="3414"/>
        <item m="1" x="3928"/>
        <item m="1" x="4434"/>
        <item m="1" x="4933"/>
        <item m="1" x="5438"/>
        <item m="1" x="5937"/>
        <item m="1" x="6443"/>
        <item m="1" x="6954"/>
        <item m="1" x="7464"/>
        <item m="1" x="7969"/>
        <item m="1" x="505"/>
        <item m="1" x="1008"/>
        <item m="1" x="1512"/>
        <item m="1" x="2012"/>
        <item m="1" x="2516"/>
        <item m="1" x="3025"/>
        <item m="1" x="3538"/>
        <item m="1" x="4053"/>
        <item m="1" x="4553"/>
        <item m="1" x="5052"/>
        <item m="1" x="5558"/>
        <item m="1" x="6059"/>
        <item m="1" x="6565"/>
        <item m="1" x="7078"/>
        <item m="1" x="7586"/>
        <item m="1" x="125"/>
        <item m="1" x="626"/>
        <item m="1" x="1129"/>
        <item m="1" x="1635"/>
        <item m="1" x="2132"/>
        <item m="1" x="2638"/>
        <item m="1" x="3148"/>
        <item m="1" x="3662"/>
        <item m="1" x="4173"/>
        <item m="1" x="4672"/>
        <item m="1" x="5175"/>
        <item m="1" x="5680"/>
        <item m="1" x="6185"/>
        <item m="1" x="6692"/>
        <item m="1" x="7205"/>
        <item m="1" x="7711"/>
        <item m="1" x="247"/>
        <item m="1" x="747"/>
        <item m="1" x="1251"/>
        <item m="1" x="1753"/>
        <item m="1" x="2252"/>
        <item m="1" x="2759"/>
        <item m="1" x="3273"/>
        <item m="1" x="3786"/>
        <item m="1" x="4296"/>
        <item m="1" x="4796"/>
        <item m="1" x="5300"/>
        <item m="1" x="5802"/>
        <item m="1" x="6305"/>
        <item m="1" x="6815"/>
        <item m="1" x="7326"/>
        <item m="1" x="7834"/>
        <item m="1" x="367"/>
        <item m="1" x="869"/>
        <item m="1" x="1370"/>
        <item m="1" x="1872"/>
        <item m="1" x="2375"/>
        <item m="1" x="2883"/>
        <item m="1" x="3396"/>
        <item m="1" x="3915"/>
        <item m="1" x="4420"/>
        <item m="1" x="4918"/>
        <item m="1" x="5419"/>
        <item m="1" x="5923"/>
        <item m="1" x="6428"/>
        <item m="1" x="6936"/>
        <item m="1" x="7445"/>
        <item m="1" x="7955"/>
        <item m="1" x="491"/>
        <item m="1" x="992"/>
        <item m="1" x="1492"/>
        <item m="1" x="1996"/>
        <item m="1" x="2502"/>
        <item m="1" x="3006"/>
        <item m="1" x="3519"/>
        <item m="1" x="4039"/>
        <item m="1" x="4541"/>
        <item m="1" x="5037"/>
        <item m="1" x="5541"/>
        <item m="1" x="6046"/>
        <item m="1" x="6552"/>
        <item m="1" x="7059"/>
        <item m="1" x="7570"/>
        <item m="1" x="110"/>
        <item m="1" x="614"/>
        <item m="1" x="1114"/>
        <item m="1" x="1619"/>
        <item m="1" x="2118"/>
        <item m="1" x="2625"/>
        <item m="1" x="3130"/>
        <item m="1" x="3644"/>
        <item m="1" x="4158"/>
        <item m="1" x="4660"/>
        <item m="1" x="5157"/>
        <item m="1" x="5663"/>
        <item m="1" x="6170"/>
        <item m="1" x="6679"/>
        <item m="1" x="7187"/>
        <item m="1" x="7694"/>
        <item m="1" x="232"/>
        <item m="1" x="735"/>
        <item m="1" x="1235"/>
        <item m="1" x="1737"/>
        <item m="1" x="2237"/>
        <item m="1" x="2746"/>
        <item m="1" x="3254"/>
        <item m="1" x="3768"/>
        <item m="1" x="4281"/>
        <item m="1" x="4783"/>
        <item m="1" x="5282"/>
        <item m="1" x="5783"/>
        <item m="1" x="6288"/>
        <item m="1" x="6801"/>
        <item m="1" x="7305"/>
        <item m="1" x="7816"/>
        <item m="1" x="352"/>
        <item m="1" x="855"/>
        <item m="1" x="1354"/>
        <item m="1" x="1854"/>
        <item m="1" x="2359"/>
        <item m="1" x="2868"/>
        <item m="1" x="3378"/>
        <item m="1" x="3896"/>
        <item m="1" x="4404"/>
        <item m="1" x="4905"/>
        <item m="1" x="5403"/>
        <item m="1" x="5905"/>
        <item m="1" x="6412"/>
        <item m="1" x="6924"/>
        <item m="1" x="7428"/>
        <item m="1" x="7938"/>
        <item m="1" x="477"/>
        <item m="1" x="979"/>
        <item m="1" x="1478"/>
        <item m="1" x="1978"/>
        <item m="1" x="2486"/>
        <item m="1" x="2994"/>
        <item m="1" x="3502"/>
        <item m="1" x="4021"/>
        <item m="1" x="4527"/>
        <item m="1" x="5026"/>
        <item m="1" x="5525"/>
        <item m="1" x="6027"/>
        <item m="1" x="6535"/>
        <item m="1" x="7045"/>
        <item m="1" x="7553"/>
        <item m="1" x="93"/>
        <item m="1" x="600"/>
        <item m="1" x="1102"/>
        <item m="1" x="1604"/>
        <item m="1" x="2101"/>
        <item m="1" x="2608"/>
        <item m="1" x="3117"/>
        <item m="1" x="3627"/>
        <item m="1" x="4140"/>
        <item m="1" x="4643"/>
        <item m="1" x="5145"/>
        <item m="1" x="5648"/>
        <item m="1" x="6150"/>
        <item m="1" x="6660"/>
        <item m="1" x="7172"/>
        <item m="1" x="7678"/>
        <item m="1" x="2424"/>
        <item m="1" x="2930"/>
        <item m="1" x="3442"/>
        <item m="1" x="3958"/>
        <item m="1" x="4465"/>
        <item m="1" x="4963"/>
        <item m="1" x="5468"/>
        <item m="1" x="5970"/>
        <item m="1" x="6475"/>
        <item m="1" x="6982"/>
        <item m="1" x="7491"/>
        <item m="1" x="7999"/>
        <item m="1" x="535"/>
        <item m="1" x="1036"/>
        <item m="1" x="1542"/>
        <item m="1" x="2043"/>
        <item m="1" x="2546"/>
        <item m="1" x="3053"/>
        <item m="1" x="3565"/>
        <item m="1" x="4082"/>
        <item m="1" x="4581"/>
        <item m="1" x="5081"/>
        <item m="1" x="5590"/>
        <item m="1" x="6094"/>
        <item m="1" x="6598"/>
        <item m="1" x="7107"/>
        <item m="1" x="7616"/>
        <item m="1" x="155"/>
        <item m="1" x="655"/>
        <item m="1" x="1159"/>
        <item m="1" x="1665"/>
        <item m="1" x="2165"/>
        <item m="1" x="2669"/>
        <item m="1" x="3176"/>
        <item m="1" x="3690"/>
        <item m="1" x="4201"/>
        <item m="1" x="4702"/>
        <item m="1" x="5203"/>
        <item m="1" x="5709"/>
        <item m="1" x="6217"/>
        <item m="1" x="6725"/>
        <item m="1" x="7232"/>
        <item m="1" x="7738"/>
        <item m="1" x="276"/>
        <item m="1" x="777"/>
        <item m="1" x="1278"/>
        <item m="1" x="1780"/>
        <item m="1" x="2284"/>
        <item m="1" x="2791"/>
        <item m="1" x="3301"/>
        <item m="1" x="3814"/>
        <item m="1" x="4323"/>
        <item m="1" x="4826"/>
        <item m="1" x="5326"/>
        <item m="1" x="5828"/>
        <item m="1" x="6335"/>
        <item m="1" x="6846"/>
        <item m="1" x="7353"/>
        <item m="1" x="7858"/>
        <item m="1" x="395"/>
        <item m="1" x="899"/>
        <item m="1" x="1399"/>
        <item m="1" x="1901"/>
        <item m="1" x="2406"/>
        <item m="1" x="2914"/>
        <item m="1" x="3425"/>
        <item m="1" x="3940"/>
        <item m="1" x="4448"/>
        <item m="1" x="4947"/>
        <item m="1" x="5449"/>
        <item m="1" x="5950"/>
        <item m="1" x="6460"/>
        <item m="1" x="6968"/>
        <item m="1" x="7475"/>
        <item m="1" x="7981"/>
        <item m="1" x="519"/>
        <item m="1" x="1021"/>
        <item m="1" x="1523"/>
        <item m="1" x="2024"/>
        <item m="1" x="2532"/>
        <item m="1" x="3037"/>
        <item m="1" x="3550"/>
        <item m="1" x="4065"/>
        <item m="1" x="4567"/>
        <item m="1" x="5065"/>
        <item m="1" x="5570"/>
        <item m="1" x="6072"/>
        <item m="1" x="6581"/>
        <item m="1" x="7090"/>
        <item m="1" x="7600"/>
        <item m="1" x="137"/>
        <item m="1" x="640"/>
        <item m="1" x="1143"/>
        <item m="1" x="1648"/>
        <item m="1" x="2144"/>
        <item m="1" x="2653"/>
        <item m="1" x="3160"/>
        <item m="1" x="3674"/>
        <item m="1" x="4183"/>
        <item m="1" x="4685"/>
        <item m="1" x="5187"/>
        <item m="1" x="5692"/>
        <item m="1" x="6195"/>
        <item m="1" x="6707"/>
        <item m="1" x="7216"/>
        <item m="1" x="7722"/>
        <item m="1" x="256"/>
        <item m="1" x="760"/>
        <item m="1" x="1263"/>
        <item m="1" x="1763"/>
        <item m="1" x="2263"/>
        <item m="1" x="2775"/>
        <item m="1" x="3286"/>
        <item m="1" x="3798"/>
        <item m="1" x="4306"/>
        <item m="1" x="4809"/>
        <item m="1" x="5312"/>
        <item m="1" x="5812"/>
        <item m="1" x="6316"/>
        <item m="1" x="6830"/>
        <item m="1" x="7339"/>
        <item m="1" x="7844"/>
        <item m="1" x="377"/>
        <item m="1" x="882"/>
        <item m="1" x="1384"/>
        <item m="1" x="1884"/>
        <item m="1" x="2386"/>
        <item m="1" x="2897"/>
        <item m="1" x="3411"/>
        <item m="1" x="3926"/>
        <item m="1" x="4431"/>
        <item m="1" x="4930"/>
        <item m="1" x="5435"/>
        <item m="1" x="5935"/>
        <item m="1" x="6439"/>
        <item m="1" x="6950"/>
        <item m="1" x="7461"/>
        <item m="1" x="7966"/>
        <item m="1" x="501"/>
        <item m="1" x="1004"/>
        <item m="1" x="1509"/>
        <item m="1" x="2008"/>
        <item m="1" x="2513"/>
        <item m="1" x="3020"/>
        <item m="1" x="3534"/>
        <item m="1" x="4050"/>
        <item m="1" x="4551"/>
        <item m="1" x="5048"/>
        <item m="1" x="5554"/>
        <item m="1" x="6056"/>
        <item m="1" x="6562"/>
        <item m="1" x="7073"/>
        <item m="1" x="7583"/>
        <item m="1" x="121"/>
        <item m="1" x="623"/>
        <item m="1" x="1125"/>
        <item m="1" x="1632"/>
        <item m="1" x="2129"/>
        <item m="1" x="2635"/>
        <item m="1" x="3143"/>
        <item m="1" x="3659"/>
        <item m="1" x="4170"/>
        <item m="1" x="4670"/>
        <item m="1" x="5171"/>
        <item m="1" x="5677"/>
        <item m="1" x="6182"/>
        <item m="1" x="6689"/>
        <item m="1" x="7200"/>
        <item m="1" x="7708"/>
        <item m="1" x="243"/>
        <item m="1" x="744"/>
        <item m="1" x="1247"/>
        <item m="1" x="1750"/>
        <item m="1" x="2248"/>
        <item m="1" x="2755"/>
        <item m="1" x="3268"/>
        <item m="1" x="3783"/>
        <item m="1" x="4292"/>
        <item m="1" x="4794"/>
        <item m="1" x="5296"/>
        <item m="1" x="5798"/>
        <item m="1" x="6302"/>
        <item m="1" x="6812"/>
        <item m="1" x="7320"/>
        <item m="1" x="7831"/>
        <item m="1" x="364"/>
        <item m="1" x="866"/>
        <item m="1" x="1365"/>
        <item m="1" x="1868"/>
        <item m="1" x="2372"/>
        <item m="1" x="2879"/>
        <item m="1" x="3391"/>
        <item m="1" x="3910"/>
        <item m="1" x="4416"/>
        <item m="1" x="4914"/>
        <item m="1" x="5414"/>
        <item m="1" x="5918"/>
        <item m="1" x="6425"/>
        <item m="1" x="6932"/>
        <item m="1" x="7440"/>
        <item m="1" x="7951"/>
        <item m="1" x="488"/>
        <item m="1" x="988"/>
        <item m="1" x="1488"/>
        <item m="1" x="1991"/>
        <item m="1" x="2498"/>
        <item m="1" x="3001"/>
        <item m="1" x="3514"/>
        <item m="1" x="4034"/>
        <item m="1" x="4538"/>
        <item m="1" x="5034"/>
        <item m="1" x="5537"/>
        <item m="1" x="6041"/>
        <item m="1" x="6549"/>
        <item m="1" x="7055"/>
        <item m="1" x="7565"/>
        <item m="1" x="106"/>
        <item m="1" x="611"/>
        <item m="1" x="1110"/>
        <item m="1" x="1614"/>
        <item m="1" x="2113"/>
        <item m="1" x="2622"/>
        <item m="1" x="3126"/>
        <item m="1" x="3639"/>
        <item m="1" x="4154"/>
        <item m="1" x="4656"/>
        <item m="1" x="5154"/>
        <item m="1" x="5659"/>
        <item m="1" x="6165"/>
        <item m="1" x="6675"/>
        <item m="1" x="7184"/>
        <item m="1" x="7689"/>
        <item m="1" x="228"/>
        <item m="1" x="731"/>
        <item m="1" x="1231"/>
        <item m="1" x="1732"/>
        <item m="1" x="2232"/>
        <item m="1" x="2741"/>
        <item m="1" x="3250"/>
        <item m="1" x="3763"/>
        <item m="1" x="4277"/>
        <item m="1" x="4778"/>
        <item m="1" x="5279"/>
        <item m="1" x="5779"/>
        <item m="1" x="1052"/>
        <item m="1" x="1558"/>
        <item m="1" x="2054"/>
        <item m="1" x="2559"/>
        <item m="1" x="3066"/>
        <item m="1" x="3579"/>
        <item m="1" x="4092"/>
        <item m="1" x="4593"/>
        <item m="1" x="5095"/>
        <item m="1" x="5604"/>
        <item m="1" x="6104"/>
        <item m="1" x="6611"/>
        <item m="1" x="7119"/>
        <item m="1" x="7630"/>
        <item m="1" x="165"/>
        <item m="1" x="667"/>
        <item m="1" x="1173"/>
        <item m="1" x="1680"/>
        <item m="1" x="2175"/>
        <item m="1" x="2680"/>
        <item m="1" x="3189"/>
        <item m="1" x="3705"/>
        <item m="1" x="4212"/>
        <item m="1" x="4714"/>
        <item m="1" x="5218"/>
        <item m="1" x="5724"/>
        <item m="1" x="6227"/>
        <item m="1" x="6736"/>
        <item m="1" x="7245"/>
        <item m="1" x="7751"/>
        <item m="1" x="287"/>
        <item m="1" x="789"/>
        <item m="1" x="1293"/>
        <item m="1" x="1795"/>
        <item m="1" x="2295"/>
        <item m="1" x="2802"/>
        <item m="1" x="3313"/>
        <item m="1" x="3828"/>
        <item m="1" x="4336"/>
        <item m="1" x="4839"/>
        <item m="1" x="5341"/>
        <item m="1" x="5845"/>
        <item m="1" x="6350"/>
        <item m="1" x="6859"/>
        <item m="1" x="7366"/>
        <item m="1" x="7872"/>
        <item m="1" x="409"/>
        <item m="1" x="911"/>
        <item m="1" x="1413"/>
        <item m="1" x="1917"/>
        <item m="1" x="2420"/>
        <item m="1" x="2926"/>
        <item m="1" x="3437"/>
        <item m="1" x="3953"/>
        <item m="1" x="4460"/>
        <item m="1" x="4957"/>
        <item m="1" x="5462"/>
        <item m="1" x="5965"/>
        <item m="1" x="6471"/>
        <item m="1" x="6979"/>
        <item m="1" x="7487"/>
        <item m="1" x="7995"/>
        <item m="1" x="531"/>
        <item m="1" x="1032"/>
        <item m="1" x="1537"/>
        <item m="1" x="2039"/>
        <item m="1" x="2543"/>
        <item m="1" x="3049"/>
        <item m="1" x="3561"/>
        <item m="1" x="4078"/>
        <item m="1" x="4578"/>
        <item m="1" x="5077"/>
        <item m="1" x="5585"/>
        <item m="1" x="6090"/>
        <item m="1" x="6595"/>
        <item m="1" x="7104"/>
        <item m="1" x="7612"/>
        <item m="1" x="151"/>
        <item m="1" x="652"/>
        <item m="1" x="1155"/>
        <item m="1" x="1660"/>
        <item m="1" x="2161"/>
        <item m="1" x="2666"/>
        <item m="1" x="3172"/>
        <item m="1" x="3685"/>
        <item m="1" x="4197"/>
        <item m="1" x="4697"/>
        <item m="1" x="5199"/>
        <item m="1" x="5704"/>
        <item m="1" x="6213"/>
        <item m="1" x="6721"/>
        <item m="1" x="7229"/>
        <item m="1" x="7734"/>
        <item m="1" x="271"/>
        <item m="1" x="773"/>
        <item m="1" x="1275"/>
        <item m="1" x="1775"/>
        <item m="1" x="2279"/>
        <item m="1" x="2787"/>
        <item m="1" x="3297"/>
        <item m="1" x="3809"/>
        <item m="1" x="4319"/>
        <item m="1" x="4822"/>
        <item m="1" x="5324"/>
        <item m="1" x="5824"/>
        <item m="1" x="6332"/>
        <item m="1" x="6843"/>
        <item m="1" x="7351"/>
        <item m="1" x="7855"/>
        <item m="1" x="392"/>
        <item m="1" x="896"/>
        <item m="1" x="1397"/>
        <item m="1" x="1897"/>
        <item m="1" x="2403"/>
        <item m="1" x="2911"/>
        <item m="1" x="3422"/>
        <item m="1" x="3936"/>
        <item m="1" x="4445"/>
        <item m="1" x="4943"/>
        <item m="1" x="5446"/>
        <item m="1" x="5946"/>
        <item m="1" x="6455"/>
        <item m="1" x="6963"/>
        <item m="1" x="7472"/>
        <item m="1" x="7977"/>
        <item m="1" x="515"/>
        <item m="1" x="1018"/>
        <item m="1" x="1521"/>
        <item m="1" x="2020"/>
        <item m="1" x="2528"/>
        <item m="1" x="3034"/>
        <item m="1" x="3547"/>
        <item m="1" x="4061"/>
        <item m="1" x="4564"/>
        <item m="1" x="5062"/>
        <item m="1" x="5568"/>
        <item m="1" x="6068"/>
        <item m="1" x="6577"/>
        <item m="1" x="7087"/>
        <item m="1" x="7597"/>
        <item m="1" x="135"/>
        <item m="1" x="636"/>
        <item m="1" x="1140"/>
        <item m="1" x="1645"/>
        <item m="1" x="2141"/>
        <item m="1" x="2648"/>
        <item m="1" x="3157"/>
        <item m="1" x="3670"/>
        <item m="1" x="4180"/>
        <item m="1" x="4681"/>
        <item m="1" x="5184"/>
        <item m="1" x="5688"/>
        <item m="1" x="6192"/>
        <item m="1" x="6702"/>
        <item m="1" x="7213"/>
        <item m="1" x="7718"/>
        <item m="1" x="254"/>
        <item m="1" x="756"/>
        <item m="1" x="1260"/>
        <item m="1" x="1760"/>
        <item m="1" x="2260"/>
        <item m="1" x="2770"/>
        <item m="1" x="3283"/>
        <item m="1" x="3794"/>
        <item m="1" x="4303"/>
        <item m="1" x="4805"/>
        <item m="1" x="5309"/>
        <item m="1" x="5809"/>
        <item m="1" x="6313"/>
        <item m="1" x="6825"/>
        <item m="1" x="7336"/>
        <item m="1" x="7841"/>
        <item m="1" x="375"/>
        <item m="1" x="878"/>
        <item m="1" x="1380"/>
        <item m="1" x="1881"/>
        <item m="1" x="2383"/>
        <item m="1" x="2892"/>
        <item m="1" x="3408"/>
        <item m="1" x="3923"/>
        <item m="1" x="4428"/>
        <item m="1" x="4926"/>
        <item m="1" x="5431"/>
        <item m="1" x="5931"/>
        <item m="1" x="6435"/>
        <item m="1" x="6945"/>
        <item m="1" x="7457"/>
        <item m="1" x="7963"/>
        <item m="1" x="499"/>
        <item m="1" x="1000"/>
        <item m="1" x="1503"/>
        <item m="1" x="2004"/>
        <item m="1" x="2508"/>
        <item m="1" x="3014"/>
        <item m="1" x="3528"/>
        <item m="1" x="4046"/>
        <item m="1" x="4547"/>
        <item m="1" x="5044"/>
        <item m="1" x="5549"/>
        <item m="1" x="6053"/>
        <item m="1" x="6558"/>
        <item m="1" x="7068"/>
        <item m="1" x="7579"/>
        <item m="1" x="118"/>
        <item m="1" x="620"/>
        <item m="1" x="1121"/>
        <item m="1" x="1627"/>
        <item m="1" x="2126"/>
        <item m="1" x="2631"/>
        <item m="1" x="3138"/>
        <item m="1" x="3655"/>
        <item m="1" x="4167"/>
        <item m="1" x="4666"/>
        <item m="1" x="5166"/>
        <item m="1" x="5672"/>
        <item m="1" x="6178"/>
        <item m="1" x="6684"/>
        <item m="1" x="7195"/>
        <item m="1" x="7704"/>
        <item m="1" x="239"/>
        <item m="1" x="741"/>
        <item m="1" x="1243"/>
        <item m="1" x="1745"/>
        <item m="1" x="2245"/>
        <item m="1" x="2751"/>
        <item m="1" x="3262"/>
        <item m="1" x="3779"/>
        <item m="1" x="4288"/>
        <item m="1" x="4790"/>
        <item m="1" x="5290"/>
        <item m="1" x="5793"/>
        <item m="1" x="6298"/>
        <item m="1" x="6809"/>
        <item m="1" x="7315"/>
        <item m="1" x="7827"/>
        <item m="1" x="360"/>
        <item m="1" x="863"/>
        <item m="1" x="1361"/>
        <item m="1" x="1863"/>
        <item m="1" x="2368"/>
        <item m="1" x="2876"/>
        <item m="1" x="3386"/>
        <item m="1" x="3907"/>
        <item m="1" x="4412"/>
        <item m="1" x="7135"/>
        <item m="1" x="7640"/>
        <item m="1" x="177"/>
        <item m="1" x="680"/>
        <item m="1" x="1188"/>
        <item m="1" x="1688"/>
        <item m="1" x="2187"/>
        <item m="1" x="2691"/>
        <item m="1" x="3202"/>
        <item m="1" x="3714"/>
        <item m="1" x="4224"/>
        <item m="1" x="4728"/>
        <item m="1" x="5232"/>
        <item m="1" x="5733"/>
        <item m="1" x="6238"/>
        <item m="1" x="6747"/>
        <item m="1" x="7258"/>
        <item m="1" x="7761"/>
        <item m="1" x="299"/>
        <item m="1" x="802"/>
        <item m="1" x="1308"/>
        <item m="1" x="1805"/>
        <item m="1" x="2308"/>
        <item m="1" x="2816"/>
        <item m="1" x="3327"/>
        <item m="1" x="3840"/>
        <item m="1" x="4348"/>
        <item m="1" x="4852"/>
        <item m="1" x="5356"/>
        <item m="1" x="5855"/>
        <item m="1" x="6361"/>
        <item m="1" x="6871"/>
        <item m="1" x="7379"/>
        <item m="1" x="7882"/>
        <item m="1" x="420"/>
        <item m="1" x="926"/>
        <item m="1" x="1428"/>
        <item m="1" x="1927"/>
        <item m="1" x="2433"/>
        <item m="1" x="2940"/>
        <item m="1" x="3452"/>
        <item m="1" x="3966"/>
        <item m="1" x="4473"/>
        <item m="1" x="4973"/>
        <item m="1" x="5479"/>
        <item m="1" x="5977"/>
        <item m="1" x="6484"/>
        <item m="1" x="6991"/>
        <item m="1" x="7501"/>
        <item m="1" x="38"/>
        <item m="1" x="544"/>
        <item m="1" x="1046"/>
        <item m="1" x="1553"/>
        <item m="1" x="2050"/>
        <item m="1" x="2555"/>
        <item m="1" x="3061"/>
        <item m="1" x="3574"/>
        <item m="1" x="4089"/>
        <item m="1" x="4589"/>
        <item m="1" x="5090"/>
        <item m="1" x="5600"/>
        <item m="1" x="6101"/>
        <item m="1" x="6607"/>
        <item m="1" x="7115"/>
        <item m="1" x="7626"/>
        <item m="1" x="161"/>
        <item m="1" x="662"/>
        <item m="1" x="1168"/>
        <item m="1" x="1675"/>
        <item m="1" x="2171"/>
        <item m="1" x="2677"/>
        <item m="1" x="3185"/>
        <item m="1" x="3700"/>
        <item m="1" x="4209"/>
        <item m="1" x="4710"/>
        <item m="1" x="5213"/>
        <item m="1" x="5720"/>
        <item m="1" x="6224"/>
        <item m="1" x="6732"/>
        <item m="1" x="7240"/>
        <item m="1" x="7747"/>
        <item m="1" x="283"/>
        <item m="1" x="785"/>
        <item m="1" x="1288"/>
        <item m="1" x="1791"/>
        <item m="1" x="2292"/>
        <item m="1" x="2799"/>
        <item m="1" x="3309"/>
        <item m="1" x="3824"/>
        <item m="1" x="4332"/>
        <item m="1" x="4836"/>
        <item m="1" x="5336"/>
        <item m="1" x="5841"/>
        <item m="1" x="6346"/>
        <item m="1" x="6855"/>
        <item m="1" x="7361"/>
        <item m="1" x="7868"/>
        <item m="1" x="404"/>
        <item m="1" x="907"/>
        <item m="1" x="1408"/>
        <item m="1" x="1913"/>
        <item m="1" x="2415"/>
        <item m="1" x="2923"/>
        <item m="1" x="3433"/>
        <item m="1" x="3950"/>
        <item m="1" x="4456"/>
        <item m="1" x="4955"/>
        <item m="1" x="5458"/>
        <item m="1" x="5962"/>
        <item m="1" x="6468"/>
        <item m="1" x="6976"/>
        <item m="1" x="7483"/>
        <item m="1" x="7992"/>
        <item m="1" x="527"/>
        <item m="1" x="1030"/>
        <item m="1" x="1533"/>
        <item m="1" x="2036"/>
        <item m="1" x="2540"/>
        <item m="1" x="3047"/>
        <item m="1" x="3558"/>
        <item m="1" x="4075"/>
        <item m="1" x="4575"/>
        <item m="1" x="5074"/>
        <item m="1" x="5580"/>
        <item m="1" x="6085"/>
        <item m="1" x="6591"/>
        <item m="1" x="7100"/>
        <item m="1" x="7608"/>
        <item m="1" x="148"/>
        <item m="1" x="649"/>
        <item m="1" x="1152"/>
        <item m="1" x="1656"/>
        <item m="1" x="2157"/>
        <item m="1" x="2662"/>
        <item m="1" x="3169"/>
        <item m="1" x="3682"/>
        <item m="1" x="4193"/>
        <item m="1" x="4694"/>
        <item m="1" x="5196"/>
        <item m="1" x="5701"/>
        <item m="1" x="6207"/>
        <item m="1" x="6718"/>
        <item m="1" x="7225"/>
        <item m="1" x="7731"/>
        <item m="1" x="267"/>
        <item m="1" x="770"/>
        <item m="1" x="1272"/>
        <item m="1" x="1772"/>
        <item m="1" x="2274"/>
        <item m="1" x="2784"/>
        <item m="1" x="3294"/>
        <item m="1" x="3807"/>
        <item m="1" x="4315"/>
        <item m="1" x="4819"/>
        <item m="1" x="5321"/>
        <item m="1" x="5821"/>
        <item m="1" x="6327"/>
        <item m="1" x="6840"/>
        <item m="1" x="7347"/>
        <item m="1" x="7852"/>
        <item m="1" x="388"/>
        <item m="1" x="893"/>
        <item m="1" x="1393"/>
        <item m="1" x="1893"/>
        <item m="1" x="2398"/>
        <item m="1" x="2907"/>
        <item m="1" x="3419"/>
        <item m="1" x="3934"/>
        <item m="1" x="4441"/>
        <item m="1" x="4939"/>
        <item m="1" x="5443"/>
        <item m="1" x="5943"/>
        <item m="1" x="6450"/>
        <item m="1" x="6960"/>
        <item m="1" x="7469"/>
        <item m="1" x="7974"/>
        <item m="1" x="511"/>
        <item m="1" x="1014"/>
        <item m="1" x="1518"/>
        <item m="1" x="2017"/>
        <item m="1" x="2523"/>
        <item m="1" x="3031"/>
        <item m="1" x="3544"/>
        <item m="1" x="4059"/>
        <item m="1" x="4560"/>
        <item m="1" x="5058"/>
        <item m="1" x="5565"/>
        <item m="1" x="6065"/>
        <item m="1" x="6572"/>
        <item m="1" x="7084"/>
        <item m="1" x="7593"/>
        <item m="1" x="130"/>
        <item m="1" x="631"/>
        <item m="1" x="1134"/>
        <item m="1" x="1640"/>
        <item m="1" x="2135"/>
        <item m="1" x="2643"/>
        <item m="1" x="3152"/>
        <item m="1" x="3666"/>
        <item m="1" x="4177"/>
        <item m="1" x="4677"/>
        <item m="1" x="5179"/>
        <item m="1" x="5684"/>
        <item m="1" x="6188"/>
        <item m="1" x="6697"/>
        <item m="1" x="7209"/>
        <item m="1" x="7715"/>
        <item m="1" x="250"/>
        <item m="1" x="751"/>
        <item m="1" x="1255"/>
        <item m="1" x="1757"/>
        <item m="1" x="2256"/>
        <item m="1" x="2765"/>
        <item m="1" x="3279"/>
        <item m="1" x="3791"/>
        <item m="1" x="4300"/>
        <item m="1" x="4801"/>
        <item m="1" x="5304"/>
        <item m="1" x="5806"/>
        <item m="1" x="6309"/>
        <item m="1" x="6820"/>
        <item m="1" x="7331"/>
        <item m="1" x="7838"/>
        <item m="1" x="371"/>
        <item m="1" x="873"/>
        <item m="1" x="1375"/>
        <item m="1" x="1876"/>
        <item m="1" x="2379"/>
        <item m="1" x="2887"/>
        <item m="1" x="3403"/>
        <item m="1" x="3919"/>
        <item m="1" x="4425"/>
        <item m="1" x="4922"/>
        <item m="1" x="5425"/>
        <item m="1" x="5927"/>
        <item m="1" x="6432"/>
        <item m="1" x="6940"/>
        <item m="1" x="7451"/>
        <item m="1" x="7959"/>
        <item m="1" x="495"/>
        <item m="1" x="995"/>
        <item m="1" x="1497"/>
        <item m="1" x="2000"/>
        <item m="1" x="2506"/>
        <item m="1" x="5745"/>
        <item m="1" x="6249"/>
        <item m="1" x="6759"/>
        <item m="1" x="7267"/>
        <item m="1" x="7773"/>
        <item m="1" x="311"/>
        <item m="1" x="816"/>
        <item m="1" x="1316"/>
        <item m="1" x="1815"/>
        <item m="1" x="2318"/>
        <item m="1" x="2828"/>
        <item m="1" x="3336"/>
        <item m="1" x="3850"/>
        <item m="1" x="4360"/>
        <item m="1" x="4865"/>
        <item m="1" x="5363"/>
        <item m="1" x="5866"/>
        <item m="1" x="6371"/>
        <item m="1" x="6883"/>
        <item m="1" x="7387"/>
        <item m="1" x="7893"/>
        <item m="1" x="433"/>
        <item m="1" x="940"/>
        <item m="1" x="1437"/>
        <item m="1" x="1938"/>
        <item m="1" x="2443"/>
        <item m="1" x="2952"/>
        <item m="1" x="3460"/>
        <item m="1" x="3977"/>
        <item m="1" x="4485"/>
        <item m="1" x="4988"/>
        <item m="1" x="5488"/>
        <item m="1" x="5988"/>
        <item m="1" x="6495"/>
        <item m="1" x="7005"/>
        <item m="1" x="7511"/>
        <item m="1" x="50"/>
        <item m="1" x="556"/>
        <item m="1" x="1063"/>
        <item m="1" x="1565"/>
        <item m="1" x="2062"/>
        <item m="1" x="2567"/>
        <item m="1" x="3077"/>
        <item m="1" x="3585"/>
        <item m="1" x="4099"/>
        <item m="1" x="4602"/>
        <item m="1" x="5106"/>
        <item m="1" x="5610"/>
        <item m="1" x="6112"/>
        <item m="1" x="6619"/>
        <item m="1" x="7129"/>
        <item m="1" x="7637"/>
        <item m="1" x="172"/>
        <item m="1" x="675"/>
        <item m="1" x="1182"/>
        <item m="1" x="1685"/>
        <item m="1" x="2182"/>
        <item m="1" x="2687"/>
        <item m="1" x="3197"/>
        <item m="1" x="3710"/>
        <item m="1" x="4219"/>
        <item m="1" x="4723"/>
        <item m="1" x="5227"/>
        <item m="1" x="5730"/>
        <item m="1" x="6234"/>
        <item m="1" x="6743"/>
        <item m="1" x="7253"/>
        <item m="1" x="7758"/>
        <item m="1" x="294"/>
        <item m="1" x="797"/>
        <item m="1" x="1303"/>
        <item m="1" x="1802"/>
        <item m="1" x="2303"/>
        <item m="1" x="2811"/>
        <item m="1" x="3322"/>
        <item m="1" x="3836"/>
        <item m="1" x="4342"/>
        <item m="1" x="4847"/>
        <item m="1" x="5351"/>
        <item m="1" x="5851"/>
        <item m="1" x="6357"/>
        <item m="1" x="6867"/>
        <item m="1" x="7374"/>
        <item m="1" x="7878"/>
        <item m="1" x="415"/>
        <item m="1" x="919"/>
        <item m="1" x="1423"/>
        <item m="1" x="1923"/>
        <item m="1" x="2428"/>
        <item m="1" x="2933"/>
        <item m="1" x="3447"/>
        <item m="1" x="3961"/>
        <item m="1" x="4469"/>
        <item m="1" x="4967"/>
        <item m="1" x="5474"/>
        <item m="1" x="5973"/>
        <item m="1" x="6480"/>
        <item m="1" x="6986"/>
        <item m="1" x="7496"/>
        <item m="1" x="34"/>
        <item m="1" x="540"/>
        <item m="1" x="1040"/>
        <item m="1" x="1548"/>
        <item m="1" x="2047"/>
        <item m="1" x="2551"/>
        <item m="1" x="3056"/>
        <item m="1" x="3570"/>
        <item m="1" x="4085"/>
        <item m="1" x="4585"/>
        <item m="1" x="5085"/>
        <item m="1" x="5596"/>
        <item m="1" x="6097"/>
        <item m="1" x="6603"/>
        <item m="1" x="7111"/>
        <item m="1" x="7621"/>
        <item m="1" x="158"/>
        <item m="1" x="659"/>
        <item m="1" x="1163"/>
        <item m="1" x="1671"/>
        <item m="1" x="2168"/>
        <item m="1" x="2673"/>
        <item m="1" x="3179"/>
        <item m="1" x="3695"/>
        <item m="1" x="4205"/>
        <item m="1" x="4706"/>
        <item m="1" x="5207"/>
        <item m="1" x="5715"/>
        <item m="1" x="6221"/>
        <item m="1" x="6729"/>
        <item m="1" x="7236"/>
        <item m="1" x="7743"/>
        <item m="1" x="280"/>
        <item m="1" x="782"/>
        <item m="1" x="1283"/>
        <item m="1" x="1786"/>
        <item m="1" x="2289"/>
        <item m="1" x="2795"/>
        <item m="1" x="3304"/>
        <item m="1" x="3819"/>
        <item m="1" x="4329"/>
        <item m="1" x="4831"/>
        <item m="1" x="5332"/>
        <item m="1" x="5835"/>
        <item m="1" x="6342"/>
        <item m="1" x="6851"/>
        <item m="1" x="7358"/>
        <item m="1" x="7863"/>
        <item m="1" x="400"/>
        <item m="1" x="903"/>
        <item m="1" x="1404"/>
        <item m="1" x="1907"/>
        <item m="1" x="2411"/>
        <item m="1" x="2918"/>
        <item m="1" x="3429"/>
        <item m="1" x="3945"/>
        <item m="1" x="4453"/>
        <item m="1" x="4951"/>
        <item m="1" x="5454"/>
        <item m="1" x="5956"/>
        <item m="1" x="6465"/>
        <item m="1" x="6972"/>
        <item m="1" x="7480"/>
        <item m="1" x="7987"/>
        <item m="1" x="524"/>
        <item m="1" x="1026"/>
        <item m="1" x="1529"/>
        <item m="1" x="2030"/>
        <item m="1" x="2537"/>
        <item m="1" x="3042"/>
        <item m="1" x="3554"/>
        <item m="1" x="4070"/>
        <item m="1" x="4572"/>
        <item m="1" x="5069"/>
        <item m="1" x="5575"/>
        <item m="1" x="6079"/>
        <item m="1" x="6586"/>
        <item m="1" x="7095"/>
        <item m="1" x="7605"/>
        <item m="1" x="143"/>
        <item m="1" x="645"/>
        <item m="1" x="1148"/>
        <item m="1" x="1652"/>
        <item m="1" x="2150"/>
        <item m="1" x="2658"/>
        <item m="1" x="3165"/>
        <item m="1" x="3678"/>
        <item m="1" x="4188"/>
        <item m="1" x="4690"/>
        <item m="1" x="5192"/>
        <item m="1" x="5696"/>
        <item m="1" x="6201"/>
        <item m="1" x="6712"/>
        <item m="1" x="7220"/>
        <item m="1" x="7726"/>
        <item m="1" x="261"/>
        <item m="1" x="764"/>
        <item m="1" x="1268"/>
        <item m="1" x="1767"/>
        <item m="1" x="2268"/>
        <item m="1" x="2779"/>
        <item m="1" x="3290"/>
        <item m="1" x="3802"/>
        <item m="1" x="4310"/>
        <item m="1" x="4814"/>
        <item m="1" x="5316"/>
        <item m="1" x="5815"/>
        <item m="1" x="6321"/>
        <item m="1" x="6834"/>
        <item m="1" x="7343"/>
        <item m="1" x="7848"/>
        <item m="1" x="383"/>
        <item m="1" x="887"/>
        <item m="1" x="1389"/>
        <item m="1" x="1888"/>
        <item m="1" x="2392"/>
        <item m="1" x="2902"/>
        <item m="1" x="3415"/>
        <item m="1" x="3929"/>
        <item m="1" x="4435"/>
        <item m="1" x="4934"/>
        <item m="1" x="5439"/>
        <item m="1" x="5938"/>
        <item m="1" x="6444"/>
        <item m="1" x="6955"/>
        <item m="1" x="7465"/>
        <item m="1" x="7970"/>
        <item m="1" x="506"/>
        <item m="1" x="1009"/>
        <item m="1" x="1513"/>
        <item m="1" x="2013"/>
        <item m="1" x="2517"/>
        <item m="1" x="3026"/>
        <item m="1" x="3539"/>
        <item m="1" x="4054"/>
        <item m="1" x="4554"/>
        <item m="1" x="5053"/>
        <item m="1" x="5559"/>
        <item m="1" x="6060"/>
        <item m="1" x="6566"/>
        <item m="1" x="7079"/>
        <item m="1" x="7587"/>
        <item m="1" x="126"/>
        <item m="1" x="627"/>
        <item m="1" x="1130"/>
        <item m="1" x="3865"/>
        <item m="1" x="4374"/>
        <item m="1" x="4875"/>
        <item m="1" x="5375"/>
        <item m="1" x="5877"/>
        <item m="1" x="2466"/>
        <item m="1" x="2972"/>
        <item m="1" x="3484"/>
        <item m="1" x="4003"/>
        <item m="1" x="591"/>
        <item m="1" x="1094"/>
        <item m="1" x="1597"/>
        <item m="1" x="2094"/>
        <item m="1" x="2599"/>
        <item m="1" x="6920"/>
        <item m="1" x="7177"/>
        <item m="1" x="7426"/>
        <item m="1" x="7681"/>
        <item m="1" x="7933"/>
        <item m="1" x="219"/>
        <item m="1" x="473"/>
        <item m="1" x="721"/>
        <item m="1" x="975"/>
        <item m="1" x="5283"/>
        <item m="1" x="5532"/>
        <item m="1" x="5784"/>
        <item m="1" x="6037"/>
        <item m="1" x="6289"/>
        <item m="1" x="6545"/>
        <item m="1" x="6802"/>
        <item m="1" x="7053"/>
        <item m="1" x="7306"/>
        <item m="1" x="3650"/>
        <item m="1" x="3911"/>
        <item m="1" x="4162"/>
        <item m="1" x="4417"/>
        <item m="1" x="4664"/>
        <item m="1" x="4915"/>
        <item m="1" x="5162"/>
        <item m="1" x="5415"/>
        <item m="1" x="5668"/>
        <item m="1" x="2005"/>
        <item m="1" x="2253"/>
        <item m="1" x="2509"/>
        <item m="1" x="2760"/>
        <item m="1" x="3015"/>
        <item m="1" x="3274"/>
        <item m="1" x="3529"/>
        <item m="1" x="3787"/>
        <item m="1" x="4047"/>
        <item m="1" x="131"/>
        <item m="1" x="378"/>
        <item m="1" x="632"/>
        <item m="1" x="883"/>
        <item m="1" x="1135"/>
        <item m="1" x="1385"/>
        <item m="1" x="1641"/>
        <item m="1" x="1885"/>
        <item m="1" x="2136"/>
        <item m="1" x="2387"/>
        <item m="1" x="6456"/>
        <item m="1" x="6713"/>
        <item m="1" x="6964"/>
        <item m="1" x="7221"/>
        <item m="1" x="7473"/>
        <item m="1" x="7727"/>
        <item m="1" x="7978"/>
        <item m="1" x="262"/>
        <item m="1" x="516"/>
        <item m="1" x="765"/>
        <item m="1" x="4827"/>
        <item m="1" x="5075"/>
        <item m="1" x="5327"/>
        <item m="1" x="5581"/>
        <item m="1" x="5829"/>
        <item m="1" x="6086"/>
        <item m="1" x="6336"/>
        <item m="1" x="6592"/>
        <item m="1" x="6847"/>
        <item m="1" x="7101"/>
        <item m="1" x="3180"/>
        <item m="1" x="3438"/>
        <item m="1" x="3696"/>
        <item m="1" x="3954"/>
        <item m="1" x="4206"/>
        <item m="1" x="4461"/>
        <item m="1" x="4707"/>
        <item m="1" x="4958"/>
        <item m="1" x="5208"/>
        <item m="1" x="5463"/>
        <item m="1" x="1554"/>
        <item m="1" x="1798"/>
        <item m="1" x="2051"/>
        <item m="1" x="2300"/>
        <item m="1" x="2556"/>
        <item m="1" x="2807"/>
        <item m="1" x="3062"/>
        <item m="1" x="3318"/>
        <item m="1" x="3575"/>
        <item m="1" x="3832"/>
        <item t="default"/>
      </items>
    </pivotField>
    <pivotField showAll="0"/>
    <pivotField showAll="0">
      <items count="11">
        <item x="0"/>
        <item x="1"/>
        <item x="2"/>
        <item x="3"/>
        <item m="1" x="9"/>
        <item m="1" x="4"/>
        <item m="1" x="5"/>
        <item m="1" x="6"/>
        <item m="1" x="7"/>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35" firstHeaderRow="0" firstDataRow="1" firstDataCol="1"/>
  <pivotFields count="19">
    <pivotField showAll="0">
      <items count="189">
        <item m="1" x="181"/>
        <item m="1" x="161"/>
        <item m="1" x="75"/>
        <item m="1" x="19"/>
        <item m="1" x="62"/>
        <item m="1" x="182"/>
        <item m="1" x="7"/>
        <item m="1" x="158"/>
        <item m="1" x="46"/>
        <item m="1" x="134"/>
        <item m="1" x="79"/>
        <item m="1" x="179"/>
        <item m="1" x="68"/>
        <item m="1" x="11"/>
        <item m="1" x="135"/>
        <item m="1" x="82"/>
        <item m="1" x="88"/>
        <item m="1" x="115"/>
        <item m="1" x="140"/>
        <item m="1" x="34"/>
        <item m="1" x="50"/>
        <item m="1" x="183"/>
        <item m="1" x="8"/>
        <item m="1" x="176"/>
        <item m="1" x="51"/>
        <item m="1" x="83"/>
        <item m="1" x="58"/>
        <item m="1" x="91"/>
        <item m="1" x="95"/>
        <item m="1" x="69"/>
        <item m="1" x="23"/>
        <item m="1" x="153"/>
        <item m="1" x="32"/>
        <item m="1" x="35"/>
        <item m="1" x="144"/>
        <item m="1" x="99"/>
        <item m="1" x="63"/>
        <item m="1" x="184"/>
        <item m="1" x="145"/>
        <item m="1" x="100"/>
        <item m="1" x="165"/>
        <item m="1" x="44"/>
        <item m="1" x="12"/>
        <item m="1" x="20"/>
        <item m="1" x="127"/>
        <item m="1" x="109"/>
        <item m="1" x="111"/>
        <item m="1" x="80"/>
        <item m="1" x="92"/>
        <item m="1" x="89"/>
        <item m="1" x="66"/>
        <item m="1" x="177"/>
        <item m="1" x="4"/>
        <item m="1" x="185"/>
        <item m="1" x="116"/>
        <item m="1" x="5"/>
        <item m="1" x="84"/>
        <item m="1" x="150"/>
        <item m="1" x="148"/>
        <item m="1" x="21"/>
        <item m="1" x="93"/>
        <item m="1" x="67"/>
        <item m="1" x="141"/>
        <item m="1" x="40"/>
        <item m="1" x="159"/>
        <item m="1" x="170"/>
        <item m="1" x="24"/>
        <item m="1" x="119"/>
        <item m="1" x="137"/>
        <item m="1" x="166"/>
        <item m="1" x="157"/>
        <item m="1" x="104"/>
        <item m="1" x="130"/>
        <item m="1" x="162"/>
        <item m="1" x="52"/>
        <item m="1" x="36"/>
        <item m="1" x="70"/>
        <item m="1" x="105"/>
        <item m="1" x="101"/>
        <item m="1" x="41"/>
        <item m="1" x="147"/>
        <item m="1" x="37"/>
        <item m="1" x="149"/>
        <item m="1" x="72"/>
        <item m="1" x="64"/>
        <item m="1" x="171"/>
        <item m="1" x="186"/>
        <item m="1" x="1"/>
        <item m="1" x="167"/>
        <item m="1" x="187"/>
        <item m="1" x="131"/>
        <item m="1" x="138"/>
        <item m="1" x="27"/>
        <item m="1" x="154"/>
        <item m="1" x="133"/>
        <item m="1" x="47"/>
        <item m="1" x="73"/>
        <item x="0"/>
        <item m="1" x="128"/>
        <item m="1" x="90"/>
        <item m="1" x="76"/>
        <item m="1" x="48"/>
        <item m="1" x="14"/>
        <item m="1" x="117"/>
        <item m="1" x="59"/>
        <item m="1" x="155"/>
        <item m="1" x="85"/>
        <item m="1" x="56"/>
        <item m="1" x="28"/>
        <item m="1" x="60"/>
        <item m="1" x="2"/>
        <item m="1" x="33"/>
        <item m="1" x="22"/>
        <item m="1" x="6"/>
        <item m="1" x="123"/>
        <item m="1" x="86"/>
        <item m="1" x="49"/>
        <item m="1" x="30"/>
        <item m="1" x="38"/>
        <item m="1" x="129"/>
        <item m="1" x="160"/>
        <item m="1" x="29"/>
        <item m="1" x="124"/>
        <item m="1" x="13"/>
        <item m="1" x="42"/>
        <item m="1" x="17"/>
        <item m="1" x="102"/>
        <item m="1" x="74"/>
        <item m="1" x="77"/>
        <item m="1" x="16"/>
        <item m="1" x="172"/>
        <item m="1" x="173"/>
        <item m="1" x="110"/>
        <item m="1" x="142"/>
        <item m="1" x="53"/>
        <item m="1" x="25"/>
        <item m="1" x="106"/>
        <item m="1" x="146"/>
        <item m="1" x="120"/>
        <item m="1" x="39"/>
        <item m="1" x="174"/>
        <item m="1" x="112"/>
        <item m="1" x="9"/>
        <item m="1" x="163"/>
        <item m="1" x="18"/>
        <item m="1" x="45"/>
        <item m="1" x="96"/>
        <item m="1" x="71"/>
        <item m="1" x="125"/>
        <item m="1" x="156"/>
        <item m="1" x="103"/>
        <item m="1" x="113"/>
        <item m="1" x="54"/>
        <item m="1" x="15"/>
        <item m="1" x="43"/>
        <item m="1" x="55"/>
        <item m="1" x="107"/>
        <item m="1" x="121"/>
        <item m="1" x="132"/>
        <item m="1" x="126"/>
        <item m="1" x="78"/>
        <item m="1" x="94"/>
        <item m="1" x="26"/>
        <item m="1" x="57"/>
        <item m="1" x="164"/>
        <item m="1" x="97"/>
        <item m="1" x="3"/>
        <item m="1" x="143"/>
        <item m="1" x="180"/>
        <item m="1" x="65"/>
        <item m="1" x="118"/>
        <item m="1" x="136"/>
        <item m="1" x="81"/>
        <item m="1" x="98"/>
        <item m="1" x="114"/>
        <item m="1" x="122"/>
        <item m="1" x="168"/>
        <item m="1" x="10"/>
        <item m="1" x="139"/>
        <item m="1" x="175"/>
        <item m="1" x="178"/>
        <item m="1" x="31"/>
        <item m="1" x="61"/>
        <item m="1" x="151"/>
        <item m="1" x="169"/>
        <item m="1" x="152"/>
        <item m="1" x="87"/>
        <item m="1" x="108"/>
        <item t="default"/>
      </items>
    </pivotField>
    <pivotField showAll="0">
      <items count="417">
        <item m="1" x="15"/>
        <item m="1" x="383"/>
        <item m="1" x="94"/>
        <item m="1" x="307"/>
        <item m="1" x="273"/>
        <item m="1" x="320"/>
        <item m="1" x="314"/>
        <item m="1" x="284"/>
        <item m="1" x="375"/>
        <item m="1" x="128"/>
        <item m="1" x="51"/>
        <item m="1" x="315"/>
        <item m="1" x="203"/>
        <item m="1" x="258"/>
        <item m="1" x="39"/>
        <item m="1" x="366"/>
        <item m="1" x="274"/>
        <item m="1" x="204"/>
        <item m="1" x="321"/>
        <item m="1" x="332"/>
        <item m="1" x="211"/>
        <item m="1" x="40"/>
        <item m="1" x="229"/>
        <item m="1" x="65"/>
        <item m="1" x="16"/>
        <item m="1" x="298"/>
        <item m="1" x="182"/>
        <item m="1" x="347"/>
        <item m="1" x="32"/>
        <item m="1" x="245"/>
        <item m="1" x="118"/>
        <item m="1" x="7"/>
        <item m="1" x="384"/>
        <item m="1" x="72"/>
        <item m="1" x="164"/>
        <item m="1" x="22"/>
        <item m="1" x="398"/>
        <item m="1" x="275"/>
        <item m="1" x="205"/>
        <item m="1" x="149"/>
        <item m="1" x="354"/>
        <item m="1" x="373"/>
        <item m="1" x="190"/>
        <item m="1" x="399"/>
        <item m="1" x="23"/>
        <item m="1" x="333"/>
        <item m="1" x="276"/>
        <item m="1" x="112"/>
        <item m="1" x="109"/>
        <item m="1" x="367"/>
        <item m="1" x="360"/>
        <item m="1" x="119"/>
        <item m="1" x="230"/>
        <item m="1" x="10"/>
        <item m="1" x="361"/>
        <item m="1" x="390"/>
        <item m="1" x="165"/>
        <item m="1" x="328"/>
        <item m="1" x="24"/>
        <item m="1" x="80"/>
        <item m="1" x="246"/>
        <item m="1" x="124"/>
        <item m="1" x="11"/>
        <item m="1" x="299"/>
        <item m="1" x="238"/>
        <item m="1" x="101"/>
        <item m="1" x="266"/>
        <item m="1" x="197"/>
        <item m="1" x="348"/>
        <item m="1" x="285"/>
        <item m="1" x="33"/>
        <item m="1" x="87"/>
        <item m="1" x="135"/>
        <item m="1" x="300"/>
        <item m="1" x="206"/>
        <item m="1" x="17"/>
        <item m="1" x="34"/>
        <item m="1" x="88"/>
        <item m="1" x="150"/>
        <item m="1" x="247"/>
        <item m="1" x="376"/>
        <item m="1" x="166"/>
        <item m="1" x="385"/>
        <item m="1" x="325"/>
        <item m="1" x="198"/>
        <item m="1" x="212"/>
        <item m="1" x="391"/>
        <item m="1" x="102"/>
        <item m="1" x="267"/>
        <item m="1" x="25"/>
        <item m="1" x="405"/>
        <item m="1" x="349"/>
        <item m="1" x="277"/>
        <item m="1" x="167"/>
        <item m="1" x="26"/>
        <item m="1" x="151"/>
        <item m="1" x="248"/>
        <item m="1" x="406"/>
        <item m="1" x="113"/>
        <item m="1" x="173"/>
        <item m="1" x="278"/>
        <item m="1" x="183"/>
        <item m="1" x="268"/>
        <item m="1" x="59"/>
        <item m="1" x="159"/>
        <item m="1" x="368"/>
        <item m="1" x="400"/>
        <item m="1" x="177"/>
        <item m="1" x="219"/>
        <item m="1" x="308"/>
        <item m="1" x="377"/>
        <item m="1" x="254"/>
        <item m="1" x="362"/>
        <item m="1" x="184"/>
        <item m="1" x="45"/>
        <item m="1" x="392"/>
        <item m="1" x="129"/>
        <item m="1" x="280"/>
        <item m="1" x="220"/>
        <item m="1" x="160"/>
        <item m="1" x="73"/>
        <item m="1" x="125"/>
        <item m="1" x="41"/>
        <item m="1" x="322"/>
        <item m="1" x="89"/>
        <item m="1" x="329"/>
        <item m="1" x="27"/>
        <item m="1" x="234"/>
        <item m="1" x="95"/>
        <item m="1" x="259"/>
        <item m="1" x="199"/>
        <item m="1" x="126"/>
        <item m="1" x="90"/>
        <item m="1" x="289"/>
        <item m="1" x="114"/>
        <item m="1" x="161"/>
        <item m="1" x="193"/>
        <item m="1" x="301"/>
        <item m="1" x="66"/>
        <item m="1" x="226"/>
        <item m="1" x="52"/>
        <item m="1" x="67"/>
        <item m="1" x="152"/>
        <item m="1" x="174"/>
        <item m="1" x="110"/>
        <item m="1" x="60"/>
        <item m="1" x="178"/>
        <item m="1" x="326"/>
        <item m="1" x="185"/>
        <item m="1" x="18"/>
        <item m="1" x="141"/>
        <item m="1" x="1"/>
        <item m="1" x="103"/>
        <item m="1" x="53"/>
        <item m="1" x="231"/>
        <item m="1" x="337"/>
        <item m="1" x="221"/>
        <item m="1" x="241"/>
        <item m="1" x="28"/>
        <item m="1" x="286"/>
        <item m="1" x="249"/>
        <item m="1" x="290"/>
        <item m="1" x="378"/>
        <item m="1" x="407"/>
        <item m="1" x="260"/>
        <item m="1" x="120"/>
        <item m="1" x="369"/>
        <item m="1" x="153"/>
        <item m="1" x="316"/>
        <item m="1" x="130"/>
        <item m="1" x="61"/>
        <item m="1" x="194"/>
        <item m="1" x="261"/>
        <item m="1" x="121"/>
        <item m="1" x="46"/>
        <item m="1" x="379"/>
        <item m="1" x="74"/>
        <item x="0"/>
        <item m="1" x="291"/>
        <item m="1" x="42"/>
        <item m="1" x="186"/>
        <item m="1" x="281"/>
        <item m="1" x="142"/>
        <item m="1" x="269"/>
        <item m="1" x="8"/>
        <item m="1" x="111"/>
        <item m="1" x="156"/>
        <item m="1" x="323"/>
        <item m="1" x="338"/>
        <item m="1" x="413"/>
        <item m="1" x="168"/>
        <item m="1" x="2"/>
        <item m="1" x="350"/>
        <item m="1" x="287"/>
        <item m="1" x="62"/>
        <item m="1" x="235"/>
        <item m="1" x="408"/>
        <item m="1" x="179"/>
        <item m="1" x="43"/>
        <item m="1" x="187"/>
        <item m="1" x="262"/>
        <item m="1" x="342"/>
        <item m="1" x="200"/>
        <item m="1" x="282"/>
        <item m="1" x="270"/>
        <item m="1" x="29"/>
        <item m="1" x="207"/>
        <item m="1" x="54"/>
        <item m="1" x="317"/>
        <item m="1" x="401"/>
        <item m="1" x="334"/>
        <item m="1" x="91"/>
        <item m="1" x="180"/>
        <item m="1" x="255"/>
        <item m="1" x="414"/>
        <item m="1" x="96"/>
        <item m="1" x="188"/>
        <item m="1" x="47"/>
        <item m="1" x="393"/>
        <item m="1" x="271"/>
        <item m="1" x="154"/>
        <item m="1" x="250"/>
        <item m="1" x="131"/>
        <item m="1" x="195"/>
        <item m="1" x="343"/>
        <item m="1" x="143"/>
        <item m="1" x="75"/>
        <item m="1" x="374"/>
        <item m="1" x="355"/>
        <item m="1" x="380"/>
        <item m="1" x="256"/>
        <item m="1" x="12"/>
        <item m="1" x="115"/>
        <item m="1" x="97"/>
        <item m="1" x="189"/>
        <item m="1" x="370"/>
        <item m="1" x="48"/>
        <item m="1" x="76"/>
        <item m="1" x="242"/>
        <item m="1" x="3"/>
        <item m="1" x="55"/>
        <item m="1" x="81"/>
        <item m="1" x="213"/>
        <item m="1" x="292"/>
        <item m="1" x="302"/>
        <item m="1" x="98"/>
        <item m="1" x="263"/>
        <item m="1" x="122"/>
        <item m="1" x="144"/>
        <item m="1" x="77"/>
        <item m="1" x="169"/>
        <item m="1" x="330"/>
        <item m="1" x="351"/>
        <item m="1" x="56"/>
        <item m="1" x="35"/>
        <item m="1" x="132"/>
        <item m="1" x="293"/>
        <item m="1" x="381"/>
        <item m="1" x="63"/>
        <item m="1" x="181"/>
        <item m="1" x="363"/>
        <item m="1" x="68"/>
        <item m="1" x="99"/>
        <item m="1" x="19"/>
        <item m="1" x="309"/>
        <item m="1" x="78"/>
        <item m="1" x="318"/>
        <item m="1" x="402"/>
        <item m="1" x="82"/>
        <item m="1" x="294"/>
        <item m="1" x="324"/>
        <item m="1" x="116"/>
        <item m="1" x="136"/>
        <item m="1" x="222"/>
        <item m="1" x="344"/>
        <item m="1" x="371"/>
        <item m="1" x="49"/>
        <item m="1" x="394"/>
        <item m="1" x="4"/>
        <item m="1" x="191"/>
        <item m="1" x="352"/>
        <item m="1" x="57"/>
        <item m="1" x="83"/>
        <item m="1" x="335"/>
        <item m="1" x="356"/>
        <item m="1" x="214"/>
        <item m="1" x="295"/>
        <item m="1" x="409"/>
        <item m="1" x="364"/>
        <item m="1" x="303"/>
        <item m="1" x="415"/>
        <item m="1" x="201"/>
        <item m="1" x="145"/>
        <item m="1" x="227"/>
        <item m="1" x="310"/>
        <item m="1" x="30"/>
        <item m="1" x="58"/>
        <item m="1" x="133"/>
        <item m="1" x="215"/>
        <item m="1" x="296"/>
        <item m="1" x="339"/>
        <item m="1" x="386"/>
        <item m="1" x="69"/>
        <item m="1" x="239"/>
        <item m="1" x="20"/>
        <item m="1" x="123"/>
        <item m="1" x="283"/>
        <item m="1" x="79"/>
        <item m="1" x="104"/>
        <item m="1" x="192"/>
        <item m="1" x="208"/>
        <item m="1" x="232"/>
        <item m="1" x="403"/>
        <item m="1" x="251"/>
        <item m="1" x="357"/>
        <item m="1" x="36"/>
        <item m="1" x="410"/>
        <item m="1" x="223"/>
        <item m="1" x="264"/>
        <item m="1" x="50"/>
        <item m="1" x="311"/>
        <item m="1" x="395"/>
        <item m="1" x="105"/>
        <item m="1" x="84"/>
        <item m="1" x="175"/>
        <item m="1" x="336"/>
        <item m="1" x="358"/>
        <item m="1" x="157"/>
        <item m="1" x="411"/>
        <item m="1" x="345"/>
        <item m="1" x="146"/>
        <item m="1" x="228"/>
        <item m="1" x="312"/>
        <item m="1" x="155"/>
        <item m="1" x="85"/>
        <item m="1" x="176"/>
        <item m="1" x="134"/>
        <item m="1" x="412"/>
        <item m="1" x="92"/>
        <item m="1" x="117"/>
        <item m="1" x="387"/>
        <item m="1" x="327"/>
        <item m="1" x="100"/>
        <item m="1" x="147"/>
        <item m="1" x="396"/>
        <item m="1" x="170"/>
        <item m="1" x="233"/>
        <item m="1" x="319"/>
        <item m="1" x="9"/>
        <item m="1" x="279"/>
        <item m="1" x="216"/>
        <item m="1" x="382"/>
        <item m="1" x="137"/>
        <item m="1" x="171"/>
        <item m="1" x="243"/>
        <item m="1" x="106"/>
        <item m="1" x="31"/>
        <item m="1" x="209"/>
        <item m="1" x="86"/>
        <item m="1" x="359"/>
        <item m="1" x="37"/>
        <item m="1" x="217"/>
        <item m="1" x="236"/>
        <item m="1" x="257"/>
        <item m="1" x="138"/>
        <item m="1" x="224"/>
        <item m="1" x="304"/>
        <item m="1" x="388"/>
        <item m="1" x="346"/>
        <item m="1" x="21"/>
        <item m="1" x="148"/>
        <item m="1" x="397"/>
        <item m="1" x="107"/>
        <item m="1" x="252"/>
        <item m="1" x="158"/>
        <item m="1" x="44"/>
        <item m="1" x="70"/>
        <item m="1" x="372"/>
        <item m="1" x="244"/>
        <item m="1" x="5"/>
        <item m="1" x="272"/>
        <item m="1" x="288"/>
        <item m="1" x="253"/>
        <item m="1" x="218"/>
        <item m="1" x="365"/>
        <item m="1" x="331"/>
        <item m="1" x="6"/>
        <item m="1" x="353"/>
        <item m="1" x="127"/>
        <item m="1" x="38"/>
        <item m="1" x="64"/>
        <item m="1" x="196"/>
        <item m="1" x="139"/>
        <item m="1" x="305"/>
        <item m="1" x="162"/>
        <item m="1" x="265"/>
        <item m="1" x="108"/>
        <item m="1" x="340"/>
        <item m="1" x="13"/>
        <item m="1" x="140"/>
        <item m="1" x="163"/>
        <item m="1" x="240"/>
        <item m="1" x="210"/>
        <item m="1" x="93"/>
        <item m="1" x="341"/>
        <item m="1" x="389"/>
        <item m="1" x="202"/>
        <item m="1" x="172"/>
        <item m="1" x="297"/>
        <item m="1" x="237"/>
        <item m="1" x="14"/>
        <item m="1" x="225"/>
        <item m="1" x="306"/>
        <item m="1" x="71"/>
        <item m="1" x="404"/>
        <item m="1" x="313"/>
        <item t="default"/>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17">
        <item m="1" x="24"/>
        <item m="1" x="87"/>
        <item m="1" x="47"/>
        <item m="1" x="151"/>
        <item m="1" x="164"/>
        <item m="1" x="27"/>
        <item m="1" x="132"/>
        <item m="1" x="80"/>
        <item m="1" x="296"/>
        <item m="1" x="191"/>
        <item m="1" x="128"/>
        <item m="1" x="250"/>
        <item m="1" x="297"/>
        <item m="1" x="314"/>
        <item m="1" x="273"/>
        <item m="1" x="208"/>
        <item m="1" x="192"/>
        <item m="1" x="298"/>
        <item m="1" x="220"/>
        <item m="1" x="92"/>
        <item m="1" x="37"/>
        <item m="1" x="200"/>
        <item m="1" x="387"/>
        <item m="1" x="17"/>
        <item m="1" x="307"/>
        <item m="1" x="201"/>
        <item m="1" x="133"/>
        <item m="1" x="259"/>
        <item m="1" x="281"/>
        <item m="1" x="102"/>
        <item m="1" x="230"/>
        <item m="1" x="177"/>
        <item m="1" x="274"/>
        <item m="1" x="275"/>
        <item m="1" x="388"/>
        <item m="1" x="129"/>
        <item m="1" x="282"/>
        <item m="1" x="130"/>
        <item m="1" x="254"/>
        <item m="1" x="1"/>
        <item m="1" x="99"/>
        <item m="1" x="401"/>
        <item m="1" x="323"/>
        <item m="1" x="231"/>
        <item m="1" x="46"/>
        <item m="1" x="152"/>
        <item m="1" x="187"/>
        <item m="1" x="88"/>
        <item m="1" x="52"/>
        <item m="1" x="28"/>
        <item m="1" x="353"/>
        <item m="1" x="153"/>
        <item m="1" x="145"/>
        <item m="1" x="25"/>
        <item m="1" x="244"/>
        <item m="1" x="89"/>
        <item m="1" x="308"/>
        <item m="1" x="283"/>
        <item m="1" x="116"/>
        <item m="1" x="260"/>
        <item m="1" x="407"/>
        <item m="1" x="134"/>
        <item m="1" x="29"/>
        <item m="1" x="193"/>
        <item m="1" x="359"/>
        <item m="1" x="146"/>
        <item m="1" x="268"/>
        <item m="1" x="154"/>
        <item m="1" x="371"/>
        <item m="1" x="389"/>
        <item m="1" x="48"/>
        <item m="1" x="255"/>
        <item m="1" x="221"/>
        <item m="1" x="374"/>
        <item m="1" x="360"/>
        <item m="1" x="155"/>
        <item m="1" x="251"/>
        <item m="1" x="11"/>
        <item m="1" x="261"/>
        <item m="1" x="209"/>
        <item m="1" x="344"/>
        <item m="1" x="378"/>
        <item m="1" x="245"/>
        <item m="1" x="202"/>
        <item m="1" x="318"/>
        <item m="1" x="30"/>
        <item m="1" x="93"/>
        <item m="1" x="216"/>
        <item m="1" x="379"/>
        <item m="1" x="393"/>
        <item m="1" x="75"/>
        <item m="1" x="135"/>
        <item m="1" x="210"/>
        <item m="1" x="303"/>
        <item m="1" x="402"/>
        <item m="1" x="222"/>
        <item m="1" x="136"/>
        <item m="1" x="69"/>
        <item m="1" x="137"/>
        <item m="1" x="232"/>
        <item m="1" x="269"/>
        <item m="1" x="38"/>
        <item m="1" x="223"/>
        <item m="1" x="18"/>
        <item m="1" x="252"/>
        <item m="1" x="118"/>
        <item m="1" x="53"/>
        <item m="1" x="178"/>
        <item m="1" x="410"/>
        <item m="1" x="309"/>
        <item m="1" x="6"/>
        <item m="1" x="276"/>
        <item m="1" x="90"/>
        <item m="1" x="2"/>
        <item m="1" x="345"/>
        <item m="1" x="211"/>
        <item m="1" x="111"/>
        <item m="1" x="138"/>
        <item m="1" x="304"/>
        <item m="1" x="284"/>
        <item m="1" x="112"/>
        <item m="1" x="253"/>
        <item m="1" x="224"/>
        <item m="1" x="54"/>
        <item m="1" x="70"/>
        <item m="1" x="7"/>
        <item m="1" x="100"/>
        <item m="1" x="12"/>
        <item m="1" x="76"/>
        <item m="1" x="212"/>
        <item m="1" x="58"/>
        <item m="1" x="256"/>
        <item m="1" x="346"/>
        <item m="1" x="262"/>
        <item m="1" x="328"/>
        <item m="1" x="289"/>
        <item m="1" x="81"/>
        <item m="1" x="156"/>
        <item m="1" x="117"/>
        <item m="1" x="157"/>
        <item m="1" x="179"/>
        <item m="1" x="361"/>
        <item m="1" x="3"/>
        <item m="1" x="233"/>
        <item m="1" x="354"/>
        <item m="1" x="383"/>
        <item m="1" x="355"/>
        <item m="1" x="362"/>
        <item m="1" x="203"/>
        <item m="1" x="59"/>
        <item m="1" x="188"/>
        <item m="1" x="394"/>
        <item m="1" x="324"/>
        <item m="1" x="356"/>
        <item m="1" x="291"/>
        <item m="1" x="335"/>
        <item m="1" x="270"/>
        <item m="1" x="363"/>
        <item m="1" x="55"/>
        <item m="1" x="299"/>
        <item m="1" x="380"/>
        <item m="1" x="336"/>
        <item m="1" x="8"/>
        <item m="1" x="357"/>
        <item m="1" x="180"/>
        <item m="1" x="257"/>
        <item m="1" x="119"/>
        <item m="1" x="225"/>
        <item m="1" x="139"/>
        <item m="1" x="39"/>
        <item m="1" x="91"/>
        <item m="1" x="347"/>
        <item m="1" x="94"/>
        <item m="1" x="181"/>
        <item m="1" x="384"/>
        <item m="1" x="71"/>
        <item m="1" x="19"/>
        <item m="1" x="395"/>
        <item m="1" x="169"/>
        <item m="1" x="348"/>
        <item m="1" x="337"/>
        <item m="1" x="13"/>
        <item m="1" x="325"/>
        <item m="1" x="103"/>
        <item m="1" x="246"/>
        <item m="1" x="131"/>
        <item m="1" x="49"/>
        <item m="1" x="390"/>
        <item m="1" x="120"/>
        <item m="1" x="4"/>
        <item m="1" x="375"/>
        <item m="1" x="364"/>
        <item m="1" x="391"/>
        <item m="1" x="370"/>
        <item m="1" x="40"/>
        <item m="1" x="159"/>
        <item m="1" x="56"/>
        <item m="1" x="170"/>
        <item m="1" x="326"/>
        <item m="1" x="338"/>
        <item m="1" x="411"/>
        <item m="1" x="182"/>
        <item m="1" x="171"/>
        <item m="1" x="95"/>
        <item m="1" x="263"/>
        <item m="1" x="140"/>
        <item m="1" x="319"/>
        <item m="1" x="320"/>
        <item m="1" x="310"/>
        <item m="1" x="172"/>
        <item m="1" x="147"/>
        <item m="1" x="121"/>
        <item m="1" x="165"/>
        <item m="1" x="64"/>
        <item m="1" x="349"/>
        <item m="1" x="329"/>
        <item m="1" x="65"/>
        <item m="1" x="198"/>
        <item m="1" x="189"/>
        <item m="1" x="285"/>
        <item m="1" x="174"/>
        <item m="1" x="113"/>
        <item m="1" x="9"/>
        <item m="1" x="286"/>
        <item m="1" x="31"/>
        <item m="1" x="57"/>
        <item m="1" x="287"/>
        <item m="1" x="104"/>
        <item m="1" x="50"/>
        <item m="1" x="376"/>
        <item m="1" x="292"/>
        <item m="1" x="277"/>
        <item m="1" x="300"/>
        <item m="1" x="66"/>
        <item m="1" x="412"/>
        <item m="1" x="175"/>
        <item m="1" x="101"/>
        <item m="1" x="199"/>
        <item m="1" x="41"/>
        <item m="1" x="408"/>
        <item m="1" x="217"/>
        <item m="1" x="327"/>
        <item m="1" x="339"/>
        <item m="1" x="218"/>
        <item m="1" x="60"/>
        <item m="1" x="381"/>
        <item m="1" x="122"/>
        <item m="1" x="293"/>
        <item m="1" x="237"/>
        <item m="1" x="301"/>
        <item m="1" x="396"/>
        <item m="1" x="219"/>
        <item m="1" x="340"/>
        <item m="1" x="114"/>
        <item m="1" x="77"/>
        <item m="1" x="350"/>
        <item m="1" x="226"/>
        <item m="1" x="321"/>
        <item m="1" x="105"/>
        <item m="1" x="42"/>
        <item m="1" x="20"/>
        <item m="1" x="397"/>
        <item m="1" x="96"/>
        <item m="1" x="32"/>
        <item m="1" x="238"/>
        <item m="1" x="247"/>
        <item m="1" x="351"/>
        <item m="1" x="330"/>
        <item m="1" x="311"/>
        <item m="1" x="51"/>
        <item m="1" x="398"/>
        <item m="1" x="106"/>
        <item m="1" x="213"/>
        <item m="1" x="107"/>
        <item m="1" x="315"/>
        <item m="1" x="385"/>
        <item m="1" x="14"/>
        <item m="1" x="365"/>
        <item m="1" x="214"/>
        <item m="1" x="331"/>
        <item m="1" x="234"/>
        <item m="1" x="366"/>
        <item m="1" x="61"/>
        <item m="1" x="123"/>
        <item m="1" x="294"/>
        <item m="1" x="377"/>
        <item m="1" x="82"/>
        <item m="1" x="271"/>
        <item m="1" x="43"/>
        <item m="1" x="399"/>
        <item m="1" x="10"/>
        <item m="1" x="124"/>
        <item m="1" x="83"/>
        <item m="1" x="141"/>
        <item m="1" x="258"/>
        <item m="1" x="413"/>
        <item m="1" x="239"/>
        <item m="1" x="358"/>
        <item m="1" x="312"/>
        <item m="1" x="264"/>
        <item m="1" x="302"/>
        <item m="1" x="341"/>
        <item m="1" x="227"/>
        <item m="1" x="166"/>
        <item m="1" x="332"/>
        <item m="1" x="342"/>
        <item m="1" x="125"/>
        <item m="1" x="115"/>
        <item m="1" x="142"/>
        <item m="1" x="240"/>
        <item m="1" x="62"/>
        <item m="1" x="392"/>
        <item m="1" x="183"/>
        <item m="1" x="288"/>
        <item m="1" x="386"/>
        <item m="1" x="143"/>
        <item m="1" x="84"/>
        <item m="1" x="33"/>
        <item m="1" x="176"/>
        <item m="1" x="97"/>
        <item m="1" x="21"/>
        <item m="1" x="108"/>
        <item m="1" x="305"/>
        <item m="1" x="26"/>
        <item m="1" x="190"/>
        <item m="1" x="248"/>
        <item m="1" x="313"/>
        <item m="1" x="15"/>
        <item m="1" x="78"/>
        <item m="1" x="148"/>
        <item m="1" x="228"/>
        <item m="1" x="204"/>
        <item m="1" x="109"/>
        <item m="1" x="352"/>
        <item m="1" x="235"/>
        <item m="1" x="194"/>
        <item m="1" x="229"/>
        <item m="1" x="367"/>
        <item m="1" x="205"/>
        <item m="1" x="249"/>
        <item m="1" x="167"/>
        <item m="1" x="414"/>
        <item m="1" x="34"/>
        <item m="1" x="278"/>
        <item m="1" x="279"/>
        <item m="1" x="290"/>
        <item m="1" x="241"/>
        <item m="1" x="85"/>
        <item m="1" x="149"/>
        <item m="1" x="333"/>
        <item m="1" x="110"/>
        <item m="1" x="306"/>
        <item m="1" x="382"/>
        <item m="1" x="72"/>
        <item m="1" x="158"/>
        <item m="1" x="16"/>
        <item m="1" x="242"/>
        <item m="1" x="415"/>
        <item m="1" x="195"/>
        <item m="1" x="73"/>
        <item m="1" x="44"/>
        <item m="1" x="45"/>
        <item m="1" x="86"/>
        <item m="1" x="22"/>
        <item m="1" x="403"/>
        <item m="1" x="35"/>
        <item m="1" x="168"/>
        <item m="1" x="184"/>
        <item m="1" x="334"/>
        <item m="1" x="185"/>
        <item m="1" x="368"/>
        <item m="1" x="322"/>
        <item m="1" x="144"/>
        <item m="1" x="160"/>
        <item m="1" x="372"/>
        <item m="1" x="295"/>
        <item m="1" x="404"/>
        <item m="1" x="79"/>
        <item m="1" x="265"/>
        <item m="1" x="215"/>
        <item m="1" x="74"/>
        <item m="1" x="405"/>
        <item m="1" x="63"/>
        <item m="1" x="280"/>
        <item m="1" x="206"/>
        <item m="1" x="36"/>
        <item m="1" x="400"/>
        <item m="1" x="23"/>
        <item m="1" x="406"/>
        <item m="1" x="126"/>
        <item m="1" x="207"/>
        <item m="1" x="266"/>
        <item m="1" x="161"/>
        <item m="1" x="67"/>
        <item m="1" x="173"/>
        <item m="1" x="272"/>
        <item m="1" x="150"/>
        <item m="1" x="127"/>
        <item m="1" x="98"/>
        <item m="1" x="343"/>
        <item m="1" x="316"/>
        <item m="1" x="186"/>
        <item m="1" x="243"/>
        <item m="1" x="267"/>
        <item m="1" x="196"/>
        <item m="1" x="5"/>
        <item m="1" x="409"/>
        <item m="1" x="373"/>
        <item m="1" x="317"/>
        <item m="1" x="369"/>
        <item m="1" x="68"/>
        <item m="1" x="162"/>
        <item m="1" x="197"/>
        <item m="1" x="236"/>
        <item x="0"/>
        <item m="1" x="163"/>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m="1" x="3592"/>
        <item sd="0" m="1" x="7515"/>
        <item sd="0" m="1" x="1498"/>
        <item sd="0" m="1" x="5420"/>
        <item sd="0" m="1" x="1366"/>
        <item sd="0" m="1" x="5291"/>
        <item sd="0" m="1" x="1238"/>
        <item sd="0" m="1" x="5158"/>
        <item sd="0" m="1" x="7124"/>
        <item sd="0" m="1" x="3067"/>
        <item sd="0" m="1" x="6992"/>
        <item sd="0" m="1" x="2934"/>
        <item sd="0" m="1" x="6862"/>
        <item sd="0" m="1" x="2803"/>
        <item sd="0" m="1" x="4774"/>
        <item sd="0" m="1" x="722"/>
        <item sd="0" m="1" x="4644"/>
        <item sd="0" m="1" x="595"/>
        <item sd="0" m="1" x="3530"/>
        <item sd="0" m="1" x="4520"/>
        <item sd="0" m="1" x="7452"/>
        <item sd="0" m="1" x="464"/>
        <item sd="0" m="1" x="2412"/>
        <item sd="0" m="1" x="3397"/>
        <item sd="0" m="1" x="6337"/>
        <item sd="0" m="1" x="7321"/>
        <item sd="0" m="1" x="2280"/>
        <item sd="0" m="1" x="3263"/>
        <item sd="0" m="1" x="5233"/>
        <item sd="0" m="1" x="6208"/>
        <item sd="0" m="1" x="1183"/>
        <item sd="0" m="1" x="2151"/>
        <item sd="0" m="1" x="5101"/>
        <item sd="0" m="1" x="6073"/>
        <item sd="0" m="1" x="75"/>
        <item sd="0" m="1" x="1053"/>
        <item sd="0" m="1" x="3998"/>
        <item sd="0" m="1" x="4974"/>
        <item sd="0" m="1" x="7911"/>
        <item sd="0" m="1" x="920"/>
        <item sd="0" m="1" x="2869"/>
        <item sd="0" m="1" x="3866"/>
        <item sd="0" m="1" x="6797"/>
        <item sd="0" m="1" x="7783"/>
        <item sd="0" m="1" x="2737"/>
        <item sd="0" m="1" x="3730"/>
        <item sd="0" m="1" x="5685"/>
        <item sd="0" m="1" x="6666"/>
        <item sd="0" m="1" x="1636"/>
        <item sd="0" m="1" x="2609"/>
        <item sd="0" m="1" x="5555"/>
        <item sd="0" m="1" x="6531"/>
        <item sd="0" m="1" x="532"/>
        <item sd="0" m="1" x="1504"/>
        <item sd="0" m="1" x="1987"/>
        <item sd="0" m="1" x="4457"/>
        <item sd="0" m="1" x="4940"/>
        <item sd="0" m="1" x="5426"/>
        <item sd="0" m="1" x="7879"/>
        <item sd="0" m="1" x="401"/>
        <item sd="0" m="1" x="888"/>
        <item sd="0" m="1" x="1371"/>
        <item sd="0" m="1" x="3333"/>
        <item sd="0" m="1" x="3833"/>
        <item sd="0" m="1" x="4324"/>
        <item sd="0" m="1" x="4810"/>
        <item sd="0" m="1" x="7261"/>
        <item sd="0" m="1" x="7752"/>
        <item sd="0" m="1" x="272"/>
        <item sd="0" m="1" x="2706"/>
        <item sd="0" m="1" x="3203"/>
        <item sd="0" m="1" x="3701"/>
        <item sd="0" m="1" x="4194"/>
        <item sd="0" m="1" x="6141"/>
        <item sd="0" m="1" x="6636"/>
        <item sd="0" m="1" x="7130"/>
        <item sd="0" m="1" x="7622"/>
        <item sd="0" m="1" x="2088"/>
        <item sd="0" m="1" x="2579"/>
        <item sd="0" m="1" x="3072"/>
        <item sd="0" m="1" x="5523"/>
        <item sd="0" m="1" x="6010"/>
        <item sd="0" m="1" x="6503"/>
        <item sd="0" m="1" x="6997"/>
        <item sd="0" m="1" x="986"/>
        <item sd="0" m="1" x="1473"/>
        <item sd="0" m="1" x="1957"/>
        <item sd="0" m="1" x="2448"/>
        <item sd="0" m="1" x="4909"/>
        <item sd="0" m="1" x="5395"/>
        <item m="1" x="5882"/>
        <item m="1" x="6372"/>
        <item sd="0" m="1" x="368"/>
        <item sd="0" m="1" x="856"/>
        <item m="1" x="1342"/>
        <item m="1" x="1828"/>
        <item sd="0" m="1" x="3799"/>
        <item sd="0" m="1" x="4293"/>
        <item sd="0" m="1" x="4779"/>
        <item m="1" x="5265"/>
        <item sd="0" m="1" x="7719"/>
        <item sd="0" m="1" x="240"/>
        <item m="1" x="727"/>
        <item m="1" x="1214"/>
        <item sd="0" m="1" x="3170"/>
        <item sd="0" m="1" x="3667"/>
        <item m="1" x="4163"/>
        <item m="1" x="4649"/>
        <item sd="0" m="1" x="6604"/>
        <item sd="0" m="1" x="7096"/>
        <item sd="0" m="1" x="7588"/>
        <item m="1" x="111"/>
        <item sd="0" m="1" x="2547"/>
        <item sd="0" m="1" x="3038"/>
        <item m="1" x="3535"/>
        <item m="1" x="4035"/>
        <item sd="0" m="1" x="5981"/>
        <item sd="0" m="1" x="6472"/>
        <item m="1" x="6965"/>
        <item m="1" x="7458"/>
        <item sd="0" m="1" x="1442"/>
        <item sd="0" m="1" x="1689"/>
        <item sd="0" m="1" x="1928"/>
        <item sd="0" m="1" x="2172"/>
        <item sd="0" m="1" x="2416"/>
        <item m="1" x="2663"/>
        <item m="1" x="2908"/>
        <item m="1" x="3153"/>
        <item sd="0" m="1" x="5120"/>
        <item sd="0" m="1" x="5364"/>
        <item sd="0" m="1" x="5611"/>
        <item sd="0" m="1" x="5852"/>
        <item sd="0" m="1" x="6098"/>
        <item m="1" x="6343"/>
        <item m="1" x="6587"/>
        <item m="1" x="6835"/>
        <item sd="0" m="1" x="826"/>
        <item sd="0" m="1" x="1072"/>
        <item sd="0" m="1" x="1313"/>
        <item sd="0" m="1" x="1561"/>
        <item m="1" x="1799"/>
        <item m="1" x="2044"/>
        <item m="1" x="2285"/>
        <item sd="0" m="1" x="4259"/>
        <item sd="0" m="1" x="4506"/>
        <item sd="0" m="1" x="4748"/>
        <item sd="0" m="1" x="4994"/>
        <item sd="0" m="1" x="5236"/>
        <item m="1" x="5483"/>
        <item m="1" x="5725"/>
        <item m="1" x="5966"/>
        <item sd="0" m="1" x="7929"/>
        <item sd="0" m="1" x="206"/>
        <item sd="0" m="1" x="452"/>
        <item sd="0" m="1" x="696"/>
        <item sd="0" m="1" x="944"/>
        <item m="1" x="1189"/>
        <item m="1" x="1429"/>
        <item m="1" x="1676"/>
        <item sd="0" m="1" x="3631"/>
        <item sd="0" m="1" x="3884"/>
        <item sd="0" m="1" x="4130"/>
        <item sd="0" m="1" x="4378"/>
        <item m="1" x="4619"/>
        <item m="1" x="4866"/>
        <item m="1" x="5107"/>
        <item sd="0" m="1" x="7060"/>
        <item sd="0" m="1" x="7307"/>
        <item sd="0" m="1" x="7554"/>
        <item sd="0" m="1" x="7802"/>
        <item sd="0" m="1" x="79"/>
        <item m="1" x="325"/>
        <item m="1" x="570"/>
        <item m="1" x="811"/>
        <item sd="0" m="1" x="2756"/>
        <item sd="0" m="1" x="3002"/>
        <item sd="0" m="1" x="3251"/>
        <item sd="0" m="1" x="3500"/>
        <item sd="0" m="1" x="3751"/>
        <item m="1" x="4004"/>
        <item m="1" x="4246"/>
        <item m="1" x="4494"/>
        <item sd="0" m="1" x="6436"/>
        <item sd="0" m="1" x="6685"/>
        <item sd="0" m="1" x="6930"/>
        <item sd="0" m="1" x="7181"/>
        <item m="1" x="7423"/>
        <item m="1" x="7672"/>
        <item m="1" x="7916"/>
        <item sd="0" m="1" x="1894"/>
        <item sd="0" m="1" x="2137"/>
        <item sd="0" m="1" x="2380"/>
        <item sd="0" m="1" x="2629"/>
        <item sd="0" m="1" x="2873"/>
        <item m="1" x="3122"/>
        <item m="1" x="3371"/>
        <item m="1" x="3617"/>
        <item sd="0" m="1" x="5576"/>
        <item sd="0" m="1" x="5816"/>
        <item sd="0" m="1" x="6061"/>
        <item sd="0" m="1" x="6306"/>
        <item sd="0" m="1" x="6553"/>
        <item m="1" x="6803"/>
        <item m="1" x="7046"/>
        <item m="1" x="7294"/>
        <item sd="0" m="1" x="1279"/>
        <item sd="0" m="1" x="1524"/>
        <item sd="0" m="1" x="1764"/>
        <item sd="0" m="1" x="2009"/>
        <item m="1" x="2249"/>
        <item m="1" x="2499"/>
        <item m="1" x="2742"/>
        <item sd="0" m="1" x="4715"/>
        <item sd="0" m="1" x="4959"/>
        <item sd="0" m="1" x="5200"/>
        <item sd="0" m="1" x="5447"/>
        <item sd="0" m="1" x="5689"/>
        <item m="1" x="5932"/>
        <item m="1" x="6179"/>
        <item m="1" x="6421"/>
        <item sd="0" m="1" x="421"/>
        <item sd="0" m="1" x="663"/>
        <item sd="0" m="1" x="908"/>
        <item sd="0" m="1" x="1153"/>
        <item sd="0" m="1" x="1394"/>
        <item m="1" x="1642"/>
        <item m="1" x="1877"/>
        <item m="1" x="2122"/>
        <item sd="0" m="1" x="4100"/>
        <item sd="0" m="1" x="4343"/>
        <item sd="0" m="1" x="4586"/>
        <item sd="0" m="1" x="4832"/>
        <item m="1" x="5070"/>
        <item m="1" x="5317"/>
        <item m="1" x="5560"/>
        <item sd="0" m="1" x="7523"/>
        <item sd="0" m="1" x="7768"/>
        <item sd="0" m="1" x="46"/>
        <item sd="0" m="1" x="291"/>
        <item sd="0" m="1" x="536"/>
        <item m="1" x="778"/>
        <item m="1" x="1022"/>
        <item m="1" x="1264"/>
        <item sd="0" m="1" x="3220"/>
        <item sd="0" m="1" x="3467"/>
        <item sd="0" m="1" x="3718"/>
        <item sd="0" m="1" x="3970"/>
        <item sd="0" m="1" x="4213"/>
        <item m="1" x="4462"/>
        <item m="1" x="4698"/>
        <item m="1" x="4944"/>
        <item sd="0" m="1" x="6899"/>
        <item sd="0" m="1" x="7147"/>
        <item sd="0" m="1" x="7391"/>
        <item sd="0" m="1" x="7516"/>
        <item sd="0" m="1" x="7641"/>
        <item sd="0" m="1" x="7762"/>
        <item m="1" x="7883"/>
        <item m="1" x="39"/>
        <item m="1" x="162"/>
        <item m="1" x="284"/>
        <item m="1" x="405"/>
        <item m="1" x="528"/>
        <item sd="0" m="1" x="2347"/>
        <item sd="0" m="1" x="2474"/>
        <item sd="0" m="1" x="2594"/>
        <item sd="0" m="1" x="2715"/>
        <item sd="0" m="1" x="2841"/>
        <item sd="0" m="1" x="2964"/>
        <item sd="0" m="1" x="3090"/>
        <item sd="0" m="1" x="3213"/>
        <item sd="0" m="1" x="3337"/>
        <item m="1" x="3461"/>
        <item m="1" x="3586"/>
        <item m="1" x="3711"/>
        <item m="1" x="3837"/>
        <item m="1" x="3962"/>
        <item m="1" x="4086"/>
        <item sd="0" m="1" x="5906"/>
        <item sd="0" m="1" x="6028"/>
        <item sd="0" m="1" x="6151"/>
        <item sd="0" m="1" x="6272"/>
        <item sd="0" m="1" x="6396"/>
        <item sd="0" m="1" x="6519"/>
        <item sd="0" m="1" x="6645"/>
        <item sd="0" m="1" x="6770"/>
        <item sd="0" m="1" x="6892"/>
        <item sd="0" m="1" x="7014"/>
        <item m="1" x="7141"/>
        <item m="1" x="7264"/>
        <item m="1" x="7384"/>
        <item m="1" x="7507"/>
        <item m="1" x="7633"/>
        <item m="1" x="7755"/>
        <item sd="0" m="1" x="1615"/>
        <item sd="0" m="1" x="1733"/>
        <item sd="0" m="1" x="1850"/>
        <item sd="0" m="1" x="1974"/>
        <item sd="0" m="1" x="2098"/>
        <item sd="0" m="1" x="2217"/>
        <item sd="0" m="1" x="2340"/>
        <item sd="0" m="1" x="2467"/>
        <item sd="0" m="1" x="2588"/>
        <item m="1" x="2709"/>
        <item m="1" x="2835"/>
        <item m="1" x="2958"/>
        <item m="1" x="3084"/>
        <item m="1" x="3206"/>
        <item m="1" x="3330"/>
        <item sd="0" m="1" x="5167"/>
        <item sd="0" m="1" x="5292"/>
        <item sd="0" m="1" x="5410"/>
        <item sd="0" m="1" x="5533"/>
        <item sd="0" m="1" x="5655"/>
        <item sd="0" m="1" x="5776"/>
        <item sd="0" m="1" x="5899"/>
        <item sd="0" m="1" x="6021"/>
        <item sd="0" m="1" x="6144"/>
        <item m="1" x="6266"/>
        <item m="1" x="6390"/>
        <item m="1" x="6513"/>
        <item m="1" x="6639"/>
        <item m="1" x="6763"/>
        <item m="1" x="6887"/>
        <item sd="0" m="1" x="752"/>
        <item sd="0" m="1" x="874"/>
        <item sd="0" m="1" x="996"/>
        <item sd="0" m="1" x="1117"/>
        <item sd="0" m="1" x="1239"/>
        <item sd="0" m="1" x="1358"/>
        <item sd="0" m="1" x="1482"/>
        <item sd="0" m="1" x="1608"/>
        <item sd="0" m="1" x="1726"/>
        <item sd="0" m="1" x="1844"/>
        <item m="1" x="1968"/>
        <item m="1" x="2091"/>
        <item m="1" x="2211"/>
        <item m="1" x="2333"/>
        <item m="1" x="2459"/>
        <item m="1" x="2583"/>
        <item sd="0" m="1" x="4436"/>
        <item sd="0" m="1" x="4555"/>
        <item sd="0" m="1" x="4673"/>
        <item sd="0" m="1" x="4797"/>
        <item sd="0" m="1" x="4919"/>
        <item sd="0" m="1" x="5038"/>
        <item sd="0" m="1" x="5159"/>
        <item sd="0" m="1" x="5284"/>
        <item sd="0" m="1" x="5404"/>
        <item m="1" x="5526"/>
        <item m="1" x="5649"/>
        <item m="1" x="5770"/>
        <item m="1" x="5893"/>
        <item m="1" x="6014"/>
        <item m="1" x="6138"/>
        <item sd="0" m="1" x="7982"/>
        <item sd="0" m="1" x="138"/>
        <item sd="0" m="1" x="257"/>
        <item sd="0" m="1" x="379"/>
        <item sd="0" m="1" x="502"/>
        <item sd="0" m="1" x="624"/>
        <item sd="0" m="1" x="745"/>
        <item sd="0" m="1" x="867"/>
        <item sd="0" m="1" x="989"/>
        <item m="1" x="1111"/>
        <item m="1" x="1232"/>
        <item m="1" x="1352"/>
        <item m="1" x="1476"/>
        <item m="1" x="1601"/>
        <item m="1" x="1721"/>
        <item sd="0" m="1" x="3686"/>
        <item sd="0" m="1" x="3810"/>
        <item sd="0" m="1" x="3937"/>
        <item sd="0" m="1" x="4062"/>
        <item sd="0" m="1" x="4181"/>
        <item sd="0" m="1" x="4304"/>
        <item sd="0" m="1" x="4429"/>
        <item sd="0" m="1" x="4548"/>
        <item sd="0" m="1" x="4667"/>
        <item m="1" x="4791"/>
        <item m="1" x="4912"/>
        <item m="1" x="5032"/>
        <item m="1" x="5152"/>
        <item m="1" x="5276"/>
        <item m="1" x="5399"/>
        <item sd="0" m="1" x="7241"/>
        <item sd="0" m="1" x="7362"/>
        <item sd="0" m="1" x="7484"/>
        <item sd="0" m="1" x="7609"/>
        <item sd="0" m="1" x="7732"/>
        <item sd="0" m="1" x="7853"/>
        <item sd="0" m="1" x="7975"/>
        <item sd="0" m="1" x="132"/>
        <item sd="0" m="1" x="251"/>
        <item m="1" x="372"/>
        <item m="1" x="496"/>
        <item m="1" x="618"/>
        <item m="1" x="739"/>
        <item m="1" x="860"/>
        <item m="1" x="983"/>
        <item sd="0" m="1" x="2812"/>
        <item sd="0" m="1" x="2935"/>
        <item sd="0" m="1" x="3057"/>
        <item sd="0" m="1" x="3181"/>
        <item sd="0" m="1" x="3305"/>
        <item sd="0" m="1" x="3430"/>
        <item sd="0" m="1" x="3555"/>
        <item sd="0" m="1" x="3679"/>
        <item sd="0" m="1" x="3803"/>
        <item m="1" x="3930"/>
        <item m="1" x="4055"/>
        <item m="1" x="4174"/>
        <item m="1" x="4297"/>
        <item m="1" x="4421"/>
        <item m="1" x="4542"/>
        <item sd="0" m="1" x="6491"/>
        <item sd="0" m="1" x="6614"/>
        <item sd="0" m="1" x="6739"/>
        <item sd="0" m="1" x="6863"/>
        <item sd="0" m="1" x="6983"/>
        <item sd="0" m="1" x="7108"/>
        <item sd="0" m="1" x="7233"/>
        <item sd="0" m="1" x="7354"/>
        <item sd="0" m="1" x="7476"/>
        <item m="1" x="7601"/>
        <item m="1" x="7723"/>
        <item m="1" x="7845"/>
        <item m="1" x="7967"/>
        <item m="1" x="122"/>
        <item m="1" x="244"/>
        <item sd="0" m="1" x="2070"/>
        <item sd="0" m="1" x="2190"/>
        <item sd="0" m="1" x="2311"/>
        <item sd="0" m="1" x="2436"/>
        <item sd="0" m="1" x="2560"/>
        <item sd="0" m="1" x="2681"/>
        <item sd="0" m="1" x="2804"/>
        <item sd="0" m="1" x="2927"/>
        <item sd="0" m="1" x="3050"/>
        <item m="1" x="3173"/>
        <item m="1" x="3298"/>
        <item m="1" x="3423"/>
        <item m="1" x="3548"/>
        <item m="1" x="3671"/>
        <item m="1" x="3795"/>
        <item sd="0" m="1" x="5628"/>
        <item sd="0" m="1" x="5749"/>
        <item sd="0" m="1" x="5870"/>
        <item sd="0" m="1" x="5992"/>
        <item sd="0" m="1" x="6116"/>
        <item sd="0" m="1" x="6239"/>
        <item sd="0" m="1" x="6362"/>
        <item sd="0" m="1" x="6485"/>
        <item sd="0" m="1" x="6608"/>
        <item m="1" x="6733"/>
        <item m="1" x="6856"/>
        <item m="1" x="6977"/>
        <item m="1" x="7102"/>
        <item m="1" x="7226"/>
        <item m="1" x="7348"/>
        <item sd="0" m="1" x="1331"/>
        <item sd="0" m="1" x="1452"/>
        <item sd="0" m="1" x="1578"/>
        <item sd="0" m="1" x="1700"/>
        <item sd="0" m="1" x="1816"/>
        <item sd="0" m="1" x="1939"/>
        <item sd="0" m="1" x="2063"/>
        <item sd="0" m="1" x="2183"/>
        <item sd="0" m="1" x="2304"/>
        <item m="1" x="2429"/>
        <item m="1" x="2552"/>
        <item m="1" x="2674"/>
        <item m="1" x="2796"/>
        <item m="1" x="2919"/>
        <item m="1" x="3043"/>
        <item sd="0" m="1" x="4891"/>
        <item sd="0" m="1" x="5011"/>
        <item sd="0" m="1" x="5131"/>
        <item sd="0" m="1" x="5254"/>
        <item sd="0" m="1" x="5376"/>
        <item sd="0" m="1" x="5499"/>
        <item sd="0" m="1" x="5621"/>
        <item sd="0" m="1" x="5741"/>
        <item sd="0" m="1" x="5862"/>
        <item m="1" x="5984"/>
        <item m="1" x="6108"/>
        <item m="1" x="6231"/>
        <item m="1" x="6354"/>
        <item m="1" x="6476"/>
        <item m="1" x="6599"/>
        <item sd="0" m="1" x="474"/>
        <item sd="0" m="1" x="596"/>
        <item sd="0" m="1" x="714"/>
        <item sd="0" m="1" x="838"/>
        <item sd="0" m="1" x="960"/>
        <item sd="0" m="1" x="1083"/>
        <item sd="0" m="1" x="1204"/>
        <item sd="0" m="1" x="1324"/>
        <item sd="0" m="1" x="1445"/>
        <item m="1" x="1571"/>
        <item m="1" x="1693"/>
        <item m="1" x="1809"/>
        <item m="1" x="1932"/>
        <item m="1" x="2055"/>
        <item m="1" x="2176"/>
        <item m="1" x="2296"/>
        <item sd="0" m="1" x="4151"/>
        <item m="1" x="4273"/>
        <item m="1" x="4398"/>
        <item sd="0" m="1" x="4521"/>
        <item sd="0" m="1" x="4636"/>
        <item sd="0" m="1" x="4760"/>
        <item sd="0" m="1" x="4884"/>
        <item m="1" x="5004"/>
        <item sd="0" m="1" x="5124"/>
        <item m="1" x="5247"/>
        <item m="1" x="5369"/>
        <item m="1" x="5493"/>
        <item m="1" x="5615"/>
        <item m="1" x="5734"/>
        <item m="1" x="5856"/>
        <item m="1" x="3651"/>
        <item sd="0" m="1" x="7700"/>
        <item sd="0" m="1" x="3774"/>
        <item sd="0" m="1" x="7822"/>
        <item sd="0" m="1" x="3902"/>
        <item sd="0" m="1" x="7944"/>
        <item sd="0" m="1" x="4027"/>
        <item sd="0" m="1" x="99"/>
        <item sd="0" m="1" x="4146"/>
        <item sd="0" m="1" x="220"/>
        <item m="1" x="4268"/>
        <item m="1" x="342"/>
        <item sd="0" m="1" x="4393"/>
        <item sd="0" m="1" x="465"/>
        <item sd="0" m="1" x="4515"/>
        <item sd="0" m="1" x="586"/>
        <item sd="0" m="1" x="4631"/>
        <item sd="0" m="1" x="706"/>
        <item sd="0" m="1" x="4755"/>
        <item m="1" x="830"/>
        <item m="1" x="4880"/>
        <item m="1" x="953"/>
        <item m="1" x="5001"/>
        <item m="1" x="1077"/>
        <item m="1" x="5121"/>
        <item m="1" x="1198"/>
        <item m="1" x="5243"/>
        <item m="1" x="1317"/>
        <item m="1" x="5365"/>
        <item m="1" x="1438"/>
        <item m="1" x="5489"/>
        <item sd="0" m="1" x="3275"/>
        <item sd="0" m="1" x="7327"/>
        <item sd="0" m="1" x="3398"/>
        <item sd="0" m="1" x="7446"/>
        <item m="1" x="3520"/>
        <item m="1" x="7571"/>
        <item m="1" x="3645"/>
        <item sd="0" m="1" x="7695"/>
        <item sd="0" m="1" x="3769"/>
        <item sd="0" m="1" x="7817"/>
        <item sd="0" m="1" x="3897"/>
        <item sd="0" m="1" x="7939"/>
        <item sd="0" m="1" x="4022"/>
        <item sd="0" m="1" x="94"/>
        <item sd="0" m="1" x="4141"/>
        <item m="1" x="214"/>
        <item m="1" x="4263"/>
        <item m="1" x="337"/>
        <item m="1" x="4388"/>
        <item m="1" x="459"/>
        <item m="1" x="4511"/>
        <item m="1" x="582"/>
        <item m="1" x="4628"/>
        <item m="1" x="703"/>
        <item m="1" x="4752"/>
        <item m="1" x="827"/>
        <item m="1" x="4876"/>
        <item m="1" x="949"/>
        <item m="1" x="4997"/>
        <item m="1" x="1073"/>
        <item m="1" x="5116"/>
        <item m="1" x="2898"/>
        <item m="1" x="6951"/>
        <item sd="0" m="1" x="3021"/>
        <item sd="0" m="1" x="7074"/>
        <item sd="0" m="1" x="3144"/>
        <item sd="0" m="1" x="7201"/>
        <item sd="0" m="1" x="3269"/>
        <item sd="0" m="1" x="7322"/>
        <item sd="0" m="1" x="3392"/>
        <item sd="0" m="1" x="7441"/>
        <item m="1" x="3515"/>
        <item m="1" x="7566"/>
        <item sd="0" m="1" x="3640"/>
        <item sd="0" m="1" x="7690"/>
        <item sd="0" m="1" x="3764"/>
        <item sd="0" m="1" x="7812"/>
        <item sd="0" m="1" x="3892"/>
        <item sd="0" m="1" x="7934"/>
        <item m="1" x="4017"/>
        <item m="1" x="90"/>
        <item m="1" x="4137"/>
        <item m="1" x="211"/>
        <item m="1" x="4260"/>
        <item m="1" x="334"/>
        <item m="1" x="4385"/>
        <item m="1" x="456"/>
        <item m="1" x="4507"/>
        <item m="1" x="578"/>
        <item m="1" x="4624"/>
        <item m="1" x="699"/>
        <item sd="0" m="1" x="6457"/>
        <item sd="0" m="1" x="2529"/>
        <item sd="0" m="1" x="6578"/>
        <item sd="0" m="1" x="2649"/>
        <item sd="0" m="1" x="6703"/>
        <item sd="0" m="1" x="2771"/>
        <item m="1" x="6826"/>
        <item m="1" x="2893"/>
        <item sd="0" m="1" x="6946"/>
        <item sd="0" m="1" x="3016"/>
        <item sd="0" m="1" x="7069"/>
        <item sd="0" m="1" x="3139"/>
        <item sd="0" m="1" x="7196"/>
        <item sd="0" m="1" x="3264"/>
        <item sd="0" m="1" x="7316"/>
        <item sd="0" m="1" x="3387"/>
        <item m="1" x="7436"/>
        <item m="1" x="3510"/>
        <item m="1" x="7561"/>
        <item m="1" x="3635"/>
        <item m="1" x="7686"/>
        <item m="1" x="3760"/>
        <item m="1" x="7809"/>
        <item m="1" x="3889"/>
        <item m="1" x="7930"/>
        <item m="1" x="4014"/>
        <item m="1" x="86"/>
        <item m="1" x="4133"/>
        <item m="1" x="207"/>
        <item m="1" x="4255"/>
        <item m="1" x="330"/>
        <item m="1" x="6087"/>
        <item m="1" x="2158"/>
        <item m="1" x="6209"/>
        <item sd="0" m="1" x="2275"/>
        <item sd="0" m="1" x="6328"/>
        <item sd="0" m="1" x="2399"/>
        <item sd="0" m="1" x="6451"/>
        <item sd="0" m="1" x="2524"/>
        <item sd="0" m="1" x="6573"/>
        <item sd="0" m="1" x="2644"/>
        <item sd="0" m="1" x="6698"/>
        <item m="1" x="2766"/>
        <item m="1" x="6821"/>
        <item sd="0" m="1" x="2888"/>
        <item sd="0" m="1" x="6941"/>
        <item sd="0" m="1" x="3010"/>
        <item sd="0" m="1" x="7064"/>
        <item sd="0" m="1" x="3134"/>
        <item sd="0" m="1" x="7191"/>
        <item m="1" x="3258"/>
        <item m="1" x="7312"/>
        <item m="1" x="3383"/>
        <item m="1" x="7433"/>
        <item m="1" x="3507"/>
        <item m="1" x="7558"/>
        <item m="1" x="3632"/>
        <item m="1" x="7682"/>
        <item m="1" x="3756"/>
        <item m="1" x="7805"/>
        <item m="1" x="3885"/>
        <item m="1" x="7925"/>
        <item sd="0" m="1" x="5716"/>
        <item sd="0" m="1" x="1787"/>
        <item sd="0" m="1" x="5836"/>
        <item sd="0" m="1" x="1908"/>
        <item sd="0" m="1" x="5957"/>
        <item sd="0" m="1" x="2031"/>
        <item m="1" x="6080"/>
        <item m="1" x="2152"/>
        <item sd="0" m="1" x="6202"/>
        <item sd="0" m="1" x="2269"/>
        <item sd="0" m="1" x="6322"/>
        <item sd="0" m="1" x="2393"/>
        <item sd="0" m="1" x="6445"/>
        <item sd="0" m="1" x="2518"/>
        <item sd="0" m="1" x="6567"/>
        <item sd="0" m="1" x="2639"/>
        <item sd="0" m="1" x="6693"/>
        <item m="1" x="2761"/>
        <item m="1" x="6816"/>
        <item m="1" x="2884"/>
        <item m="1" x="6937"/>
        <item m="1" x="3007"/>
        <item m="1" x="7061"/>
        <item m="1" x="3131"/>
        <item m="1" x="7188"/>
        <item m="1" x="3255"/>
        <item m="1" x="7308"/>
        <item m="1" x="3379"/>
        <item m="1" x="7429"/>
        <item m="1" x="3503"/>
        <item sd="0" m="1" x="1299"/>
        <item sd="0" m="1" x="5347"/>
        <item m="1" x="1419"/>
        <item m="1" x="5469"/>
        <item sd="0" m="1" x="1543"/>
        <item sd="0" m="1" x="5591"/>
        <item sd="0" m="1" x="1666"/>
        <item sd="0" m="1" x="5710"/>
        <item sd="0" m="1" x="1781"/>
        <item sd="0" m="1" x="5830"/>
        <item sd="0" m="1" x="1902"/>
        <item sd="0" m="1" x="5951"/>
        <item m="1" x="2025"/>
        <item m="1" x="6074"/>
        <item m="1" x="2145"/>
        <item sd="0" m="1" x="6196"/>
        <item sd="0" m="1" x="2264"/>
        <item sd="0" m="1" x="6317"/>
        <item sd="0" m="1" x="2388"/>
        <item m="1" x="6440"/>
        <item m="1" x="2514"/>
        <item m="1" x="6563"/>
        <item m="1" x="2636"/>
        <item m="1" x="6690"/>
        <item m="1" x="2757"/>
        <item m="1" x="6813"/>
        <item m="1" x="2880"/>
        <item m="1" x="6933"/>
        <item m="1" x="3003"/>
        <item m="1" x="7056"/>
        <item m="1" x="3127"/>
        <item sd="0" m="1" x="932"/>
        <item sd="0" m="1" x="4980"/>
        <item sd="0" m="1" x="1054"/>
        <item sd="0" m="1" x="5096"/>
        <item sd="0" m="1" x="1174"/>
        <item sd="0" m="1" x="5219"/>
        <item sd="0" m="1" x="1294"/>
        <item m="1" x="5342"/>
        <item m="1" x="1414"/>
        <item sd="0" m="1" x="5464"/>
        <item sd="0" m="1" x="1538"/>
        <item sd="0" m="1" x="5586"/>
        <item sd="0" m="1" x="1661"/>
        <item sd="0" m="1" x="5705"/>
        <item sd="0" m="1" x="1776"/>
        <item sd="0" m="1" x="5825"/>
        <item sd="0" m="1" x="1898"/>
        <item sd="0" m="1" x="5947"/>
        <item m="1" x="2021"/>
        <item m="1" x="6069"/>
        <item m="1" x="2142"/>
        <item m="1" x="6193"/>
        <item m="1" x="2261"/>
        <item m="1" x="6314"/>
        <item m="1" x="2384"/>
        <item m="1" x="6437"/>
        <item m="1" x="2510"/>
        <item m="1" x="6559"/>
        <item m="1" x="2632"/>
        <item m="1" x="6686"/>
        <item m="1" x="2752"/>
        <item sd="0" m="1" x="562"/>
        <item sd="0" m="1" x="4608"/>
        <item m="1" x="681"/>
        <item m="1" x="4729"/>
        <item sd="0" m="1" x="803"/>
        <item sd="0" m="1" x="4853"/>
        <item sd="0" m="1" x="927"/>
        <item sd="0" m="1" x="4975"/>
        <item sd="0" m="1" x="1047"/>
        <item sd="0" m="1" x="5091"/>
        <item sd="0" m="1" x="1169"/>
        <item sd="0" m="1" x="5214"/>
        <item m="1" x="1289"/>
        <item m="1" x="5337"/>
        <item m="1" x="1409"/>
        <item sd="0" m="1" x="5459"/>
        <item sd="0" m="1" x="1534"/>
        <item sd="0" m="1" x="5582"/>
        <item m="1" x="1657"/>
        <item m="1" x="5702"/>
        <item m="1" x="1773"/>
        <item m="1" x="5822"/>
        <item m="1" x="1895"/>
        <item m="1" x="5944"/>
        <item m="1" x="2018"/>
        <item m="1" x="6066"/>
        <item m="1" x="2138"/>
        <item m="1" x="6189"/>
        <item m="1" x="2257"/>
        <item m="1" x="6310"/>
        <item sd="0" m="1" x="191"/>
        <item sd="0" m="1" x="4238"/>
        <item sd="0" m="1" x="312"/>
        <item sd="0" m="1" x="4361"/>
        <item sd="0" m="1" x="434"/>
        <item sd="0" m="1" x="4486"/>
        <item sd="0" m="1" x="557"/>
        <item m="1" x="4603"/>
        <item m="1" x="676"/>
        <item m="1" x="4724"/>
        <item sd="0" m="1" x="798"/>
        <item sd="0" m="1" x="4848"/>
        <item sd="0" m="1" x="921"/>
        <item sd="0" m="1" x="4968"/>
        <item sd="0" m="1" x="1041"/>
        <item sd="0" m="1" x="5086"/>
        <item sd="0" m="1" x="1164"/>
        <item sd="0" m="1" x="5209"/>
        <item m="1" x="1284"/>
        <item m="1" x="5333"/>
        <item m="1" x="1405"/>
        <item m="1" x="5455"/>
        <item m="1" x="1530"/>
        <item m="1" x="5577"/>
        <item m="1" x="1653"/>
        <item m="1" x="5697"/>
        <item m="1" x="1768"/>
        <item m="1" x="5817"/>
        <item m="1" x="1889"/>
        <item m="1" x="5939"/>
        <item sd="0" m="1" x="3740"/>
        <item sd="0" m="1" x="7789"/>
        <item sd="0" m="1" x="3867"/>
        <item m="1" x="7906"/>
        <item m="1" x="3990"/>
        <item sd="0" m="1" x="63"/>
        <item sd="0" m="1" x="4113"/>
        <item sd="0" m="1" x="186"/>
        <item sd="0" m="1" x="4233"/>
        <item sd="0" m="1" x="307"/>
        <item sd="0" m="1" x="4356"/>
        <item sd="0" m="1" x="429"/>
        <item sd="0" m="1" x="4481"/>
        <item sd="0" m="1" x="551"/>
        <item m="1" x="4597"/>
        <item m="1" x="671"/>
        <item sd="0" m="1" x="4719"/>
        <item sd="0" m="1" x="793"/>
        <item sd="0" m="1" x="4843"/>
        <item m="1" x="915"/>
        <item m="1" x="4964"/>
        <item m="1" x="1037"/>
        <item m="1" x="5082"/>
        <item m="1" x="1160"/>
        <item m="1" x="5204"/>
        <item m="1" x="1280"/>
        <item m="1" x="5328"/>
        <item m="1" x="1400"/>
        <item m="1" x="5450"/>
        <item m="1" x="1525"/>
        <item m="1" x="5571"/>
        <item sd="0" m="1" x="3363"/>
        <item sd="0" m="1" x="7412"/>
        <item sd="0" m="1" x="3485"/>
        <item sd="0" m="1" x="7536"/>
        <item sd="0" m="1" x="3609"/>
        <item sd="0" m="1" x="7660"/>
        <item sd="0" m="1" x="3735"/>
        <item sd="0" m="1" x="7784"/>
        <item m="1" x="3860"/>
        <item m="1" x="7902"/>
        <item m="1" x="3986"/>
        <item sd="0" m="1" x="59"/>
        <item sd="0" m="1" x="4109"/>
        <item sd="0" m="1" x="181"/>
        <item sd="0" m="1" x="4228"/>
        <item sd="0" m="1" x="303"/>
        <item sd="0" m="1" x="4352"/>
        <item sd="0" m="1" x="425"/>
        <item m="1" x="4477"/>
        <item m="1" x="548"/>
        <item m="1" x="4594"/>
        <item m="1" x="668"/>
        <item m="1" x="4716"/>
        <item m="1" x="790"/>
        <item m="1" x="4840"/>
        <item m="1" x="912"/>
        <item m="1" x="4960"/>
        <item m="1" x="1033"/>
        <item m="1" x="5078"/>
        <item m="1" x="1156"/>
        <item sd="0" m="1" x="2987"/>
        <item sd="0" m="1" x="7038"/>
        <item sd="0" m="1" x="3109"/>
        <item m="1" x="7164"/>
        <item m="1" x="3233"/>
        <item sd="0" m="1" x="7286"/>
        <item sd="0" m="1" x="3358"/>
        <item sd="0" m="1" x="7407"/>
        <item sd="0" m="1" x="3480"/>
        <item sd="0" m="1" x="7532"/>
        <item sd="0" m="1" x="3605"/>
        <item sd="0" m="1" x="7656"/>
        <item sd="0" m="1" x="3731"/>
        <item sd="0" m="1" x="7778"/>
        <item m="1" x="3855"/>
        <item m="1" x="7898"/>
        <item sd="0" m="1" x="3982"/>
        <item sd="0" m="1" x="55"/>
        <item m="1" x="4105"/>
        <item m="1" x="178"/>
        <item m="1" x="4225"/>
        <item m="1" x="300"/>
        <item m="1" x="4349"/>
        <item m="1" x="422"/>
        <item m="1" x="4474"/>
        <item m="1" x="545"/>
        <item m="1" x="4590"/>
        <item m="1" x="664"/>
        <item m="1" x="4711"/>
        <item m="1" x="786"/>
        <item m="1" x="6541"/>
        <item sd="0" m="1" x="2615"/>
        <item sd="0" m="1" x="6667"/>
        <item sd="0" m="1" x="2732"/>
        <item sd="0" m="1" x="6789"/>
        <item sd="0" m="1" x="2857"/>
        <item sd="0" m="1" x="6912"/>
        <item sd="0" m="1" x="2982"/>
        <item sd="0" m="1" x="7033"/>
        <item sd="0" m="1" x="3105"/>
        <item m="1" x="7160"/>
        <item m="1" x="3229"/>
        <item sd="0" m="1" x="7282"/>
        <item sd="0" m="1" x="3353"/>
        <item sd="0" m="1" x="7402"/>
        <item sd="0" m="1" x="3476"/>
        <item sd="0" m="1" x="7528"/>
        <item sd="0" m="1" x="3601"/>
        <item sd="0" m="1" x="7652"/>
        <item m="1" x="3726"/>
        <item m="1" x="7774"/>
        <item m="1" x="3851"/>
        <item m="1" x="7894"/>
        <item m="1" x="3978"/>
        <item m="1" x="51"/>
        <item m="1" x="4101"/>
        <item m="1" x="173"/>
        <item m="1" x="4220"/>
        <item m="1" x="295"/>
        <item m="1" x="4344"/>
        <item m="1" x="416"/>
        <item sd="0" m="1" x="6171"/>
        <item sd="0" m="1" x="2238"/>
        <item sd="0" m="1" x="6290"/>
        <item sd="0" m="1" x="2360"/>
        <item m="1" x="6413"/>
        <item m="1" x="2487"/>
        <item m="1" x="6536"/>
        <item sd="0" m="1" x="2610"/>
        <item sd="0" m="1" x="6661"/>
        <item sd="0" m="1" x="2728"/>
        <item sd="0" m="1" x="6785"/>
        <item sd="0" m="1" x="2853"/>
        <item sd="0" m="1" x="6908"/>
        <item sd="0" m="1" x="2977"/>
        <item sd="0" m="1" x="7028"/>
        <item m="1" x="3101"/>
        <item m="1" x="7156"/>
        <item sd="0" m="1" x="3225"/>
        <item m="1" x="7278"/>
        <item m="1" x="3348"/>
        <item m="1" x="7398"/>
        <item m="1" x="3472"/>
        <item m="1" x="7524"/>
        <item m="1" x="3597"/>
        <item m="1" x="7648"/>
        <item m="1" x="3722"/>
        <item m="1" x="7769"/>
        <item m="1" x="3846"/>
        <item m="1" x="7889"/>
        <item m="1" x="3973"/>
        <item m="1" x="5799"/>
        <item sd="0" m="1" x="1869"/>
        <item sd="0" m="1" x="5919"/>
        <item sd="0" m="1" x="1992"/>
        <item sd="0" m="1" x="6042"/>
        <item sd="0" m="1" x="2114"/>
        <item sd="0" m="1" x="6166"/>
        <item sd="0" m="1" x="2233"/>
        <item sd="0" m="1" x="6285"/>
        <item sd="0" m="1" x="2356"/>
        <item m="1" x="6409"/>
        <item m="1" x="2483"/>
        <item sd="0" m="1" x="6532"/>
        <item sd="0" m="1" x="2604"/>
        <item sd="0" m="1" x="6656"/>
        <item sd="0" m="1" x="2724"/>
        <item sd="0" m="1" x="6781"/>
        <item sd="0" m="1" x="2849"/>
        <item m="1" x="6904"/>
        <item m="1" x="2973"/>
        <item m="1" x="7024"/>
        <item m="1" x="3097"/>
        <item m="1" x="7152"/>
        <item m="1" x="3221"/>
        <item m="1" x="7274"/>
        <item m="1" x="3344"/>
        <item m="1" x="7394"/>
        <item m="1" x="3468"/>
        <item m="1" x="7519"/>
        <item m="1" x="3593"/>
        <item sd="0" m="1" x="1381"/>
        <item sd="0" m="1" x="5432"/>
        <item sd="0" m="1" x="1505"/>
        <item sd="0" m="1" x="5550"/>
        <item sd="0" m="1" x="1628"/>
        <item m="1" x="5673"/>
        <item m="1" x="1746"/>
        <item m="1" x="5794"/>
        <item sd="0" m="1" x="1864"/>
        <item sd="0" m="1" x="5915"/>
        <item sd="0" m="1" x="1988"/>
        <item sd="0" m="1" x="6038"/>
        <item sd="0" m="1" x="2110"/>
        <item sd="0" m="1" x="6161"/>
        <item sd="0" m="1" x="2228"/>
        <item sd="0" m="1" x="6281"/>
        <item m="1" x="2352"/>
        <item m="1" x="6405"/>
        <item m="1" x="2479"/>
        <item m="1" x="6527"/>
        <item m="1" x="2600"/>
        <item m="1" x="6652"/>
        <item m="1" x="2720"/>
        <item m="1" x="6777"/>
        <item m="1" x="2845"/>
        <item m="1" x="6900"/>
        <item m="1" x="2968"/>
        <item m="1" x="7020"/>
        <item m="1" x="3093"/>
        <item m="1" x="7148"/>
        <item m="1" x="3216"/>
        <item m="1" x="1015"/>
        <item m="1" x="5059"/>
        <item m="1" x="1136"/>
        <item sd="0" m="1" x="5180"/>
        <item sd="0" m="1" x="1256"/>
        <item sd="0" m="1" x="5305"/>
        <item sd="0" m="1" x="7332"/>
        <item sd="0" m="1" x="1376"/>
        <item sd="0" m="1" x="3404"/>
        <item sd="0" m="1" x="5427"/>
        <item sd="0" m="1" x="7453"/>
        <item sd="0" m="1" x="1499"/>
        <item sd="0" m="1" x="3525"/>
        <item sd="0" m="1" x="5546"/>
        <item sd="0" m="1" x="7576"/>
        <item sd="0" m="1" x="1624"/>
        <item m="1" x="3652"/>
        <item m="1" x="5669"/>
        <item m="1" x="7701"/>
        <item m="1" x="1742"/>
        <item m="1" x="3775"/>
        <item sd="0" m="1" x="5789"/>
        <item sd="0" m="1" x="7823"/>
        <item sd="0" m="1" x="1859"/>
        <item sd="0" m="1" x="3903"/>
        <item sd="0" m="1" x="5911"/>
        <item sd="0" m="1" x="7945"/>
        <item sd="0" m="1" x="1983"/>
        <item sd="0" m="1" x="4028"/>
        <item sd="0" m="1" x="6033"/>
        <item sd="0" m="1" x="100"/>
        <item m="1" x="2106"/>
        <item m="1" x="4147"/>
        <item m="1" x="6156"/>
        <item m="1" x="221"/>
        <item m="1" x="2224"/>
        <item m="1" x="4269"/>
        <item m="1" x="6277"/>
        <item m="1" x="343"/>
        <item m="1" x="2348"/>
        <item m="1" x="4394"/>
        <item m="1" x="6401"/>
        <item m="1" x="466"/>
        <item m="1" x="2475"/>
        <item m="1" x="4516"/>
        <item m="1" x="6523"/>
        <item m="1" x="587"/>
        <item m="1" x="2595"/>
        <item m="1" x="4632"/>
        <item m="1" x="6648"/>
        <item m="1" x="707"/>
        <item m="1" x="2716"/>
        <item m="1" x="4756"/>
        <item m="1" x="6773"/>
        <item m="1" x="831"/>
        <item sd="0" m="1" x="6588"/>
        <item sd="0" m="1" x="646"/>
        <item sd="0" m="1" x="2659"/>
        <item sd="0" m="1" x="4691"/>
        <item sd="0" m="1" x="6714"/>
        <item sd="0" m="1" x="766"/>
        <item sd="0" m="1" x="2780"/>
        <item sd="0" m="1" x="4815"/>
        <item sd="0" m="1" x="6836"/>
        <item sd="0" m="1" x="889"/>
        <item sd="0" m="1" x="2903"/>
        <item sd="0" m="1" x="4935"/>
        <item m="1" x="6956"/>
        <item m="1" x="1010"/>
        <item m="1" x="3027"/>
        <item m="1" x="5054"/>
        <item m="1" x="7080"/>
        <item sd="0" m="1" x="1131"/>
        <item sd="0" m="1" x="3149"/>
        <item sd="0" m="1" x="5176"/>
        <item sd="0" m="1" x="7206"/>
        <item sd="0" m="1" x="1252"/>
        <item sd="0" m="1" x="3276"/>
        <item sd="0" m="1" x="5301"/>
        <item sd="0" m="1" x="7328"/>
        <item sd="0" m="1" x="1372"/>
        <item sd="0" m="1" x="3399"/>
        <item sd="0" m="1" x="5421"/>
        <item sd="0" m="1" x="7447"/>
        <item sd="0" m="1" x="1493"/>
        <item sd="0" m="1" x="3521"/>
        <item sd="0" m="1" x="5542"/>
        <item sd="0" m="1" x="7572"/>
        <item m="1" x="1620"/>
        <item m="1" x="3646"/>
        <item m="1" x="5664"/>
        <item m="1" x="7696"/>
        <item m="1" x="1738"/>
        <item m="1" x="3770"/>
        <item m="1" x="5785"/>
        <item m="1" x="7818"/>
        <item m="1" x="1855"/>
        <item m="1" x="3898"/>
        <item m="1" x="5907"/>
        <item m="1" x="7940"/>
        <item m="1" x="1979"/>
        <item m="1" x="4023"/>
        <item m="1" x="6029"/>
        <item m="1" x="95"/>
        <item m="1" x="2102"/>
        <item m="1" x="4142"/>
        <item m="1" x="6152"/>
        <item m="1" x="215"/>
        <item m="1" x="2220"/>
        <item m="1" x="4264"/>
        <item m="1" x="6273"/>
        <item m="1" x="338"/>
        <item m="1" x="2343"/>
        <item m="1" x="4389"/>
        <item m="1" x="6397"/>
        <item m="1" x="460"/>
        <item sd="0" m="1" x="4202"/>
        <item sd="0" m="1" x="6218"/>
        <item m="1" x="277"/>
        <item m="1" x="2286"/>
        <item m="1" x="4325"/>
        <item m="1" x="6338"/>
        <item m="1" x="396"/>
        <item sd="0" m="1" x="2407"/>
        <item sd="0" m="1" x="4449"/>
        <item sd="0" m="1" x="6461"/>
        <item sd="0" m="1" x="520"/>
        <item sd="0" m="1" x="2533"/>
        <item sd="0" m="1" x="4568"/>
        <item sd="0" m="1" x="6582"/>
        <item sd="0" m="1" x="641"/>
        <item sd="0" m="1" x="2654"/>
        <item sd="0" m="1" x="4686"/>
        <item sd="0" m="1" x="6708"/>
        <item sd="0" m="1" x="761"/>
        <item sd="0" m="1" x="2776"/>
        <item sd="0" m="1" x="4811"/>
        <item sd="0" m="1" x="6831"/>
        <item sd="0" m="1" x="884"/>
        <item sd="0" m="1" x="2899"/>
        <item m="1" x="4931"/>
        <item m="1" x="6952"/>
        <item m="1" x="1005"/>
        <item m="1" x="3022"/>
        <item m="1" x="5049"/>
        <item sd="0" m="1" x="7075"/>
        <item sd="0" m="1" x="1126"/>
        <item sd="0" m="1" x="3145"/>
        <item sd="0" m="1" x="5172"/>
        <item sd="0" m="1" x="7202"/>
        <item sd="0" m="1" x="1248"/>
        <item sd="0" m="1" x="3270"/>
        <item sd="0" m="1" x="5297"/>
        <item m="1" x="7323"/>
        <item m="1" x="1367"/>
        <item m="1" x="3393"/>
        <item m="1" x="5416"/>
        <item m="1" x="7442"/>
        <item m="1" x="1489"/>
        <item m="1" x="3516"/>
        <item m="1" x="5538"/>
        <item m="1" x="7567"/>
        <item m="1" x="1616"/>
        <item m="1" x="3641"/>
        <item m="1" x="5660"/>
        <item m="1" x="7691"/>
        <item m="1" x="1734"/>
        <item m="1" x="3765"/>
        <item m="1" x="5780"/>
        <item m="1" x="7813"/>
        <item m="1" x="1851"/>
        <item m="1" x="3893"/>
        <item m="1" x="5902"/>
        <item m="1" x="7935"/>
        <item m="1" x="1975"/>
        <item m="1" x="4018"/>
        <item m="1" x="6024"/>
        <item sd="0" m="1" x="3829"/>
        <item sd="0" m="1" x="5846"/>
        <item sd="0" m="1" x="7873"/>
        <item sd="0" m="1" x="1918"/>
        <item sd="0" m="1" x="3955"/>
        <item sd="0" m="1" x="5967"/>
        <item sd="0" m="1" x="7996"/>
        <item sd="0" m="1" x="2040"/>
        <item sd="0" m="1" x="4079"/>
        <item sd="0" m="1" x="6091"/>
        <item sd="0" m="1" x="152"/>
        <item sd="0" m="1" x="2162"/>
        <item sd="0" m="1" x="4198"/>
        <item m="1" x="6214"/>
        <item m="1" x="273"/>
        <item m="1" x="2281"/>
        <item m="1" x="4320"/>
        <item m="1" x="6333"/>
        <item sd="0" m="1" x="393"/>
        <item sd="0" m="1" x="2404"/>
        <item sd="0" m="1" x="4446"/>
        <item sd="0" m="1" x="6458"/>
        <item sd="0" m="1" x="517"/>
        <item sd="0" m="1" x="2530"/>
        <item sd="0" m="1" x="4565"/>
        <item sd="0" m="1" x="6579"/>
        <item sd="0" m="1" x="637"/>
        <item sd="0" m="1" x="2650"/>
        <item sd="0" m="1" x="4682"/>
        <item sd="0" m="1" x="6704"/>
        <item sd="0" m="1" x="757"/>
        <item sd="0" m="1" x="2772"/>
        <item sd="0" m="1" x="4806"/>
        <item sd="0" m="1" x="6827"/>
        <item sd="0" m="1" x="879"/>
        <item m="1" x="2894"/>
        <item m="1" x="4927"/>
        <item m="1" x="6947"/>
        <item m="1" x="1001"/>
        <item m="1" x="3017"/>
        <item m="1" x="5045"/>
        <item m="1" x="7070"/>
        <item m="1" x="1122"/>
        <item m="1" x="3140"/>
        <item m="1" x="5168"/>
        <item m="1" x="7197"/>
        <item m="1" x="1244"/>
        <item m="1" x="3265"/>
        <item m="1" x="5293"/>
        <item m="1" x="7317"/>
        <item m="1" x="1362"/>
        <item m="1" x="3388"/>
        <item m="1" x="5411"/>
        <item m="1" x="7437"/>
        <item m="1" x="1485"/>
        <item m="1" x="3511"/>
        <item m="1" x="5534"/>
        <item m="1" x="7562"/>
        <item m="1" x="1611"/>
        <item m="1" x="3636"/>
        <item m="1" x="5656"/>
        <item sd="0" m="1" x="1430"/>
        <item sd="0" m="1" x="3453"/>
        <item sd="0" m="1" x="5480"/>
        <item sd="0" m="1" x="7502"/>
        <item m="1" x="1555"/>
        <item m="1" x="3576"/>
        <item m="1" x="5601"/>
        <item m="1" x="7627"/>
        <item sd="0" m="1" x="1677"/>
        <item sd="0" m="1" x="3702"/>
        <item sd="0" m="1" x="5721"/>
        <item sd="0" m="1" x="7748"/>
        <item sd="0" m="1" x="1792"/>
        <item sd="0" m="1" x="3825"/>
        <item sd="0" m="1" x="5842"/>
        <item sd="0" m="1" x="7869"/>
        <item sd="0" m="1" x="1914"/>
        <item sd="0" m="1" x="3951"/>
        <item sd="0" m="1" x="5963"/>
        <item sd="0" m="1" x="7993"/>
        <item sd="0" m="1" x="2037"/>
        <item sd="0" m="1" x="4076"/>
        <item sd="0" m="1" x="6088"/>
        <item sd="0" m="1" x="149"/>
        <item sd="0" m="1" x="2159"/>
        <item m="1" x="4195"/>
        <item m="1" x="6210"/>
        <item m="1" x="268"/>
        <item m="1" x="2276"/>
        <item m="1" x="4316"/>
        <item sd="0" m="1" x="6329"/>
        <item sd="0" m="1" x="389"/>
        <item sd="0" m="1" x="2400"/>
        <item sd="0" m="1" x="4442"/>
        <item sd="0" m="1" x="6452"/>
        <item sd="0" m="1" x="512"/>
        <item sd="0" m="1" x="2525"/>
        <item m="1" x="4561"/>
        <item m="1" x="6574"/>
        <item m="1" x="633"/>
        <item m="1" x="2645"/>
        <item m="1" x="4678"/>
        <item m="1" x="6699"/>
        <item m="1" x="753"/>
        <item m="1" x="2767"/>
        <item m="1" x="4802"/>
        <item m="1" x="6822"/>
        <item m="1" x="875"/>
        <item m="1" x="2889"/>
        <item m="1" x="4923"/>
        <item m="1" x="6942"/>
        <item m="1" x="997"/>
        <item m="1" x="3011"/>
        <item m="1" x="5041"/>
        <item m="1" x="7065"/>
        <item m="1" x="1118"/>
        <item m="1" x="3135"/>
        <item m="1" x="5163"/>
        <item m="1" x="7192"/>
        <item m="1" x="1240"/>
        <item m="1" x="3259"/>
        <item sd="0" m="1" x="7006"/>
        <item sd="0" m="1" x="1064"/>
        <item sd="0" m="1" x="3078"/>
        <item sd="0" m="1" x="5108"/>
        <item sd="0" m="1" x="7131"/>
        <item sd="0" m="1" x="1184"/>
        <item sd="0" m="1" x="3198"/>
        <item sd="0" m="1" x="5228"/>
        <item sd="0" m="1" x="7254"/>
        <item sd="0" m="1" x="1304"/>
        <item sd="0" m="1" x="3323"/>
        <item sd="0" m="1" x="5352"/>
        <item sd="0" m="1" x="7375"/>
        <item sd="0" m="1" x="1424"/>
        <item sd="0" m="1" x="3448"/>
        <item sd="0" m="1" x="5475"/>
        <item m="1" x="7497"/>
        <item m="1" x="1549"/>
        <item m="1" x="3571"/>
        <item m="1" x="5597"/>
        <item sd="0" m="1" x="7623"/>
        <item sd="0" m="1" x="1672"/>
        <item sd="0" m="1" x="3697"/>
        <item sd="0" m="1" x="5717"/>
        <item sd="0" m="1" x="7744"/>
        <item sd="0" m="1" x="1788"/>
        <item sd="0" m="1" x="3820"/>
        <item sd="0" m="1" x="5837"/>
        <item sd="0" m="1" x="7864"/>
        <item sd="0" m="1" x="1909"/>
        <item sd="0" m="1" x="3946"/>
        <item sd="0" m="1" x="5958"/>
        <item sd="0" m="1" x="7988"/>
        <item sd="0" m="1" x="2032"/>
        <item sd="0" m="1" x="4071"/>
        <item sd="0" m="1" x="6081"/>
        <item sd="0" m="1" x="144"/>
        <item m="1" x="2153"/>
        <item m="1" x="4189"/>
        <item m="1" x="6203"/>
        <item m="1" x="263"/>
        <item m="1" x="2270"/>
        <item m="1" x="4311"/>
        <item m="1" x="6323"/>
        <item m="1" x="384"/>
        <item m="1" x="2394"/>
        <item m="1" x="4437"/>
        <item m="1" x="6446"/>
        <item m="1" x="507"/>
        <item m="1" x="2519"/>
        <item m="1" x="4556"/>
        <item m="1" x="6568"/>
        <item m="1" x="628"/>
        <item m="1" x="2640"/>
        <item m="1" x="4674"/>
        <item m="1" x="6694"/>
        <item m="1" x="748"/>
        <item m="1" x="2762"/>
        <item m="1" x="4798"/>
        <item m="1" x="6817"/>
        <item m="1" x="870"/>
        <item sd="0" m="1" x="6632"/>
        <item sd="0" m="1" x="690"/>
        <item sd="0" m="1" x="2700"/>
        <item sd="0" m="1" x="4738"/>
        <item sd="0" m="1" x="6755"/>
        <item m="1" x="812"/>
        <item m="1" x="2824"/>
        <item m="1" x="4861"/>
        <item m="1" x="6879"/>
        <item m="1" x="936"/>
        <item sd="0" m="1" x="2948"/>
        <item sd="0" m="1" x="4984"/>
        <item sd="0" m="1" x="7001"/>
        <item sd="0" m="1" x="1059"/>
        <item sd="0" m="1" x="3073"/>
        <item sd="0" m="1" x="5102"/>
        <item sd="0" m="1" x="7125"/>
        <item sd="0" m="1" x="1179"/>
        <item sd="0" m="1" x="3194"/>
        <item sd="0" m="1" x="5224"/>
        <item sd="0" m="1" x="7250"/>
        <item sd="0" m="1" x="1300"/>
        <item sd="0" m="1" x="3319"/>
        <item sd="0" m="1" x="5348"/>
        <item sd="0" m="1" x="7371"/>
        <item sd="0" m="1" x="1420"/>
        <item sd="0" m="1" x="3443"/>
        <item m="1" x="5470"/>
        <item m="1" x="7492"/>
        <item m="1" x="1544"/>
        <item m="1" x="3566"/>
        <item sd="0" m="1" x="5592"/>
        <item sd="0" m="1" x="7617"/>
        <item sd="0" m="1" x="1667"/>
        <item sd="0" m="1" x="3691"/>
        <item sd="0" m="1" x="5711"/>
        <item sd="0" m="1" x="7739"/>
        <item m="1" x="1782"/>
        <item m="1" x="3815"/>
        <item m="1" x="5831"/>
        <item m="1" x="7859"/>
        <item m="1" x="1903"/>
        <item m="1" x="3941"/>
        <item m="1" x="5952"/>
        <item m="1" x="7983"/>
        <item m="1" x="2026"/>
        <item m="1" x="4066"/>
        <item m="1" x="6075"/>
        <item m="1" x="139"/>
        <item m="1" x="2146"/>
        <item m="1" x="4184"/>
        <item m="1" x="6197"/>
        <item m="1" x="258"/>
        <item m="1" x="2265"/>
        <item m="1" x="4307"/>
        <item m="1" x="6318"/>
        <item m="1" x="380"/>
        <item m="1" x="2389"/>
        <item m="1" x="4432"/>
        <item m="1" x="6441"/>
        <item m="1" x="503"/>
        <item sd="0" m="1" x="4247"/>
        <item sd="0" m="1" x="6258"/>
        <item sd="0" m="1" x="321"/>
        <item sd="0" m="1" x="2327"/>
        <item sd="0" m="1" x="4370"/>
        <item sd="0" m="1" x="6380"/>
        <item sd="0" m="1" x="442"/>
        <item sd="0" m="1" x="2452"/>
        <item sd="0" m="1" x="4495"/>
        <item sd="0" m="1" x="6504"/>
        <item sd="0" m="1" x="566"/>
        <item sd="0" m="1" x="2575"/>
        <item sd="0" m="1" x="4612"/>
        <item sd="0" m="1" x="6628"/>
        <item sd="0" m="1" x="686"/>
        <item sd="0" m="1" x="2696"/>
        <item sd="0" m="1" x="4734"/>
        <item m="1" x="6752"/>
        <item m="1" x="808"/>
        <item m="1" x="2821"/>
        <item m="1" x="4858"/>
        <item m="1" x="6876"/>
        <item sd="0" m="1" x="933"/>
        <item sd="0" m="1" x="2945"/>
        <item sd="0" m="1" x="4981"/>
        <item sd="0" m="1" x="6998"/>
        <item sd="0" m="1" x="1055"/>
        <item sd="0" m="1" x="3068"/>
        <item sd="0" m="1" x="5097"/>
        <item sd="0" m="1" x="7120"/>
        <item sd="0" m="1" x="1175"/>
        <item sd="0" m="1" x="3190"/>
        <item sd="0" m="1" x="5220"/>
        <item sd="0" m="1" x="7246"/>
        <item sd="0" m="1" x="1295"/>
        <item sd="0" m="1" x="3314"/>
        <item sd="0" m="1" x="5343"/>
        <item m="1" x="7367"/>
        <item m="1" x="1415"/>
        <item m="1" x="3439"/>
        <item m="1" x="5465"/>
        <item m="1" x="7488"/>
        <item m="1" x="1539"/>
        <item m="1" x="3562"/>
        <item m="1" x="5587"/>
        <item m="1" x="7613"/>
        <item m="1" x="1662"/>
        <item m="1" x="3687"/>
        <item m="1" x="5706"/>
        <item m="1" x="7735"/>
        <item m="1" x="1777"/>
        <item m="1" x="3811"/>
        <item m="1" x="5826"/>
        <item m="1" x="7856"/>
        <item m="1" x="1899"/>
        <item m="1" x="3938"/>
        <item m="1" x="5948"/>
        <item m="1" x="7979"/>
        <item m="1" x="2022"/>
        <item m="1" x="4063"/>
        <item m="1" x="6070"/>
        <item sd="0" m="1" x="1836"/>
        <item sd="0" m="1" x="3876"/>
        <item sd="0" m="1" x="5887"/>
        <item sd="0" m="1" x="7917"/>
        <item sd="0" m="1" x="1958"/>
        <item sd="0" m="1" x="3999"/>
        <item sd="0" m="1" x="6006"/>
        <item sd="0" m="1" x="71"/>
        <item m="1" x="2081"/>
        <item m="1" x="4121"/>
        <item m="1" x="6131"/>
        <item m="1" x="195"/>
        <item sd="0" m="1" x="2202"/>
        <item sd="0" m="1" x="4242"/>
        <item sd="0" m="1" x="6254"/>
        <item sd="0" m="1" x="317"/>
        <item sd="0" m="1" x="2323"/>
        <item sd="0" m="1" x="4366"/>
        <item sd="0" m="1" x="6377"/>
        <item sd="0" m="1" x="439"/>
        <item sd="0" m="1" x="2449"/>
        <item sd="0" m="1" x="4491"/>
        <item sd="0" m="1" x="6500"/>
        <item sd="0" m="1" x="563"/>
        <item sd="0" m="1" x="2572"/>
        <item sd="0" m="1" x="4609"/>
        <item sd="0" m="1" x="6624"/>
        <item sd="0" m="1" x="682"/>
        <item sd="0" m="1" x="2692"/>
        <item m="1" x="4730"/>
        <item m="1" x="6748"/>
        <item m="1" x="804"/>
        <item m="1" x="2817"/>
        <item m="1" x="4854"/>
        <item sd="0" m="1" x="6872"/>
        <item sd="0" m="1" x="928"/>
        <item sd="0" m="1" x="2941"/>
        <item m="1" x="4976"/>
        <item m="1" x="6993"/>
        <item m="1" x="1048"/>
        <item m="1" x="3063"/>
        <item m="1" x="5092"/>
        <item m="1" x="7116"/>
        <item m="1" x="1170"/>
        <item m="1" x="3186"/>
        <item m="1" x="5215"/>
        <item m="1" x="7242"/>
        <item m="1" x="1290"/>
        <item m="1" x="3310"/>
        <item m="1" x="5338"/>
        <item m="1" x="7363"/>
        <item m="1" x="1410"/>
        <item m="1" x="3434"/>
        <item m="1" x="5460"/>
        <item m="1" x="7485"/>
        <item m="1" x="1535"/>
        <item m="1" x="3559"/>
        <item m="1" x="5583"/>
        <item m="1" x="7610"/>
        <item m="1" x="1658"/>
        <item m="1" x="3683"/>
        <item m="1" x="1469"/>
        <item m="1" x="3494"/>
        <item sd="0" m="1" x="5517"/>
        <item sd="0" m="1" x="7545"/>
        <item sd="0" m="1" x="1593"/>
        <item sd="0" m="1" x="3618"/>
        <item sd="0" m="1" x="5639"/>
        <item sd="0" m="1" x="7668"/>
        <item sd="0" m="1" x="1714"/>
        <item sd="0" m="1" x="3744"/>
        <item sd="0" m="1" x="5761"/>
        <item sd="0" m="1" x="7793"/>
        <item sd="0" m="1" x="1832"/>
        <item sd="0" m="1" x="3872"/>
        <item sd="0" m="1" x="5883"/>
        <item sd="0" m="1" x="7912"/>
        <item sd="0" m="1" x="1953"/>
        <item sd="0" m="1" x="3995"/>
        <item m="1" x="6003"/>
        <item m="1" x="68"/>
        <item m="1" x="2078"/>
        <item m="1" x="4118"/>
        <item m="1" x="6128"/>
        <item sd="0" m="1" x="192"/>
        <item sd="0" m="1" x="2199"/>
        <item sd="0" m="1" x="4239"/>
        <item sd="0" m="1" x="6250"/>
        <item sd="0" m="1" x="313"/>
        <item sd="0" m="1" x="2319"/>
        <item sd="0" m="1" x="4362"/>
        <item sd="0" m="1" x="6373"/>
        <item sd="0" m="1" x="435"/>
        <item sd="0" m="1" x="2444"/>
        <item sd="0" m="1" x="4487"/>
        <item sd="0" m="1" x="6496"/>
        <item sd="0" m="1" x="558"/>
        <item sd="0" m="1" x="2568"/>
        <item m="1" x="4604"/>
        <item m="1" x="6620"/>
        <item m="1" x="677"/>
        <item m="1" x="2688"/>
        <item m="1" x="4725"/>
        <item m="1" x="6744"/>
        <item m="1" x="799"/>
        <item m="1" x="2813"/>
        <item m="1" x="4849"/>
        <item m="1" x="6868"/>
        <item m="1" x="922"/>
        <item m="1" x="2936"/>
        <item m="1" x="4969"/>
        <item m="1" x="6987"/>
        <item m="1" x="1042"/>
        <item m="1" x="3058"/>
        <item m="1" x="5087"/>
        <item m="1" x="7112"/>
        <item m="1" x="1165"/>
        <item m="1" x="3182"/>
        <item m="1" x="5210"/>
        <item m="1" x="7237"/>
        <item m="1" x="1285"/>
        <item m="1" x="3306"/>
        <item sd="0" m="1" x="7047"/>
        <item sd="0" m="1" x="1103"/>
        <item sd="0" m="1" x="3118"/>
        <item sd="0" m="1" x="5146"/>
        <item sd="0" m="1" x="7173"/>
        <item sd="0" m="1" x="1222"/>
        <item sd="0" m="1" x="3241"/>
        <item sd="0" m="1" x="5269"/>
        <item sd="0" m="1" x="7295"/>
        <item m="1" x="1343"/>
        <item m="1" x="3367"/>
        <item m="1" x="5391"/>
        <item m="1" x="7416"/>
        <item m="1" x="1465"/>
        <item sd="0" m="1" x="3490"/>
        <item sd="0" m="1" x="5513"/>
        <item sd="0" m="1" x="7541"/>
        <item sd="0" m="1" x="1589"/>
        <item sd="0" m="1" x="3614"/>
        <item sd="0" m="1" x="5636"/>
        <item sd="0" m="1" x="7665"/>
        <item sd="0" m="1" x="1711"/>
        <item sd="0" m="1" x="3741"/>
        <item sd="0" m="1" x="5758"/>
        <item sd="0" m="1" x="7790"/>
        <item sd="0" m="1" x="1829"/>
        <item sd="0" m="1" x="3868"/>
        <item sd="0" m="1" x="5878"/>
        <item sd="0" m="1" x="7907"/>
        <item sd="0" m="1" x="1949"/>
        <item m="1" x="3991"/>
        <item m="1" x="5999"/>
        <item m="1" x="64"/>
        <item m="1" x="2074"/>
        <item m="1" x="4114"/>
        <item sd="0" m="1" x="6124"/>
        <item sd="0" m="1" x="187"/>
        <item m="1" x="2195"/>
        <item m="1" x="4234"/>
        <item m="1" x="6246"/>
        <item m="1" x="308"/>
        <item m="1" x="2315"/>
        <item m="1" x="4357"/>
        <item m="1" x="6368"/>
        <item m="1" x="430"/>
        <item m="1" x="2440"/>
        <item m="1" x="4482"/>
        <item m="1" x="6492"/>
        <item m="1" x="552"/>
        <item m="1" x="2563"/>
        <item m="1" x="4598"/>
        <item m="1" x="6615"/>
        <item m="1" x="672"/>
        <item m="1" x="2684"/>
        <item m="1" x="4720"/>
        <item m="1" x="6740"/>
        <item m="1" x="794"/>
        <item m="1" x="2808"/>
        <item m="1" x="4844"/>
        <item m="1" x="6864"/>
        <item m="1" x="916"/>
        <item m="1" x="4657"/>
        <item m="1" x="6676"/>
        <item m="1" x="732"/>
        <item m="1" x="2743"/>
        <item sd="0" m="1" x="4780"/>
        <item sd="0" m="1" x="6798"/>
        <item sd="0" m="1" x="852"/>
        <item sd="0" m="1" x="2865"/>
        <item sd="0" m="1" x="4902"/>
        <item sd="0" m="1" x="6921"/>
        <item sd="0" m="1" x="976"/>
        <item sd="0" m="1" x="2991"/>
        <item sd="0" m="1" x="5023"/>
        <item sd="0" m="1" x="7042"/>
        <item sd="0" m="1" x="1099"/>
        <item sd="0" m="1" x="3114"/>
        <item sd="0" m="1" x="5142"/>
        <item sd="0" m="1" x="7169"/>
        <item sd="0" m="1" x="1219"/>
        <item sd="0" m="1" x="3238"/>
        <item sd="0" m="1" x="5266"/>
        <item m="1" x="7291"/>
        <item m="1" x="1339"/>
        <item m="1" x="3364"/>
        <item m="1" x="5388"/>
        <item m="1" x="7413"/>
        <item sd="0" m="1" x="1461"/>
        <item sd="0" m="1" x="3486"/>
        <item sd="0" m="1" x="5509"/>
        <item sd="0" m="1" x="7537"/>
        <item sd="0" m="1" x="1585"/>
        <item sd="0" m="1" x="3610"/>
        <item sd="0" m="1" x="5632"/>
        <item sd="0" m="1" x="7661"/>
        <item sd="0" m="1" x="1707"/>
        <item sd="0" m="1" x="3736"/>
        <item sd="0" m="1" x="5754"/>
        <item m="1" x="7785"/>
        <item m="1" x="1824"/>
        <item m="1" x="3861"/>
        <item m="1" x="5874"/>
        <item m="1" x="7903"/>
        <item m="1" x="1946"/>
        <item m="1" x="3987"/>
        <item m="1" x="5996"/>
        <item m="1" x="60"/>
        <item m="1" x="2071"/>
        <item m="1" x="4110"/>
        <item m="1" x="6120"/>
        <item m="1" x="182"/>
        <item m="1" x="2191"/>
        <item m="1" x="4229"/>
        <item m="1" x="6242"/>
        <item m="1" x="304"/>
        <item m="1" x="2312"/>
        <item m="1" x="4353"/>
        <item m="1" x="6365"/>
        <item m="1" x="426"/>
        <item m="1" x="2437"/>
        <item m="1" x="4478"/>
        <item m="1" x="6488"/>
        <item sd="0" m="1" x="4289"/>
        <item sd="0" m="1" x="6299"/>
        <item sd="0" m="1" x="361"/>
        <item sd="0" m="1" x="2369"/>
        <item sd="0" m="1" x="4413"/>
        <item sd="0" m="1" x="6422"/>
        <item sd="0" m="1" x="485"/>
        <item sd="0" m="1" x="2495"/>
        <item sd="0" m="1" x="4535"/>
        <item sd="0" m="1" x="6546"/>
        <item m="1" x="608"/>
        <item m="1" x="2619"/>
        <item m="1" x="4653"/>
        <item m="1" x="6672"/>
        <item m="1" x="728"/>
        <item sd="0" m="1" x="2738"/>
        <item sd="0" m="1" x="4775"/>
        <item sd="0" m="1" x="6794"/>
        <item sd="0" m="1" x="849"/>
        <item sd="0" m="1" x="2862"/>
        <item sd="0" m="1" x="4899"/>
        <item sd="0" m="1" x="6917"/>
        <item sd="0" m="1" x="972"/>
        <item sd="0" m="1" x="2988"/>
        <item sd="0" m="1" x="5020"/>
        <item sd="0" m="1" x="7039"/>
        <item sd="0" m="1" x="1095"/>
        <item sd="0" m="1" x="3110"/>
        <item sd="0" m="1" x="5138"/>
        <item sd="0" m="1" x="7165"/>
        <item sd="0" m="1" x="1215"/>
        <item sd="0" m="1" x="3234"/>
        <item m="1" x="5261"/>
        <item m="1" x="7287"/>
        <item m="1" x="1335"/>
        <item m="1" x="3359"/>
        <item m="1" x="5384"/>
        <item m="1" x="7408"/>
        <item m="1" x="1457"/>
        <item m="1" x="3481"/>
        <item m="1" x="5506"/>
        <item m="1" x="7533"/>
        <item m="1" x="1582"/>
        <item m="1" x="3606"/>
        <item m="1" x="5629"/>
        <item m="1" x="7657"/>
        <item m="1" x="1704"/>
        <item m="1" x="3732"/>
        <item m="1" x="5750"/>
        <item m="1" x="7779"/>
        <item m="1" x="1820"/>
        <item m="1" x="3856"/>
        <item m="1" x="5871"/>
        <item m="1" x="7899"/>
        <item m="1" x="1943"/>
        <item m="1" x="3983"/>
        <item m="1" x="5993"/>
        <item m="1" x="56"/>
        <item m="1" x="2067"/>
        <item m="1" x="4106"/>
        <item m="1" x="6117"/>
        <item sd="0" m="1" x="1878"/>
        <item m="1" x="3920"/>
        <item m="1" x="5928"/>
        <item m="1" x="7960"/>
        <item m="1" x="2001"/>
        <item m="1" x="4043"/>
        <item sd="0" m="1" x="6050"/>
        <item sd="0" m="1" x="115"/>
        <item sd="0" m="1" x="2123"/>
        <item sd="0" m="1" x="4164"/>
        <item sd="0" m="1" x="6175"/>
        <item sd="0" m="1" x="236"/>
        <item sd="0" m="1" x="2242"/>
        <item sd="0" m="1" x="4285"/>
        <item sd="0" m="1" x="6295"/>
        <item sd="0" m="1" x="357"/>
        <item sd="0" m="1" x="2365"/>
        <item sd="0" m="1" x="4409"/>
        <item sd="0" m="1" x="6418"/>
        <item sd="0" m="1" x="482"/>
        <item sd="0" m="1" x="2492"/>
        <item sd="0" m="1" x="4532"/>
        <item m="1" x="6542"/>
        <item m="1" x="605"/>
        <item m="1" x="2616"/>
        <item m="1" x="4650"/>
        <item m="1" x="6668"/>
        <item sd="0" m="1" x="723"/>
        <item sd="0" m="1" x="2733"/>
        <item sd="0" m="1" x="4770"/>
        <item sd="0" m="1" x="6790"/>
        <item sd="0" m="1" x="845"/>
        <item sd="0" m="1" x="2858"/>
        <item sd="0" m="1" x="4895"/>
        <item sd="0" m="1" x="6913"/>
        <item sd="0" m="1" x="968"/>
        <item sd="0" m="1" x="2983"/>
        <item m="1" x="5016"/>
        <item m="1" x="7034"/>
        <item m="1" x="1091"/>
        <item m="1" x="3106"/>
        <item m="1" x="5135"/>
        <item m="1" x="7161"/>
        <item m="1" x="1211"/>
        <item m="1" x="3230"/>
        <item m="1" x="5258"/>
        <item m="1" x="7283"/>
        <item m="1" x="1332"/>
        <item m="1" x="3354"/>
        <item m="1" x="5380"/>
        <item m="1" x="7403"/>
        <item m="1" x="1453"/>
        <item m="1" x="3477"/>
        <item m="1" x="5503"/>
        <item m="1" x="7529"/>
        <item m="1" x="1579"/>
        <item m="1" x="3602"/>
        <item m="1" x="5625"/>
        <item m="1" x="7653"/>
        <item m="1" x="1701"/>
        <item m="1" x="3727"/>
        <item sd="0" m="1" x="1514"/>
        <item sd="0" m="1" x="3540"/>
        <item sd="0" m="1" x="5561"/>
        <item sd="0" m="1" x="7589"/>
        <item sd="0" m="1" x="1637"/>
        <item sd="0" m="1" x="3663"/>
        <item sd="0" m="1" x="5681"/>
        <item sd="0" m="1" x="7712"/>
        <item sd="0" m="1" x="1754"/>
        <item sd="0" m="1" x="3788"/>
        <item sd="0" m="1" x="5803"/>
        <item sd="0" m="1" x="7835"/>
        <item m="1" x="1873"/>
        <item m="1" x="3916"/>
        <item m="1" x="5924"/>
        <item m="1" x="7956"/>
        <item sd="0" m="1" x="1997"/>
        <item sd="0" m="1" x="4040"/>
        <item sd="0" m="1" x="6047"/>
        <item sd="0" m="1" x="112"/>
        <item sd="0" m="1" x="2119"/>
        <item sd="0" m="1" x="4159"/>
        <item sd="0" m="1" x="6172"/>
        <item sd="0" m="1" x="233"/>
        <item sd="0" m="1" x="2239"/>
        <item sd="0" m="1" x="4282"/>
        <item sd="0" m="1" x="6291"/>
        <item sd="0" m="1" x="353"/>
        <item sd="0" m="1" x="2361"/>
        <item sd="0" m="1" x="4405"/>
        <item sd="0" m="1" x="6414"/>
        <item sd="0" m="1" x="478"/>
        <item sd="0" m="1" x="2488"/>
        <item m="1" x="4528"/>
        <item m="1" x="6537"/>
        <item m="1" x="601"/>
        <item m="1" x="2611"/>
        <item m="1" x="4645"/>
        <item m="1" x="6662"/>
        <item m="1" x="718"/>
        <item m="1" x="2729"/>
        <item m="1" x="4767"/>
        <item m="1" x="6786"/>
        <item m="1" x="842"/>
        <item m="1" x="2854"/>
        <item m="1" x="4892"/>
        <item m="1" x="6909"/>
        <item m="1" x="964"/>
        <item m="1" x="2978"/>
        <item m="1" x="5012"/>
        <item m="1" x="7029"/>
        <item m="1" x="1087"/>
        <item m="1" x="3102"/>
        <item m="1" x="5132"/>
        <item m="1" x="7157"/>
        <item m="1" x="1208"/>
        <item m="1" x="3226"/>
        <item m="1" x="5255"/>
        <item m="1" x="7279"/>
        <item m="1" x="1328"/>
        <item m="1" x="3349"/>
        <item sd="0" m="1" x="7091"/>
        <item sd="0" m="1" x="1144"/>
        <item m="1" x="3161"/>
        <item m="1" x="5188"/>
        <item m="1" x="7217"/>
        <item m="1" x="1265"/>
        <item m="1" x="3287"/>
        <item sd="0" m="1" x="5313"/>
        <item sd="0" m="1" x="7340"/>
        <item sd="0" m="1" x="1386"/>
        <item sd="0" m="1" x="3412"/>
        <item sd="0" m="1" x="5436"/>
        <item sd="0" m="1" x="7462"/>
        <item sd="0" m="1" x="1510"/>
        <item sd="0" m="1" x="3536"/>
        <item sd="0" m="1" x="5556"/>
        <item sd="0" m="1" x="7584"/>
        <item sd="0" m="1" x="1633"/>
        <item sd="0" m="1" x="3660"/>
        <item sd="0" m="1" x="5678"/>
        <item sd="0" m="1" x="7709"/>
        <item sd="0" m="1" x="1751"/>
        <item sd="0" m="1" x="3784"/>
        <item sd="0" m="1" x="5800"/>
        <item m="1" x="7832"/>
        <item m="1" x="1870"/>
        <item m="1" x="3912"/>
        <item m="1" x="5920"/>
        <item sd="0" m="1" x="7952"/>
        <item sd="0" m="1" x="1993"/>
        <item sd="0" m="1" x="4036"/>
        <item sd="0" m="1" x="6043"/>
        <item sd="0" m="1" x="107"/>
        <item sd="0" m="1" x="2115"/>
        <item sd="0" m="1" x="4155"/>
        <item sd="0" m="1" x="6167"/>
        <item sd="0" m="1" x="229"/>
        <item m="1" x="2234"/>
        <item m="1" x="4278"/>
        <item m="1" x="6286"/>
        <item m="1" x="350"/>
        <item m="1" x="2357"/>
        <item m="1" x="4402"/>
        <item m="1" x="6410"/>
        <item m="1" x="475"/>
        <item m="1" x="2484"/>
        <item m="1" x="4525"/>
        <item m="1" x="6533"/>
        <item m="1" x="597"/>
        <item m="1" x="2605"/>
        <item m="1" x="4640"/>
        <item m="1" x="6657"/>
        <item m="1" x="715"/>
        <item m="1" x="2725"/>
        <item m="1" x="4764"/>
        <item m="1" x="6782"/>
        <item m="1" x="839"/>
        <item m="1" x="2850"/>
        <item m="1" x="4888"/>
        <item m="1" x="6905"/>
        <item m="1" x="961"/>
        <item sd="0" m="1" x="4699"/>
        <item sd="0" m="1" x="6722"/>
        <item sd="0" m="1" x="774"/>
        <item sd="0" m="1" x="2788"/>
        <item sd="0" m="1" x="4823"/>
        <item sd="0" m="1" x="6844"/>
        <item sd="0" m="1" x="897"/>
        <item sd="0" m="1" x="2912"/>
        <item sd="0" m="1" x="4945"/>
        <item sd="0" m="1" x="6966"/>
        <item sd="0" m="1" x="1019"/>
        <item sd="0" m="1" x="3035"/>
        <item sd="0" m="1" x="5063"/>
        <item sd="0" m="1" x="7088"/>
        <item m="1" x="1141"/>
        <item m="1" x="3158"/>
        <item m="1" x="5185"/>
        <item m="1" x="7214"/>
        <item m="1" x="1261"/>
        <item sd="0" m="1" x="3284"/>
        <item sd="0" m="1" x="5310"/>
        <item sd="0" m="1" x="7337"/>
        <item sd="0" m="1" x="1382"/>
        <item sd="0" m="1" x="3409"/>
        <item sd="0" m="1" x="5433"/>
        <item sd="0" m="1" x="7459"/>
        <item sd="0" m="1" x="1506"/>
        <item sd="0" m="1" x="3531"/>
        <item sd="0" m="1" x="5551"/>
        <item sd="0" m="1" x="7580"/>
        <item sd="0" m="1" x="1629"/>
        <item sd="0" m="1" x="3656"/>
        <item sd="0" m="1" x="5674"/>
        <item sd="0" m="1" x="7705"/>
        <item sd="0" m="1" x="1747"/>
        <item sd="0" m="1" x="3780"/>
        <item m="1" x="5795"/>
        <item m="1" x="7828"/>
        <item m="1" x="1865"/>
        <item m="1" x="3908"/>
        <item m="1" x="5916"/>
        <item m="1" x="7949"/>
        <item m="1" x="1989"/>
        <item m="1" x="4032"/>
        <item m="1" x="6039"/>
        <item m="1" x="104"/>
        <item m="1" x="2111"/>
        <item m="1" x="4152"/>
        <item m="1" x="6162"/>
        <item m="1" x="225"/>
        <item m="1" x="2229"/>
        <item m="1" x="4274"/>
        <item m="1" x="6282"/>
        <item m="1" x="347"/>
        <item m="1" x="2353"/>
        <item m="1" x="4399"/>
        <item m="1" x="6406"/>
        <item m="1" x="470"/>
        <item m="1" x="2480"/>
        <item m="1" x="4522"/>
        <item m="1" x="6528"/>
        <item sd="0" m="1" x="4333"/>
        <item sd="0" m="1" x="6347"/>
        <item sd="0" m="1" x="406"/>
        <item sd="0" m="1" x="2417"/>
        <item m="1" x="4458"/>
        <item m="1" x="6469"/>
        <item m="1" x="529"/>
        <item m="1" x="2541"/>
        <item sd="0" m="1" x="4576"/>
        <item sd="0" m="1" x="6593"/>
        <item sd="0" m="1" x="650"/>
        <item sd="0" m="1" x="2664"/>
        <item sd="0" m="1" x="4695"/>
        <item sd="0" m="1" x="6719"/>
        <item sd="0" m="1" x="771"/>
        <item sd="0" m="1" x="2785"/>
        <item sd="0" m="1" x="4820"/>
        <item sd="0" m="1" x="6841"/>
        <item sd="0" m="1" x="894"/>
        <item sd="0" m="1" x="2909"/>
        <item sd="0" m="1" x="4941"/>
        <item sd="0" m="1" x="6961"/>
        <item sd="0" m="1" x="1016"/>
        <item sd="0" m="1" x="3032"/>
        <item sd="0" m="1" x="5060"/>
        <item m="1" x="7085"/>
        <item m="1" x="1137"/>
        <item m="1" x="3154"/>
        <item m="1" x="5181"/>
        <item m="1" x="7210"/>
        <item sd="0" m="1" x="1257"/>
        <item sd="0" m="1" x="3280"/>
        <item sd="0" m="1" x="5306"/>
        <item sd="0" m="1" x="7333"/>
        <item sd="0" m="1" x="1377"/>
        <item sd="0" m="1" x="3405"/>
        <item sd="0" m="1" x="5428"/>
        <item m="1" x="7454"/>
        <item m="1" x="1500"/>
        <item m="1" x="3526"/>
        <item m="1" x="5547"/>
        <item m="1" x="7577"/>
        <item m="1" x="1625"/>
        <item m="1" x="3653"/>
        <item m="1" x="5670"/>
        <item m="1" x="7702"/>
        <item m="1" x="1743"/>
        <item m="1" x="3776"/>
        <item m="1" x="5790"/>
        <item m="1" x="7824"/>
        <item m="1" x="1860"/>
        <item m="1" x="3904"/>
        <item m="1" x="5912"/>
        <item m="1" x="7946"/>
        <item m="1" x="1984"/>
        <item m="1" x="4029"/>
        <item m="1" x="6034"/>
        <item m="1" x="101"/>
        <item m="1" x="2107"/>
        <item m="1" x="4148"/>
        <item m="1" x="6157"/>
        <item sd="0" m="1" x="923"/>
        <item sd="0" m="1" x="1924"/>
        <item sd="0" m="1" x="2937"/>
        <item sd="0" m="1" x="3963"/>
        <item sd="0" m="1" x="4970"/>
        <item sd="0" m="1" x="5974"/>
        <item sd="0" m="1" x="6988"/>
        <item sd="0" m="1" x="35"/>
        <item sd="0" m="1" x="1043"/>
        <item sd="0" m="1" x="2048"/>
        <item sd="0" m="1" x="3059"/>
        <item sd="0" m="1" x="4087"/>
        <item sd="0" m="1" x="5088"/>
        <item sd="0" m="1" x="6099"/>
        <item sd="0" m="1" x="7113"/>
        <item sd="0" m="1" x="159"/>
        <item sd="0" m="1" x="1166"/>
        <item sd="0" m="1" x="2169"/>
        <item sd="0" m="1" x="3183"/>
        <item sd="0" m="1" x="4207"/>
        <item sd="0" m="1" x="5211"/>
        <item sd="0" m="1" x="6222"/>
        <item sd="0" m="1" x="7238"/>
        <item sd="0" m="1" x="281"/>
        <item sd="0" m="1" x="1286"/>
        <item sd="0" m="1" x="2290"/>
        <item sd="0" m="1" x="3307"/>
        <item sd="0" m="1" x="4330"/>
        <item sd="0" m="1" x="5334"/>
        <item sd="0" m="1" x="6344"/>
        <item sd="0" m="1" x="7359"/>
        <item m="1" x="402"/>
        <item m="1" x="1406"/>
        <item m="1" x="2413"/>
        <item m="1" x="3431"/>
        <item m="1" x="4454"/>
        <item m="1" x="5456"/>
        <item m="1" x="6466"/>
        <item m="1" x="7481"/>
        <item m="1" x="525"/>
        <item m="1" x="1531"/>
        <item sd="0" m="1" x="2538"/>
        <item sd="0" m="1" x="3556"/>
        <item sd="0" m="1" x="4573"/>
        <item sd="0" m="1" x="5578"/>
        <item sd="0" m="1" x="6589"/>
        <item sd="0" m="1" x="7606"/>
        <item sd="0" m="1" x="647"/>
        <item sd="0" m="1" x="1654"/>
        <item sd="0" m="1" x="2660"/>
        <item sd="0" m="1" x="3680"/>
        <item sd="0" m="1" x="4692"/>
        <item sd="0" m="1" x="5698"/>
        <item sd="0" m="1" x="6715"/>
        <item sd="0" m="1" x="7728"/>
        <item sd="0" m="1" x="767"/>
        <item sd="0" m="1" x="1769"/>
        <item sd="0" m="1" x="2781"/>
        <item sd="0" m="1" x="3804"/>
        <item sd="0" m="1" x="4816"/>
        <item sd="0" m="1" x="5818"/>
        <item sd="0" m="1" x="6837"/>
        <item sd="0" m="1" x="7849"/>
        <item sd="0" m="1" x="890"/>
        <item sd="0" m="1" x="1890"/>
        <item sd="0" m="1" x="2904"/>
        <item sd="0" m="1" x="3931"/>
        <item sd="0" m="1" x="4936"/>
        <item sd="0" m="1" x="5940"/>
        <item sd="0" m="1" x="6957"/>
        <item sd="0" m="1" x="7971"/>
        <item sd="0" m="1" x="1011"/>
        <item sd="0" m="1" x="2014"/>
        <item sd="0" m="1" x="3028"/>
        <item m="1" x="4056"/>
        <item m="1" x="5055"/>
        <item m="1" x="6062"/>
        <item m="1" x="7081"/>
        <item m="1" x="127"/>
        <item m="1" x="1132"/>
        <item m="1" x="2133"/>
        <item m="1" x="3150"/>
        <item m="1" x="4175"/>
        <item m="1" x="5177"/>
        <item m="1" x="6186"/>
        <item m="1" x="7207"/>
        <item m="1" x="248"/>
        <item m="1" x="1253"/>
        <item m="1" x="2254"/>
        <item m="1" x="3277"/>
        <item m="1" x="4298"/>
        <item m="1" x="5302"/>
        <item m="1" x="6307"/>
        <item m="1" x="7329"/>
        <item m="1" x="369"/>
        <item m="1" x="1373"/>
        <item m="1" x="2376"/>
        <item m="1" x="3400"/>
        <item m="1" x="4422"/>
        <item m="1" x="5422"/>
        <item m="1" x="6429"/>
        <item m="1" x="7448"/>
        <item m="1" x="492"/>
        <item m="1" x="1494"/>
        <item m="1" x="2503"/>
        <item m="1" x="3522"/>
        <item m="1" x="4543"/>
        <item m="1" x="5543"/>
        <item m="1" x="6554"/>
        <item m="1" x="7573"/>
        <item m="1" x="615"/>
        <item m="1" x="1621"/>
        <item m="1" x="2626"/>
        <item m="1" x="3647"/>
        <item m="1" x="4661"/>
        <item m="1" x="5665"/>
        <item m="1" x="6680"/>
        <item m="1" x="7697"/>
        <item m="1" x="736"/>
        <item m="1" x="1739"/>
        <item m="1" x="2747"/>
        <item m="1" x="3771"/>
        <item m="1" x="4784"/>
        <item sd="0" m="1" x="7508"/>
        <item sd="0" m="1" x="553"/>
        <item sd="0" m="1" x="1562"/>
        <item sd="0" m="1" x="2564"/>
        <item sd="0" m="1" x="3582"/>
        <item sd="0" m="1" x="4599"/>
        <item sd="0" m="1" x="5607"/>
        <item sd="0" m="1" x="6616"/>
        <item sd="0" m="1" x="7634"/>
        <item sd="0" m="1" x="673"/>
        <item sd="0" m="1" x="1683"/>
        <item m="1" x="2685"/>
        <item m="1" x="3708"/>
        <item m="1" x="4721"/>
        <item m="1" x="5728"/>
        <item m="1" x="6741"/>
        <item m="1" x="7756"/>
        <item m="1" x="795"/>
        <item m="1" x="1800"/>
        <item m="1" x="2809"/>
        <item m="1" x="3834"/>
        <item sd="0" m="1" x="4845"/>
        <item sd="0" m="1" x="5849"/>
        <item sd="0" m="1" x="6865"/>
        <item sd="0" m="1" x="7876"/>
        <item sd="0" m="1" x="917"/>
        <item sd="0" m="1" x="1921"/>
        <item sd="0" m="1" x="2931"/>
        <item sd="0" m="1" x="3959"/>
        <item sd="0" m="1" x="4965"/>
        <item sd="0" m="1" x="5971"/>
        <item sd="0" m="1" x="6984"/>
        <item sd="0" m="1" x="32"/>
        <item sd="0" m="1" x="1038"/>
        <item sd="0" m="1" x="2045"/>
        <item sd="0" m="1" x="3054"/>
        <item sd="0" m="1" x="4083"/>
        <item sd="0" m="1" x="5083"/>
        <item sd="0" m="1" x="6095"/>
        <item sd="0" m="1" x="7109"/>
        <item sd="0" m="1" x="156"/>
        <item sd="0" m="1" x="1161"/>
        <item sd="0" m="1" x="2166"/>
        <item sd="0" m="1" x="3177"/>
        <item sd="0" m="1" x="4203"/>
        <item sd="0" m="1" x="5205"/>
        <item sd="0" m="1" x="6219"/>
        <item sd="0" m="1" x="7234"/>
        <item sd="0" m="1" x="278"/>
        <item sd="0" m="1" x="1281"/>
        <item sd="0" m="1" x="2287"/>
        <item sd="0" m="1" x="3302"/>
        <item sd="0" m="1" x="4326"/>
        <item sd="0" m="1" x="5329"/>
        <item m="1" x="6339"/>
        <item m="1" x="7355"/>
        <item m="1" x="397"/>
        <item m="1" x="1401"/>
        <item m="1" x="2408"/>
        <item m="1" x="3426"/>
        <item m="1" x="4450"/>
        <item m="1" x="5451"/>
        <item m="1" x="6462"/>
        <item m="1" x="7477"/>
        <item sd="0" m="1" x="521"/>
        <item sd="0" m="1" x="1526"/>
        <item sd="0" m="1" x="2534"/>
        <item sd="0" m="1" x="3551"/>
        <item sd="0" m="1" x="4569"/>
        <item sd="0" m="1" x="5572"/>
        <item sd="0" m="1" x="6583"/>
        <item sd="0" m="1" x="7602"/>
        <item sd="0" m="1" x="642"/>
        <item sd="0" m="1" x="1649"/>
        <item m="1" x="2655"/>
        <item m="1" x="3675"/>
        <item m="1" x="4687"/>
        <item m="1" x="5693"/>
        <item m="1" x="6709"/>
        <item m="1" x="7724"/>
        <item m="1" x="762"/>
        <item m="1" x="1765"/>
        <item m="1" x="2777"/>
        <item m="1" x="3800"/>
        <item m="1" x="4812"/>
        <item m="1" x="5813"/>
        <item m="1" x="6832"/>
        <item m="1" x="7846"/>
        <item m="1" x="885"/>
        <item m="1" x="1886"/>
        <item m="1" x="2900"/>
        <item m="1" x="3927"/>
        <item m="1" x="4932"/>
        <item m="1" x="5936"/>
        <item m="1" x="6953"/>
        <item m="1" x="7968"/>
        <item m="1" x="1006"/>
        <item m="1" x="2010"/>
        <item m="1" x="3023"/>
        <item m="1" x="4051"/>
        <item m="1" x="5050"/>
        <item m="1" x="6057"/>
        <item m="1" x="7076"/>
        <item m="1" x="123"/>
        <item m="1" x="1127"/>
        <item m="1" x="2130"/>
        <item m="1" x="3146"/>
        <item m="1" x="4171"/>
        <item m="1" x="5173"/>
        <item m="1" x="6183"/>
        <item m="1" x="7203"/>
        <item m="1" x="245"/>
        <item m="1" x="1249"/>
        <item m="1" x="2250"/>
        <item m="1" x="3271"/>
        <item m="1" x="4294"/>
        <item m="1" x="5298"/>
        <item m="1" x="6303"/>
        <item m="1" x="7324"/>
        <item m="1" x="365"/>
        <item m="1" x="1368"/>
        <item m="1" x="2373"/>
        <item m="1" x="6121"/>
        <item sd="0" m="1" x="7138"/>
        <item sd="0" m="1" x="183"/>
        <item sd="0" m="1" x="1192"/>
        <item sd="0" m="1" x="2192"/>
        <item sd="0" m="1" x="3207"/>
        <item sd="0" m="1" x="4230"/>
        <item sd="0" m="1" x="5237"/>
        <item sd="0" m="1" x="6243"/>
        <item sd="0" m="1" x="7262"/>
        <item sd="0" m="1" x="305"/>
        <item sd="0" m="1" x="1311"/>
        <item sd="0" m="1" x="2313"/>
        <item sd="0" m="1" x="3331"/>
        <item sd="0" m="1" x="4354"/>
        <item sd="0" m="1" x="5359"/>
        <item sd="0" m="1" x="6366"/>
        <item sd="0" m="1" x="7382"/>
        <item sd="0" m="1" x="427"/>
        <item sd="0" m="1" x="1433"/>
        <item sd="0" m="1" x="2438"/>
        <item sd="0" m="1" x="3456"/>
        <item sd="0" m="1" x="4479"/>
        <item sd="0" m="1" x="5484"/>
        <item sd="0" m="1" x="6489"/>
        <item sd="0" m="1" x="7505"/>
        <item sd="0" m="1" x="549"/>
        <item sd="0" m="1" x="1559"/>
        <item sd="0" m="1" x="2561"/>
        <item sd="0" m="1" x="3580"/>
        <item sd="0" m="1" x="4595"/>
        <item sd="0" m="1" x="5605"/>
        <item sd="0" m="1" x="6612"/>
        <item sd="0" m="1" x="7631"/>
        <item m="1" x="669"/>
        <item m="1" x="1681"/>
        <item m="1" x="2682"/>
        <item m="1" x="3706"/>
        <item m="1" x="4717"/>
        <item m="1" x="5726"/>
        <item m="1" x="6737"/>
        <item m="1" x="7753"/>
        <item m="1" x="791"/>
        <item m="1" x="1796"/>
        <item sd="0" m="1" x="2805"/>
        <item sd="0" m="1" x="3830"/>
        <item sd="0" m="1" x="4841"/>
        <item sd="0" m="1" x="5847"/>
        <item sd="0" m="1" x="6860"/>
        <item sd="0" m="1" x="7874"/>
        <item sd="0" m="1" x="913"/>
        <item sd="0" m="1" x="1919"/>
        <item sd="0" m="1" x="2928"/>
        <item sd="0" m="1" x="3956"/>
        <item sd="0" m="1" x="4961"/>
        <item sd="0" m="1" x="5968"/>
        <item sd="0" m="1" x="6980"/>
        <item sd="0" m="1" x="7997"/>
        <item sd="0" m="1" x="1034"/>
        <item sd="0" m="1" x="2041"/>
        <item sd="0" m="1" x="3051"/>
        <item sd="0" m="1" x="4080"/>
        <item sd="0" m="1" x="5079"/>
        <item sd="0" m="1" x="6092"/>
        <item sd="0" m="1" x="7105"/>
        <item sd="0" m="1" x="153"/>
        <item sd="0" m="1" x="1157"/>
        <item sd="0" m="1" x="2163"/>
        <item sd="0" m="1" x="3174"/>
        <item sd="0" m="1" x="4199"/>
        <item sd="0" m="1" x="5201"/>
        <item sd="0" m="1" x="6215"/>
        <item sd="0" m="1" x="7230"/>
        <item sd="0" m="1" x="274"/>
        <item m="1" x="1276"/>
        <item m="1" x="2282"/>
        <item m="1" x="3299"/>
        <item m="1" x="4321"/>
        <item m="1" x="5325"/>
        <item m="1" x="6334"/>
        <item m="1" x="7352"/>
        <item m="1" x="394"/>
        <item m="1" x="1398"/>
        <item m="1" x="2405"/>
        <item m="1" x="3424"/>
        <item m="1" x="4447"/>
        <item m="1" x="5448"/>
        <item m="1" x="6459"/>
        <item m="1" x="7474"/>
        <item m="1" x="518"/>
        <item m="1" x="1522"/>
        <item m="1" x="2531"/>
        <item m="1" x="3549"/>
        <item m="1" x="4566"/>
        <item m="1" x="5569"/>
        <item m="1" x="6580"/>
        <item m="1" x="7598"/>
        <item m="1" x="638"/>
        <item m="1" x="1646"/>
        <item m="1" x="2651"/>
        <item m="1" x="3672"/>
        <item m="1" x="4683"/>
        <item m="1" x="5690"/>
        <item m="1" x="6705"/>
        <item m="1" x="7720"/>
        <item m="1" x="758"/>
        <item m="1" x="1761"/>
        <item m="1" x="2773"/>
        <item m="1" x="3796"/>
        <item m="1" x="4807"/>
        <item m="1" x="5810"/>
        <item m="1" x="6828"/>
        <item m="1" x="7842"/>
        <item m="1" x="880"/>
        <item m="1" x="1882"/>
        <item m="1" x="2895"/>
        <item m="1" x="3924"/>
        <item m="1" x="4928"/>
        <item m="1" x="5933"/>
        <item m="1" x="6948"/>
        <item m="1" x="7964"/>
        <item m="1" x="1002"/>
        <item sd="0" m="1" x="4745"/>
        <item sd="0" m="1" x="5751"/>
        <item sd="0" m="1" x="6764"/>
        <item sd="0" m="1" x="7780"/>
        <item sd="0" m="1" x="820"/>
        <item sd="0" m="1" x="1821"/>
        <item sd="0" m="1" x="2832"/>
        <item sd="0" m="1" x="3857"/>
        <item sd="0" m="1" x="4870"/>
        <item sd="0" m="1" x="5872"/>
        <item sd="0" m="1" x="6888"/>
        <item sd="0" m="1" x="7900"/>
        <item sd="0" m="1" x="945"/>
        <item sd="0" m="1" x="1944"/>
        <item m="1" x="2956"/>
        <item m="1" x="3984"/>
        <item m="1" x="4992"/>
        <item m="1" x="5994"/>
        <item m="1" x="7010"/>
        <item m="1" x="57"/>
        <item m="1" x="1068"/>
        <item m="1" x="2068"/>
        <item m="1" x="3082"/>
        <item m="1" x="4107"/>
        <item sd="0" m="1" x="5112"/>
        <item sd="0" m="1" x="6118"/>
        <item sd="0" m="1" x="7136"/>
        <item sd="0" m="1" x="179"/>
        <item sd="0" m="1" x="1190"/>
        <item sd="0" m="1" x="2188"/>
        <item sd="0" m="1" x="3204"/>
        <item sd="0" m="1" x="4226"/>
        <item sd="0" m="1" x="5234"/>
        <item sd="0" m="1" x="6240"/>
        <item sd="0" m="1" x="7259"/>
        <item sd="0" m="1" x="301"/>
        <item sd="0" m="1" x="1309"/>
        <item sd="0" m="1" x="2309"/>
        <item sd="0" m="1" x="3328"/>
        <item sd="0" m="1" x="4350"/>
        <item sd="0" m="1" x="5357"/>
        <item sd="0" m="1" x="6363"/>
        <item sd="0" m="1" x="7380"/>
        <item sd="0" m="1" x="423"/>
        <item sd="0" m="1" x="1431"/>
        <item sd="0" m="1" x="2434"/>
        <item sd="0" m="1" x="3454"/>
        <item sd="0" m="1" x="4475"/>
        <item sd="0" m="1" x="5481"/>
        <item sd="0" m="1" x="6486"/>
        <item sd="0" m="1" x="7503"/>
        <item sd="0" m="1" x="546"/>
        <item sd="0" m="1" x="1556"/>
        <item sd="0" m="1" x="2557"/>
        <item sd="0" m="1" x="3577"/>
        <item sd="0" m="1" x="4591"/>
        <item sd="0" m="1" x="5602"/>
        <item m="1" x="6609"/>
        <item m="1" x="7628"/>
        <item m="1" x="665"/>
        <item m="1" x="1678"/>
        <item m="1" x="2678"/>
        <item m="1" x="3703"/>
        <item m="1" x="4712"/>
        <item m="1" x="5722"/>
        <item m="1" x="6734"/>
        <item m="1" x="7749"/>
        <item sd="0" m="1" x="787"/>
        <item sd="0" m="1" x="1793"/>
        <item sd="0" m="1" x="2800"/>
        <item sd="0" m="1" x="3826"/>
        <item sd="0" m="1" x="4837"/>
        <item sd="0" m="1" x="5843"/>
        <item m="1" x="6857"/>
        <item m="1" x="7870"/>
        <item m="1" x="909"/>
        <item m="1" x="1915"/>
        <item m="1" x="2924"/>
        <item m="1" x="3952"/>
        <item m="1" x="4956"/>
        <item m="1" x="5964"/>
        <item m="1" x="6978"/>
        <item m="1" x="7994"/>
        <item m="1" x="1031"/>
        <item m="1" x="2038"/>
        <item m="1" x="3048"/>
        <item m="1" x="4077"/>
        <item m="1" x="5076"/>
        <item m="1" x="6089"/>
        <item m="1" x="7103"/>
        <item m="1" x="150"/>
        <item m="1" x="1154"/>
        <item m="1" x="2160"/>
        <item m="1" x="3171"/>
        <item m="1" x="4196"/>
        <item m="1" x="5197"/>
        <item m="1" x="6211"/>
        <item m="1" x="7227"/>
        <item m="1" x="269"/>
        <item m="1" x="1273"/>
        <item m="1" x="2277"/>
        <item m="1" x="3295"/>
        <item m="1" x="4317"/>
        <item m="1" x="5322"/>
        <item m="1" x="6330"/>
        <item m="1" x="7349"/>
        <item m="1" x="390"/>
        <item m="1" x="1395"/>
        <item m="1" x="2401"/>
        <item m="1" x="3420"/>
        <item m="1" x="4443"/>
        <item m="1" x="5444"/>
        <item m="1" x="6453"/>
        <item m="1" x="7470"/>
        <item m="1" x="513"/>
        <item m="1" x="1519"/>
        <item m="1" x="2526"/>
        <item m="1" x="3545"/>
        <item m="1" x="4562"/>
        <item m="1" x="5566"/>
        <item m="1" x="6575"/>
        <item m="1" x="7594"/>
        <item m="1" x="2334"/>
        <item m="1" x="3355"/>
        <item m="1" x="4379"/>
        <item m="1" x="5381"/>
        <item m="1" x="6387"/>
        <item m="1" x="7404"/>
        <item sd="0" m="1" x="449"/>
        <item sd="0" m="1" x="1454"/>
        <item sd="0" m="1" x="2460"/>
        <item sd="0" m="1" x="3478"/>
        <item sd="0" m="1" x="4502"/>
        <item sd="0" m="1" x="5504"/>
        <item m="1" x="6511"/>
        <item m="1" x="7530"/>
        <item sd="0" m="1" x="574"/>
        <item sd="0" m="1" x="1580"/>
        <item sd="0" m="1" x="2584"/>
        <item sd="0" m="1" x="3603"/>
        <item sd="0" m="1" x="4620"/>
        <item sd="0" m="1" x="5626"/>
        <item m="1" x="6637"/>
        <item m="1" x="7654"/>
        <item sd="0" m="1" x="694"/>
        <item sd="0" m="1" x="1702"/>
        <item sd="0" m="1" x="2704"/>
        <item sd="0" m="1" x="3728"/>
        <item sd="0" m="1" x="4742"/>
        <item sd="0" m="1" x="5746"/>
        <item m="1" x="6760"/>
        <item m="1" x="7775"/>
        <item sd="0" m="1" x="817"/>
        <item sd="0" m="1" x="1817"/>
        <item sd="0" m="1" x="2829"/>
        <item sd="0" m="1" x="3852"/>
        <item sd="0" m="1" x="4867"/>
        <item m="1" x="5867"/>
        <item m="1" x="6884"/>
        <item m="1" x="7895"/>
        <item m="1" x="941"/>
        <item m="1" x="1940"/>
        <item m="1" x="2953"/>
        <item m="1" x="3979"/>
        <item m="1" x="4989"/>
        <item m="1" x="5989"/>
        <item m="1" x="7007"/>
        <item m="1" x="52"/>
        <item m="1" x="1065"/>
        <item m="1" x="2064"/>
        <item m="1" x="3079"/>
        <item m="1" x="4102"/>
        <item m="1" x="5109"/>
        <item m="1" x="6113"/>
        <item m="1" x="7132"/>
        <item m="1" x="174"/>
        <item m="1" x="1185"/>
        <item m="1" x="2184"/>
        <item m="1" x="3199"/>
        <item m="1" x="4221"/>
        <item m="1" x="5229"/>
        <item m="1" x="6235"/>
        <item m="1" x="7255"/>
        <item m="1" x="296"/>
        <item m="1" x="1305"/>
        <item m="1" x="2305"/>
        <item m="1" x="3324"/>
        <item m="1" x="4345"/>
        <item m="1" x="5353"/>
        <item m="1" x="6358"/>
        <item m="1" x="7376"/>
        <item m="1" x="417"/>
        <item m="1" x="1425"/>
        <item m="1" x="2430"/>
        <item m="1" x="3449"/>
        <item m="1" x="4470"/>
        <item m="1" x="5476"/>
        <item m="1" x="6481"/>
        <item m="1" x="7498"/>
        <item m="1" x="541"/>
        <item m="1" x="1550"/>
        <item m="1" x="2553"/>
        <item m="1" x="3572"/>
        <item m="1" x="4587"/>
        <item m="1" x="5598"/>
        <item m="1" x="6605"/>
        <item m="1" x="7624"/>
        <item m="1" x="660"/>
        <item m="1" x="1673"/>
        <item m="1" x="2675"/>
        <item m="1" x="3698"/>
        <item m="1" x="4708"/>
        <item m="1" x="5718"/>
        <item m="1" x="6730"/>
        <item m="1" x="7745"/>
        <item m="1" x="783"/>
        <item m="1" x="1789"/>
        <item m="1" x="2797"/>
        <item m="1" x="3821"/>
        <item m="1" x="4833"/>
        <item m="1" x="5838"/>
        <item m="1" x="6852"/>
        <item m="1" x="7865"/>
        <item m="1" x="904"/>
        <item m="1" x="1910"/>
        <item m="1" x="2920"/>
        <item m="1" x="3947"/>
        <item m="1" x="4952"/>
        <item m="1" x="5959"/>
        <item m="1" x="6973"/>
        <item m="1" x="7989"/>
        <item m="1" x="1027"/>
        <item m="1" x="2033"/>
        <item m="1" x="3044"/>
        <item m="1" x="4072"/>
        <item m="1" x="5071"/>
        <item m="1" x="6082"/>
        <item m="1" x="7097"/>
        <item m="1" x="145"/>
        <item m="1" x="1149"/>
        <item m="1" x="2154"/>
        <item m="1" x="3166"/>
        <item m="1" x="4190"/>
        <item m="1" x="5193"/>
        <item sd="0" m="1" x="965"/>
        <item sd="0" m="1" x="1965"/>
        <item sd="0" m="1" x="2979"/>
        <item sd="0" m="1" x="4008"/>
        <item sd="0" m="1" x="5013"/>
        <item sd="0" m="1" x="6015"/>
        <item m="1" x="7030"/>
        <item sd="0" m="1" x="80"/>
        <item sd="0" m="1" x="1088"/>
        <item sd="0" m="1" x="2089"/>
        <item sd="0" m="1" x="3103"/>
        <item sd="0" m="1" x="4128"/>
        <item sd="0" m="1" x="5133"/>
        <item sd="0" m="1" x="6139"/>
        <item m="1" x="7158"/>
        <item sd="0" m="1" x="202"/>
        <item sd="0" m="1" x="1209"/>
        <item sd="0" m="1" x="2209"/>
        <item m="1" x="3227"/>
        <item m="1" x="4251"/>
        <item m="1" x="5256"/>
        <item m="1" x="6262"/>
        <item m="1" x="7280"/>
        <item m="1" x="326"/>
        <item m="1" x="1329"/>
        <item m="1" x="2331"/>
        <item m="1" x="3350"/>
        <item sd="0" m="1" x="4375"/>
        <item sd="0" m="1" x="5377"/>
        <item m="1" x="6384"/>
        <item m="1" x="7399"/>
        <item sd="0" m="1" x="446"/>
        <item sd="0" m="1" x="1449"/>
        <item sd="0" m="1" x="2456"/>
        <item sd="0" m="1" x="3473"/>
        <item m="1" x="4499"/>
        <item m="1" x="5500"/>
        <item m="1" x="6508"/>
        <item m="1" x="7525"/>
        <item m="1" x="571"/>
        <item m="1" x="1575"/>
        <item m="1" x="2580"/>
        <item m="1" x="3598"/>
        <item m="1" x="4616"/>
        <item m="1" x="5622"/>
        <item m="1" x="6633"/>
        <item m="1" x="7649"/>
        <item m="1" x="691"/>
        <item m="1" x="1697"/>
        <item m="1" x="2701"/>
        <item m="1" x="3723"/>
        <item m="1" x="4739"/>
        <item m="1" x="5742"/>
        <item m="1" x="6756"/>
        <item m="1" x="7770"/>
        <item m="1" x="813"/>
        <item m="1" x="1812"/>
        <item m="1" x="2825"/>
        <item m="1" x="3847"/>
        <item m="1" x="4862"/>
        <item m="1" x="5863"/>
        <item m="1" x="6880"/>
        <item m="1" x="7890"/>
        <item m="1" x="937"/>
        <item m="1" x="1935"/>
        <item m="1" x="2949"/>
        <item m="1" x="3974"/>
        <item m="1" x="4985"/>
        <item m="1" x="5985"/>
        <item m="1" x="7002"/>
        <item m="1" x="47"/>
        <item m="1" x="1060"/>
        <item m="1" x="2059"/>
        <item m="1" x="3074"/>
        <item m="1" x="4096"/>
        <item m="1" x="5103"/>
        <item m="1" x="6109"/>
        <item m="1" x="7126"/>
        <item m="1" x="169"/>
        <item m="1" x="1180"/>
        <item m="1" x="2180"/>
        <item m="1" x="3195"/>
        <item m="1" x="4217"/>
        <item m="1" x="5225"/>
        <item m="1" x="6232"/>
        <item m="1" x="7251"/>
        <item m="1" x="292"/>
        <item m="1" x="1301"/>
        <item m="1" x="2301"/>
        <item m="1" x="3320"/>
        <item m="1" x="4340"/>
        <item m="1" x="5349"/>
        <item m="1" x="6355"/>
        <item m="1" x="7372"/>
        <item m="1" x="413"/>
        <item m="1" x="1421"/>
        <item m="1" x="2425"/>
        <item m="1" x="3444"/>
        <item m="1" x="4466"/>
        <item m="1" x="5471"/>
        <item m="1" x="6477"/>
        <item m="1" x="7493"/>
        <item m="1" x="537"/>
        <item m="1" x="1545"/>
        <item m="1" x="2548"/>
        <item m="1" x="3567"/>
        <item m="1" x="4582"/>
        <item m="1" x="5593"/>
        <item m="1" x="6600"/>
        <item m="1" x="7618"/>
        <item m="1" x="656"/>
        <item m="1" x="1668"/>
        <item m="1" x="2670"/>
        <item m="1" x="3692"/>
        <item m="1" x="4703"/>
        <item m="1" x="5712"/>
        <item m="1" x="6726"/>
        <item m="1" x="7740"/>
        <item m="1" x="779"/>
        <item m="1" x="1783"/>
        <item m="1" x="2792"/>
        <item m="1" x="3816"/>
        <item m="1" x="7551"/>
        <item m="1" x="598"/>
        <item m="1" x="1602"/>
        <item m="1" x="2606"/>
        <item m="1" x="3625"/>
        <item m="1" x="4641"/>
        <item m="1" x="5646"/>
        <item m="1" x="6658"/>
        <item m="1" x="7676"/>
        <item sd="0" m="1" x="716"/>
        <item sd="0" m="1" x="1722"/>
        <item sd="0" m="1" x="2726"/>
        <item sd="0" m="1" x="3752"/>
        <item sd="0" m="1" x="4765"/>
        <item sd="0" m="1" x="5768"/>
        <item m="1" x="6783"/>
        <item m="1" x="7800"/>
        <item sd="0" m="1" x="840"/>
        <item sd="0" m="1" x="1840"/>
        <item sd="0" m="1" x="2851"/>
        <item sd="0" m="1" x="3880"/>
        <item sd="0" m="1" x="4889"/>
        <item sd="0" m="1" x="5891"/>
        <item m="1" x="6906"/>
        <item m="1" x="7921"/>
        <item sd="0" m="1" x="962"/>
        <item sd="0" m="1" x="1962"/>
        <item sd="0" m="1" x="2974"/>
        <item sd="0" m="1" x="4005"/>
        <item sd="0" m="1" x="5008"/>
        <item sd="0" m="1" x="6011"/>
        <item m="1" x="7025"/>
        <item sd="0" m="1" x="76"/>
        <item sd="0" m="1" x="1084"/>
        <item sd="0" m="1" x="2085"/>
        <item m="1" x="3098"/>
        <item m="1" x="4125"/>
        <item m="1" x="5128"/>
        <item m="1" x="6135"/>
        <item m="1" x="7153"/>
        <item m="1" x="199"/>
        <item m="1" x="1205"/>
        <item m="1" x="2206"/>
        <item m="1" x="3222"/>
        <item m="1" x="4248"/>
        <item m="1" x="5251"/>
        <item m="1" x="6259"/>
        <item m="1" x="7275"/>
        <item m="1" x="322"/>
        <item m="1" x="1325"/>
        <item m="1" x="2328"/>
        <item m="1" x="3345"/>
        <item m="1" x="4371"/>
        <item m="1" x="5372"/>
        <item m="1" x="6381"/>
        <item m="1" x="7395"/>
        <item m="1" x="443"/>
        <item m="1" x="1446"/>
        <item m="1" x="2453"/>
        <item m="1" x="3469"/>
        <item m="1" x="4496"/>
        <item m="1" x="5496"/>
        <item m="1" x="6505"/>
        <item m="1" x="7520"/>
        <item m="1" x="567"/>
        <item m="1" x="1572"/>
        <item m="1" x="2576"/>
        <item m="1" x="3594"/>
        <item m="1" x="4613"/>
        <item m="1" x="5618"/>
        <item m="1" x="6629"/>
        <item m="1" x="7645"/>
        <item m="1" x="687"/>
        <item m="1" x="1694"/>
        <item m="1" x="2697"/>
        <item m="1" x="3719"/>
        <item m="1" x="4735"/>
        <item m="1" x="5738"/>
        <item m="1" x="6753"/>
        <item m="1" x="7766"/>
        <item m="1" x="809"/>
        <item m="1" x="1810"/>
        <item m="1" x="2822"/>
        <item m="1" x="3844"/>
        <item m="1" x="4859"/>
        <item m="1" x="5860"/>
        <item m="1" x="6877"/>
        <item m="1" x="7887"/>
        <item m="1" x="934"/>
        <item m="1" x="1933"/>
        <item m="1" x="2946"/>
        <item m="1" x="3971"/>
        <item m="1" x="4982"/>
        <item m="1" x="5982"/>
        <item m="1" x="6999"/>
        <item m="1" x="43"/>
        <item m="1" x="1056"/>
        <item m="1" x="2056"/>
        <item m="1" x="3069"/>
        <item m="1" x="4093"/>
        <item m="1" x="5098"/>
        <item m="1" x="6105"/>
        <item m="1" x="7121"/>
        <item m="1" x="166"/>
        <item m="1" x="1176"/>
        <item m="1" x="2177"/>
        <item m="1" x="3191"/>
        <item m="1" x="4214"/>
        <item m="1" x="5221"/>
        <item m="1" x="6228"/>
        <item m="1" x="7247"/>
        <item m="1" x="288"/>
        <item m="1" x="1296"/>
        <item m="1" x="2297"/>
        <item m="1" x="3315"/>
        <item m="1" x="4337"/>
        <item m="1" x="5344"/>
        <item m="1" x="6351"/>
        <item m="1" x="7368"/>
        <item m="1" x="410"/>
        <item m="1" x="1416"/>
        <item m="1" x="2421"/>
        <item m="1" x="6163"/>
        <item m="1" x="7182"/>
        <item sd="0" m="1" x="226"/>
        <item sd="0" m="1" x="1229"/>
        <item sd="0" m="1" x="2230"/>
        <item sd="0" m="1" x="3248"/>
        <item sd="0" m="1" x="4275"/>
        <item sd="0" m="1" x="5277"/>
        <item m="1" x="6283"/>
        <item m="1" x="7302"/>
        <item sd="0" m="1" x="348"/>
        <item sd="0" m="1" x="1350"/>
        <item sd="0" m="1" x="2354"/>
        <item sd="0" m="1" x="3375"/>
        <item sd="0" m="1" x="4400"/>
        <item sd="0" m="1" x="5400"/>
        <item m="1" x="6407"/>
        <item m="1" x="7424"/>
        <item sd="0" m="1" x="471"/>
        <item sd="0" m="1" x="1474"/>
        <item sd="0" m="1" x="2481"/>
        <item m="1" x="3498"/>
        <item m="1" x="4523"/>
        <item m="1" x="5521"/>
        <item m="1" x="6529"/>
        <item m="1" x="7549"/>
        <item m="1" x="592"/>
        <item m="1" x="1598"/>
        <item m="1" x="2601"/>
        <item m="1" x="3622"/>
        <item sd="0" m="1" x="4637"/>
        <item sd="0" m="1" x="5643"/>
        <item m="1" x="6653"/>
        <item m="1" x="7673"/>
        <item sd="0" m="1" x="711"/>
        <item m="1" x="1718"/>
        <item m="1" x="2721"/>
        <item m="1" x="3748"/>
        <item m="1" x="4761"/>
        <item m="1" x="5765"/>
        <item m="1" x="6778"/>
        <item m="1" x="7797"/>
        <item m="1" x="835"/>
        <item m="1" x="1837"/>
        <item m="1" x="2846"/>
        <item m="1" x="3877"/>
        <item m="1" x="4885"/>
        <item m="1" x="5888"/>
        <item m="1" x="6901"/>
        <item m="1" x="7918"/>
        <item m="1" x="957"/>
        <item m="1" x="1959"/>
        <item m="1" x="2969"/>
        <item m="1" x="4000"/>
        <item m="1" x="5005"/>
        <item m="1" x="6007"/>
        <item m="1" x="7021"/>
        <item m="1" x="72"/>
        <item m="1" x="1080"/>
        <item m="1" x="2082"/>
        <item m="1" x="3094"/>
        <item m="1" x="4122"/>
        <item m="1" x="5125"/>
        <item m="1" x="6132"/>
        <item m="1" x="7149"/>
        <item m="1" x="196"/>
        <item m="1" x="1201"/>
        <item m="1" x="2203"/>
        <item m="1" x="3217"/>
        <item m="1" x="4243"/>
        <item m="1" x="5248"/>
        <item m="1" x="6255"/>
        <item m="1" x="7271"/>
        <item m="1" x="318"/>
        <item m="1" x="1321"/>
        <item m="1" x="2324"/>
        <item m="1" x="3341"/>
        <item m="1" x="4367"/>
        <item m="1" x="5370"/>
        <item m="1" x="6378"/>
        <item m="1" x="7392"/>
        <item m="1" x="440"/>
        <item m="1" x="1443"/>
        <item m="1" x="2450"/>
        <item m="1" x="3465"/>
        <item m="1" x="4492"/>
        <item m="1" x="5494"/>
        <item m="1" x="6501"/>
        <item m="1" x="7517"/>
        <item m="1" x="564"/>
        <item m="1" x="1569"/>
        <item m="1" x="2573"/>
        <item m="1" x="3590"/>
        <item m="1" x="4610"/>
        <item m="1" x="5616"/>
        <item m="1" x="6625"/>
        <item m="1" x="7642"/>
        <item m="1" x="683"/>
        <item m="1" x="1690"/>
        <item m="1" x="2693"/>
        <item m="1" x="3715"/>
        <item m="1" x="4731"/>
        <item m="1" x="5735"/>
        <item m="1" x="6749"/>
        <item m="1" x="7763"/>
        <item m="1" x="805"/>
        <item m="1" x="1806"/>
        <item m="1" x="2818"/>
        <item m="1" x="3841"/>
        <item m="1" x="4855"/>
        <item m="1" x="5857"/>
        <item m="1" x="6873"/>
        <item m="1" x="7884"/>
        <item m="1" x="929"/>
        <item m="1" x="1929"/>
        <item m="1" x="2942"/>
        <item m="1" x="3967"/>
        <item m="1" x="4977"/>
        <item m="1" x="5978"/>
        <item m="1" x="6994"/>
        <item m="1" x="40"/>
        <item m="1" x="1049"/>
        <item sd="0" m="1" x="3777"/>
        <item m="1" x="4788"/>
        <item m="1" x="5791"/>
        <item m="1" x="6807"/>
        <item m="1" x="7825"/>
        <item m="1" x="861"/>
        <item m="1" x="1861"/>
        <item m="1" x="2874"/>
        <item m="1" x="3905"/>
        <item m="1" x="4910"/>
        <item m="1" x="5913"/>
        <item m="1" x="6928"/>
        <item m="1" x="7947"/>
        <item sd="0" m="1" x="984"/>
        <item sd="0" m="1" x="1985"/>
        <item sd="0" m="1" x="2998"/>
        <item sd="0" m="1" x="4030"/>
        <item sd="0" m="1" x="5030"/>
        <item sd="0" m="1" x="6035"/>
        <item m="1" x="7051"/>
        <item sd="0" m="1" x="102"/>
        <item sd="0" m="1" x="1107"/>
        <item sd="0" m="1" x="2108"/>
        <item sd="0" m="1" x="3123"/>
        <item sd="0" m="1" x="4149"/>
        <item sd="0" m="1" x="5150"/>
        <item m="1" x="6158"/>
        <item m="1" x="7178"/>
        <item sd="0" m="1" x="222"/>
        <item sd="0" m="1" x="1226"/>
        <item sd="0" m="1" x="2225"/>
        <item sd="0" m="1" x="3245"/>
        <item sd="0" m="1" x="4270"/>
        <item sd="0" m="1" x="5273"/>
        <item m="1" x="6278"/>
        <item m="1" x="7299"/>
        <item m="1" x="344"/>
        <item m="1" x="1347"/>
        <item m="1" x="2349"/>
        <item m="1" x="3372"/>
        <item m="1" x="4395"/>
        <item m="1" x="5396"/>
        <item m="1" x="6402"/>
        <item m="1" x="7420"/>
        <item m="1" x="467"/>
        <item m="1" x="1470"/>
        <item m="1" x="2476"/>
        <item m="1" x="3495"/>
        <item m="1" x="4517"/>
        <item m="1" x="5518"/>
        <item m="1" x="6524"/>
        <item m="1" x="7546"/>
        <item m="1" x="588"/>
        <item m="1" x="1594"/>
        <item m="1" x="2596"/>
        <item m="1" x="3619"/>
        <item m="1" x="4633"/>
        <item m="1" x="5640"/>
        <item m="1" x="6649"/>
        <item m="1" x="7669"/>
        <item m="1" x="708"/>
        <item m="1" x="1715"/>
        <item m="1" x="2717"/>
        <item m="1" x="3745"/>
        <item m="1" x="4757"/>
        <item m="1" x="5762"/>
        <item m="1" x="6774"/>
        <item m="1" x="7794"/>
        <item m="1" x="832"/>
        <item m="1" x="1833"/>
        <item m="1" x="2842"/>
        <item m="1" x="3873"/>
        <item m="1" x="4881"/>
        <item m="1" x="5884"/>
        <item m="1" x="6896"/>
        <item m="1" x="7913"/>
        <item m="1" x="954"/>
        <item m="1" x="1954"/>
        <item m="1" x="2965"/>
        <item m="1" x="3996"/>
        <item m="1" x="5002"/>
        <item m="1" x="6004"/>
        <item m="1" x="7018"/>
        <item m="1" x="69"/>
        <item m="1" x="1078"/>
        <item m="1" x="2079"/>
        <item m="1" x="3091"/>
        <item m="1" x="4119"/>
        <item m="1" x="5122"/>
        <item m="1" x="6129"/>
        <item m="1" x="7145"/>
        <item m="1" x="193"/>
        <item m="1" x="1199"/>
        <item m="1" x="2200"/>
        <item m="1" x="3214"/>
        <item m="1" x="4240"/>
        <item m="1" x="5244"/>
        <item m="1" x="6251"/>
        <item m="1" x="7268"/>
        <item m="1" x="314"/>
        <item m="1" x="1318"/>
        <item m="1" x="2320"/>
        <item m="1" x="3338"/>
        <item m="1" x="4363"/>
        <item m="1" x="5366"/>
        <item m="1" x="6374"/>
        <item m="1" x="7388"/>
        <item m="1" x="436"/>
        <item m="1" x="1439"/>
        <item m="1" x="2445"/>
        <item m="1" x="3462"/>
        <item m="1" x="4488"/>
        <item m="1" x="5490"/>
        <item m="1" x="6497"/>
        <item m="1" x="7512"/>
        <item m="1" x="559"/>
        <item m="1" x="1566"/>
        <item m="1" x="2569"/>
        <item m="1" x="3587"/>
        <item m="1" x="4605"/>
        <item m="1" x="5612"/>
        <item m="1" x="6621"/>
        <item sd="0" m="1" x="2377"/>
        <item sd="0" m="1" x="3401"/>
        <item sd="0" m="1" x="4423"/>
        <item sd="0" m="1" x="5423"/>
        <item m="1" x="6430"/>
        <item m="1" x="7449"/>
        <item sd="0" m="1" x="493"/>
        <item sd="0" m="1" x="1495"/>
        <item sd="0" m="1" x="2504"/>
        <item sd="0" m="1" x="3523"/>
        <item sd="0" m="1" x="4544"/>
        <item sd="0" m="1" x="5544"/>
        <item m="1" x="6555"/>
        <item m="1" x="7574"/>
        <item sd="0" m="1" x="616"/>
        <item sd="0" m="1" x="1622"/>
        <item sd="0" m="1" x="2627"/>
        <item sd="0" m="1" x="3648"/>
        <item sd="0" m="1" x="4662"/>
        <item sd="0" m="1" x="5666"/>
        <item m="1" x="6681"/>
        <item m="1" x="7698"/>
        <item sd="0" m="1" x="737"/>
        <item sd="0" m="1" x="1740"/>
        <item m="1" x="2748"/>
        <item m="1" x="3772"/>
        <item m="1" x="4785"/>
        <item m="1" x="5786"/>
        <item m="1" x="6804"/>
        <item m="1" x="7819"/>
        <item m="1" x="857"/>
        <item m="1" x="1856"/>
        <item m="1" x="2870"/>
        <item m="1" x="3899"/>
        <item sd="0" m="1" x="4906"/>
        <item m="1" x="5908"/>
        <item m="1" x="6925"/>
        <item m="1" x="7941"/>
        <item m="1" x="980"/>
        <item m="1" x="1980"/>
        <item m="1" x="2995"/>
        <item m="1" x="4024"/>
        <item m="1" x="5027"/>
        <item m="1" x="6030"/>
        <item m="1" x="7048"/>
        <item m="1" x="96"/>
        <item m="1" x="1104"/>
        <item m="1" x="2103"/>
        <item m="1" x="3119"/>
        <item m="1" x="4143"/>
        <item m="1" x="5147"/>
        <item m="1" x="6153"/>
        <item m="1" x="7174"/>
        <item m="1" x="216"/>
        <item m="1" x="1223"/>
        <item m="1" x="2221"/>
        <item m="1" x="3242"/>
        <item m="1" x="4265"/>
        <item m="1" x="5270"/>
        <item m="1" x="6274"/>
        <item m="1" x="7296"/>
        <item m="1" x="339"/>
        <item m="1" x="1344"/>
        <item m="1" x="2344"/>
        <item m="1" x="3368"/>
        <item m="1" x="4390"/>
        <item m="1" x="5392"/>
        <item m="1" x="6398"/>
        <item m="1" x="7417"/>
        <item m="1" x="461"/>
        <item m="1" x="1466"/>
        <item m="1" x="2471"/>
        <item m="1" x="3491"/>
        <item m="1" x="4512"/>
        <item m="1" x="5514"/>
        <item m="1" x="6520"/>
        <item m="1" x="7542"/>
        <item m="1" x="583"/>
        <item m="1" x="1590"/>
        <item m="1" x="2592"/>
        <item m="1" x="3615"/>
        <item m="1" x="4629"/>
        <item m="1" x="5637"/>
        <item m="1" x="6646"/>
        <item m="1" x="7666"/>
        <item m="1" x="704"/>
        <item m="1" x="1712"/>
        <item m="1" x="2713"/>
        <item m="1" x="3742"/>
        <item m="1" x="4753"/>
        <item m="1" x="5759"/>
        <item m="1" x="6771"/>
        <item m="1" x="7791"/>
        <item m="1" x="828"/>
        <item m="1" x="1830"/>
        <item m="1" x="2839"/>
        <item m="1" x="3869"/>
        <item m="1" x="4877"/>
        <item m="1" x="5879"/>
        <item m="1" x="6893"/>
        <item m="1" x="7908"/>
        <item m="1" x="950"/>
        <item m="1" x="1950"/>
        <item m="1" x="2961"/>
        <item m="1" x="3992"/>
        <item m="1" x="4998"/>
        <item m="1" x="6000"/>
        <item m="1" x="7015"/>
        <item m="1" x="65"/>
        <item m="1" x="1074"/>
        <item m="1" x="2075"/>
        <item m="1" x="3087"/>
        <item m="1" x="4115"/>
        <item m="1" x="5117"/>
        <item m="1" x="6125"/>
        <item m="1" x="7142"/>
        <item m="1" x="188"/>
        <item m="1" x="1195"/>
        <item m="1" x="2196"/>
        <item m="1" x="3210"/>
        <item m="1" x="4235"/>
        <item m="1" x="5240"/>
        <item sd="0" m="1" x="1007"/>
        <item sd="0" m="1" x="2011"/>
        <item sd="0" m="1" x="3024"/>
        <item sd="0" m="1" x="4052"/>
        <item m="1" x="5051"/>
        <item m="1" x="6058"/>
        <item m="1" x="7077"/>
        <item m="1" x="124"/>
        <item m="1" x="1128"/>
        <item m="1" x="2131"/>
        <item m="1" x="3147"/>
        <item m="1" x="4172"/>
        <item m="1" x="5174"/>
        <item m="1" x="6184"/>
        <item m="1" x="7204"/>
        <item sd="0" m="1" x="246"/>
        <item sd="0" m="1" x="1250"/>
        <item sd="0" m="1" x="2251"/>
        <item sd="0" m="1" x="3272"/>
        <item sd="0" m="1" x="4295"/>
        <item sd="0" m="1" x="5299"/>
        <item m="1" x="6304"/>
        <item m="1" x="7325"/>
        <item sd="0" m="1" x="366"/>
        <item sd="0" m="1" x="1369"/>
        <item sd="0" m="1" x="2374"/>
        <item sd="0" m="1" x="3394"/>
        <item sd="0" m="1" x="4418"/>
        <item sd="0" m="1" x="5417"/>
        <item m="1" x="6426"/>
        <item m="1" x="7443"/>
        <item sd="0" m="1" x="489"/>
        <item sd="0" m="1" x="1490"/>
        <item sd="0" m="1" x="2500"/>
        <item sd="0" m="1" x="3517"/>
        <item m="1" x="4539"/>
        <item m="1" x="5539"/>
        <item m="1" x="6550"/>
        <item m="1" x="7568"/>
        <item m="1" x="612"/>
        <item m="1" x="1617"/>
        <item m="1" x="2623"/>
        <item m="1" x="3642"/>
        <item m="1" x="4658"/>
        <item m="1" x="5661"/>
        <item m="1" x="6677"/>
        <item m="1" x="7692"/>
        <item m="1" x="733"/>
        <item m="1" x="1735"/>
        <item m="1" x="2744"/>
        <item m="1" x="3766"/>
        <item m="1" x="4781"/>
        <item m="1" x="5781"/>
        <item m="1" x="6799"/>
        <item m="1" x="7814"/>
        <item m="1" x="853"/>
        <item m="1" x="1852"/>
        <item m="1" x="2866"/>
        <item m="1" x="3894"/>
        <item m="1" x="4903"/>
        <item m="1" x="5903"/>
        <item m="1" x="6922"/>
        <item m="1" x="7936"/>
        <item m="1" x="977"/>
        <item m="1" x="1976"/>
        <item m="1" x="2992"/>
        <item m="1" x="4019"/>
        <item m="1" x="5024"/>
        <item m="1" x="6025"/>
        <item m="1" x="7043"/>
        <item m="1" x="91"/>
        <item m="1" x="1100"/>
        <item m="1" x="2099"/>
        <item m="1" x="3115"/>
        <item m="1" x="4138"/>
        <item m="1" x="5143"/>
        <item m="1" x="6148"/>
        <item m="1" x="7170"/>
        <item m="1" x="212"/>
        <item m="1" x="1220"/>
        <item m="1" x="2218"/>
        <item m="1" x="3239"/>
        <item m="1" x="4261"/>
        <item m="1" x="5267"/>
        <item m="1" x="6270"/>
        <item m="1" x="7292"/>
        <item m="1" x="335"/>
        <item m="1" x="1340"/>
        <item m="1" x="2341"/>
        <item m="1" x="3365"/>
        <item m="1" x="4386"/>
        <item m="1" x="5389"/>
        <item m="1" x="6394"/>
        <item m="1" x="7414"/>
        <item m="1" x="457"/>
        <item m="1" x="1462"/>
        <item m="1" x="2468"/>
        <item m="1" x="3487"/>
        <item m="1" x="4508"/>
        <item m="1" x="5510"/>
        <item m="1" x="6516"/>
        <item m="1" x="7538"/>
        <item m="1" x="579"/>
        <item m="1" x="1586"/>
        <item m="1" x="2589"/>
        <item m="1" x="3611"/>
        <item m="1" x="4625"/>
        <item m="1" x="5633"/>
        <item m="1" x="6642"/>
        <item m="1" x="7662"/>
        <item m="1" x="700"/>
        <item m="1" x="1708"/>
        <item m="1" x="2710"/>
        <item m="1" x="3737"/>
        <item m="1" x="4749"/>
        <item m="1" x="5755"/>
        <item m="1" x="6767"/>
        <item m="1" x="7786"/>
        <item m="1" x="823"/>
        <item m="1" x="1825"/>
        <item m="1" x="2836"/>
        <item m="1" x="3862"/>
        <item m="1" x="7599"/>
        <item sd="0" m="1" x="639"/>
        <item sd="0" m="1" x="1647"/>
        <item sd="0" m="1" x="2652"/>
        <item sd="0" m="1" x="3673"/>
        <item sd="0" m="1" x="4684"/>
        <item sd="0" m="1" x="5691"/>
        <item m="1" x="6706"/>
        <item m="1" x="7721"/>
        <item sd="0" m="1" x="759"/>
        <item sd="0" m="1" x="1762"/>
        <item sd="0" m="1" x="2774"/>
        <item sd="0" m="1" x="3797"/>
        <item sd="0" m="1" x="4808"/>
        <item sd="0" m="1" x="5811"/>
        <item m="1" x="6829"/>
        <item m="1" x="7843"/>
        <item sd="0" m="1" x="881"/>
        <item sd="0" m="1" x="1883"/>
        <item sd="0" m="1" x="2896"/>
        <item sd="0" m="1" x="3925"/>
        <item sd="0" m="1" x="4929"/>
        <item sd="0" m="1" x="5934"/>
        <item m="1" x="6949"/>
        <item m="1" x="7965"/>
        <item sd="0" m="1" x="1003"/>
        <item sd="0" m="1" x="2006"/>
        <item m="1" x="3018"/>
        <item m="1" x="4048"/>
        <item m="1" x="5046"/>
        <item m="1" x="6054"/>
        <item m="1" x="7071"/>
        <item m="1" x="119"/>
        <item m="1" x="1123"/>
        <item m="1" x="2127"/>
        <item m="1" x="3141"/>
        <item m="1" x="4168"/>
        <item m="1" x="5169"/>
        <item m="1" x="6180"/>
        <item m="1" x="7198"/>
        <item m="1" x="241"/>
        <item m="1" x="1245"/>
        <item m="1" x="2246"/>
        <item m="1" x="3266"/>
        <item m="1" x="4290"/>
        <item m="1" x="5294"/>
        <item m="1" x="6300"/>
        <item m="1" x="7318"/>
        <item m="1" x="362"/>
        <item m="1" x="1363"/>
        <item m="1" x="2370"/>
        <item m="1" x="3389"/>
        <item m="1" x="4414"/>
        <item m="1" x="5412"/>
        <item m="1" x="6423"/>
        <item m="1" x="7438"/>
        <item m="1" x="486"/>
        <item m="1" x="1486"/>
        <item m="1" x="2496"/>
        <item m="1" x="3512"/>
        <item m="1" x="4536"/>
        <item m="1" x="5535"/>
        <item m="1" x="6547"/>
        <item m="1" x="7563"/>
        <item m="1" x="609"/>
        <item m="1" x="1612"/>
        <item m="1" x="2620"/>
        <item m="1" x="3637"/>
        <item m="1" x="4654"/>
        <item m="1" x="5657"/>
        <item m="1" x="6673"/>
        <item m="1" x="7687"/>
        <item m="1" x="729"/>
        <item m="1" x="1730"/>
        <item m="1" x="2739"/>
        <item m="1" x="3761"/>
        <item m="1" x="4776"/>
        <item m="1" x="5777"/>
        <item m="1" x="6795"/>
        <item m="1" x="7810"/>
        <item m="1" x="850"/>
        <item m="1" x="1848"/>
        <item m="1" x="2863"/>
        <item m="1" x="3890"/>
        <item m="1" x="4900"/>
        <item m="1" x="5900"/>
        <item m="1" x="6918"/>
        <item m="1" x="7931"/>
        <item m="1" x="973"/>
        <item m="1" x="1972"/>
        <item m="1" x="2989"/>
        <item m="1" x="4015"/>
        <item m="1" x="5021"/>
        <item m="1" x="6022"/>
        <item m="1" x="7040"/>
        <item m="1" x="87"/>
        <item m="1" x="1096"/>
        <item m="1" x="2095"/>
        <item m="1" x="3111"/>
        <item m="1" x="4134"/>
        <item m="1" x="5139"/>
        <item m="1" x="6145"/>
        <item m="1" x="7166"/>
        <item m="1" x="208"/>
        <item m="1" x="1216"/>
        <item m="1" x="2214"/>
        <item m="1" x="3235"/>
        <item m="1" x="4256"/>
        <item m="1" x="5262"/>
        <item m="1" x="6267"/>
        <item m="1" x="7288"/>
        <item m="1" x="331"/>
        <item m="1" x="1336"/>
        <item m="1" x="2337"/>
        <item m="1" x="3360"/>
        <item m="1" x="4382"/>
        <item m="1" x="5385"/>
        <item m="1" x="6391"/>
        <item m="1" x="7409"/>
        <item m="1" x="453"/>
        <item m="1" x="1458"/>
        <item m="1" x="2463"/>
        <item sd="0" m="1" x="5198"/>
        <item m="1" x="6212"/>
        <item m="1" x="7228"/>
        <item sd="0" m="1" x="270"/>
        <item sd="0" m="1" x="1274"/>
        <item sd="0" m="1" x="2278"/>
        <item sd="0" m="1" x="3296"/>
        <item sd="0" m="1" x="4318"/>
        <item m="1" x="5323"/>
        <item m="1" x="6331"/>
        <item m="1" x="7350"/>
        <item m="1" x="391"/>
        <item m="1" x="1396"/>
        <item m="1" x="2402"/>
        <item m="1" x="3421"/>
        <item m="1" x="4444"/>
        <item m="1" x="5445"/>
        <item m="1" x="6454"/>
        <item m="1" x="7471"/>
        <item sd="0" m="1" x="514"/>
        <item sd="0" m="1" x="1520"/>
        <item sd="0" m="1" x="2527"/>
        <item sd="0" m="1" x="3546"/>
        <item sd="0" m="1" x="4563"/>
        <item sd="0" m="1" x="5567"/>
        <item m="1" x="6576"/>
        <item m="1" x="7595"/>
        <item sd="0" m="1" x="634"/>
        <item sd="0" m="1" x="1643"/>
        <item sd="0" m="1" x="2646"/>
        <item sd="0" m="1" x="3668"/>
        <item sd="0" m="1" x="4679"/>
        <item sd="0" m="1" x="5686"/>
        <item m="1" x="6700"/>
        <item m="1" x="7716"/>
        <item m="1" x="754"/>
        <item m="1" x="1758"/>
        <item m="1" x="2768"/>
        <item m="1" x="3792"/>
        <item m="1" x="4803"/>
        <item m="1" x="5807"/>
        <item m="1" x="6823"/>
        <item m="1" x="7839"/>
        <item m="1" x="876"/>
        <item m="1" x="1879"/>
        <item m="1" x="2890"/>
        <item m="1" x="3921"/>
        <item m="1" x="4924"/>
        <item m="1" x="5929"/>
        <item m="1" x="6943"/>
        <item m="1" x="7961"/>
        <item m="1" x="998"/>
        <item m="1" x="2002"/>
        <item m="1" x="3012"/>
        <item m="1" x="4044"/>
        <item m="1" x="5042"/>
        <item m="1" x="6051"/>
        <item m="1" x="7066"/>
        <item m="1" x="116"/>
        <item m="1" x="1119"/>
        <item m="1" x="2124"/>
        <item m="1" x="3136"/>
        <item m="1" x="4165"/>
        <item m="1" x="5164"/>
        <item m="1" x="6176"/>
        <item m="1" x="7193"/>
        <item m="1" x="237"/>
        <item m="1" x="1241"/>
        <item m="1" x="2243"/>
        <item m="1" x="3260"/>
        <item m="1" x="4286"/>
        <item m="1" x="5288"/>
        <item m="1" x="6296"/>
        <item m="1" x="7313"/>
        <item m="1" x="358"/>
        <item m="1" x="1359"/>
        <item m="1" x="2366"/>
        <item m="1" x="3384"/>
        <item m="1" x="4410"/>
        <item m="1" x="5408"/>
        <item m="1" x="6419"/>
        <item m="1" x="7434"/>
        <item m="1" x="483"/>
        <item m="1" x="1483"/>
        <item m="1" x="2493"/>
        <item m="1" x="3508"/>
        <item m="1" x="4533"/>
        <item m="1" x="5530"/>
        <item m="1" x="6543"/>
        <item m="1" x="7559"/>
        <item m="1" x="606"/>
        <item m="1" x="1609"/>
        <item m="1" x="2617"/>
        <item m="1" x="3633"/>
        <item m="1" x="4651"/>
        <item m="1" x="5653"/>
        <item m="1" x="6669"/>
        <item m="1" x="7683"/>
        <item m="1" x="724"/>
        <item m="1" x="1727"/>
        <item m="1" x="2734"/>
        <item m="1" x="3757"/>
        <item m="1" x="4771"/>
        <item m="1" x="5773"/>
        <item m="1" x="6791"/>
        <item m="1" x="7806"/>
        <item m="1" x="846"/>
        <item m="1" x="1845"/>
        <item m="1" x="2859"/>
        <item m="1" x="3886"/>
        <item m="1" x="4896"/>
        <item m="1" x="5896"/>
        <item m="1" x="6914"/>
        <item m="1" x="7926"/>
        <item m="1" x="969"/>
        <item m="1" x="1969"/>
        <item m="1" x="2984"/>
        <item m="1" x="4011"/>
        <item m="1" x="5017"/>
        <item m="1" x="6018"/>
        <item m="1" x="7035"/>
        <item m="1" x="83"/>
        <item sd="0" m="1" x="3822"/>
        <item sd="0" m="1" x="4834"/>
        <item sd="0" m="1" x="5839"/>
        <item m="1" x="6853"/>
        <item m="1" x="7866"/>
        <item sd="0" m="1" x="905"/>
        <item sd="0" m="1" x="1911"/>
        <item sd="0" m="1" x="2921"/>
        <item sd="0" m="1" x="3948"/>
        <item sd="0" m="1" x="4953"/>
        <item sd="0" m="1" x="5960"/>
        <item m="1" x="6974"/>
        <item m="1" x="7990"/>
        <item sd="0" m="1" x="1028"/>
        <item sd="0" m="1" x="2034"/>
        <item sd="0" m="1" x="3045"/>
        <item sd="0" m="1" x="4073"/>
        <item sd="0" m="1" x="5072"/>
        <item sd="0" m="1" x="6083"/>
        <item m="1" x="7098"/>
        <item sd="0" m="1" x="146"/>
        <item sd="0" m="1" x="1150"/>
        <item sd="0" m="1" x="2155"/>
        <item sd="0" m="1" x="3167"/>
        <item sd="0" m="1" x="4191"/>
        <item sd="0" m="1" x="5194"/>
        <item m="1" x="6204"/>
        <item m="1" x="7222"/>
        <item sd="0" m="1" x="264"/>
        <item sd="0" m="1" x="1269"/>
        <item sd="0" m="1" x="2271"/>
        <item m="1" x="3291"/>
        <item m="1" x="4312"/>
        <item m="1" x="5318"/>
        <item m="1" x="6324"/>
        <item m="1" x="7344"/>
        <item m="1" x="385"/>
        <item m="1" x="1390"/>
        <item m="1" x="2395"/>
        <item m="1" x="3416"/>
        <item m="1" x="4438"/>
        <item m="1" x="5440"/>
        <item m="1" x="6447"/>
        <item m="1" x="7466"/>
        <item m="1" x="508"/>
        <item m="1" x="1515"/>
        <item m="1" x="2520"/>
        <item m="1" x="3541"/>
        <item m="1" x="4557"/>
        <item m="1" x="5562"/>
        <item m="1" x="6569"/>
        <item m="1" x="7590"/>
        <item m="1" x="629"/>
        <item m="1" x="1638"/>
        <item m="1" x="2641"/>
        <item m="1" x="3664"/>
        <item m="1" x="4675"/>
        <item m="1" x="5682"/>
        <item m="1" x="6695"/>
        <item m="1" x="7713"/>
        <item m="1" x="749"/>
        <item m="1" x="1755"/>
        <item m="1" x="2763"/>
        <item m="1" x="3789"/>
        <item m="1" x="4799"/>
        <item m="1" x="5804"/>
        <item m="1" x="6818"/>
        <item m="1" x="7836"/>
        <item m="1" x="871"/>
        <item m="1" x="1874"/>
        <item m="1" x="2885"/>
        <item m="1" x="3917"/>
        <item m="1" x="4920"/>
        <item m="1" x="5925"/>
        <item m="1" x="6938"/>
        <item m="1" x="7957"/>
        <item m="1" x="993"/>
        <item m="1" x="1998"/>
        <item m="1" x="3008"/>
        <item m="1" x="4041"/>
        <item m="1" x="5039"/>
        <item m="1" x="6048"/>
        <item m="1" x="7062"/>
        <item m="1" x="113"/>
        <item m="1" x="1115"/>
        <item m="1" x="2120"/>
        <item m="1" x="3132"/>
        <item m="1" x="4160"/>
        <item m="1" x="5160"/>
        <item m="1" x="6173"/>
        <item m="1" x="7189"/>
        <item m="1" x="234"/>
        <item m="1" x="1236"/>
        <item m="1" x="2240"/>
        <item m="1" x="3256"/>
        <item m="1" x="4283"/>
        <item m="1" x="5285"/>
        <item m="1" x="6292"/>
        <item m="1" x="7309"/>
        <item m="1" x="354"/>
        <item m="1" x="1355"/>
        <item m="1" x="2362"/>
        <item m="1" x="3380"/>
        <item m="1" x="4406"/>
        <item m="1" x="5405"/>
        <item m="1" x="6415"/>
        <item m="1" x="7430"/>
        <item m="1" x="479"/>
        <item m="1" x="1479"/>
        <item m="1" x="2489"/>
        <item m="1" x="3504"/>
        <item m="1" x="4529"/>
        <item m="1" x="5527"/>
        <item m="1" x="6538"/>
        <item m="1" x="7555"/>
        <item m="1" x="602"/>
        <item m="1" x="1605"/>
        <item m="1" x="2612"/>
        <item m="1" x="3628"/>
        <item m="1" x="4646"/>
        <item m="1" x="5650"/>
        <item m="1" x="6663"/>
        <item sd="0" m="1" x="2426"/>
        <item sd="0" m="1" x="3445"/>
        <item sd="0" m="1" x="4467"/>
        <item sd="0" m="1" x="5472"/>
        <item m="1" x="6478"/>
        <item m="1" x="7494"/>
        <item sd="0" m="1" x="538"/>
        <item sd="0" m="1" x="1546"/>
        <item sd="0" m="1" x="2549"/>
        <item sd="0" m="1" x="3568"/>
        <item sd="0" m="1" x="4583"/>
        <item m="1" x="5594"/>
        <item m="1" x="6601"/>
        <item m="1" x="7619"/>
        <item m="1" x="657"/>
        <item m="1" x="1669"/>
        <item m="1" x="2671"/>
        <item m="1" x="3693"/>
        <item m="1" x="4704"/>
        <item m="1" x="5713"/>
        <item m="1" x="6727"/>
        <item m="1" x="7741"/>
        <item sd="0" m="1" x="780"/>
        <item sd="0" m="1" x="1784"/>
        <item sd="0" m="1" x="2793"/>
        <item sd="0" m="1" x="3817"/>
        <item sd="0" m="1" x="4828"/>
        <item sd="0" m="1" x="5832"/>
        <item m="1" x="6848"/>
        <item m="1" x="7860"/>
        <item sd="0" m="1" x="900"/>
        <item sd="0" m="1" x="1904"/>
        <item sd="0" m="1" x="2915"/>
        <item sd="0" m="1" x="3942"/>
        <item sd="0" m="1" x="4948"/>
        <item m="1" x="5953"/>
        <item m="1" x="6969"/>
        <item m="1" x="7984"/>
        <item m="1" x="1023"/>
        <item m="1" x="2027"/>
        <item m="1" x="3039"/>
        <item m="1" x="4067"/>
        <item m="1" x="5066"/>
        <item m="1" x="6076"/>
        <item m="1" x="7092"/>
        <item m="1" x="140"/>
        <item m="1" x="1145"/>
        <item m="1" x="2147"/>
        <item m="1" x="3162"/>
        <item m="1" x="4185"/>
        <item m="1" x="5189"/>
        <item m="1" x="6198"/>
        <item m="1" x="7218"/>
        <item m="1" x="259"/>
        <item m="1" x="1266"/>
        <item m="1" x="2266"/>
        <item m="1" x="3288"/>
        <item m="1" x="4308"/>
        <item m="1" x="5314"/>
        <item m="1" x="6319"/>
        <item m="1" x="7341"/>
        <item m="1" x="381"/>
        <item m="1" x="1387"/>
        <item m="1" x="2390"/>
        <item m="1" x="3413"/>
        <item m="1" x="4433"/>
        <item m="1" x="5437"/>
        <item m="1" x="6442"/>
        <item m="1" x="7463"/>
        <item m="1" x="504"/>
        <item m="1" x="1511"/>
        <item m="1" x="2515"/>
        <item m="1" x="3537"/>
        <item m="1" x="4552"/>
        <item m="1" x="5557"/>
        <item m="1" x="6564"/>
        <item m="1" x="7585"/>
        <item m="1" x="625"/>
        <item m="1" x="1634"/>
        <item m="1" x="2637"/>
        <item m="1" x="3661"/>
        <item m="1" x="4671"/>
        <item m="1" x="5679"/>
        <item m="1" x="6691"/>
        <item m="1" x="7710"/>
        <item m="1" x="746"/>
        <item m="1" x="1752"/>
        <item m="1" x="2758"/>
        <item m="1" x="3785"/>
        <item m="1" x="4795"/>
        <item m="1" x="5801"/>
        <item m="1" x="6814"/>
        <item m="1" x="7833"/>
        <item m="1" x="868"/>
        <item m="1" x="1871"/>
        <item m="1" x="2881"/>
        <item m="1" x="3913"/>
        <item m="1" x="4916"/>
        <item m="1" x="5921"/>
        <item m="1" x="6934"/>
        <item m="1" x="7953"/>
        <item m="1" x="990"/>
        <item m="1" x="1994"/>
        <item m="1" x="3004"/>
        <item m="1" x="4037"/>
        <item m="1" x="5035"/>
        <item m="1" x="6044"/>
        <item m="1" x="7057"/>
        <item m="1" x="108"/>
        <item m="1" x="1112"/>
        <item m="1" x="2116"/>
        <item m="1" x="3128"/>
        <item m="1" x="4156"/>
        <item m="1" x="5155"/>
        <item m="1" x="6168"/>
        <item m="1" x="7185"/>
        <item m="1" x="230"/>
        <item m="1" x="1233"/>
        <item m="1" x="2235"/>
        <item m="1" x="3252"/>
        <item m="1" x="4279"/>
        <item m="1" x="5280"/>
        <item m="1" x="44"/>
        <item sd="0" m="1" x="1057"/>
        <item sd="0" m="1" x="2057"/>
        <item sd="0" m="1" x="3070"/>
        <item sd="0" m="1" x="4094"/>
        <item sd="0" m="1" x="5099"/>
        <item sd="0" m="1" x="6106"/>
        <item m="1" x="7122"/>
        <item sd="0" m="1" x="167"/>
        <item sd="0" m="1" x="1177"/>
        <item sd="0" m="1" x="2178"/>
        <item sd="0" m="1" x="3192"/>
        <item sd="0" m="1" x="4215"/>
        <item sd="0" m="1" x="5222"/>
        <item m="1" x="6229"/>
        <item m="1" x="7248"/>
        <item sd="0" m="1" x="289"/>
        <item sd="0" m="1" x="1297"/>
        <item sd="0" m="1" x="2298"/>
        <item sd="0" m="1" x="3316"/>
        <item sd="0" m="1" x="4338"/>
        <item sd="0" m="1" x="5345"/>
        <item m="1" x="6352"/>
        <item m="1" x="7369"/>
        <item sd="0" m="1" x="411"/>
        <item sd="0" m="1" x="1417"/>
        <item sd="0" m="1" x="2422"/>
        <item sd="0" m="1" x="3440"/>
        <item sd="0" m="1" x="4463"/>
        <item sd="0" m="1" x="5466"/>
        <item m="1" x="6473"/>
        <item m="1" x="7489"/>
        <item sd="0" m="1" x="533"/>
        <item sd="0" m="1" x="1540"/>
        <item sd="0" m="1" x="2544"/>
        <item m="1" x="3563"/>
        <item m="1" x="4579"/>
        <item m="1" x="5588"/>
        <item m="1" x="6596"/>
        <item m="1" x="7614"/>
        <item m="1" x="653"/>
        <item m="1" x="1663"/>
        <item m="1" x="2667"/>
        <item m="1" x="3688"/>
        <item m="1" x="4700"/>
        <item m="1" x="5707"/>
        <item m="1" x="6723"/>
        <item m="1" x="7736"/>
        <item m="1" x="775"/>
        <item m="1" x="1778"/>
        <item m="1" x="2789"/>
        <item m="1" x="3812"/>
        <item m="1" x="4824"/>
        <item m="1" x="5827"/>
        <item m="1" x="6845"/>
        <item m="1" x="7857"/>
        <item m="1" x="898"/>
        <item m="1" x="1900"/>
        <item m="1" x="2913"/>
        <item m="1" x="3939"/>
        <item m="1" x="4946"/>
        <item m="1" x="5949"/>
        <item m="1" x="6967"/>
        <item m="1" x="7980"/>
        <item m="1" x="1020"/>
        <item m="1" x="2023"/>
        <item m="1" x="3036"/>
        <item m="1" x="4064"/>
        <item m="1" x="5064"/>
        <item m="1" x="6071"/>
        <item m="1" x="7089"/>
        <item m="1" x="136"/>
        <item m="1" x="1142"/>
        <item m="1" x="2143"/>
        <item m="1" x="3159"/>
        <item m="1" x="4182"/>
        <item m="1" x="5186"/>
        <item m="1" x="6194"/>
        <item m="1" x="7215"/>
        <item m="1" x="255"/>
        <item m="1" x="1262"/>
        <item m="1" x="2262"/>
        <item m="1" x="3285"/>
        <item m="1" x="4305"/>
        <item m="1" x="5311"/>
        <item m="1" x="6315"/>
        <item m="1" x="7338"/>
        <item m="1" x="376"/>
        <item m="1" x="1383"/>
        <item m="1" x="2385"/>
        <item m="1" x="3410"/>
        <item m="1" x="4430"/>
        <item m="1" x="5434"/>
        <item m="1" x="6438"/>
        <item m="1" x="7460"/>
        <item m="1" x="500"/>
        <item m="1" x="1507"/>
        <item m="1" x="2511"/>
        <item m="1" x="3532"/>
        <item m="1" x="4549"/>
        <item m="1" x="5552"/>
        <item m="1" x="6560"/>
        <item m="1" x="7581"/>
        <item m="1" x="621"/>
        <item m="1" x="1630"/>
        <item m="1" x="2633"/>
        <item m="1" x="3657"/>
        <item m="1" x="4668"/>
        <item m="1" x="5675"/>
        <item m="1" x="6687"/>
        <item m="1" x="7706"/>
        <item m="1" x="742"/>
        <item m="1" x="1748"/>
        <item m="1" x="2753"/>
        <item m="1" x="3781"/>
        <item m="1" x="4792"/>
        <item m="1" x="5796"/>
        <item m="1" x="6810"/>
        <item m="1" x="7829"/>
        <item m="1" x="864"/>
        <item m="1" x="1866"/>
        <item m="1" x="2877"/>
        <item m="1" x="6626"/>
        <item m="1" x="7643"/>
        <item sd="0" m="1" x="684"/>
        <item sd="0" m="1" x="1691"/>
        <item sd="0" m="1" x="2694"/>
        <item sd="0" m="1" x="3716"/>
        <item sd="0" m="1" x="4732"/>
        <item sd="0" m="1" x="5736"/>
        <item m="1" x="6750"/>
        <item m="1" x="7764"/>
        <item sd="0" m="1" x="806"/>
        <item sd="0" m="1" x="1807"/>
        <item sd="0" m="1" x="2819"/>
        <item sd="0" m="1" x="3842"/>
        <item sd="0" m="1" x="4856"/>
        <item m="1" x="5858"/>
        <item m="1" x="6874"/>
        <item m="1" x="7885"/>
        <item m="1" x="930"/>
        <item m="1" x="1930"/>
        <item m="1" x="2943"/>
        <item m="1" x="3968"/>
        <item m="1" x="4978"/>
        <item m="1" x="5979"/>
        <item m="1" x="6995"/>
        <item sd="0" m="1" x="41"/>
        <item sd="0" m="1" x="1050"/>
        <item sd="0" m="1" x="2052"/>
        <item sd="0" m="1" x="3064"/>
        <item sd="0" m="1" x="4090"/>
        <item sd="0" m="1" x="5093"/>
        <item sd="0" m="1" x="6102"/>
        <item m="1" x="7117"/>
        <item sd="0" m="1" x="163"/>
        <item sd="0" m="1" x="1171"/>
        <item m="1" x="2173"/>
        <item m="1" x="3187"/>
        <item m="1" x="4210"/>
        <item m="1" x="5216"/>
        <item m="1" x="6225"/>
        <item m="1" x="7243"/>
        <item m="1" x="285"/>
        <item m="1" x="1291"/>
        <item m="1" x="2293"/>
        <item m="1" x="3311"/>
        <item m="1" x="4334"/>
        <item m="1" x="5339"/>
        <item m="1" x="6348"/>
        <item m="1" x="7364"/>
        <item m="1" x="407"/>
        <item m="1" x="1411"/>
        <item m="1" x="2418"/>
        <item m="1" x="3435"/>
        <item m="1" x="4459"/>
        <item m="1" x="5461"/>
        <item m="1" x="6470"/>
        <item m="1" x="7486"/>
        <item m="1" x="530"/>
        <item m="1" x="1536"/>
        <item m="1" x="2542"/>
        <item m="1" x="3560"/>
        <item m="1" x="4577"/>
        <item m="1" x="5584"/>
        <item m="1" x="6594"/>
        <item m="1" x="7611"/>
        <item m="1" x="651"/>
        <item m="1" x="1659"/>
        <item m="1" x="2665"/>
        <item m="1" x="3684"/>
        <item m="1" x="4696"/>
        <item m="1" x="5703"/>
        <item m="1" x="6720"/>
        <item m="1" x="7733"/>
        <item m="1" x="772"/>
        <item m="1" x="1774"/>
        <item m="1" x="2786"/>
        <item m="1" x="3808"/>
        <item m="1" x="4821"/>
        <item m="1" x="5823"/>
        <item m="1" x="6842"/>
        <item m="1" x="7854"/>
        <item m="1" x="895"/>
        <item m="1" x="1896"/>
        <item m="1" x="2910"/>
        <item m="1" x="3935"/>
        <item m="1" x="4942"/>
        <item m="1" x="5945"/>
        <item m="1" x="6962"/>
        <item m="1" x="7976"/>
        <item m="1" x="1017"/>
        <item m="1" x="2019"/>
        <item m="1" x="3033"/>
        <item m="1" x="4060"/>
        <item m="1" x="5061"/>
        <item m="1" x="6067"/>
        <item m="1" x="7086"/>
        <item m="1" x="133"/>
        <item m="1" x="1138"/>
        <item m="1" x="2139"/>
        <item m="1" x="3155"/>
        <item m="1" x="4178"/>
        <item m="1" x="5182"/>
        <item m="1" x="6190"/>
        <item m="1" x="7211"/>
        <item m="1" x="252"/>
        <item m="1" x="1258"/>
        <item m="1" x="2258"/>
        <item m="1" x="3281"/>
        <item m="1" x="4301"/>
        <item m="1" x="5307"/>
        <item m="1" x="6311"/>
        <item m="1" x="7334"/>
        <item m="1" x="373"/>
        <item m="1" x="1378"/>
        <item m="1" x="2381"/>
        <item m="1" x="3406"/>
        <item m="1" x="4426"/>
        <item m="1" x="5429"/>
        <item m="1" x="6433"/>
        <item m="1" x="7455"/>
        <item m="1" x="497"/>
        <item m="1" x="1501"/>
        <item m="1" x="4743"/>
        <item m="1" x="5245"/>
        <item m="1" x="5747"/>
        <item m="1" x="6252"/>
        <item m="1" x="6761"/>
        <item m="1" x="7269"/>
        <item m="1" x="7776"/>
        <item m="1" x="315"/>
        <item m="1" x="818"/>
        <item sd="0" m="1" x="1319"/>
        <item sd="0" m="1" x="1818"/>
        <item sd="0" m="1" x="2321"/>
        <item sd="0" m="1" x="2830"/>
        <item sd="0" m="1" x="3339"/>
        <item sd="0" m="1" x="3853"/>
        <item sd="0" m="1" x="4364"/>
        <item sd="0" m="1" x="4868"/>
        <item sd="0" m="1" x="5367"/>
        <item sd="0" m="1" x="5868"/>
        <item m="1" x="6375"/>
        <item m="1" x="6885"/>
        <item m="1" x="7389"/>
        <item m="1" x="7896"/>
        <item sd="0" m="1" x="437"/>
        <item sd="0" m="1" x="942"/>
        <item sd="0" m="1" x="1440"/>
        <item sd="0" m="1" x="1941"/>
        <item sd="0" m="1" x="2446"/>
        <item sd="0" m="1" x="2954"/>
        <item sd="0" m="1" x="3463"/>
        <item sd="0" m="1" x="3980"/>
        <item sd="0" m="1" x="4489"/>
        <item sd="0" m="1" x="4990"/>
        <item sd="0" m="1" x="5491"/>
        <item sd="0" m="1" x="5990"/>
        <item m="1" x="6498"/>
        <item m="1" x="7008"/>
        <item m="1" x="7513"/>
        <item sd="0" m="1" x="53"/>
        <item sd="0" m="1" x="560"/>
        <item sd="0" m="1" x="1066"/>
        <item sd="0" m="1" x="1567"/>
        <item sd="0" m="1" x="2065"/>
        <item sd="0" m="1" x="2570"/>
        <item sd="0" m="1" x="3080"/>
        <item sd="0" m="1" x="3588"/>
        <item sd="0" m="1" x="4103"/>
        <item sd="0" m="1" x="4606"/>
        <item sd="0" m="1" x="5110"/>
        <item sd="0" m="1" x="5613"/>
        <item sd="0" m="1" x="6114"/>
        <item m="1" x="6622"/>
        <item m="1" x="7133"/>
        <item m="1" x="7638"/>
        <item sd="0" m="1" x="175"/>
        <item sd="0" m="1" x="678"/>
        <item sd="0" m="1" x="1186"/>
        <item sd="0" m="1" x="1686"/>
        <item sd="0" m="1" x="2185"/>
        <item sd="0" m="1" x="2689"/>
        <item sd="0" m="1" x="3200"/>
        <item sd="0" m="1" x="3712"/>
        <item sd="0" m="1" x="4222"/>
        <item sd="0" m="1" x="4726"/>
        <item sd="0" m="1" x="5230"/>
        <item sd="0" m="1" x="5731"/>
        <item m="1" x="6236"/>
        <item m="1" x="6745"/>
        <item m="1" x="7256"/>
        <item m="1" x="7759"/>
        <item m="1" x="297"/>
        <item m="1" x="800"/>
        <item m="1" x="1306"/>
        <item m="1" x="1803"/>
        <item m="1" x="2306"/>
        <item m="1" x="2814"/>
        <item m="1" x="3325"/>
        <item m="1" x="3838"/>
        <item m="1" x="4346"/>
        <item m="1" x="4850"/>
        <item m="1" x="5354"/>
        <item m="1" x="5853"/>
        <item m="1" x="6359"/>
        <item m="1" x="6869"/>
        <item m="1" x="7377"/>
        <item m="1" x="7880"/>
        <item m="1" x="418"/>
        <item m="1" x="924"/>
        <item m="1" x="1426"/>
        <item m="1" x="1925"/>
        <item m="1" x="2431"/>
        <item m="1" x="2938"/>
        <item m="1" x="3450"/>
        <item m="1" x="3964"/>
        <item m="1" x="4471"/>
        <item m="1" x="4971"/>
        <item m="1" x="5477"/>
        <item m="1" x="5975"/>
        <item m="1" x="6482"/>
        <item m="1" x="6989"/>
        <item m="1" x="7499"/>
        <item m="1" x="36"/>
        <item m="1" x="542"/>
        <item m="1" x="1044"/>
        <item m="1" x="1551"/>
        <item m="1" x="2049"/>
        <item m="1" x="2554"/>
        <item m="1" x="3060"/>
        <item m="1" x="3573"/>
        <item m="1" x="4088"/>
        <item m="1" x="4588"/>
        <item m="1" x="5089"/>
        <item m="1" x="5599"/>
        <item m="1" x="6100"/>
        <item m="1" x="6606"/>
        <item m="1" x="7114"/>
        <item m="1" x="7625"/>
        <item m="1" x="160"/>
        <item m="1" x="661"/>
        <item m="1" x="1167"/>
        <item m="1" x="1674"/>
        <item m="1" x="2170"/>
        <item m="1" x="2676"/>
        <item m="1" x="3184"/>
        <item m="1" x="3699"/>
        <item m="1" x="4208"/>
        <item m="1" x="4709"/>
        <item m="1" x="5212"/>
        <item m="1" x="5719"/>
        <item m="1" x="6223"/>
        <item m="1" x="6731"/>
        <item m="1" x="7239"/>
        <item m="1" x="7746"/>
        <item m="1" x="282"/>
        <item m="1" x="784"/>
        <item m="1" x="1287"/>
        <item m="1" x="1790"/>
        <item m="1" x="2291"/>
        <item m="1" x="2798"/>
        <item m="1" x="3308"/>
        <item m="1" x="3823"/>
        <item m="1" x="4331"/>
        <item m="1" x="4835"/>
        <item m="1" x="5335"/>
        <item m="1" x="5840"/>
        <item m="1" x="6345"/>
        <item m="1" x="6854"/>
        <item m="1" x="7360"/>
        <item m="1" x="7867"/>
        <item m="1" x="403"/>
        <item m="1" x="906"/>
        <item m="1" x="1407"/>
        <item m="1" x="1912"/>
        <item m="1" x="2414"/>
        <item m="1" x="2922"/>
        <item m="1" x="3432"/>
        <item m="1" x="3949"/>
        <item m="1" x="4455"/>
        <item m="1" x="4954"/>
        <item m="1" x="5457"/>
        <item m="1" x="5961"/>
        <item m="1" x="6467"/>
        <item m="1" x="6975"/>
        <item m="1" x="7482"/>
        <item m="1" x="7991"/>
        <item m="1" x="526"/>
        <item m="1" x="1029"/>
        <item m="1" x="1532"/>
        <item m="1" x="2035"/>
        <item m="1" x="2539"/>
        <item m="1" x="3046"/>
        <item m="1" x="3557"/>
        <item m="1" x="4074"/>
        <item m="1" x="4574"/>
        <item m="1" x="5073"/>
        <item m="1" x="5579"/>
        <item m="1" x="6084"/>
        <item m="1" x="6590"/>
        <item m="1" x="7099"/>
        <item m="1" x="7607"/>
        <item m="1" x="147"/>
        <item m="1" x="648"/>
        <item m="1" x="1151"/>
        <item m="1" x="1655"/>
        <item m="1" x="2156"/>
        <item m="1" x="2661"/>
        <item m="1" x="3168"/>
        <item m="1" x="3681"/>
        <item m="1" x="4192"/>
        <item m="1" x="4693"/>
        <item m="1" x="5195"/>
        <item m="1" x="5699"/>
        <item m="1" x="6205"/>
        <item m="1" x="6716"/>
        <item m="1" x="7223"/>
        <item m="1" x="7729"/>
        <item m="1" x="265"/>
        <item m="1" x="768"/>
        <item m="1" x="1270"/>
        <item m="1" x="1770"/>
        <item m="1" x="2272"/>
        <item m="1" x="2782"/>
        <item m="1" x="3292"/>
        <item m="1" x="3805"/>
        <item m="1" x="4313"/>
        <item m="1" x="4817"/>
        <item m="1" x="5319"/>
        <item m="1" x="5819"/>
        <item m="1" x="6325"/>
        <item m="1" x="6838"/>
        <item m="1" x="7345"/>
        <item m="1" x="7850"/>
        <item m="1" x="386"/>
        <item m="1" x="891"/>
        <item m="1" x="1391"/>
        <item m="1" x="1891"/>
        <item m="1" x="2396"/>
        <item m="1" x="2905"/>
        <item m="1" x="3417"/>
        <item m="1" x="3932"/>
        <item m="1" x="4439"/>
        <item m="1" x="4937"/>
        <item m="1" x="5441"/>
        <item m="1" x="5941"/>
        <item m="1" x="6448"/>
        <item m="1" x="6958"/>
        <item m="1" x="7467"/>
        <item m="1" x="7972"/>
        <item m="1" x="509"/>
        <item m="1" x="1012"/>
        <item m="1" x="1516"/>
        <item m="1" x="2015"/>
        <item m="1" x="2521"/>
        <item m="1" x="3029"/>
        <item m="1" x="3542"/>
        <item m="1" x="4057"/>
        <item m="1" x="4558"/>
        <item m="1" x="5056"/>
        <item m="1" x="5563"/>
        <item m="1" x="6063"/>
        <item m="1" x="6570"/>
        <item m="1" x="7082"/>
        <item m="1" x="7591"/>
        <item m="1" x="128"/>
        <item sd="0" m="1" x="3351"/>
        <item sd="0" m="1" x="3870"/>
        <item sd="0" m="1" x="4376"/>
        <item sd="0" m="1" x="4878"/>
        <item sd="0" m="1" x="5378"/>
        <item sd="0" m="1" x="5880"/>
        <item m="1" x="6385"/>
        <item m="1" x="6894"/>
        <item m="1" x="7400"/>
        <item m="1" x="7909"/>
        <item sd="0" m="1" x="447"/>
        <item sd="0" m="1" x="951"/>
        <item sd="0" m="1" x="1450"/>
        <item sd="0" m="1" x="1951"/>
        <item sd="0" m="1" x="2457"/>
        <item sd="0" m="1" x="2962"/>
        <item sd="0" m="1" x="3474"/>
        <item sd="0" m="1" x="3993"/>
        <item sd="0" m="1" x="4500"/>
        <item sd="0" m="1" x="4999"/>
        <item sd="0" m="1" x="5501"/>
        <item sd="0" m="1" x="6001"/>
        <item m="1" x="6509"/>
        <item m="1" x="7016"/>
        <item m="1" x="7526"/>
        <item sd="0" m="1" x="66"/>
        <item sd="0" m="1" x="572"/>
        <item sd="0" m="1" x="1075"/>
        <item sd="0" m="1" x="1576"/>
        <item sd="0" m="1" x="2076"/>
        <item sd="0" m="1" x="2581"/>
        <item sd="0" m="1" x="3088"/>
        <item sd="0" m="1" x="3599"/>
        <item sd="0" m="1" x="4116"/>
        <item sd="0" m="1" x="4617"/>
        <item m="1" x="5118"/>
        <item m="1" x="5623"/>
        <item m="1" x="6126"/>
        <item m="1" x="6634"/>
        <item m="1" x="7143"/>
        <item m="1" x="7650"/>
        <item m="1" x="189"/>
        <item m="1" x="692"/>
        <item m="1" x="1196"/>
        <item m="1" x="1698"/>
        <item m="1" x="2197"/>
        <item m="1" x="2702"/>
        <item m="1" x="3211"/>
        <item m="1" x="3724"/>
        <item m="1" x="4236"/>
        <item m="1" x="4740"/>
        <item m="1" x="5241"/>
        <item m="1" x="5743"/>
        <item m="1" x="6247"/>
        <item m="1" x="6757"/>
        <item m="1" x="7265"/>
        <item m="1" x="7771"/>
        <item sd="0" m="1" x="309"/>
        <item sd="0" m="1" x="814"/>
        <item sd="0" m="1" x="1314"/>
        <item sd="0" m="1" x="1813"/>
        <item sd="0" m="1" x="2316"/>
        <item sd="0" m="1" x="2826"/>
        <item sd="0" m="1" x="3334"/>
        <item sd="0" m="1" x="3848"/>
        <item sd="0" m="1" x="4358"/>
        <item sd="0" m="1" x="4863"/>
        <item sd="0" m="1" x="5361"/>
        <item sd="0" m="1" x="5864"/>
        <item m="1" x="6369"/>
        <item m="1" x="6881"/>
        <item m="1" x="7385"/>
        <item m="1" x="7891"/>
        <item m="1" x="431"/>
        <item m="1" x="938"/>
        <item m="1" x="1435"/>
        <item m="1" x="1936"/>
        <item m="1" x="2441"/>
        <item m="1" x="2950"/>
        <item m="1" x="3458"/>
        <item m="1" x="3975"/>
        <item m="1" x="4483"/>
        <item m="1" x="4986"/>
        <item m="1" x="5486"/>
        <item m="1" x="5986"/>
        <item m="1" x="6493"/>
        <item m="1" x="7003"/>
        <item m="1" x="7509"/>
        <item m="1" x="48"/>
        <item m="1" x="554"/>
        <item m="1" x="1061"/>
        <item m="1" x="1563"/>
        <item m="1" x="2060"/>
        <item m="1" x="2565"/>
        <item m="1" x="3075"/>
        <item m="1" x="3583"/>
        <item m="1" x="4097"/>
        <item m="1" x="4600"/>
        <item m="1" x="5104"/>
        <item m="1" x="5608"/>
        <item m="1" x="6110"/>
        <item m="1" x="6617"/>
        <item m="1" x="7127"/>
        <item m="1" x="7635"/>
        <item m="1" x="170"/>
        <item m="1" x="674"/>
        <item m="1" x="1181"/>
        <item m="1" x="1684"/>
        <item m="1" x="2181"/>
        <item m="1" x="2686"/>
        <item m="1" x="3196"/>
        <item m="1" x="3709"/>
        <item m="1" x="4218"/>
        <item m="1" x="4722"/>
        <item m="1" x="5226"/>
        <item m="1" x="5729"/>
        <item m="1" x="6233"/>
        <item m="1" x="6742"/>
        <item m="1" x="7252"/>
        <item m="1" x="7757"/>
        <item m="1" x="293"/>
        <item m="1" x="796"/>
        <item m="1" x="1302"/>
        <item m="1" x="1801"/>
        <item m="1" x="2302"/>
        <item m="1" x="2810"/>
        <item m="1" x="3321"/>
        <item m="1" x="3835"/>
        <item m="1" x="4341"/>
        <item m="1" x="4846"/>
        <item m="1" x="5350"/>
        <item m="1" x="5850"/>
        <item m="1" x="6356"/>
        <item m="1" x="6866"/>
        <item m="1" x="7373"/>
        <item m="1" x="7877"/>
        <item m="1" x="414"/>
        <item m="1" x="918"/>
        <item m="1" x="1422"/>
        <item m="1" x="1922"/>
        <item m="1" x="2427"/>
        <item m="1" x="2932"/>
        <item m="1" x="3446"/>
        <item m="1" x="3960"/>
        <item m="1" x="4468"/>
        <item m="1" x="4966"/>
        <item m="1" x="5473"/>
        <item m="1" x="5972"/>
        <item m="1" x="6479"/>
        <item m="1" x="6985"/>
        <item m="1" x="7495"/>
        <item m="1" x="33"/>
        <item m="1" x="539"/>
        <item m="1" x="1039"/>
        <item m="1" x="1547"/>
        <item m="1" x="2046"/>
        <item m="1" x="2550"/>
        <item m="1" x="3055"/>
        <item m="1" x="3569"/>
        <item m="1" x="4084"/>
        <item m="1" x="4584"/>
        <item m="1" x="5084"/>
        <item m="1" x="5595"/>
        <item m="1" x="6096"/>
        <item m="1" x="6602"/>
        <item m="1" x="7110"/>
        <item m="1" x="7620"/>
        <item m="1" x="157"/>
        <item m="1" x="658"/>
        <item m="1" x="1162"/>
        <item m="1" x="1670"/>
        <item m="1" x="2167"/>
        <item m="1" x="2672"/>
        <item m="1" x="3178"/>
        <item m="1" x="3694"/>
        <item m="1" x="4204"/>
        <item m="1" x="4705"/>
        <item m="1" x="5206"/>
        <item m="1" x="5714"/>
        <item m="1" x="6220"/>
        <item m="1" x="6728"/>
        <item m="1" x="7235"/>
        <item m="1" x="7742"/>
        <item m="1" x="279"/>
        <item m="1" x="781"/>
        <item m="1" x="1282"/>
        <item m="1" x="1785"/>
        <item m="1" x="2288"/>
        <item m="1" x="2794"/>
        <item m="1" x="3303"/>
        <item m="1" x="3818"/>
        <item m="1" x="4327"/>
        <item m="1" x="4829"/>
        <item m="1" x="5330"/>
        <item m="1" x="5833"/>
        <item m="1" x="6340"/>
        <item m="1" x="6849"/>
        <item m="1" x="7356"/>
        <item m="1" x="7861"/>
        <item m="1" x="398"/>
        <item m="1" x="901"/>
        <item m="1" x="1402"/>
        <item m="1" x="1905"/>
        <item m="1" x="2409"/>
        <item m="1" x="2916"/>
        <item m="1" x="3427"/>
        <item m="1" x="3943"/>
        <item m="1" x="4451"/>
        <item m="1" x="4949"/>
        <item m="1" x="5452"/>
        <item m="1" x="5954"/>
        <item m="1" x="6463"/>
        <item m="1" x="6970"/>
        <item m="1" x="7478"/>
        <item m="1" x="7985"/>
        <item m="1" x="522"/>
        <item m="1" x="1024"/>
        <item m="1" x="1527"/>
        <item m="1" x="2028"/>
        <item m="1" x="2535"/>
        <item m="1" x="3040"/>
        <item m="1" x="3552"/>
        <item m="1" x="4068"/>
        <item m="1" x="4570"/>
        <item m="1" x="5067"/>
        <item m="1" x="5573"/>
        <item m="1" x="6077"/>
        <item m="1" x="6584"/>
        <item m="1" x="7093"/>
        <item m="1" x="7603"/>
        <item m="1" x="141"/>
        <item m="1" x="643"/>
        <item m="1" x="1146"/>
        <item m="1" x="1650"/>
        <item m="1" x="2148"/>
        <item m="1" x="2656"/>
        <item m="1" x="3163"/>
        <item m="1" x="3676"/>
        <item m="1" x="4186"/>
        <item m="1" x="4688"/>
        <item m="1" x="5190"/>
        <item m="1" x="5694"/>
        <item m="1" x="6199"/>
        <item m="1" x="6710"/>
        <item m="1" x="1463"/>
        <item m="1" x="1963"/>
        <item m="1" x="2469"/>
        <item m="1" x="2975"/>
        <item m="1" x="3488"/>
        <item m="1" x="4006"/>
        <item m="1" x="4509"/>
        <item m="1" x="5009"/>
        <item m="1" x="5511"/>
        <item m="1" x="6012"/>
        <item m="1" x="6517"/>
        <item m="1" x="7026"/>
        <item m="1" x="7539"/>
        <item m="1" x="77"/>
        <item m="1" x="580"/>
        <item sd="0" m="1" x="1085"/>
        <item sd="0" m="1" x="1587"/>
        <item sd="0" m="1" x="2086"/>
        <item sd="0" m="1" x="2590"/>
        <item sd="0" m="1" x="3099"/>
        <item sd="0" m="1" x="3612"/>
        <item sd="0" m="1" x="4126"/>
        <item sd="0" m="1" x="4626"/>
        <item sd="0" m="1" x="5129"/>
        <item sd="0" m="1" x="5634"/>
        <item sd="0" m="1" x="6136"/>
        <item m="1" x="6643"/>
        <item m="1" x="7154"/>
        <item m="1" x="7663"/>
        <item sd="0" m="1" x="200"/>
        <item sd="0" m="1" x="701"/>
        <item sd="0" m="1" x="1206"/>
        <item sd="0" m="1" x="1709"/>
        <item sd="0" m="1" x="2207"/>
        <item sd="0" m="1" x="2711"/>
        <item sd="0" m="1" x="3223"/>
        <item sd="0" m="1" x="3738"/>
        <item sd="0" m="1" x="4249"/>
        <item sd="0" m="1" x="4750"/>
        <item sd="0" m="1" x="5252"/>
        <item sd="0" m="1" x="5756"/>
        <item m="1" x="6260"/>
        <item m="1" x="6768"/>
        <item m="1" x="7276"/>
        <item m="1" x="7787"/>
        <item sd="0" m="1" x="323"/>
        <item sd="0" m="1" x="824"/>
        <item sd="0" m="1" x="1326"/>
        <item sd="0" m="1" x="1826"/>
        <item sd="0" m="1" x="2329"/>
        <item sd="0" m="1" x="2837"/>
        <item sd="0" m="1" x="3346"/>
        <item sd="0" m="1" x="3863"/>
        <item sd="0" m="1" x="4372"/>
        <item sd="0" m="1" x="4873"/>
        <item sd="0" m="1" x="5373"/>
        <item sd="0" m="1" x="5875"/>
        <item m="1" x="6382"/>
        <item m="1" x="6890"/>
        <item m="1" x="7396"/>
        <item m="1" x="7904"/>
        <item sd="0" m="1" x="444"/>
        <item sd="0" m="1" x="947"/>
        <item sd="0" m="1" x="1447"/>
        <item sd="0" m="1" x="1947"/>
        <item sd="0" m="1" x="2454"/>
        <item sd="0" m="1" x="2959"/>
        <item sd="0" m="1" x="3470"/>
        <item sd="0" m="1" x="3988"/>
        <item sd="0" m="1" x="4497"/>
        <item m="1" x="4995"/>
        <item m="1" x="5497"/>
        <item m="1" x="5997"/>
        <item m="1" x="6506"/>
        <item m="1" x="7012"/>
        <item m="1" x="7521"/>
        <item m="1" x="61"/>
        <item m="1" x="568"/>
        <item m="1" x="1070"/>
        <item m="1" x="1573"/>
        <item m="1" x="2072"/>
        <item m="1" x="2577"/>
        <item m="1" x="3085"/>
        <item m="1" x="3595"/>
        <item m="1" x="4111"/>
        <item m="1" x="4614"/>
        <item m="1" x="5114"/>
        <item m="1" x="5619"/>
        <item m="1" x="6122"/>
        <item m="1" x="6630"/>
        <item m="1" x="7139"/>
        <item m="1" x="7646"/>
        <item m="1" x="184"/>
        <item m="1" x="688"/>
        <item m="1" x="1193"/>
        <item m="1" x="1695"/>
        <item m="1" x="2193"/>
        <item m="1" x="2698"/>
        <item m="1" x="3208"/>
        <item m="1" x="3720"/>
        <item m="1" x="4231"/>
        <item m="1" x="4736"/>
        <item m="1" x="5238"/>
        <item m="1" x="5739"/>
        <item m="1" x="6244"/>
        <item m="1" x="6754"/>
        <item m="1" x="7263"/>
        <item m="1" x="7767"/>
        <item m="1" x="306"/>
        <item m="1" x="810"/>
        <item m="1" x="1312"/>
        <item m="1" x="1811"/>
        <item m="1" x="2314"/>
        <item m="1" x="2823"/>
        <item m="1" x="3332"/>
        <item m="1" x="3845"/>
        <item m="1" x="4355"/>
        <item m="1" x="4860"/>
        <item m="1" x="5360"/>
        <item m="1" x="5861"/>
        <item m="1" x="6367"/>
        <item m="1" x="6878"/>
        <item m="1" x="7383"/>
        <item m="1" x="7888"/>
        <item m="1" x="428"/>
        <item m="1" x="935"/>
        <item m="1" x="1434"/>
        <item m="1" x="1934"/>
        <item m="1" x="2439"/>
        <item m="1" x="2947"/>
        <item m="1" x="3457"/>
        <item m="1" x="3972"/>
        <item m="1" x="4480"/>
        <item m="1" x="4983"/>
        <item m="1" x="5485"/>
        <item m="1" x="5983"/>
        <item m="1" x="6490"/>
        <item m="1" x="7000"/>
        <item m="1" x="7506"/>
        <item m="1" x="45"/>
        <item m="1" x="550"/>
        <item m="1" x="1058"/>
        <item m="1" x="1560"/>
        <item m="1" x="2058"/>
        <item m="1" x="2562"/>
        <item m="1" x="3071"/>
        <item m="1" x="3581"/>
        <item m="1" x="4095"/>
        <item m="1" x="4596"/>
        <item m="1" x="5100"/>
        <item m="1" x="5606"/>
        <item m="1" x="6107"/>
        <item m="1" x="6613"/>
        <item m="1" x="7123"/>
        <item m="1" x="7632"/>
        <item m="1" x="168"/>
        <item m="1" x="670"/>
        <item m="1" x="1178"/>
        <item m="1" x="1682"/>
        <item m="1" x="2179"/>
        <item m="1" x="2683"/>
        <item m="1" x="3193"/>
        <item m="1" x="3707"/>
        <item m="1" x="4216"/>
        <item m="1" x="4718"/>
        <item m="1" x="5223"/>
        <item m="1" x="5727"/>
        <item m="1" x="6230"/>
        <item m="1" x="6738"/>
        <item m="1" x="7249"/>
        <item m="1" x="7754"/>
        <item m="1" x="290"/>
        <item m="1" x="792"/>
        <item m="1" x="1298"/>
        <item m="1" x="1797"/>
        <item m="1" x="2299"/>
        <item m="1" x="2806"/>
        <item m="1" x="3317"/>
        <item m="1" x="3831"/>
        <item m="1" x="4339"/>
        <item m="1" x="4842"/>
        <item m="1" x="5346"/>
        <item m="1" x="5848"/>
        <item m="1" x="6353"/>
        <item m="1" x="6861"/>
        <item m="1" x="7370"/>
        <item m="1" x="7875"/>
        <item m="1" x="412"/>
        <item m="1" x="914"/>
        <item m="1" x="1418"/>
        <item m="1" x="1920"/>
        <item m="1" x="2423"/>
        <item m="1" x="2929"/>
        <item m="1" x="3441"/>
        <item m="1" x="3957"/>
        <item m="1" x="4464"/>
        <item m="1" x="4962"/>
        <item m="1" x="5467"/>
        <item m="1" x="5969"/>
        <item m="1" x="6474"/>
        <item m="1" x="6981"/>
        <item m="1" x="7490"/>
        <item m="1" x="7998"/>
        <item m="1" x="534"/>
        <item m="1" x="1035"/>
        <item m="1" x="1541"/>
        <item m="1" x="2042"/>
        <item m="1" x="2545"/>
        <item m="1" x="3052"/>
        <item m="1" x="3564"/>
        <item m="1" x="4081"/>
        <item m="1" x="4580"/>
        <item m="1" x="5080"/>
        <item m="1" x="5589"/>
        <item m="1" x="6093"/>
        <item m="1" x="6597"/>
        <item m="1" x="7106"/>
        <item m="1" x="7615"/>
        <item m="1" x="154"/>
        <item m="1" x="654"/>
        <item m="1" x="1158"/>
        <item m="1" x="1664"/>
        <item m="1" x="2164"/>
        <item m="1" x="2668"/>
        <item m="1" x="3175"/>
        <item m="1" x="3689"/>
        <item m="1" x="4200"/>
        <item m="1" x="4701"/>
        <item m="1" x="5202"/>
        <item m="1" x="5708"/>
        <item m="1" x="6216"/>
        <item m="1" x="6724"/>
        <item m="1" x="7231"/>
        <item m="1" x="7737"/>
        <item m="1" x="275"/>
        <item m="1" x="776"/>
        <item m="1" x="1277"/>
        <item m="1" x="1779"/>
        <item m="1" x="2283"/>
        <item m="1" x="2790"/>
        <item m="1" x="3300"/>
        <item m="1" x="3813"/>
        <item m="1" x="4322"/>
        <item m="1" x="4825"/>
        <item sd="0" m="1" x="88"/>
        <item sd="0" m="1" x="593"/>
        <item sd="0" m="1" x="1097"/>
        <item sd="0" m="1" x="1599"/>
        <item sd="0" m="1" x="2096"/>
        <item sd="0" m="1" x="2602"/>
        <item sd="0" m="1" x="3112"/>
        <item sd="0" m="1" x="3623"/>
        <item sd="0" m="1" x="4135"/>
        <item sd="0" m="1" x="4638"/>
        <item sd="0" m="1" x="5140"/>
        <item sd="0" m="1" x="5644"/>
        <item sd="0" m="1" x="6146"/>
        <item m="1" x="6654"/>
        <item m="1" x="7167"/>
        <item m="1" x="7674"/>
        <item sd="0" m="1" x="209"/>
        <item sd="0" m="1" x="712"/>
        <item sd="0" m="1" x="1217"/>
        <item sd="0" m="1" x="1719"/>
        <item sd="0" m="1" x="2215"/>
        <item sd="0" m="1" x="2722"/>
        <item sd="0" m="1" x="3236"/>
        <item sd="0" m="1" x="3749"/>
        <item sd="0" m="1" x="4257"/>
        <item sd="0" m="1" x="4762"/>
        <item sd="0" m="1" x="5263"/>
        <item sd="0" m="1" x="5766"/>
        <item m="1" x="6268"/>
        <item m="1" x="6779"/>
        <item m="1" x="7289"/>
        <item m="1" x="7798"/>
        <item sd="0" m="1" x="332"/>
        <item sd="0" m="1" x="836"/>
        <item sd="0" m="1" x="1337"/>
        <item sd="0" m="1" x="1838"/>
        <item sd="0" m="1" x="2338"/>
        <item sd="0" m="1" x="2847"/>
        <item sd="0" m="1" x="3361"/>
        <item sd="0" m="1" x="3878"/>
        <item sd="0" m="1" x="4383"/>
        <item sd="0" m="1" x="4886"/>
        <item m="1" x="5386"/>
        <item m="1" x="5889"/>
        <item m="1" x="6392"/>
        <item m="1" x="6902"/>
        <item m="1" x="7410"/>
        <item m="1" x="7919"/>
        <item m="1" x="454"/>
        <item m="1" x="958"/>
        <item m="1" x="1459"/>
        <item m="1" x="1960"/>
        <item m="1" x="2464"/>
        <item m="1" x="2970"/>
        <item m="1" x="3482"/>
        <item m="1" x="4001"/>
        <item m="1" x="4504"/>
        <item m="1" x="5006"/>
        <item m="1" x="5507"/>
        <item m="1" x="6008"/>
        <item m="1" x="6514"/>
        <item m="1" x="7022"/>
        <item m="1" x="7534"/>
        <item sd="0" m="1" x="73"/>
        <item sd="0" m="1" x="576"/>
        <item sd="0" m="1" x="1081"/>
        <item sd="0" m="1" x="1583"/>
        <item sd="0" m="1" x="2083"/>
        <item sd="0" m="1" x="2586"/>
        <item sd="0" m="1" x="3095"/>
        <item m="1" x="3607"/>
        <item m="1" x="4123"/>
        <item m="1" x="4622"/>
        <item m="1" x="5126"/>
        <item m="1" x="5630"/>
        <item m="1" x="6133"/>
        <item m="1" x="6640"/>
        <item m="1" x="7150"/>
        <item m="1" x="7658"/>
        <item m="1" x="197"/>
        <item m="1" x="697"/>
        <item m="1" x="1202"/>
        <item m="1" x="1705"/>
        <item m="1" x="2204"/>
        <item m="1" x="2707"/>
        <item m="1" x="3218"/>
        <item m="1" x="3733"/>
        <item m="1" x="4244"/>
        <item m="1" x="4746"/>
        <item m="1" x="5249"/>
        <item m="1" x="5752"/>
        <item m="1" x="6256"/>
        <item m="1" x="6765"/>
        <item m="1" x="7272"/>
        <item m="1" x="7781"/>
        <item m="1" x="319"/>
        <item m="1" x="821"/>
        <item m="1" x="1322"/>
        <item m="1" x="1822"/>
        <item m="1" x="2325"/>
        <item m="1" x="2833"/>
        <item m="1" x="3342"/>
        <item m="1" x="3858"/>
        <item m="1" x="4368"/>
        <item m="1" x="4871"/>
        <item m="1" x="5371"/>
        <item m="1" x="5873"/>
        <item m="1" x="6379"/>
        <item m="1" x="6889"/>
        <item m="1" x="7393"/>
        <item m="1" x="7901"/>
        <item m="1" x="441"/>
        <item m="1" x="946"/>
        <item m="1" x="1444"/>
        <item m="1" x="1945"/>
        <item m="1" x="2451"/>
        <item m="1" x="2957"/>
        <item m="1" x="3466"/>
        <item m="1" x="3985"/>
        <item m="1" x="4493"/>
        <item m="1" x="4993"/>
        <item m="1" x="5495"/>
        <item m="1" x="5995"/>
        <item m="1" x="6502"/>
        <item m="1" x="7011"/>
        <item m="1" x="7518"/>
        <item m="1" x="58"/>
        <item m="1" x="565"/>
        <item m="1" x="1069"/>
        <item m="1" x="1570"/>
        <item m="1" x="2069"/>
        <item m="1" x="2574"/>
        <item m="1" x="3083"/>
        <item m="1" x="3591"/>
        <item m="1" x="4108"/>
        <item m="1" x="4611"/>
        <item m="1" x="5113"/>
        <item m="1" x="5617"/>
        <item m="1" x="6119"/>
        <item m="1" x="6627"/>
        <item m="1" x="7137"/>
        <item m="1" x="7644"/>
        <item m="1" x="180"/>
        <item m="1" x="685"/>
        <item m="1" x="1191"/>
        <item m="1" x="1692"/>
        <item m="1" x="2189"/>
        <item m="1" x="2695"/>
        <item m="1" x="3205"/>
        <item m="1" x="3717"/>
        <item m="1" x="4227"/>
        <item m="1" x="4733"/>
        <item m="1" x="5235"/>
        <item m="1" x="5737"/>
        <item m="1" x="6241"/>
        <item m="1" x="6751"/>
        <item m="1" x="7260"/>
        <item m="1" x="7765"/>
        <item m="1" x="302"/>
        <item m="1" x="807"/>
        <item m="1" x="1310"/>
        <item m="1" x="1808"/>
        <item m="1" x="2310"/>
        <item m="1" x="2820"/>
        <item m="1" x="3329"/>
        <item m="1" x="3843"/>
        <item m="1" x="4351"/>
        <item m="1" x="4857"/>
        <item m="1" x="5358"/>
        <item m="1" x="5859"/>
        <item m="1" x="6364"/>
        <item m="1" x="6875"/>
        <item m="1" x="7381"/>
        <item m="1" x="7886"/>
        <item m="1" x="424"/>
        <item m="1" x="931"/>
        <item m="1" x="1432"/>
        <item m="1" x="1931"/>
        <item m="1" x="2435"/>
        <item m="1" x="2944"/>
        <item m="1" x="3455"/>
        <item m="1" x="3969"/>
        <item m="1" x="4476"/>
        <item m="1" x="4979"/>
        <item m="1" x="5482"/>
        <item m="1" x="5980"/>
        <item m="1" x="6487"/>
        <item m="1" x="6996"/>
        <item m="1" x="7504"/>
        <item m="1" x="42"/>
        <item m="1" x="547"/>
        <item m="1" x="1051"/>
        <item m="1" x="1557"/>
        <item m="1" x="2053"/>
        <item m="1" x="2558"/>
        <item m="1" x="3065"/>
        <item m="1" x="3578"/>
        <item m="1" x="4091"/>
        <item m="1" x="4592"/>
        <item m="1" x="5094"/>
        <item m="1" x="5603"/>
        <item m="1" x="6103"/>
        <item m="1" x="6610"/>
        <item m="1" x="7118"/>
        <item m="1" x="7629"/>
        <item m="1" x="164"/>
        <item m="1" x="666"/>
        <item m="1" x="1172"/>
        <item m="1" x="1679"/>
        <item m="1" x="2174"/>
        <item m="1" x="2679"/>
        <item m="1" x="3188"/>
        <item m="1" x="3704"/>
        <item m="1" x="4211"/>
        <item m="1" x="4713"/>
        <item m="1" x="5217"/>
        <item m="1" x="5723"/>
        <item m="1" x="6226"/>
        <item m="1" x="6735"/>
        <item m="1" x="7244"/>
        <item m="1" x="7750"/>
        <item m="1" x="286"/>
        <item m="1" x="788"/>
        <item m="1" x="1292"/>
        <item m="1" x="1794"/>
        <item m="1" x="2294"/>
        <item m="1" x="2801"/>
        <item m="1" x="3312"/>
        <item m="1" x="3827"/>
        <item m="1" x="4335"/>
        <item m="1" x="4838"/>
        <item m="1" x="5340"/>
        <item m="1" x="5844"/>
        <item m="1" x="6349"/>
        <item m="1" x="6858"/>
        <item m="1" x="7365"/>
        <item m="1" x="7871"/>
        <item m="1" x="408"/>
        <item m="1" x="910"/>
        <item m="1" x="1412"/>
        <item m="1" x="1916"/>
        <item m="1" x="2419"/>
        <item m="1" x="2925"/>
        <item m="1" x="3436"/>
        <item m="1" x="6159"/>
        <item m="1" x="6670"/>
        <item m="1" x="7179"/>
        <item m="1" x="7684"/>
        <item m="1" x="223"/>
        <item m="1" x="725"/>
        <item m="1" x="1227"/>
        <item m="1" x="1728"/>
        <item m="1" x="2226"/>
        <item m="1" x="2735"/>
        <item m="1" x="3246"/>
        <item m="1" x="3758"/>
        <item m="1" x="4271"/>
        <item m="1" x="4772"/>
        <item m="1" x="5274"/>
        <item m="1" x="5774"/>
        <item m="1" x="6279"/>
        <item m="1" x="6792"/>
        <item m="1" x="7300"/>
        <item m="1" x="7807"/>
        <item m="1" x="345"/>
        <item m="1" x="847"/>
        <item m="1" x="1348"/>
        <item m="1" x="1846"/>
        <item m="1" x="2350"/>
        <item m="1" x="2860"/>
        <item m="1" x="3373"/>
        <item m="1" x="3887"/>
        <item m="1" x="4396"/>
        <item m="1" x="4897"/>
        <item m="1" x="5397"/>
        <item m="1" x="5897"/>
        <item m="1" x="6403"/>
        <item m="1" x="6915"/>
        <item m="1" x="7421"/>
        <item m="1" x="7927"/>
        <item m="1" x="468"/>
        <item m="1" x="970"/>
        <item m="1" x="1471"/>
        <item m="1" x="1970"/>
        <item m="1" x="2477"/>
        <item m="1" x="2985"/>
        <item m="1" x="3496"/>
        <item m="1" x="4012"/>
        <item m="1" x="4518"/>
        <item m="1" x="5018"/>
        <item m="1" x="5519"/>
        <item m="1" x="6019"/>
        <item m="1" x="6525"/>
        <item m="1" x="7036"/>
        <item m="1" x="7547"/>
        <item m="1" x="84"/>
        <item m="1" x="589"/>
        <item m="1" x="1092"/>
        <item m="1" x="1595"/>
        <item m="1" x="2092"/>
        <item m="1" x="2597"/>
        <item m="1" x="3107"/>
        <item m="1" x="3620"/>
        <item m="1" x="4131"/>
        <item m="1" x="4634"/>
        <item m="1" x="5136"/>
        <item m="1" x="5641"/>
        <item m="1" x="6142"/>
        <item m="1" x="6650"/>
        <item m="1" x="7162"/>
        <item m="1" x="7670"/>
        <item m="1" x="204"/>
        <item m="1" x="709"/>
        <item m="1" x="1212"/>
        <item m="1" x="1716"/>
        <item m="1" x="2212"/>
        <item m="1" x="2718"/>
        <item m="1" x="3231"/>
        <item m="1" x="3746"/>
        <item m="1" x="4253"/>
        <item m="1" x="4758"/>
        <item m="1" x="5259"/>
        <item m="1" x="5763"/>
        <item m="1" x="6264"/>
        <item m="1" x="6775"/>
        <item m="1" x="7284"/>
        <item m="1" x="7795"/>
        <item m="1" x="328"/>
        <item m="1" x="833"/>
        <item m="1" x="1333"/>
        <item m="1" x="1834"/>
        <item m="1" x="2335"/>
        <item m="1" x="2843"/>
        <item m="1" x="3356"/>
        <item m="1" x="3874"/>
        <item m="1" x="4380"/>
        <item m="1" x="4882"/>
        <item m="1" x="5382"/>
        <item m="1" x="5885"/>
        <item m="1" x="6388"/>
        <item m="1" x="6897"/>
        <item m="1" x="7405"/>
        <item m="1" x="7914"/>
        <item m="1" x="450"/>
        <item m="1" x="955"/>
        <item m="1" x="1455"/>
        <item m="1" x="1955"/>
        <item m="1" x="2461"/>
        <item m="1" x="2966"/>
        <item m="1" x="3479"/>
        <item m="1" x="3997"/>
        <item m="1" x="4503"/>
        <item m="1" x="5003"/>
        <item m="1" x="5505"/>
        <item m="1" x="6005"/>
        <item m="1" x="6512"/>
        <item m="1" x="7019"/>
        <item m="1" x="7531"/>
        <item m="1" x="70"/>
        <item m="1" x="575"/>
        <item m="1" x="1079"/>
        <item m="1" x="1581"/>
        <item m="1" x="2080"/>
        <item m="1" x="2585"/>
        <item m="1" x="3092"/>
        <item m="1" x="3604"/>
        <item m="1" x="4120"/>
        <item m="1" x="4621"/>
        <item m="1" x="5123"/>
        <item m="1" x="5627"/>
        <item m="1" x="6130"/>
        <item m="1" x="6638"/>
        <item m="1" x="7146"/>
        <item m="1" x="7655"/>
        <item m="1" x="194"/>
        <item m="1" x="695"/>
        <item m="1" x="1200"/>
        <item m="1" x="1703"/>
        <item m="1" x="2201"/>
        <item m="1" x="2705"/>
        <item m="1" x="3215"/>
        <item m="1" x="3729"/>
        <item m="1" x="4241"/>
        <item m="1" x="4744"/>
        <item m="1" x="5246"/>
        <item m="1" x="5748"/>
        <item m="1" x="6253"/>
        <item m="1" x="6762"/>
        <item m="1" x="7270"/>
        <item m="1" x="7777"/>
        <item m="1" x="316"/>
        <item m="1" x="819"/>
        <item m="1" x="1320"/>
        <item m="1" x="1819"/>
        <item m="1" x="2322"/>
        <item m="1" x="2831"/>
        <item m="1" x="3340"/>
        <item m="1" x="3854"/>
        <item m="1" x="4365"/>
        <item m="1" x="4869"/>
        <item m="1" x="5368"/>
        <item m="1" x="5869"/>
        <item m="1" x="6376"/>
        <item m="1" x="6886"/>
        <item m="1" x="7390"/>
        <item m="1" x="7897"/>
        <item m="1" x="438"/>
        <item m="1" x="943"/>
        <item m="1" x="1441"/>
        <item m="1" x="1942"/>
        <item m="1" x="2447"/>
        <item m="1" x="2955"/>
        <item m="1" x="3464"/>
        <item m="1" x="3981"/>
        <item m="1" x="4490"/>
        <item m="1" x="4991"/>
        <item m="1" x="5492"/>
        <item m="1" x="5991"/>
        <item m="1" x="6499"/>
        <item m="1" x="7009"/>
        <item m="1" x="7514"/>
        <item m="1" x="54"/>
        <item m="1" x="561"/>
        <item m="1" x="1067"/>
        <item m="1" x="1568"/>
        <item m="1" x="2066"/>
        <item m="1" x="2571"/>
        <item m="1" x="3081"/>
        <item m="1" x="3589"/>
        <item m="1" x="4104"/>
        <item m="1" x="4607"/>
        <item m="1" x="5111"/>
        <item m="1" x="5614"/>
        <item m="1" x="6115"/>
        <item m="1" x="6623"/>
        <item m="1" x="7134"/>
        <item m="1" x="7639"/>
        <item m="1" x="176"/>
        <item m="1" x="679"/>
        <item m="1" x="1187"/>
        <item m="1" x="1687"/>
        <item m="1" x="2186"/>
        <item m="1" x="2690"/>
        <item m="1" x="3201"/>
        <item m="1" x="3713"/>
        <item m="1" x="4223"/>
        <item m="1" x="4727"/>
        <item m="1" x="5231"/>
        <item m="1" x="5732"/>
        <item m="1" x="6237"/>
        <item m="1" x="6746"/>
        <item m="1" x="7257"/>
        <item m="1" x="7760"/>
        <item m="1" x="298"/>
        <item m="1" x="801"/>
        <item m="1" x="1307"/>
        <item m="1" x="1804"/>
        <item m="1" x="2307"/>
        <item m="1" x="2815"/>
        <item m="1" x="3326"/>
        <item m="1" x="3839"/>
        <item m="1" x="4347"/>
        <item m="1" x="4851"/>
        <item m="1" x="5355"/>
        <item m="1" x="5854"/>
        <item m="1" x="6360"/>
        <item m="1" x="6870"/>
        <item m="1" x="7378"/>
        <item m="1" x="7881"/>
        <item m="1" x="419"/>
        <item m="1" x="925"/>
        <item m="1" x="1427"/>
        <item m="1" x="1926"/>
        <item m="1" x="2432"/>
        <item m="1" x="2939"/>
        <item m="1" x="3451"/>
        <item m="1" x="3965"/>
        <item m="1" x="4472"/>
        <item m="1" x="4972"/>
        <item m="1" x="5478"/>
        <item m="1" x="5976"/>
        <item m="1" x="6483"/>
        <item m="1" x="6990"/>
        <item m="1" x="7500"/>
        <item m="1" x="37"/>
        <item m="1" x="543"/>
        <item m="1" x="1045"/>
        <item m="1" x="1552"/>
        <item m="1" x="4786"/>
        <item m="1" x="5286"/>
        <item m="1" x="5787"/>
        <item m="1" x="6293"/>
        <item m="1" x="6805"/>
        <item m="1" x="7310"/>
        <item m="1" x="7820"/>
        <item m="1" x="355"/>
        <item m="1" x="858"/>
        <item m="1" x="1356"/>
        <item m="1" x="1857"/>
        <item m="1" x="2363"/>
        <item m="1" x="2871"/>
        <item m="1" x="3381"/>
        <item m="1" x="3900"/>
        <item m="1" x="4407"/>
        <item m="1" x="4907"/>
        <item m="1" x="5406"/>
        <item m="1" x="5909"/>
        <item m="1" x="6416"/>
        <item m="1" x="6926"/>
        <item m="1" x="7431"/>
        <item m="1" x="7942"/>
        <item m="1" x="480"/>
        <item m="1" x="981"/>
        <item m="1" x="1480"/>
        <item m="1" x="1981"/>
        <item m="1" x="2490"/>
        <item m="1" x="2996"/>
        <item m="1" x="3505"/>
        <item m="1" x="4025"/>
        <item m="1" x="4530"/>
        <item m="1" x="5028"/>
        <item m="1" x="5528"/>
        <item m="1" x="6031"/>
        <item m="1" x="6539"/>
        <item m="1" x="7049"/>
        <item m="1" x="7556"/>
        <item m="1" x="97"/>
        <item m="1" x="603"/>
        <item m="1" x="1105"/>
        <item m="1" x="1606"/>
        <item m="1" x="2104"/>
        <item m="1" x="2613"/>
        <item m="1" x="3120"/>
        <item m="1" x="3629"/>
        <item m="1" x="4144"/>
        <item m="1" x="4647"/>
        <item m="1" x="5148"/>
        <item m="1" x="5651"/>
        <item m="1" x="6154"/>
        <item m="1" x="6664"/>
        <item m="1" x="7175"/>
        <item m="1" x="7679"/>
        <item m="1" x="217"/>
        <item m="1" x="719"/>
        <item m="1" x="1224"/>
        <item m="1" x="1724"/>
        <item m="1" x="2222"/>
        <item m="1" x="2730"/>
        <item m="1" x="3243"/>
        <item m="1" x="3754"/>
        <item m="1" x="4266"/>
        <item m="1" x="4768"/>
        <item m="1" x="5271"/>
        <item m="1" x="5771"/>
        <item m="1" x="6275"/>
        <item m="1" x="6787"/>
        <item m="1" x="7297"/>
        <item m="1" x="7803"/>
        <item m="1" x="340"/>
        <item m="1" x="843"/>
        <item m="1" x="1345"/>
        <item m="1" x="1842"/>
        <item m="1" x="2345"/>
        <item m="1" x="2855"/>
        <item m="1" x="3369"/>
        <item m="1" x="3882"/>
        <item m="1" x="4391"/>
        <item m="1" x="4893"/>
        <item m="1" x="5393"/>
        <item m="1" x="5894"/>
        <item m="1" x="6399"/>
        <item m="1" x="6910"/>
        <item m="1" x="7418"/>
        <item m="1" x="7923"/>
        <item m="1" x="462"/>
        <item m="1" x="966"/>
        <item m="1" x="1467"/>
        <item m="1" x="1966"/>
        <item m="1" x="2472"/>
        <item m="1" x="2980"/>
        <item m="1" x="3492"/>
        <item m="1" x="4009"/>
        <item m="1" x="4513"/>
        <item m="1" x="5014"/>
        <item m="1" x="5515"/>
        <item m="1" x="6016"/>
        <item m="1" x="6521"/>
        <item m="1" x="7031"/>
        <item m="1" x="7543"/>
        <item m="1" x="81"/>
        <item m="1" x="584"/>
        <item m="1" x="1089"/>
        <item m="1" x="1591"/>
        <item m="1" x="2090"/>
        <item m="1" x="2593"/>
        <item m="1" x="3104"/>
        <item m="1" x="3616"/>
        <item m="1" x="4129"/>
        <item m="1" x="4630"/>
        <item m="1" x="5134"/>
        <item m="1" x="5638"/>
        <item m="1" x="6140"/>
        <item m="1" x="6647"/>
        <item m="1" x="7159"/>
        <item m="1" x="7667"/>
        <item m="1" x="203"/>
        <item m="1" x="705"/>
        <item m="1" x="1210"/>
        <item m="1" x="1713"/>
        <item m="1" x="2210"/>
        <item m="1" x="2714"/>
        <item m="1" x="3228"/>
        <item m="1" x="3743"/>
        <item m="1" x="4252"/>
        <item m="1" x="4754"/>
        <item m="1" x="5257"/>
        <item m="1" x="5760"/>
        <item m="1" x="6263"/>
        <item m="1" x="6772"/>
        <item m="1" x="7281"/>
        <item m="1" x="7792"/>
        <item m="1" x="327"/>
        <item m="1" x="829"/>
        <item m="1" x="1330"/>
        <item m="1" x="1831"/>
        <item m="1" x="2332"/>
        <item m="1" x="2840"/>
        <item m="1" x="3352"/>
        <item m="1" x="3871"/>
        <item m="1" x="4377"/>
        <item m="1" x="4879"/>
        <item m="1" x="5379"/>
        <item m="1" x="5881"/>
        <item m="1" x="6386"/>
        <item m="1" x="6895"/>
        <item m="1" x="7401"/>
        <item m="1" x="7910"/>
        <item m="1" x="448"/>
        <item m="1" x="952"/>
        <item m="1" x="1451"/>
        <item m="1" x="1952"/>
        <item m="1" x="2458"/>
        <item m="1" x="2963"/>
        <item m="1" x="3475"/>
        <item m="1" x="3994"/>
        <item m="1" x="4501"/>
        <item m="1" x="5000"/>
        <item m="1" x="5502"/>
        <item m="1" x="6002"/>
        <item m="1" x="6510"/>
        <item m="1" x="7017"/>
        <item m="1" x="7527"/>
        <item m="1" x="67"/>
        <item m="1" x="573"/>
        <item m="1" x="1076"/>
        <item m="1" x="1577"/>
        <item m="1" x="2077"/>
        <item m="1" x="2582"/>
        <item m="1" x="3089"/>
        <item m="1" x="3600"/>
        <item m="1" x="4117"/>
        <item m="1" x="4618"/>
        <item m="1" x="5119"/>
        <item m="1" x="5624"/>
        <item m="1" x="6127"/>
        <item m="1" x="6635"/>
        <item m="1" x="7144"/>
        <item m="1" x="7651"/>
        <item m="1" x="190"/>
        <item m="1" x="693"/>
        <item m="1" x="1197"/>
        <item m="1" x="1699"/>
        <item m="1" x="2198"/>
        <item m="1" x="2703"/>
        <item m="1" x="3212"/>
        <item m="1" x="3725"/>
        <item m="1" x="4237"/>
        <item m="1" x="4741"/>
        <item m="1" x="5242"/>
        <item m="1" x="5744"/>
        <item m="1" x="6248"/>
        <item m="1" x="6758"/>
        <item m="1" x="7266"/>
        <item m="1" x="7772"/>
        <item m="1" x="310"/>
        <item m="1" x="815"/>
        <item m="1" x="1315"/>
        <item m="1" x="1814"/>
        <item m="1" x="2317"/>
        <item m="1" x="2827"/>
        <item m="1" x="3335"/>
        <item m="1" x="3849"/>
        <item m="1" x="4359"/>
        <item m="1" x="4864"/>
        <item m="1" x="5362"/>
        <item m="1" x="5865"/>
        <item m="1" x="6370"/>
        <item m="1" x="6882"/>
        <item m="1" x="7386"/>
        <item m="1" x="7892"/>
        <item m="1" x="432"/>
        <item m="1" x="939"/>
        <item m="1" x="1436"/>
        <item m="1" x="1937"/>
        <item m="1" x="2442"/>
        <item m="1" x="2951"/>
        <item m="1" x="3459"/>
        <item m="1" x="3976"/>
        <item m="1" x="4484"/>
        <item m="1" x="4987"/>
        <item m="1" x="5487"/>
        <item m="1" x="5987"/>
        <item m="1" x="6494"/>
        <item m="1" x="7004"/>
        <item m="1" x="7510"/>
        <item m="1" x="49"/>
        <item m="1" x="555"/>
        <item m="1" x="1062"/>
        <item m="1" x="1564"/>
        <item m="1" x="2061"/>
        <item m="1" x="2566"/>
        <item m="1" x="3076"/>
        <item m="1" x="3584"/>
        <item m="1" x="4098"/>
        <item m="1" x="4601"/>
        <item m="1" x="5105"/>
        <item m="1" x="5609"/>
        <item m="1" x="6111"/>
        <item m="1" x="6618"/>
        <item m="1" x="7128"/>
        <item m="1" x="7636"/>
        <item m="1" x="171"/>
        <item m="1" x="2882"/>
        <item m="1" x="3395"/>
        <item m="1" x="3914"/>
        <item m="1" x="4419"/>
        <item m="1" x="4917"/>
        <item m="1" x="5418"/>
        <item m="1" x="5922"/>
        <item m="1" x="6427"/>
        <item m="1" x="6935"/>
        <item m="1" x="7444"/>
        <item m="1" x="7954"/>
        <item m="1" x="490"/>
        <item m="1" x="991"/>
        <item m="1" x="1491"/>
        <item m="1" x="1995"/>
        <item m="1" x="2501"/>
        <item m="1" x="3005"/>
        <item m="1" x="3518"/>
        <item m="1" x="4038"/>
        <item m="1" x="4540"/>
        <item m="1" x="5036"/>
        <item m="1" x="5540"/>
        <item m="1" x="6045"/>
        <item m="1" x="6551"/>
        <item m="1" x="7058"/>
        <item m="1" x="7569"/>
        <item m="1" x="109"/>
        <item m="1" x="613"/>
        <item m="1" x="1113"/>
        <item m="1" x="1618"/>
        <item m="1" x="2117"/>
        <item m="1" x="2624"/>
        <item m="1" x="3129"/>
        <item m="1" x="3643"/>
        <item m="1" x="4157"/>
        <item m="1" x="4659"/>
        <item m="1" x="5156"/>
        <item m="1" x="5662"/>
        <item m="1" x="6169"/>
        <item m="1" x="6678"/>
        <item m="1" x="7186"/>
        <item m="1" x="7693"/>
        <item m="1" x="231"/>
        <item m="1" x="734"/>
        <item m="1" x="1234"/>
        <item m="1" x="1736"/>
        <item m="1" x="2236"/>
        <item m="1" x="2745"/>
        <item m="1" x="3253"/>
        <item m="1" x="3767"/>
        <item m="1" x="4280"/>
        <item m="1" x="4782"/>
        <item m="1" x="5281"/>
        <item m="1" x="5782"/>
        <item m="1" x="6287"/>
        <item m="1" x="6800"/>
        <item m="1" x="7304"/>
        <item m="1" x="7815"/>
        <item m="1" x="351"/>
        <item m="1" x="854"/>
        <item m="1" x="1353"/>
        <item m="1" x="1853"/>
        <item m="1" x="2358"/>
        <item m="1" x="2867"/>
        <item m="1" x="3377"/>
        <item m="1" x="3895"/>
        <item m="1" x="4403"/>
        <item m="1" x="4904"/>
        <item m="1" x="5402"/>
        <item m="1" x="5904"/>
        <item m="1" x="6411"/>
        <item m="1" x="6923"/>
        <item m="1" x="7427"/>
        <item m="1" x="7937"/>
        <item m="1" x="476"/>
        <item m="1" x="978"/>
        <item m="1" x="1477"/>
        <item m="1" x="1977"/>
        <item m="1" x="2485"/>
        <item m="1" x="2993"/>
        <item m="1" x="3501"/>
        <item m="1" x="4020"/>
        <item m="1" x="4526"/>
        <item m="1" x="5025"/>
        <item m="1" x="5524"/>
        <item m="1" x="6026"/>
        <item m="1" x="6534"/>
        <item m="1" x="7044"/>
        <item m="1" x="7552"/>
        <item m="1" x="92"/>
        <item m="1" x="599"/>
        <item m="1" x="1101"/>
        <item m="1" x="1603"/>
        <item m="1" x="2100"/>
        <item m="1" x="2607"/>
        <item m="1" x="3116"/>
        <item m="1" x="3626"/>
        <item m="1" x="4139"/>
        <item m="1" x="4642"/>
        <item m="1" x="5144"/>
        <item m="1" x="5647"/>
        <item m="1" x="6149"/>
        <item m="1" x="6659"/>
        <item m="1" x="7171"/>
        <item m="1" x="7677"/>
        <item m="1" x="213"/>
        <item m="1" x="717"/>
        <item m="1" x="1221"/>
        <item m="1" x="1723"/>
        <item m="1" x="2219"/>
        <item m="1" x="2727"/>
        <item m="1" x="3240"/>
        <item m="1" x="3753"/>
        <item m="1" x="4262"/>
        <item m="1" x="4766"/>
        <item m="1" x="5268"/>
        <item m="1" x="5769"/>
        <item m="1" x="6271"/>
        <item m="1" x="6784"/>
        <item m="1" x="7293"/>
        <item m="1" x="7801"/>
        <item m="1" x="336"/>
        <item m="1" x="841"/>
        <item m="1" x="1341"/>
        <item m="1" x="1841"/>
        <item m="1" x="2342"/>
        <item m="1" x="2852"/>
        <item m="1" x="3366"/>
        <item m="1" x="3881"/>
        <item m="1" x="4387"/>
        <item m="1" x="4890"/>
        <item m="1" x="5390"/>
        <item m="1" x="5892"/>
        <item m="1" x="6395"/>
        <item m="1" x="6907"/>
        <item m="1" x="7415"/>
        <item m="1" x="7922"/>
        <item m="1" x="458"/>
        <item m="1" x="963"/>
        <item m="1" x="1464"/>
        <item m="1" x="1964"/>
        <item m="1" x="2470"/>
        <item m="1" x="2976"/>
        <item m="1" x="3489"/>
        <item m="1" x="4007"/>
        <item m="1" x="4510"/>
        <item m="1" x="5010"/>
        <item m="1" x="5512"/>
        <item m="1" x="6013"/>
        <item m="1" x="6518"/>
        <item m="1" x="7027"/>
        <item m="1" x="7540"/>
        <item m="1" x="78"/>
        <item m="1" x="581"/>
        <item m="1" x="1086"/>
        <item m="1" x="1588"/>
        <item m="1" x="2087"/>
        <item m="1" x="2591"/>
        <item m="1" x="3100"/>
        <item m="1" x="3613"/>
        <item m="1" x="4127"/>
        <item m="1" x="4627"/>
        <item m="1" x="5130"/>
        <item m="1" x="5635"/>
        <item m="1" x="6137"/>
        <item m="1" x="6644"/>
        <item m="1" x="7155"/>
        <item m="1" x="7664"/>
        <item m="1" x="201"/>
        <item m="1" x="702"/>
        <item m="1" x="1207"/>
        <item m="1" x="1710"/>
        <item m="1" x="2208"/>
        <item m="1" x="2712"/>
        <item m="1" x="3224"/>
        <item m="1" x="3739"/>
        <item m="1" x="4250"/>
        <item m="1" x="4751"/>
        <item m="1" x="5253"/>
        <item m="1" x="5757"/>
        <item m="1" x="6261"/>
        <item m="1" x="6769"/>
        <item m="1" x="7277"/>
        <item m="1" x="7788"/>
        <item m="1" x="324"/>
        <item m="1" x="825"/>
        <item m="1" x="1327"/>
        <item m="1" x="1827"/>
        <item m="1" x="2330"/>
        <item m="1" x="2838"/>
        <item m="1" x="3347"/>
        <item m="1" x="3864"/>
        <item m="1" x="4373"/>
        <item m="1" x="4874"/>
        <item m="1" x="5374"/>
        <item m="1" x="5876"/>
        <item m="1" x="6383"/>
        <item m="1" x="6891"/>
        <item m="1" x="7397"/>
        <item m="1" x="7905"/>
        <item m="1" x="445"/>
        <item m="1" x="948"/>
        <item m="1" x="1448"/>
        <item m="1" x="1948"/>
        <item m="1" x="2455"/>
        <item m="1" x="2960"/>
        <item m="1" x="3471"/>
        <item m="1" x="3989"/>
        <item m="1" x="4498"/>
        <item m="1" x="4996"/>
        <item m="1" x="5498"/>
        <item m="1" x="5998"/>
        <item m="1" x="6507"/>
        <item m="1" x="7013"/>
        <item m="1" x="7522"/>
        <item m="1" x="62"/>
        <item m="1" x="569"/>
        <item m="1" x="1071"/>
        <item m="1" x="1574"/>
        <item m="1" x="2073"/>
        <item m="1" x="2578"/>
        <item m="1" x="3086"/>
        <item m="1" x="3596"/>
        <item m="1" x="4112"/>
        <item m="1" x="4615"/>
        <item m="1" x="5115"/>
        <item m="1" x="5620"/>
        <item m="1" x="6123"/>
        <item m="1" x="6631"/>
        <item m="1" x="7140"/>
        <item m="1" x="7647"/>
        <item m="1" x="185"/>
        <item m="1" x="689"/>
        <item m="1" x="1194"/>
        <item m="1" x="1696"/>
        <item m="1" x="2194"/>
        <item m="1" x="2699"/>
        <item m="1" x="3209"/>
        <item m="1" x="3721"/>
        <item m="1" x="4232"/>
        <item m="1" x="4737"/>
        <item m="1" x="5239"/>
        <item m="1" x="5740"/>
        <item m="1" x="6245"/>
        <item m="1" x="1508"/>
        <item m="1" x="2007"/>
        <item m="1" x="2512"/>
        <item m="1" x="3019"/>
        <item m="1" x="3533"/>
        <item m="1" x="4049"/>
        <item m="1" x="4550"/>
        <item m="1" x="5047"/>
        <item m="1" x="5553"/>
        <item m="1" x="6055"/>
        <item m="1" x="6561"/>
        <item m="1" x="7072"/>
        <item m="1" x="7582"/>
        <item m="1" x="120"/>
        <item m="1" x="622"/>
        <item m="1" x="1124"/>
        <item m="1" x="1631"/>
        <item m="1" x="2128"/>
        <item m="1" x="2634"/>
        <item m="1" x="3142"/>
        <item m="1" x="3658"/>
        <item m="1" x="4169"/>
        <item m="1" x="4669"/>
        <item m="1" x="5170"/>
        <item m="1" x="5676"/>
        <item m="1" x="6181"/>
        <item m="1" x="6688"/>
        <item m="1" x="7199"/>
        <item m="1" x="7707"/>
        <item m="1" x="242"/>
        <item m="1" x="743"/>
        <item m="1" x="1246"/>
        <item m="1" x="1749"/>
        <item m="1" x="2247"/>
        <item m="1" x="2754"/>
        <item m="1" x="3267"/>
        <item m="1" x="3782"/>
        <item m="1" x="4291"/>
        <item m="1" x="4793"/>
        <item m="1" x="5295"/>
        <item m="1" x="5797"/>
        <item m="1" x="6301"/>
        <item m="1" x="6811"/>
        <item m="1" x="7319"/>
        <item m="1" x="7830"/>
        <item m="1" x="363"/>
        <item m="1" x="865"/>
        <item m="1" x="1364"/>
        <item m="1" x="1867"/>
        <item m="1" x="2371"/>
        <item m="1" x="2878"/>
        <item m="1" x="3390"/>
        <item m="1" x="3909"/>
        <item m="1" x="4415"/>
        <item m="1" x="4913"/>
        <item m="1" x="5413"/>
        <item m="1" x="5917"/>
        <item m="1" x="6424"/>
        <item m="1" x="6931"/>
        <item m="1" x="7439"/>
        <item m="1" x="7950"/>
        <item m="1" x="487"/>
        <item m="1" x="987"/>
        <item m="1" x="1487"/>
        <item m="1" x="1990"/>
        <item m="1" x="2497"/>
        <item m="1" x="3000"/>
        <item m="1" x="3513"/>
        <item m="1" x="4033"/>
        <item m="1" x="4537"/>
        <item m="1" x="5033"/>
        <item m="1" x="5536"/>
        <item m="1" x="6040"/>
        <item m="1" x="6548"/>
        <item m="1" x="7054"/>
        <item m="1" x="7564"/>
        <item m="1" x="105"/>
        <item m="1" x="610"/>
        <item m="1" x="1109"/>
        <item m="1" x="1613"/>
        <item m="1" x="2112"/>
        <item m="1" x="2621"/>
        <item m="1" x="3125"/>
        <item m="1" x="3638"/>
        <item m="1" x="4153"/>
        <item m="1" x="4655"/>
        <item m="1" x="5153"/>
        <item m="1" x="5658"/>
        <item m="1" x="6164"/>
        <item m="1" x="6674"/>
        <item m="1" x="7183"/>
        <item m="1" x="7688"/>
        <item m="1" x="227"/>
        <item m="1" x="730"/>
        <item m="1" x="1230"/>
        <item m="1" x="1731"/>
        <item m="1" x="2231"/>
        <item m="1" x="2740"/>
        <item m="1" x="3249"/>
        <item m="1" x="3762"/>
        <item m="1" x="4276"/>
        <item m="1" x="4777"/>
        <item m="1" x="5278"/>
        <item m="1" x="5778"/>
        <item m="1" x="6284"/>
        <item m="1" x="6796"/>
        <item m="1" x="7303"/>
        <item m="1" x="7811"/>
        <item m="1" x="349"/>
        <item m="1" x="851"/>
        <item m="1" x="1351"/>
        <item m="1" x="1849"/>
        <item m="1" x="2355"/>
        <item m="1" x="2864"/>
        <item m="1" x="3376"/>
        <item m="1" x="3891"/>
        <item m="1" x="4401"/>
        <item m="1" x="4901"/>
        <item m="1" x="5401"/>
        <item m="1" x="5901"/>
        <item m="1" x="6408"/>
        <item m="1" x="6919"/>
        <item m="1" x="7425"/>
        <item m="1" x="7932"/>
        <item m="1" x="472"/>
        <item m="1" x="974"/>
        <item m="1" x="1475"/>
        <item m="1" x="1973"/>
        <item m="1" x="2482"/>
        <item m="1" x="2990"/>
        <item m="1" x="3499"/>
        <item m="1" x="4016"/>
        <item m="1" x="4524"/>
        <item m="1" x="5022"/>
        <item m="1" x="5522"/>
        <item m="1" x="6023"/>
        <item m="1" x="6530"/>
        <item m="1" x="7041"/>
        <item m="1" x="7550"/>
        <item m="1" x="89"/>
        <item m="1" x="594"/>
        <item m="1" x="1098"/>
        <item m="1" x="1600"/>
        <item m="1" x="2097"/>
        <item m="1" x="2603"/>
        <item m="1" x="3113"/>
        <item m="1" x="3624"/>
        <item m="1" x="4136"/>
        <item m="1" x="4639"/>
        <item m="1" x="5141"/>
        <item m="1" x="5645"/>
        <item m="1" x="6147"/>
        <item m="1" x="6655"/>
        <item m="1" x="7168"/>
        <item m="1" x="7675"/>
        <item m="1" x="210"/>
        <item m="1" x="713"/>
        <item m="1" x="1218"/>
        <item m="1" x="1720"/>
        <item m="1" x="2216"/>
        <item m="1" x="2723"/>
        <item m="1" x="3237"/>
        <item m="1" x="3750"/>
        <item m="1" x="4258"/>
        <item m="1" x="4763"/>
        <item m="1" x="5264"/>
        <item m="1" x="5767"/>
        <item m="1" x="6269"/>
        <item m="1" x="6780"/>
        <item m="1" x="7290"/>
        <item m="1" x="7799"/>
        <item m="1" x="333"/>
        <item m="1" x="837"/>
        <item m="1" x="1338"/>
        <item m="1" x="1839"/>
        <item m="1" x="2339"/>
        <item m="1" x="2848"/>
        <item m="1" x="3362"/>
        <item m="1" x="3879"/>
        <item m="1" x="4384"/>
        <item m="1" x="4887"/>
        <item m="1" x="5387"/>
        <item m="1" x="5890"/>
        <item m="1" x="6393"/>
        <item m="1" x="6903"/>
        <item m="1" x="7411"/>
        <item m="1" x="7920"/>
        <item m="1" x="455"/>
        <item m="1" x="959"/>
        <item m="1" x="1460"/>
        <item m="1" x="1961"/>
        <item m="1" x="2465"/>
        <item m="1" x="2971"/>
        <item m="1" x="3483"/>
        <item m="1" x="4002"/>
        <item m="1" x="4505"/>
        <item m="1" x="5007"/>
        <item m="1" x="5508"/>
        <item m="1" x="6009"/>
        <item m="1" x="6515"/>
        <item m="1" x="7023"/>
        <item m="1" x="7535"/>
        <item m="1" x="74"/>
        <item m="1" x="577"/>
        <item m="1" x="1082"/>
        <item m="1" x="1584"/>
        <item m="1" x="2084"/>
        <item m="1" x="2587"/>
        <item m="1" x="3096"/>
        <item m="1" x="3608"/>
        <item m="1" x="4124"/>
        <item m="1" x="4623"/>
        <item m="1" x="5127"/>
        <item m="1" x="5631"/>
        <item m="1" x="6134"/>
        <item m="1" x="6641"/>
        <item m="1" x="7151"/>
        <item m="1" x="7659"/>
        <item m="1" x="198"/>
        <item m="1" x="698"/>
        <item m="1" x="1203"/>
        <item m="1" x="1706"/>
        <item m="1" x="2205"/>
        <item m="1" x="2708"/>
        <item m="1" x="3219"/>
        <item m="1" x="3734"/>
        <item m="1" x="4245"/>
        <item m="1" x="4747"/>
        <item m="1" x="5250"/>
        <item m="1" x="5753"/>
        <item m="1" x="6257"/>
        <item m="1" x="6766"/>
        <item m="1" x="7273"/>
        <item m="1" x="7782"/>
        <item m="1" x="320"/>
        <item m="1" x="822"/>
        <item m="1" x="1323"/>
        <item m="1" x="1823"/>
        <item m="1" x="2326"/>
        <item m="1" x="2834"/>
        <item m="1" x="3343"/>
        <item m="1" x="3859"/>
        <item m="1" x="4369"/>
        <item m="1" x="4872"/>
        <item m="1" x="7596"/>
        <item m="1" x="134"/>
        <item m="1" x="635"/>
        <item m="1" x="1139"/>
        <item m="1" x="1644"/>
        <item m="1" x="2140"/>
        <item m="1" x="2647"/>
        <item m="1" x="3156"/>
        <item m="1" x="3669"/>
        <item m="1" x="4179"/>
        <item m="1" x="4680"/>
        <item m="1" x="5183"/>
        <item m="1" x="5687"/>
        <item m="1" x="6191"/>
        <item m="1" x="6701"/>
        <item m="1" x="7212"/>
        <item m="1" x="7717"/>
        <item m="1" x="253"/>
        <item m="1" x="755"/>
        <item m="1" x="1259"/>
        <item m="1" x="1759"/>
        <item m="1" x="2259"/>
        <item m="1" x="2769"/>
        <item m="1" x="3282"/>
        <item m="1" x="3793"/>
        <item m="1" x="4302"/>
        <item m="1" x="4804"/>
        <item m="1" x="5308"/>
        <item m="1" x="5808"/>
        <item m="1" x="6312"/>
        <item m="1" x="6824"/>
        <item m="1" x="7335"/>
        <item m="1" x="7840"/>
        <item m="1" x="374"/>
        <item m="1" x="877"/>
        <item m="1" x="1379"/>
        <item m="1" x="1880"/>
        <item m="1" x="2382"/>
        <item m="1" x="2891"/>
        <item m="1" x="3407"/>
        <item m="1" x="3922"/>
        <item m="1" x="4427"/>
        <item m="1" x="4925"/>
        <item m="1" x="5430"/>
        <item m="1" x="5930"/>
        <item m="1" x="6434"/>
        <item m="1" x="6944"/>
        <item m="1" x="7456"/>
        <item m="1" x="7962"/>
        <item m="1" x="498"/>
        <item m="1" x="999"/>
        <item m="1" x="1502"/>
        <item m="1" x="2003"/>
        <item m="1" x="2507"/>
        <item m="1" x="3013"/>
        <item m="1" x="3527"/>
        <item m="1" x="4045"/>
        <item m="1" x="4546"/>
        <item m="1" x="5043"/>
        <item m="1" x="5548"/>
        <item m="1" x="6052"/>
        <item m="1" x="6557"/>
        <item m="1" x="7067"/>
        <item m="1" x="7578"/>
        <item m="1" x="117"/>
        <item m="1" x="619"/>
        <item m="1" x="1120"/>
        <item m="1" x="1626"/>
        <item m="1" x="2125"/>
        <item m="1" x="2630"/>
        <item m="1" x="3137"/>
        <item m="1" x="3654"/>
        <item m="1" x="4166"/>
        <item m="1" x="4665"/>
        <item m="1" x="5165"/>
        <item m="1" x="5671"/>
        <item m="1" x="6177"/>
        <item m="1" x="6683"/>
        <item m="1" x="7194"/>
        <item m="1" x="7703"/>
        <item m="1" x="238"/>
        <item m="1" x="740"/>
        <item m="1" x="1242"/>
        <item m="1" x="1744"/>
        <item m="1" x="2244"/>
        <item m="1" x="2750"/>
        <item m="1" x="3261"/>
        <item m="1" x="3778"/>
        <item m="1" x="4287"/>
        <item m="1" x="4789"/>
        <item m="1" x="5289"/>
        <item m="1" x="5792"/>
        <item m="1" x="6297"/>
        <item m="1" x="6808"/>
        <item m="1" x="7314"/>
        <item m="1" x="7826"/>
        <item m="1" x="359"/>
        <item m="1" x="862"/>
        <item m="1" x="1360"/>
        <item m="1" x="1862"/>
        <item m="1" x="2367"/>
        <item m="1" x="2875"/>
        <item m="1" x="3385"/>
        <item m="1" x="3906"/>
        <item m="1" x="4411"/>
        <item m="1" x="4911"/>
        <item m="1" x="5409"/>
        <item m="1" x="5914"/>
        <item m="1" x="6420"/>
        <item m="1" x="6929"/>
        <item m="1" x="7435"/>
        <item m="1" x="7948"/>
        <item m="1" x="484"/>
        <item m="1" x="985"/>
        <item m="1" x="1484"/>
        <item m="1" x="1986"/>
        <item m="1" x="2494"/>
        <item m="1" x="2999"/>
        <item m="1" x="3509"/>
        <item m="1" x="4031"/>
        <item m="1" x="4534"/>
        <item m="1" x="5031"/>
        <item m="1" x="5531"/>
        <item m="1" x="6036"/>
        <item m="1" x="6544"/>
        <item m="1" x="7052"/>
        <item m="1" x="7560"/>
        <item m="1" x="103"/>
        <item m="1" x="607"/>
        <item m="1" x="1108"/>
        <item m="1" x="1610"/>
        <item m="1" x="2109"/>
        <item m="1" x="2618"/>
        <item m="1" x="3124"/>
        <item m="1" x="3634"/>
        <item m="1" x="4150"/>
        <item m="1" x="4652"/>
        <item m="1" x="5151"/>
        <item m="1" x="5654"/>
        <item m="1" x="6160"/>
        <item m="1" x="6671"/>
        <item m="1" x="7180"/>
        <item m="1" x="7685"/>
        <item m="1" x="224"/>
        <item m="1" x="726"/>
        <item m="1" x="1228"/>
        <item m="1" x="1729"/>
        <item m="1" x="2227"/>
        <item m="1" x="2736"/>
        <item m="1" x="3247"/>
        <item m="1" x="3759"/>
        <item m="1" x="4272"/>
        <item m="1" x="4773"/>
        <item m="1" x="5275"/>
        <item m="1" x="5775"/>
        <item m="1" x="6280"/>
        <item m="1" x="6793"/>
        <item m="1" x="7301"/>
        <item m="1" x="7808"/>
        <item m="1" x="346"/>
        <item m="1" x="848"/>
        <item m="1" x="1349"/>
        <item m="1" x="1847"/>
        <item m="1" x="2351"/>
        <item m="1" x="2861"/>
        <item m="1" x="3374"/>
        <item m="1" x="3888"/>
        <item m="1" x="4397"/>
        <item m="1" x="4898"/>
        <item m="1" x="5398"/>
        <item m="1" x="5898"/>
        <item m="1" x="6404"/>
        <item m="1" x="6916"/>
        <item m="1" x="7422"/>
        <item m="1" x="7928"/>
        <item m="1" x="469"/>
        <item m="1" x="971"/>
        <item m="1" x="1472"/>
        <item m="1" x="1971"/>
        <item m="1" x="2478"/>
        <item m="1" x="2986"/>
        <item m="1" x="3497"/>
        <item m="1" x="4013"/>
        <item m="1" x="4519"/>
        <item m="1" x="5019"/>
        <item m="1" x="5520"/>
        <item m="1" x="6020"/>
        <item m="1" x="6526"/>
        <item m="1" x="7037"/>
        <item m="1" x="7548"/>
        <item m="1" x="85"/>
        <item m="1" x="590"/>
        <item m="1" x="1093"/>
        <item m="1" x="1596"/>
        <item m="1" x="2093"/>
        <item m="1" x="2598"/>
        <item m="1" x="3108"/>
        <item m="1" x="3621"/>
        <item m="1" x="4132"/>
        <item m="1" x="4635"/>
        <item m="1" x="5137"/>
        <item m="1" x="5642"/>
        <item m="1" x="6143"/>
        <item m="1" x="6651"/>
        <item m="1" x="7163"/>
        <item m="1" x="7671"/>
        <item m="1" x="205"/>
        <item m="1" x="710"/>
        <item m="1" x="1213"/>
        <item m="1" x="1717"/>
        <item m="1" x="2213"/>
        <item m="1" x="2719"/>
        <item m="1" x="3232"/>
        <item m="1" x="3747"/>
        <item m="1" x="4254"/>
        <item m="1" x="4759"/>
        <item m="1" x="5260"/>
        <item m="1" x="5764"/>
        <item m="1" x="6265"/>
        <item m="1" x="6776"/>
        <item m="1" x="7285"/>
        <item m="1" x="7796"/>
        <item m="1" x="329"/>
        <item m="1" x="834"/>
        <item m="1" x="1334"/>
        <item m="1" x="1835"/>
        <item m="1" x="2336"/>
        <item m="1" x="2844"/>
        <item m="1" x="3357"/>
        <item m="1" x="3875"/>
        <item m="1" x="4381"/>
        <item m="1" x="4883"/>
        <item m="1" x="5383"/>
        <item m="1" x="5886"/>
        <item m="1" x="6389"/>
        <item m="1" x="6898"/>
        <item m="1" x="7406"/>
        <item m="1" x="7915"/>
        <item m="1" x="451"/>
        <item m="1" x="956"/>
        <item m="1" x="1456"/>
        <item m="1" x="1956"/>
        <item m="1" x="2462"/>
        <item m="1" x="2967"/>
        <item m="1" x="5700"/>
        <item m="1" x="6206"/>
        <item m="1" x="6717"/>
        <item m="1" x="7224"/>
        <item m="1" x="7730"/>
        <item m="1" x="266"/>
        <item m="1" x="769"/>
        <item m="1" x="1271"/>
        <item m="1" x="1771"/>
        <item m="1" x="2273"/>
        <item m="1" x="2783"/>
        <item m="1" x="3293"/>
        <item m="1" x="3806"/>
        <item m="1" x="4314"/>
        <item m="1" x="4818"/>
        <item m="1" x="5320"/>
        <item m="1" x="5820"/>
        <item m="1" x="6326"/>
        <item m="1" x="6839"/>
        <item m="1" x="7346"/>
        <item m="1" x="7851"/>
        <item m="1" x="387"/>
        <item m="1" x="892"/>
        <item m="1" x="1392"/>
        <item m="1" x="1892"/>
        <item m="1" x="2397"/>
        <item m="1" x="2906"/>
        <item m="1" x="3418"/>
        <item m="1" x="3933"/>
        <item m="1" x="4440"/>
        <item m="1" x="4938"/>
        <item m="1" x="5442"/>
        <item m="1" x="5942"/>
        <item m="1" x="6449"/>
        <item m="1" x="6959"/>
        <item m="1" x="7468"/>
        <item m="1" x="7973"/>
        <item m="1" x="510"/>
        <item m="1" x="1013"/>
        <item m="1" x="1517"/>
        <item m="1" x="2016"/>
        <item m="1" x="2522"/>
        <item m="1" x="3030"/>
        <item m="1" x="3543"/>
        <item m="1" x="4058"/>
        <item m="1" x="4559"/>
        <item m="1" x="5057"/>
        <item m="1" x="5564"/>
        <item m="1" x="6064"/>
        <item m="1" x="6571"/>
        <item m="1" x="7083"/>
        <item m="1" x="7592"/>
        <item m="1" x="129"/>
        <item m="1" x="630"/>
        <item m="1" x="1133"/>
        <item m="1" x="1639"/>
        <item m="1" x="2134"/>
        <item m="1" x="2642"/>
        <item m="1" x="3151"/>
        <item m="1" x="3665"/>
        <item m="1" x="4176"/>
        <item m="1" x="4676"/>
        <item m="1" x="5178"/>
        <item m="1" x="5683"/>
        <item m="1" x="6187"/>
        <item m="1" x="6696"/>
        <item m="1" x="7208"/>
        <item m="1" x="7714"/>
        <item m="1" x="249"/>
        <item m="1" x="750"/>
        <item m="1" x="1254"/>
        <item m="1" x="1756"/>
        <item m="1" x="2255"/>
        <item m="1" x="2764"/>
        <item m="1" x="3278"/>
        <item m="1" x="3790"/>
        <item m="1" x="4299"/>
        <item m="1" x="4800"/>
        <item m="1" x="5303"/>
        <item m="1" x="5805"/>
        <item m="1" x="6308"/>
        <item m="1" x="6819"/>
        <item m="1" x="7330"/>
        <item m="1" x="7837"/>
        <item m="1" x="370"/>
        <item m="1" x="872"/>
        <item m="1" x="1374"/>
        <item m="1" x="1875"/>
        <item m="1" x="2378"/>
        <item m="1" x="2886"/>
        <item m="1" x="3402"/>
        <item m="1" x="3918"/>
        <item m="1" x="4424"/>
        <item m="1" x="4921"/>
        <item m="1" x="5424"/>
        <item m="1" x="5926"/>
        <item m="1" x="6431"/>
        <item m="1" x="6939"/>
        <item m="1" x="7450"/>
        <item m="1" x="7958"/>
        <item m="1" x="494"/>
        <item m="1" x="994"/>
        <item m="1" x="1496"/>
        <item m="1" x="1999"/>
        <item m="1" x="2505"/>
        <item m="1" x="3009"/>
        <item m="1" x="3524"/>
        <item m="1" x="4042"/>
        <item m="1" x="4545"/>
        <item m="1" x="5040"/>
        <item m="1" x="5545"/>
        <item m="1" x="6049"/>
        <item m="1" x="6556"/>
        <item m="1" x="7063"/>
        <item m="1" x="7575"/>
        <item m="1" x="114"/>
        <item m="1" x="617"/>
        <item m="1" x="1116"/>
        <item m="1" x="1623"/>
        <item m="1" x="2121"/>
        <item m="1" x="2628"/>
        <item m="1" x="3133"/>
        <item m="1" x="3649"/>
        <item m="1" x="4161"/>
        <item m="1" x="4663"/>
        <item m="1" x="5161"/>
        <item m="1" x="5667"/>
        <item m="1" x="6174"/>
        <item m="1" x="6682"/>
        <item m="1" x="7190"/>
        <item m="1" x="7699"/>
        <item m="1" x="235"/>
        <item m="1" x="738"/>
        <item m="1" x="1237"/>
        <item m="1" x="1741"/>
        <item m="1" x="2241"/>
        <item m="1" x="2749"/>
        <item m="1" x="3257"/>
        <item m="1" x="3773"/>
        <item m="1" x="4284"/>
        <item m="1" x="4787"/>
        <item m="1" x="5287"/>
        <item m="1" x="5788"/>
        <item m="1" x="6294"/>
        <item m="1" x="6806"/>
        <item m="1" x="7311"/>
        <item m="1" x="7821"/>
        <item m="1" x="356"/>
        <item m="1" x="859"/>
        <item m="1" x="1357"/>
        <item m="1" x="1858"/>
        <item m="1" x="2364"/>
        <item m="1" x="2872"/>
        <item m="1" x="3382"/>
        <item m="1" x="3901"/>
        <item m="1" x="4408"/>
        <item m="1" x="4908"/>
        <item m="1" x="5407"/>
        <item m="1" x="5910"/>
        <item m="1" x="6417"/>
        <item m="1" x="6927"/>
        <item m="1" x="7432"/>
        <item m="1" x="7943"/>
        <item m="1" x="481"/>
        <item m="1" x="982"/>
        <item m="1" x="1481"/>
        <item m="1" x="1982"/>
        <item m="1" x="2491"/>
        <item m="1" x="2997"/>
        <item m="1" x="3506"/>
        <item m="1" x="4026"/>
        <item m="1" x="4531"/>
        <item m="1" x="5029"/>
        <item m="1" x="5529"/>
        <item m="1" x="6032"/>
        <item m="1" x="6540"/>
        <item m="1" x="7050"/>
        <item m="1" x="7557"/>
        <item m="1" x="98"/>
        <item m="1" x="604"/>
        <item m="1" x="1106"/>
        <item m="1" x="1607"/>
        <item m="1" x="2105"/>
        <item m="1" x="2614"/>
        <item m="1" x="3121"/>
        <item m="1" x="3630"/>
        <item m="1" x="4145"/>
        <item m="1" x="4648"/>
        <item m="1" x="5149"/>
        <item m="1" x="5652"/>
        <item m="1" x="6155"/>
        <item m="1" x="6665"/>
        <item m="1" x="7176"/>
        <item m="1" x="7680"/>
        <item m="1" x="218"/>
        <item m="1" x="720"/>
        <item m="1" x="1225"/>
        <item m="1" x="1725"/>
        <item m="1" x="2223"/>
        <item m="1" x="2731"/>
        <item m="1" x="3244"/>
        <item m="1" x="3755"/>
        <item m="1" x="4267"/>
        <item m="1" x="4769"/>
        <item m="1" x="5272"/>
        <item m="1" x="5772"/>
        <item m="1" x="6276"/>
        <item m="1" x="6788"/>
        <item m="1" x="7298"/>
        <item m="1" x="7804"/>
        <item m="1" x="341"/>
        <item m="1" x="844"/>
        <item m="1" x="1346"/>
        <item m="1" x="1843"/>
        <item m="1" x="2346"/>
        <item m="1" x="2856"/>
        <item m="1" x="3370"/>
        <item m="1" x="3883"/>
        <item m="1" x="4392"/>
        <item m="1" x="4894"/>
        <item m="1" x="5394"/>
        <item m="1" x="5895"/>
        <item m="1" x="6400"/>
        <item m="1" x="6911"/>
        <item m="1" x="7419"/>
        <item m="1" x="7924"/>
        <item m="1" x="463"/>
        <item m="1" x="967"/>
        <item m="1" x="1468"/>
        <item m="1" x="1967"/>
        <item m="1" x="2473"/>
        <item m="1" x="2981"/>
        <item m="1" x="3493"/>
        <item m="1" x="4010"/>
        <item m="1" x="4514"/>
        <item m="1" x="5015"/>
        <item m="1" x="5516"/>
        <item m="1" x="6017"/>
        <item m="1" x="6522"/>
        <item m="1" x="7032"/>
        <item m="1" x="7544"/>
        <item m="1" x="82"/>
        <item m="1" x="585"/>
        <item m="1" x="1090"/>
        <item m="1" x="1592"/>
        <item m="1" x="4328"/>
        <item m="1" x="4830"/>
        <item m="1" x="5331"/>
        <item m="1" x="5834"/>
        <item m="1" x="6341"/>
        <item m="1" x="6850"/>
        <item m="1" x="7357"/>
        <item m="1" x="7862"/>
        <item m="1" x="399"/>
        <item m="1" x="902"/>
        <item m="1" x="1403"/>
        <item m="1" x="1906"/>
        <item m="1" x="2410"/>
        <item m="1" x="2917"/>
        <item m="1" x="3428"/>
        <item m="1" x="3944"/>
        <item m="1" x="4452"/>
        <item m="1" x="4950"/>
        <item m="1" x="5453"/>
        <item m="1" x="5955"/>
        <item m="1" x="6464"/>
        <item m="1" x="6971"/>
        <item m="1" x="7479"/>
        <item m="1" x="7986"/>
        <item m="1" x="523"/>
        <item m="1" x="1025"/>
        <item m="1" x="1528"/>
        <item m="1" x="2029"/>
        <item m="1" x="2536"/>
        <item m="1" x="3041"/>
        <item m="1" x="3553"/>
        <item m="1" x="4069"/>
        <item m="1" x="4571"/>
        <item m="1" x="5068"/>
        <item m="1" x="5574"/>
        <item m="1" x="6078"/>
        <item m="1" x="6585"/>
        <item m="1" x="7094"/>
        <item m="1" x="7604"/>
        <item m="1" x="142"/>
        <item m="1" x="644"/>
        <item m="1" x="1147"/>
        <item m="1" x="1651"/>
        <item m="1" x="2149"/>
        <item m="1" x="2657"/>
        <item m="1" x="3164"/>
        <item m="1" x="3677"/>
        <item m="1" x="4187"/>
        <item m="1" x="4689"/>
        <item m="1" x="5191"/>
        <item m="1" x="5695"/>
        <item m="1" x="6200"/>
        <item m="1" x="6711"/>
        <item m="1" x="7219"/>
        <item m="1" x="7725"/>
        <item m="1" x="260"/>
        <item m="1" x="763"/>
        <item m="1" x="1267"/>
        <item m="1" x="1766"/>
        <item m="1" x="2267"/>
        <item m="1" x="2778"/>
        <item m="1" x="3289"/>
        <item m="1" x="3801"/>
        <item m="1" x="4309"/>
        <item m="1" x="4813"/>
        <item m="1" x="5315"/>
        <item m="1" x="5814"/>
        <item m="1" x="6320"/>
        <item m="1" x="6833"/>
        <item m="1" x="7342"/>
        <item m="1" x="7847"/>
        <item m="1" x="382"/>
        <item m="1" x="886"/>
        <item m="1" x="1388"/>
        <item m="1" x="1887"/>
        <item m="1" x="2391"/>
        <item m="1" x="2901"/>
        <item m="1" x="3414"/>
        <item m="1" x="3928"/>
        <item m="1" x="4434"/>
        <item m="1" x="4933"/>
        <item m="1" x="5438"/>
        <item m="1" x="5937"/>
        <item m="1" x="6443"/>
        <item m="1" x="6954"/>
        <item m="1" x="7464"/>
        <item m="1" x="7969"/>
        <item m="1" x="505"/>
        <item m="1" x="1008"/>
        <item m="1" x="1512"/>
        <item m="1" x="2012"/>
        <item m="1" x="2516"/>
        <item m="1" x="3025"/>
        <item m="1" x="3538"/>
        <item m="1" x="4053"/>
        <item m="1" x="4553"/>
        <item m="1" x="5052"/>
        <item m="1" x="5558"/>
        <item m="1" x="6059"/>
        <item m="1" x="6565"/>
        <item m="1" x="7078"/>
        <item m="1" x="7586"/>
        <item m="1" x="125"/>
        <item m="1" x="626"/>
        <item m="1" x="1129"/>
        <item m="1" x="1635"/>
        <item m="1" x="2132"/>
        <item m="1" x="2638"/>
        <item m="1" x="3148"/>
        <item m="1" x="3662"/>
        <item m="1" x="4173"/>
        <item m="1" x="4672"/>
        <item m="1" x="5175"/>
        <item m="1" x="5680"/>
        <item m="1" x="6185"/>
        <item m="1" x="6692"/>
        <item m="1" x="7205"/>
        <item m="1" x="7711"/>
        <item m="1" x="247"/>
        <item m="1" x="747"/>
        <item m="1" x="1251"/>
        <item m="1" x="1753"/>
        <item m="1" x="2252"/>
        <item m="1" x="2759"/>
        <item m="1" x="3273"/>
        <item m="1" x="3786"/>
        <item m="1" x="4296"/>
        <item m="1" x="4796"/>
        <item m="1" x="5300"/>
        <item m="1" x="5802"/>
        <item m="1" x="6305"/>
        <item m="1" x="6815"/>
        <item m="1" x="7326"/>
        <item m="1" x="7834"/>
        <item m="1" x="367"/>
        <item m="1" x="869"/>
        <item m="1" x="1370"/>
        <item m="1" x="1872"/>
        <item m="1" x="2375"/>
        <item m="1" x="2883"/>
        <item m="1" x="3396"/>
        <item m="1" x="3915"/>
        <item m="1" x="4420"/>
        <item m="1" x="4918"/>
        <item m="1" x="5419"/>
        <item m="1" x="5923"/>
        <item m="1" x="6428"/>
        <item m="1" x="6936"/>
        <item m="1" x="7445"/>
        <item m="1" x="7955"/>
        <item m="1" x="491"/>
        <item m="1" x="992"/>
        <item m="1" x="1492"/>
        <item m="1" x="1996"/>
        <item m="1" x="2502"/>
        <item m="1" x="3006"/>
        <item m="1" x="3519"/>
        <item m="1" x="4039"/>
        <item m="1" x="4541"/>
        <item m="1" x="5037"/>
        <item m="1" x="5541"/>
        <item m="1" x="6046"/>
        <item m="1" x="6552"/>
        <item m="1" x="7059"/>
        <item m="1" x="7570"/>
        <item m="1" x="110"/>
        <item m="1" x="614"/>
        <item m="1" x="1114"/>
        <item m="1" x="1619"/>
        <item m="1" x="2118"/>
        <item m="1" x="2625"/>
        <item m="1" x="3130"/>
        <item m="1" x="3644"/>
        <item m="1" x="4158"/>
        <item m="1" x="4660"/>
        <item m="1" x="5157"/>
        <item m="1" x="5663"/>
        <item m="1" x="6170"/>
        <item m="1" x="6679"/>
        <item m="1" x="7187"/>
        <item m="1" x="7694"/>
        <item m="1" x="232"/>
        <item m="1" x="735"/>
        <item m="1" x="1235"/>
        <item m="1" x="1737"/>
        <item m="1" x="2237"/>
        <item m="1" x="2746"/>
        <item m="1" x="3254"/>
        <item m="1" x="3768"/>
        <item m="1" x="4281"/>
        <item m="1" x="4783"/>
        <item m="1" x="5282"/>
        <item m="1" x="5783"/>
        <item m="1" x="6288"/>
        <item m="1" x="6801"/>
        <item m="1" x="7305"/>
        <item m="1" x="7816"/>
        <item m="1" x="352"/>
        <item m="1" x="855"/>
        <item m="1" x="1354"/>
        <item m="1" x="1854"/>
        <item m="1" x="2359"/>
        <item m="1" x="2868"/>
        <item m="1" x="3378"/>
        <item m="1" x="3896"/>
        <item m="1" x="4404"/>
        <item m="1" x="4905"/>
        <item m="1" x="5403"/>
        <item m="1" x="5905"/>
        <item m="1" x="6412"/>
        <item m="1" x="6924"/>
        <item m="1" x="7428"/>
        <item m="1" x="7938"/>
        <item m="1" x="477"/>
        <item m="1" x="979"/>
        <item m="1" x="1478"/>
        <item m="1" x="1978"/>
        <item m="1" x="2486"/>
        <item m="1" x="2994"/>
        <item m="1" x="3502"/>
        <item m="1" x="4021"/>
        <item m="1" x="4527"/>
        <item m="1" x="5026"/>
        <item m="1" x="5525"/>
        <item m="1" x="6027"/>
        <item m="1" x="6535"/>
        <item m="1" x="7045"/>
        <item m="1" x="7553"/>
        <item m="1" x="93"/>
        <item m="1" x="600"/>
        <item m="1" x="1102"/>
        <item m="1" x="1604"/>
        <item m="1" x="2101"/>
        <item m="1" x="2608"/>
        <item m="1" x="3117"/>
        <item m="1" x="3627"/>
        <item m="1" x="4140"/>
        <item m="1" x="4643"/>
        <item m="1" x="5145"/>
        <item m="1" x="5648"/>
        <item m="1" x="6150"/>
        <item m="1" x="6660"/>
        <item m="1" x="7172"/>
        <item m="1" x="7678"/>
        <item m="1" x="2424"/>
        <item m="1" x="2930"/>
        <item m="1" x="3442"/>
        <item m="1" x="3958"/>
        <item m="1" x="4465"/>
        <item m="1" x="4963"/>
        <item m="1" x="5468"/>
        <item m="1" x="5970"/>
        <item m="1" x="6475"/>
        <item m="1" x="6982"/>
        <item m="1" x="7491"/>
        <item m="1" x="7999"/>
        <item m="1" x="535"/>
        <item m="1" x="1036"/>
        <item m="1" x="1542"/>
        <item m="1" x="2043"/>
        <item m="1" x="2546"/>
        <item m="1" x="3053"/>
        <item m="1" x="3565"/>
        <item m="1" x="4082"/>
        <item m="1" x="4581"/>
        <item m="1" x="5081"/>
        <item m="1" x="5590"/>
        <item m="1" x="6094"/>
        <item m="1" x="6598"/>
        <item m="1" x="7107"/>
        <item m="1" x="7616"/>
        <item m="1" x="155"/>
        <item m="1" x="655"/>
        <item m="1" x="1159"/>
        <item m="1" x="1665"/>
        <item m="1" x="2165"/>
        <item m="1" x="2669"/>
        <item m="1" x="3176"/>
        <item m="1" x="3690"/>
        <item m="1" x="4201"/>
        <item m="1" x="4702"/>
        <item m="1" x="5203"/>
        <item m="1" x="5709"/>
        <item m="1" x="6217"/>
        <item m="1" x="6725"/>
        <item m="1" x="7232"/>
        <item m="1" x="7738"/>
        <item m="1" x="276"/>
        <item m="1" x="777"/>
        <item m="1" x="1278"/>
        <item m="1" x="1780"/>
        <item m="1" x="2284"/>
        <item m="1" x="2791"/>
        <item m="1" x="3301"/>
        <item m="1" x="3814"/>
        <item m="1" x="4323"/>
        <item m="1" x="4826"/>
        <item m="1" x="5326"/>
        <item m="1" x="5828"/>
        <item m="1" x="6335"/>
        <item m="1" x="6846"/>
        <item m="1" x="7353"/>
        <item m="1" x="7858"/>
        <item m="1" x="395"/>
        <item m="1" x="899"/>
        <item m="1" x="1399"/>
        <item m="1" x="1901"/>
        <item m="1" x="2406"/>
        <item m="1" x="2914"/>
        <item m="1" x="3425"/>
        <item m="1" x="3940"/>
        <item m="1" x="4448"/>
        <item m="1" x="4947"/>
        <item m="1" x="5449"/>
        <item m="1" x="5950"/>
        <item m="1" x="6460"/>
        <item m="1" x="6968"/>
        <item m="1" x="7475"/>
        <item m="1" x="7981"/>
        <item m="1" x="519"/>
        <item m="1" x="1021"/>
        <item m="1" x="1523"/>
        <item m="1" x="2024"/>
        <item m="1" x="2532"/>
        <item m="1" x="3037"/>
        <item m="1" x="3550"/>
        <item m="1" x="4065"/>
        <item m="1" x="4567"/>
        <item m="1" x="5065"/>
        <item m="1" x="5570"/>
        <item m="1" x="6072"/>
        <item m="1" x="6581"/>
        <item m="1" x="7090"/>
        <item m="1" x="7600"/>
        <item m="1" x="137"/>
        <item m="1" x="640"/>
        <item m="1" x="1143"/>
        <item m="1" x="1648"/>
        <item m="1" x="2144"/>
        <item m="1" x="2653"/>
        <item m="1" x="3160"/>
        <item m="1" x="3674"/>
        <item m="1" x="4183"/>
        <item m="1" x="4685"/>
        <item m="1" x="5187"/>
        <item m="1" x="5692"/>
        <item m="1" x="6195"/>
        <item m="1" x="6707"/>
        <item m="1" x="7216"/>
        <item m="1" x="7722"/>
        <item m="1" x="256"/>
        <item m="1" x="760"/>
        <item m="1" x="1263"/>
        <item m="1" x="1763"/>
        <item m="1" x="2263"/>
        <item m="1" x="2775"/>
        <item m="1" x="3286"/>
        <item m="1" x="3798"/>
        <item m="1" x="4306"/>
        <item m="1" x="4809"/>
        <item m="1" x="5312"/>
        <item m="1" x="5812"/>
        <item m="1" x="6316"/>
        <item m="1" x="6830"/>
        <item m="1" x="7339"/>
        <item m="1" x="7844"/>
        <item m="1" x="377"/>
        <item m="1" x="882"/>
        <item m="1" x="1384"/>
        <item m="1" x="1884"/>
        <item m="1" x="2386"/>
        <item m="1" x="2897"/>
        <item m="1" x="3411"/>
        <item m="1" x="3926"/>
        <item m="1" x="4431"/>
        <item m="1" x="4930"/>
        <item m="1" x="5435"/>
        <item m="1" x="5935"/>
        <item m="1" x="6439"/>
        <item m="1" x="6950"/>
        <item m="1" x="7461"/>
        <item m="1" x="7966"/>
        <item m="1" x="501"/>
        <item m="1" x="1004"/>
        <item m="1" x="1509"/>
        <item m="1" x="2008"/>
        <item m="1" x="2513"/>
        <item m="1" x="3020"/>
        <item m="1" x="3534"/>
        <item m="1" x="4050"/>
        <item m="1" x="4551"/>
        <item m="1" x="5048"/>
        <item m="1" x="5554"/>
        <item m="1" x="6056"/>
        <item m="1" x="6562"/>
        <item m="1" x="7073"/>
        <item m="1" x="7583"/>
        <item m="1" x="121"/>
        <item m="1" x="623"/>
        <item m="1" x="1125"/>
        <item m="1" x="1632"/>
        <item m="1" x="2129"/>
        <item m="1" x="2635"/>
        <item m="1" x="3143"/>
        <item m="1" x="3659"/>
        <item m="1" x="4170"/>
        <item m="1" x="4670"/>
        <item m="1" x="5171"/>
        <item m="1" x="5677"/>
        <item m="1" x="6182"/>
        <item m="1" x="6689"/>
        <item m="1" x="7200"/>
        <item m="1" x="7708"/>
        <item m="1" x="243"/>
        <item m="1" x="744"/>
        <item m="1" x="1247"/>
        <item m="1" x="1750"/>
        <item m="1" x="2248"/>
        <item m="1" x="2755"/>
        <item m="1" x="3268"/>
        <item m="1" x="3783"/>
        <item m="1" x="4292"/>
        <item m="1" x="4794"/>
        <item m="1" x="5296"/>
        <item m="1" x="5798"/>
        <item m="1" x="6302"/>
        <item m="1" x="6812"/>
        <item m="1" x="7320"/>
        <item m="1" x="7831"/>
        <item m="1" x="364"/>
        <item m="1" x="866"/>
        <item m="1" x="1365"/>
        <item m="1" x="1868"/>
        <item m="1" x="2372"/>
        <item m="1" x="2879"/>
        <item m="1" x="3391"/>
        <item m="1" x="3910"/>
        <item m="1" x="4416"/>
        <item m="1" x="4914"/>
        <item m="1" x="5414"/>
        <item m="1" x="5918"/>
        <item m="1" x="6425"/>
        <item m="1" x="6932"/>
        <item m="1" x="7440"/>
        <item m="1" x="7951"/>
        <item m="1" x="488"/>
        <item m="1" x="988"/>
        <item m="1" x="1488"/>
        <item m="1" x="1991"/>
        <item m="1" x="2498"/>
        <item m="1" x="3001"/>
        <item m="1" x="3514"/>
        <item m="1" x="4034"/>
        <item m="1" x="4538"/>
        <item m="1" x="5034"/>
        <item m="1" x="5537"/>
        <item m="1" x="6041"/>
        <item m="1" x="6549"/>
        <item m="1" x="7055"/>
        <item m="1" x="7565"/>
        <item m="1" x="106"/>
        <item m="1" x="611"/>
        <item m="1" x="1110"/>
        <item m="1" x="1614"/>
        <item m="1" x="2113"/>
        <item m="1" x="2622"/>
        <item m="1" x="3126"/>
        <item m="1" x="3639"/>
        <item m="1" x="4154"/>
        <item m="1" x="4656"/>
        <item m="1" x="5154"/>
        <item m="1" x="5659"/>
        <item m="1" x="6165"/>
        <item m="1" x="6675"/>
        <item m="1" x="7184"/>
        <item m="1" x="7689"/>
        <item m="1" x="228"/>
        <item m="1" x="731"/>
        <item m="1" x="1231"/>
        <item m="1" x="1732"/>
        <item m="1" x="2232"/>
        <item m="1" x="2741"/>
        <item m="1" x="3250"/>
        <item m="1" x="3763"/>
        <item m="1" x="4277"/>
        <item m="1" x="4778"/>
        <item m="1" x="5279"/>
        <item m="1" x="5779"/>
        <item m="1" x="1052"/>
        <item m="1" x="1558"/>
        <item m="1" x="2054"/>
        <item m="1" x="2559"/>
        <item m="1" x="3066"/>
        <item m="1" x="3579"/>
        <item m="1" x="4092"/>
        <item m="1" x="4593"/>
        <item m="1" x="5095"/>
        <item m="1" x="5604"/>
        <item m="1" x="6104"/>
        <item m="1" x="6611"/>
        <item m="1" x="7119"/>
        <item m="1" x="7630"/>
        <item m="1" x="165"/>
        <item m="1" x="667"/>
        <item m="1" x="1173"/>
        <item m="1" x="1680"/>
        <item m="1" x="2175"/>
        <item m="1" x="2680"/>
        <item m="1" x="3189"/>
        <item m="1" x="3705"/>
        <item m="1" x="4212"/>
        <item m="1" x="4714"/>
        <item m="1" x="5218"/>
        <item m="1" x="5724"/>
        <item m="1" x="6227"/>
        <item m="1" x="6736"/>
        <item m="1" x="7245"/>
        <item m="1" x="7751"/>
        <item m="1" x="287"/>
        <item m="1" x="789"/>
        <item m="1" x="1293"/>
        <item m="1" x="1795"/>
        <item m="1" x="2295"/>
        <item m="1" x="2802"/>
        <item m="1" x="3313"/>
        <item m="1" x="3828"/>
        <item m="1" x="4336"/>
        <item m="1" x="4839"/>
        <item m="1" x="5341"/>
        <item m="1" x="5845"/>
        <item m="1" x="6350"/>
        <item m="1" x="6859"/>
        <item m="1" x="7366"/>
        <item m="1" x="7872"/>
        <item m="1" x="409"/>
        <item m="1" x="911"/>
        <item m="1" x="1413"/>
        <item m="1" x="1917"/>
        <item m="1" x="2420"/>
        <item m="1" x="2926"/>
        <item m="1" x="3437"/>
        <item m="1" x="3953"/>
        <item m="1" x="4460"/>
        <item m="1" x="4957"/>
        <item m="1" x="5462"/>
        <item m="1" x="5965"/>
        <item m="1" x="6471"/>
        <item m="1" x="6979"/>
        <item m="1" x="7487"/>
        <item m="1" x="7995"/>
        <item m="1" x="531"/>
        <item m="1" x="1032"/>
        <item m="1" x="1537"/>
        <item m="1" x="2039"/>
        <item m="1" x="2543"/>
        <item m="1" x="3049"/>
        <item m="1" x="3561"/>
        <item m="1" x="4078"/>
        <item m="1" x="4578"/>
        <item m="1" x="5077"/>
        <item m="1" x="5585"/>
        <item m="1" x="6090"/>
        <item m="1" x="6595"/>
        <item m="1" x="7104"/>
        <item m="1" x="7612"/>
        <item m="1" x="151"/>
        <item m="1" x="652"/>
        <item m="1" x="1155"/>
        <item m="1" x="1660"/>
        <item m="1" x="2161"/>
        <item m="1" x="2666"/>
        <item m="1" x="3172"/>
        <item m="1" x="3685"/>
        <item m="1" x="4197"/>
        <item m="1" x="4697"/>
        <item m="1" x="5199"/>
        <item m="1" x="5704"/>
        <item m="1" x="6213"/>
        <item m="1" x="6721"/>
        <item m="1" x="7229"/>
        <item m="1" x="7734"/>
        <item m="1" x="271"/>
        <item m="1" x="773"/>
        <item m="1" x="1275"/>
        <item m="1" x="1775"/>
        <item m="1" x="2279"/>
        <item m="1" x="2787"/>
        <item m="1" x="3297"/>
        <item m="1" x="3809"/>
        <item m="1" x="4319"/>
        <item m="1" x="4822"/>
        <item m="1" x="5324"/>
        <item m="1" x="5824"/>
        <item m="1" x="6332"/>
        <item m="1" x="6843"/>
        <item m="1" x="7351"/>
        <item m="1" x="7855"/>
        <item m="1" x="392"/>
        <item m="1" x="896"/>
        <item m="1" x="1397"/>
        <item m="1" x="1897"/>
        <item m="1" x="2403"/>
        <item m="1" x="2911"/>
        <item m="1" x="3422"/>
        <item m="1" x="3936"/>
        <item m="1" x="4445"/>
        <item m="1" x="4943"/>
        <item m="1" x="5446"/>
        <item m="1" x="5946"/>
        <item m="1" x="6455"/>
        <item m="1" x="6963"/>
        <item m="1" x="7472"/>
        <item m="1" x="7977"/>
        <item m="1" x="515"/>
        <item m="1" x="1018"/>
        <item m="1" x="1521"/>
        <item m="1" x="2020"/>
        <item m="1" x="2528"/>
        <item m="1" x="3034"/>
        <item m="1" x="3547"/>
        <item m="1" x="4061"/>
        <item m="1" x="4564"/>
        <item m="1" x="5062"/>
        <item m="1" x="5568"/>
        <item m="1" x="6068"/>
        <item m="1" x="6577"/>
        <item m="1" x="7087"/>
        <item m="1" x="7597"/>
        <item m="1" x="135"/>
        <item m="1" x="636"/>
        <item m="1" x="1140"/>
        <item m="1" x="1645"/>
        <item m="1" x="2141"/>
        <item m="1" x="2648"/>
        <item m="1" x="3157"/>
        <item m="1" x="3670"/>
        <item m="1" x="4180"/>
        <item m="1" x="4681"/>
        <item m="1" x="5184"/>
        <item m="1" x="5688"/>
        <item m="1" x="6192"/>
        <item m="1" x="6702"/>
        <item m="1" x="7213"/>
        <item m="1" x="7718"/>
        <item m="1" x="254"/>
        <item m="1" x="756"/>
        <item m="1" x="1260"/>
        <item m="1" x="1760"/>
        <item m="1" x="2260"/>
        <item m="1" x="2770"/>
        <item m="1" x="3283"/>
        <item m="1" x="3794"/>
        <item m="1" x="4303"/>
        <item m="1" x="4805"/>
        <item m="1" x="5309"/>
        <item m="1" x="5809"/>
        <item m="1" x="6313"/>
        <item m="1" x="6825"/>
        <item m="1" x="7336"/>
        <item m="1" x="7841"/>
        <item m="1" x="375"/>
        <item m="1" x="878"/>
        <item m="1" x="1380"/>
        <item m="1" x="1881"/>
        <item m="1" x="2383"/>
        <item m="1" x="2892"/>
        <item m="1" x="3408"/>
        <item m="1" x="3923"/>
        <item m="1" x="4428"/>
        <item m="1" x="4926"/>
        <item m="1" x="5431"/>
        <item m="1" x="5931"/>
        <item m="1" x="6435"/>
        <item m="1" x="6945"/>
        <item m="1" x="7457"/>
        <item m="1" x="7963"/>
        <item m="1" x="499"/>
        <item m="1" x="1000"/>
        <item m="1" x="1503"/>
        <item m="1" x="2004"/>
        <item m="1" x="2508"/>
        <item m="1" x="3014"/>
        <item m="1" x="3528"/>
        <item m="1" x="4046"/>
        <item m="1" x="4547"/>
        <item m="1" x="5044"/>
        <item m="1" x="5549"/>
        <item m="1" x="6053"/>
        <item m="1" x="6558"/>
        <item m="1" x="7068"/>
        <item m="1" x="7579"/>
        <item m="1" x="118"/>
        <item m="1" x="620"/>
        <item m="1" x="1121"/>
        <item m="1" x="1627"/>
        <item m="1" x="2126"/>
        <item m="1" x="2631"/>
        <item m="1" x="3138"/>
        <item m="1" x="3655"/>
        <item m="1" x="4167"/>
        <item m="1" x="4666"/>
        <item m="1" x="5166"/>
        <item m="1" x="5672"/>
        <item m="1" x="6178"/>
        <item m="1" x="6684"/>
        <item m="1" x="7195"/>
        <item m="1" x="7704"/>
        <item m="1" x="239"/>
        <item m="1" x="741"/>
        <item m="1" x="1243"/>
        <item m="1" x="1745"/>
        <item m="1" x="2245"/>
        <item m="1" x="2751"/>
        <item m="1" x="3262"/>
        <item m="1" x="3779"/>
        <item m="1" x="4288"/>
        <item m="1" x="4790"/>
        <item m="1" x="5290"/>
        <item m="1" x="5793"/>
        <item m="1" x="6298"/>
        <item m="1" x="6809"/>
        <item m="1" x="7315"/>
        <item m="1" x="7827"/>
        <item m="1" x="360"/>
        <item m="1" x="863"/>
        <item m="1" x="1361"/>
        <item m="1" x="1863"/>
        <item m="1" x="2368"/>
        <item m="1" x="2876"/>
        <item m="1" x="3386"/>
        <item m="1" x="3907"/>
        <item m="1" x="4412"/>
        <item m="1" x="7135"/>
        <item m="1" x="7640"/>
        <item m="1" x="177"/>
        <item m="1" x="680"/>
        <item m="1" x="1188"/>
        <item m="1" x="1688"/>
        <item m="1" x="2187"/>
        <item m="1" x="2691"/>
        <item m="1" x="3202"/>
        <item m="1" x="3714"/>
        <item m="1" x="4224"/>
        <item m="1" x="4728"/>
        <item m="1" x="5232"/>
        <item m="1" x="5733"/>
        <item m="1" x="6238"/>
        <item m="1" x="6747"/>
        <item m="1" x="7258"/>
        <item m="1" x="7761"/>
        <item m="1" x="299"/>
        <item m="1" x="802"/>
        <item m="1" x="1308"/>
        <item m="1" x="1805"/>
        <item m="1" x="2308"/>
        <item m="1" x="2816"/>
        <item m="1" x="3327"/>
        <item m="1" x="3840"/>
        <item m="1" x="4348"/>
        <item m="1" x="4852"/>
        <item m="1" x="5356"/>
        <item m="1" x="5855"/>
        <item m="1" x="6361"/>
        <item m="1" x="6871"/>
        <item m="1" x="7379"/>
        <item m="1" x="7882"/>
        <item m="1" x="420"/>
        <item m="1" x="926"/>
        <item m="1" x="1428"/>
        <item m="1" x="1927"/>
        <item m="1" x="2433"/>
        <item m="1" x="2940"/>
        <item m="1" x="3452"/>
        <item m="1" x="3966"/>
        <item m="1" x="4473"/>
        <item m="1" x="4973"/>
        <item m="1" x="5479"/>
        <item m="1" x="5977"/>
        <item m="1" x="6484"/>
        <item m="1" x="6991"/>
        <item m="1" x="7501"/>
        <item m="1" x="38"/>
        <item m="1" x="544"/>
        <item m="1" x="1046"/>
        <item m="1" x="1553"/>
        <item m="1" x="2050"/>
        <item m="1" x="2555"/>
        <item m="1" x="3061"/>
        <item m="1" x="3574"/>
        <item m="1" x="4089"/>
        <item m="1" x="4589"/>
        <item m="1" x="5090"/>
        <item m="1" x="5600"/>
        <item m="1" x="6101"/>
        <item m="1" x="6607"/>
        <item m="1" x="7115"/>
        <item m="1" x="7626"/>
        <item m="1" x="161"/>
        <item m="1" x="662"/>
        <item m="1" x="1168"/>
        <item m="1" x="1675"/>
        <item m="1" x="2171"/>
        <item m="1" x="2677"/>
        <item m="1" x="3185"/>
        <item m="1" x="3700"/>
        <item m="1" x="4209"/>
        <item m="1" x="4710"/>
        <item m="1" x="5213"/>
        <item m="1" x="5720"/>
        <item m="1" x="6224"/>
        <item m="1" x="6732"/>
        <item m="1" x="7240"/>
        <item m="1" x="7747"/>
        <item m="1" x="283"/>
        <item m="1" x="785"/>
        <item m="1" x="1288"/>
        <item m="1" x="1791"/>
        <item m="1" x="2292"/>
        <item m="1" x="2799"/>
        <item m="1" x="3309"/>
        <item m="1" x="3824"/>
        <item m="1" x="4332"/>
        <item m="1" x="4836"/>
        <item m="1" x="5336"/>
        <item m="1" x="5841"/>
        <item m="1" x="6346"/>
        <item m="1" x="6855"/>
        <item m="1" x="7361"/>
        <item m="1" x="7868"/>
        <item m="1" x="404"/>
        <item m="1" x="907"/>
        <item m="1" x="1408"/>
        <item m="1" x="1913"/>
        <item m="1" x="2415"/>
        <item m="1" x="2923"/>
        <item m="1" x="3433"/>
        <item m="1" x="3950"/>
        <item m="1" x="4456"/>
        <item m="1" x="4955"/>
        <item m="1" x="5458"/>
        <item m="1" x="5962"/>
        <item m="1" x="6468"/>
        <item m="1" x="6976"/>
        <item m="1" x="7483"/>
        <item m="1" x="7992"/>
        <item m="1" x="527"/>
        <item m="1" x="1030"/>
        <item m="1" x="1533"/>
        <item m="1" x="2036"/>
        <item m="1" x="2540"/>
        <item m="1" x="3047"/>
        <item m="1" x="3558"/>
        <item m="1" x="4075"/>
        <item m="1" x="4575"/>
        <item m="1" x="5074"/>
        <item m="1" x="5580"/>
        <item m="1" x="6085"/>
        <item m="1" x="6591"/>
        <item m="1" x="7100"/>
        <item m="1" x="7608"/>
        <item m="1" x="148"/>
        <item m="1" x="649"/>
        <item m="1" x="1152"/>
        <item m="1" x="1656"/>
        <item m="1" x="2157"/>
        <item m="1" x="2662"/>
        <item m="1" x="3169"/>
        <item m="1" x="3682"/>
        <item m="1" x="4193"/>
        <item m="1" x="4694"/>
        <item m="1" x="5196"/>
        <item m="1" x="5701"/>
        <item m="1" x="6207"/>
        <item m="1" x="6718"/>
        <item m="1" x="7225"/>
        <item m="1" x="7731"/>
        <item m="1" x="267"/>
        <item m="1" x="770"/>
        <item m="1" x="1272"/>
        <item m="1" x="1772"/>
        <item m="1" x="2274"/>
        <item m="1" x="2784"/>
        <item m="1" x="3294"/>
        <item m="1" x="3807"/>
        <item m="1" x="4315"/>
        <item m="1" x="4819"/>
        <item m="1" x="5321"/>
        <item m="1" x="5821"/>
        <item m="1" x="6327"/>
        <item m="1" x="6840"/>
        <item m="1" x="7347"/>
        <item m="1" x="7852"/>
        <item m="1" x="388"/>
        <item m="1" x="893"/>
        <item m="1" x="1393"/>
        <item m="1" x="1893"/>
        <item m="1" x="2398"/>
        <item m="1" x="2907"/>
        <item m="1" x="3419"/>
        <item m="1" x="3934"/>
        <item m="1" x="4441"/>
        <item m="1" x="4939"/>
        <item m="1" x="5443"/>
        <item m="1" x="5943"/>
        <item m="1" x="6450"/>
        <item m="1" x="6960"/>
        <item m="1" x="7469"/>
        <item m="1" x="7974"/>
        <item m="1" x="511"/>
        <item m="1" x="1014"/>
        <item m="1" x="1518"/>
        <item m="1" x="2017"/>
        <item m="1" x="2523"/>
        <item m="1" x="3031"/>
        <item m="1" x="3544"/>
        <item m="1" x="4059"/>
        <item m="1" x="4560"/>
        <item m="1" x="5058"/>
        <item m="1" x="5565"/>
        <item m="1" x="6065"/>
        <item m="1" x="6572"/>
        <item m="1" x="7084"/>
        <item m="1" x="7593"/>
        <item m="1" x="130"/>
        <item m="1" x="631"/>
        <item m="1" x="1134"/>
        <item m="1" x="1640"/>
        <item m="1" x="2135"/>
        <item m="1" x="2643"/>
        <item m="1" x="3152"/>
        <item m="1" x="3666"/>
        <item m="1" x="4177"/>
        <item m="1" x="4677"/>
        <item m="1" x="5179"/>
        <item m="1" x="5684"/>
        <item m="1" x="6188"/>
        <item m="1" x="6697"/>
        <item m="1" x="7209"/>
        <item m="1" x="7715"/>
        <item m="1" x="250"/>
        <item m="1" x="751"/>
        <item m="1" x="1255"/>
        <item m="1" x="1757"/>
        <item m="1" x="2256"/>
        <item m="1" x="2765"/>
        <item m="1" x="3279"/>
        <item m="1" x="3791"/>
        <item m="1" x="4300"/>
        <item m="1" x="4801"/>
        <item m="1" x="5304"/>
        <item m="1" x="5806"/>
        <item m="1" x="6309"/>
        <item m="1" x="6820"/>
        <item m="1" x="7331"/>
        <item m="1" x="7838"/>
        <item m="1" x="371"/>
        <item m="1" x="873"/>
        <item m="1" x="1375"/>
        <item m="1" x="1876"/>
        <item m="1" x="2379"/>
        <item m="1" x="2887"/>
        <item m="1" x="3403"/>
        <item m="1" x="3919"/>
        <item m="1" x="4425"/>
        <item m="1" x="4922"/>
        <item m="1" x="5425"/>
        <item m="1" x="5927"/>
        <item m="1" x="6432"/>
        <item m="1" x="6940"/>
        <item m="1" x="7451"/>
        <item m="1" x="7959"/>
        <item m="1" x="495"/>
        <item m="1" x="995"/>
        <item m="1" x="1497"/>
        <item m="1" x="2000"/>
        <item m="1" x="2506"/>
        <item m="1" x="5745"/>
        <item m="1" x="6249"/>
        <item m="1" x="6759"/>
        <item m="1" x="7267"/>
        <item m="1" x="7773"/>
        <item m="1" x="311"/>
        <item m="1" x="816"/>
        <item m="1" x="1316"/>
        <item m="1" x="1815"/>
        <item m="1" x="2318"/>
        <item m="1" x="2828"/>
        <item m="1" x="3336"/>
        <item m="1" x="3850"/>
        <item m="1" x="4360"/>
        <item m="1" x="4865"/>
        <item m="1" x="5363"/>
        <item m="1" x="5866"/>
        <item m="1" x="6371"/>
        <item m="1" x="6883"/>
        <item m="1" x="7387"/>
        <item m="1" x="7893"/>
        <item m="1" x="433"/>
        <item m="1" x="940"/>
        <item m="1" x="1437"/>
        <item m="1" x="1938"/>
        <item m="1" x="2443"/>
        <item m="1" x="2952"/>
        <item m="1" x="3460"/>
        <item m="1" x="3977"/>
        <item m="1" x="4485"/>
        <item m="1" x="4988"/>
        <item m="1" x="5488"/>
        <item m="1" x="5988"/>
        <item m="1" x="6495"/>
        <item m="1" x="7005"/>
        <item m="1" x="7511"/>
        <item m="1" x="50"/>
        <item m="1" x="556"/>
        <item m="1" x="1063"/>
        <item m="1" x="1565"/>
        <item m="1" x="2062"/>
        <item m="1" x="2567"/>
        <item m="1" x="3077"/>
        <item m="1" x="3585"/>
        <item m="1" x="4099"/>
        <item m="1" x="4602"/>
        <item m="1" x="5106"/>
        <item m="1" x="5610"/>
        <item m="1" x="6112"/>
        <item m="1" x="6619"/>
        <item m="1" x="7129"/>
        <item m="1" x="7637"/>
        <item m="1" x="172"/>
        <item m="1" x="675"/>
        <item m="1" x="1182"/>
        <item m="1" x="1685"/>
        <item m="1" x="2182"/>
        <item m="1" x="2687"/>
        <item m="1" x="3197"/>
        <item m="1" x="3710"/>
        <item m="1" x="4219"/>
        <item m="1" x="4723"/>
        <item m="1" x="5227"/>
        <item m="1" x="5730"/>
        <item m="1" x="6234"/>
        <item m="1" x="6743"/>
        <item m="1" x="7253"/>
        <item m="1" x="7758"/>
        <item m="1" x="294"/>
        <item m="1" x="797"/>
        <item m="1" x="1303"/>
        <item m="1" x="1802"/>
        <item m="1" x="2303"/>
        <item m="1" x="2811"/>
        <item m="1" x="3322"/>
        <item m="1" x="3836"/>
        <item m="1" x="4342"/>
        <item m="1" x="4847"/>
        <item m="1" x="5351"/>
        <item m="1" x="5851"/>
        <item m="1" x="6357"/>
        <item m="1" x="6867"/>
        <item m="1" x="7374"/>
        <item m="1" x="7878"/>
        <item m="1" x="415"/>
        <item m="1" x="919"/>
        <item m="1" x="1423"/>
        <item m="1" x="1923"/>
        <item m="1" x="2428"/>
        <item m="1" x="2933"/>
        <item m="1" x="3447"/>
        <item m="1" x="3961"/>
        <item m="1" x="4469"/>
        <item m="1" x="4967"/>
        <item m="1" x="5474"/>
        <item m="1" x="5973"/>
        <item m="1" x="6480"/>
        <item m="1" x="6986"/>
        <item m="1" x="7496"/>
        <item m="1" x="34"/>
        <item m="1" x="540"/>
        <item m="1" x="1040"/>
        <item m="1" x="1548"/>
        <item m="1" x="2047"/>
        <item m="1" x="2551"/>
        <item m="1" x="3056"/>
        <item m="1" x="3570"/>
        <item m="1" x="4085"/>
        <item m="1" x="4585"/>
        <item m="1" x="5085"/>
        <item m="1" x="5596"/>
        <item m="1" x="6097"/>
        <item m="1" x="6603"/>
        <item m="1" x="7111"/>
        <item m="1" x="7621"/>
        <item m="1" x="158"/>
        <item m="1" x="659"/>
        <item m="1" x="1163"/>
        <item m="1" x="1671"/>
        <item m="1" x="2168"/>
        <item m="1" x="2673"/>
        <item m="1" x="3179"/>
        <item m="1" x="3695"/>
        <item m="1" x="4205"/>
        <item m="1" x="4706"/>
        <item m="1" x="5207"/>
        <item m="1" x="5715"/>
        <item m="1" x="6221"/>
        <item m="1" x="6729"/>
        <item m="1" x="7236"/>
        <item m="1" x="7743"/>
        <item m="1" x="280"/>
        <item m="1" x="782"/>
        <item m="1" x="1283"/>
        <item m="1" x="1786"/>
        <item m="1" x="2289"/>
        <item m="1" x="2795"/>
        <item m="1" x="3304"/>
        <item m="1" x="3819"/>
        <item m="1" x="4329"/>
        <item m="1" x="4831"/>
        <item m="1" x="5332"/>
        <item m="1" x="5835"/>
        <item m="1" x="6342"/>
        <item m="1" x="6851"/>
        <item m="1" x="7358"/>
        <item m="1" x="7863"/>
        <item m="1" x="400"/>
        <item m="1" x="903"/>
        <item m="1" x="1404"/>
        <item m="1" x="1907"/>
        <item m="1" x="2411"/>
        <item m="1" x="2918"/>
        <item m="1" x="3429"/>
        <item m="1" x="3945"/>
        <item m="1" x="4453"/>
        <item m="1" x="4951"/>
        <item m="1" x="5454"/>
        <item m="1" x="5956"/>
        <item m="1" x="6465"/>
        <item m="1" x="6972"/>
        <item m="1" x="7480"/>
        <item m="1" x="7987"/>
        <item m="1" x="524"/>
        <item m="1" x="1026"/>
        <item m="1" x="1529"/>
        <item m="1" x="2030"/>
        <item m="1" x="2537"/>
        <item m="1" x="3042"/>
        <item m="1" x="3554"/>
        <item m="1" x="4070"/>
        <item m="1" x="4572"/>
        <item m="1" x="5069"/>
        <item m="1" x="5575"/>
        <item m="1" x="6079"/>
        <item m="1" x="6586"/>
        <item m="1" x="7095"/>
        <item m="1" x="7605"/>
        <item m="1" x="143"/>
        <item m="1" x="645"/>
        <item m="1" x="1148"/>
        <item m="1" x="1652"/>
        <item m="1" x="2150"/>
        <item m="1" x="2658"/>
        <item m="1" x="3165"/>
        <item m="1" x="3678"/>
        <item m="1" x="4188"/>
        <item m="1" x="4690"/>
        <item m="1" x="5192"/>
        <item m="1" x="5696"/>
        <item m="1" x="6201"/>
        <item m="1" x="6712"/>
        <item m="1" x="7220"/>
        <item m="1" x="7726"/>
        <item m="1" x="261"/>
        <item m="1" x="764"/>
        <item m="1" x="1268"/>
        <item m="1" x="1767"/>
        <item m="1" x="2268"/>
        <item m="1" x="2779"/>
        <item m="1" x="3290"/>
        <item m="1" x="3802"/>
        <item m="1" x="4310"/>
        <item m="1" x="4814"/>
        <item m="1" x="5316"/>
        <item m="1" x="5815"/>
        <item m="1" x="6321"/>
        <item m="1" x="6834"/>
        <item m="1" x="7343"/>
        <item m="1" x="7848"/>
        <item m="1" x="383"/>
        <item m="1" x="887"/>
        <item m="1" x="1389"/>
        <item m="1" x="1888"/>
        <item m="1" x="2392"/>
        <item m="1" x="2902"/>
        <item m="1" x="3415"/>
        <item m="1" x="3929"/>
        <item m="1" x="4435"/>
        <item m="1" x="4934"/>
        <item m="1" x="5439"/>
        <item m="1" x="5938"/>
        <item m="1" x="6444"/>
        <item m="1" x="6955"/>
        <item m="1" x="7465"/>
        <item m="1" x="7970"/>
        <item m="1" x="506"/>
        <item m="1" x="1009"/>
        <item m="1" x="1513"/>
        <item m="1" x="2013"/>
        <item m="1" x="2517"/>
        <item m="1" x="3026"/>
        <item m="1" x="3539"/>
        <item m="1" x="4054"/>
        <item m="1" x="4554"/>
        <item m="1" x="5053"/>
        <item m="1" x="5559"/>
        <item m="1" x="6060"/>
        <item m="1" x="6566"/>
        <item m="1" x="7079"/>
        <item m="1" x="7587"/>
        <item m="1" x="126"/>
        <item m="1" x="627"/>
        <item m="1" x="1130"/>
        <item m="1" x="3865"/>
        <item m="1" x="4374"/>
        <item m="1" x="4875"/>
        <item m="1" x="5375"/>
        <item m="1" x="5877"/>
        <item m="1" x="2466"/>
        <item m="1" x="2972"/>
        <item m="1" x="3484"/>
        <item m="1" x="4003"/>
        <item m="1" x="591"/>
        <item m="1" x="1094"/>
        <item m="1" x="1597"/>
        <item m="1" x="2094"/>
        <item m="1" x="2599"/>
        <item m="1" x="6920"/>
        <item m="1" x="7177"/>
        <item m="1" x="7426"/>
        <item m="1" x="7681"/>
        <item m="1" x="7933"/>
        <item m="1" x="219"/>
        <item m="1" x="473"/>
        <item m="1" x="721"/>
        <item m="1" x="975"/>
        <item m="1" x="5283"/>
        <item m="1" x="5532"/>
        <item m="1" x="5784"/>
        <item m="1" x="6037"/>
        <item m="1" x="6289"/>
        <item m="1" x="6545"/>
        <item m="1" x="6802"/>
        <item m="1" x="7053"/>
        <item m="1" x="7306"/>
        <item m="1" x="3650"/>
        <item m="1" x="3911"/>
        <item m="1" x="4162"/>
        <item m="1" x="4417"/>
        <item m="1" x="4664"/>
        <item m="1" x="4915"/>
        <item m="1" x="5162"/>
        <item m="1" x="5415"/>
        <item m="1" x="5668"/>
        <item m="1" x="2005"/>
        <item m="1" x="2253"/>
        <item m="1" x="2509"/>
        <item m="1" x="2760"/>
        <item m="1" x="3015"/>
        <item m="1" x="3274"/>
        <item m="1" x="3529"/>
        <item m="1" x="3787"/>
        <item m="1" x="4047"/>
        <item m="1" x="131"/>
        <item m="1" x="378"/>
        <item m="1" x="632"/>
        <item m="1" x="883"/>
        <item m="1" x="1135"/>
        <item m="1" x="1385"/>
        <item m="1" x="1641"/>
        <item m="1" x="1885"/>
        <item m="1" x="2136"/>
        <item m="1" x="2387"/>
        <item m="1" x="6456"/>
        <item m="1" x="6713"/>
        <item m="1" x="6964"/>
        <item m="1" x="7221"/>
        <item m="1" x="7473"/>
        <item m="1" x="7727"/>
        <item m="1" x="7978"/>
        <item m="1" x="262"/>
        <item m="1" x="516"/>
        <item m="1" x="765"/>
        <item m="1" x="4827"/>
        <item m="1" x="5075"/>
        <item m="1" x="5327"/>
        <item m="1" x="5581"/>
        <item m="1" x="5829"/>
        <item m="1" x="6086"/>
        <item m="1" x="6336"/>
        <item m="1" x="6592"/>
        <item m="1" x="6847"/>
        <item m="1" x="7101"/>
        <item m="1" x="3180"/>
        <item m="1" x="3438"/>
        <item m="1" x="3696"/>
        <item m="1" x="3954"/>
        <item m="1" x="4206"/>
        <item m="1" x="4461"/>
        <item m="1" x="4707"/>
        <item m="1" x="4958"/>
        <item m="1" x="5208"/>
        <item m="1" x="5463"/>
        <item m="1" x="1554"/>
        <item m="1" x="1798"/>
        <item m="1" x="2051"/>
        <item m="1" x="2300"/>
        <item m="1" x="2556"/>
        <item m="1" x="2807"/>
        <item m="1" x="3062"/>
        <item m="1" x="3318"/>
        <item m="1" x="3575"/>
        <item m="1" x="3832"/>
      </items>
    </pivotField>
    <pivotField axis="axisRow" showAll="0" sortType="ascending" defaultSubtotal="0">
      <items count="8000">
        <item sd="0" m="1" x="6382"/>
        <item sd="0" m="1" x="2094"/>
        <item sd="0" m="1" x="132"/>
        <item sd="0" m="1" x="2937"/>
        <item sd="0" m="1" x="4897"/>
        <item sd="0" m="1" x="2095"/>
        <item sd="0" m="1" x="133"/>
        <item sd="0" m="1" x="6383"/>
        <item sd="0" m="1" x="2096"/>
        <item sd="0" m="1" x="134"/>
        <item sd="0" m="1" x="2938"/>
        <item sd="0" m="1" x="2097"/>
        <item sd="0" m="1" x="2939"/>
        <item sd="0" m="1" x="2098"/>
        <item sd="0" m="1" x="135"/>
        <item sd="0" m="1" x="2940"/>
        <item sd="0" m="1" x="6384"/>
        <item sd="0" m="1" x="136"/>
        <item sd="0" m="1" x="2941"/>
        <item sd="0" m="1" x="2099"/>
        <item sd="0" m="1" x="2100"/>
        <item sd="0" m="1" x="137"/>
        <item sd="0" m="1" x="4454"/>
        <item sd="0" m="1" x="1214"/>
        <item sd="0" m="1" x="2748"/>
        <item sd="0" m="1" x="429"/>
        <item sd="0" m="1" x="4455"/>
        <item sd="0" m="1" x="724"/>
        <item sd="0" m="1" x="1215"/>
        <item sd="0" m="1" x="2749"/>
        <item sd="0" m="1" x="725"/>
        <item sd="0" m="1" x="5315"/>
        <item sd="0" m="1" x="430"/>
        <item sd="0" m="1" x="4456"/>
        <item sd="0" m="1" x="726"/>
        <item sd="0" m="1" x="5316"/>
        <item sd="0" m="1" x="1216"/>
        <item sd="0" m="1" x="2750"/>
        <item sd="0" m="1" x="4457"/>
        <item sd="0" m="1" x="727"/>
        <item sd="0" m="1" x="5317"/>
        <item sd="0" m="1" x="1217"/>
        <item sd="0" m="1" x="2751"/>
        <item sd="0" m="1" x="728"/>
        <item sd="0" m="1" x="202"/>
        <item sd="0" m="1" x="3427"/>
        <item sd="0" m="1" x="2546"/>
        <item sd="0" m="1" x="203"/>
        <item sd="0" m="1" x="3428"/>
        <item sd="0" m="1" x="2547"/>
        <item sd="0" m="1" x="204"/>
        <item sd="0" m="1" x="2548"/>
        <item sd="0" m="1" x="205"/>
        <item sd="0" m="1" x="3429"/>
        <item sd="0" m="1" x="2549"/>
        <item sd="0" m="1" x="206"/>
        <item sd="0" m="1" x="2550"/>
        <item sd="0" m="1" x="207"/>
        <item sd="0" m="1" x="3430"/>
        <item sd="0" m="1" x="2551"/>
        <item sd="0" m="1" x="208"/>
        <item sd="0" m="1" x="3431"/>
        <item sd="0" m="1" x="2552"/>
        <item sd="0" m="1" x="3432"/>
        <item sd="0" m="1" x="209"/>
        <item sd="0" m="1" x="3433"/>
        <item sd="0" m="1" x="210"/>
        <item sd="0" m="1" x="3434"/>
        <item sd="0" m="1" x="2553"/>
        <item sd="0" m="1" x="2554"/>
        <item sd="0" m="1" x="211"/>
        <item sd="0" m="1" x="2555"/>
        <item sd="0" m="1" x="212"/>
        <item sd="0" m="1" x="3435"/>
        <item sd="0" m="1" x="2556"/>
        <item sd="0" m="1" x="3436"/>
        <item sd="0" m="1" x="2557"/>
        <item sd="0" m="1" x="213"/>
        <item sd="0" m="1" x="3437"/>
        <item sd="0" m="1" x="214"/>
        <item sd="0" m="1" x="3438"/>
        <item sd="0" m="1" x="2558"/>
        <item sd="0" m="1" x="3439"/>
        <item sd="0" m="1" x="2559"/>
        <item sd="0" m="1" x="4949"/>
        <item sd="0" m="1" x="5766"/>
        <item sd="0" m="1" x="1527"/>
        <item sd="0" m="1" x="3208"/>
        <item sd="0" m="1" x="4950"/>
        <item sd="0" m="1" x="1528"/>
        <item sd="0" m="1" x="3209"/>
        <item sd="0" m="1" x="963"/>
        <item sd="0" m="1" x="5767"/>
        <item sd="0" m="1" x="964"/>
        <item sd="0" m="1" x="5768"/>
        <item sd="0" m="1" x="4951"/>
        <item sd="0" m="1" x="965"/>
        <item sd="0" m="1" x="1529"/>
        <item sd="0" m="1" x="4952"/>
        <item sd="0" m="1" x="7173"/>
        <item sd="0" m="1" x="7574"/>
        <item sd="0" m="1" x="7853"/>
        <item sd="0" m="1" x="3158"/>
        <item sd="0" m="1" x="4122"/>
        <item sd="0" m="1" x="5061"/>
        <item sd="0" m="1" x="428"/>
        <item sd="0" m="1" x="3730"/>
        <item sd="0" m="1" x="4697"/>
        <item sd="0" m="1" x="5589"/>
        <item sd="0" m="1" x="6373"/>
        <item sd="0" m="1" x="1331"/>
        <item sd="0" m="1" x="5657"/>
        <item sd="0" m="1" x="6434"/>
        <item sd="0" m="1" x="7028"/>
        <item sd="0" m="1" x="7480"/>
        <item sd="0" m="1" x="2924"/>
        <item sd="0" m="1" x="2560"/>
        <item sd="0" m="1" x="3479"/>
        <item sd="0" m="1" x="4445"/>
        <item sd="0" m="1" x="4514"/>
        <item sd="0" m="1" x="5425"/>
        <item sd="0" m="1" x="6261"/>
        <item sd="0" m="1" x="966"/>
        <item sd="0" m="1" x="1543"/>
        <item sd="0" m="1" x="2294"/>
        <item sd="0" m="1" x="3210"/>
        <item sd="0" m="1" x="2351"/>
        <item sd="0" m="1" x="3253"/>
        <item sd="0" m="1" x="6612"/>
        <item sd="0" m="1" x="7157"/>
        <item sd="0" m="1" x="2276"/>
        <item sd="0" m="1" x="3142"/>
        <item sd="0" m="1" x="1915"/>
        <item sd="0" m="1" x="2752"/>
        <item sd="0" m="1" x="3709"/>
        <item sd="0" m="1" x="4666"/>
        <item sd="0" m="1" x="3766"/>
        <item sd="0" m="1" x="4729"/>
        <item sd="0" m="1" x="5637"/>
        <item sd="0" m="1" x="6418"/>
        <item sd="0" m="1" x="1093"/>
        <item sd="0" m="1" x="1716"/>
        <item sd="0" m="1" x="2524"/>
        <item sd="0" m="1" x="2593"/>
        <item sd="0" m="1" x="3527"/>
        <item sd="0" m="1" x="4491"/>
        <item sd="0" m="1" x="4546"/>
        <item sd="0" m="1" x="294"/>
        <item sd="0" m="1" x="537"/>
        <item sd="0" m="1" x="947"/>
        <item sd="0" m="1" x="1530"/>
        <item sd="0" m="1" x="5968"/>
        <item sd="0" m="1" x="1007"/>
        <item sd="0" m="1" x="1567"/>
        <item sd="0" m="1" x="2335"/>
        <item sd="0" m="1" x="3237"/>
        <item sd="0" m="1" x="7216"/>
        <item sd="0" m="1" x="2415"/>
        <item sd="0" m="1" x="3301"/>
        <item sd="0" m="1" x="4280"/>
        <item sd="0" m="1" x="123"/>
        <item sd="0" m="1" x="229"/>
        <item sd="0" m="1" x="447"/>
        <item sd="0" m="1" x="823"/>
        <item sd="0" m="1" x="3929"/>
        <item sd="0" m="1" x="4862"/>
        <item sd="0" m="1" x="5733"/>
        <item sd="0" m="1" x="493"/>
        <item sd="0" m="1" x="864"/>
        <item sd="0" m="1" x="1398"/>
        <item sd="0" m="1" x="2126"/>
        <item sd="0" m="1" x="5810"/>
        <item sd="0" m="1" x="6527"/>
        <item sd="0" m="1" x="7092"/>
        <item sd="0" m="1" x="1478"/>
        <item sd="0" m="1" x="2198"/>
        <item sd="0" m="1" x="3070"/>
        <item sd="0" m="1" x="4045"/>
        <item sd="0" m="1" x="100"/>
        <item sd="0" m="1" x="183"/>
        <item sd="0" m="1" x="2727"/>
        <item sd="0" m="1" x="3667"/>
        <item sd="0" m="1" x="4610"/>
        <item sd="0" m="1" x="5508"/>
        <item sd="0" m="1" x="418"/>
        <item sd="0" m="1" x="755"/>
        <item sd="0" m="1" x="4667"/>
        <item sd="0" m="1" x="7903"/>
        <item sd="0" m="1" x="5291"/>
        <item sd="0" m="1" x="6118"/>
        <item sd="0" m="1" x="523"/>
        <item sd="0" m="1" x="895"/>
        <item sd="0" m="1" x="1428"/>
        <item sd="0" m="1" x="2151"/>
        <item sd="0" m="1" x="6565"/>
        <item sd="0" m="1" x="7120"/>
        <item sd="0" m="1" x="1513"/>
        <item sd="0" m="1" x="2233"/>
        <item sd="0" m="1" x="3105"/>
        <item sd="0" m="1" x="4071"/>
        <item sd="0" m="1" x="7582"/>
        <item sd="0" m="1" x="7854"/>
        <item sd="0" m="1" x="3168"/>
        <item sd="0" m="1" x="4123"/>
        <item sd="0" m="1" x="5062"/>
        <item sd="0" m="1" x="5923"/>
        <item sd="0" m="1" x="431"/>
        <item sd="0" m="1" x="787"/>
        <item sd="0" m="1" x="1259"/>
        <item sd="0" m="1" x="4709"/>
        <item sd="0" m="1" x="5598"/>
        <item sd="0" m="1" x="6385"/>
        <item sd="0" m="1" x="6972"/>
        <item sd="0" m="1" x="1336"/>
        <item sd="0" m="1" x="2023"/>
        <item sd="0" m="1" x="2854"/>
        <item sd="0" m="1" x="6444"/>
        <item sd="0" m="1" x="7033"/>
        <item sd="0" m="1" x="7497"/>
        <item sd="0" m="1" x="7798"/>
        <item sd="0" m="1" x="2929"/>
        <item sd="0" m="1" x="3872"/>
        <item sd="0" m="1" x="4827"/>
        <item sd="0" m="1" x="360"/>
        <item sd="0" m="1" x="3494"/>
        <item sd="0" m="1" x="4458"/>
        <item sd="0" m="1" x="5382"/>
        <item sd="0" m="1" x="6188"/>
        <item sd="0" m="1" x="1189"/>
        <item sd="0" m="1" x="5432"/>
        <item sd="0" m="1" x="6265"/>
        <item sd="0" m="1" x="6898"/>
        <item sd="0" m="1" x="7381"/>
        <item sd="0" m="1" x="2702"/>
        <item sd="0" m="1" x="2301"/>
        <item sd="0" m="1" x="3211"/>
        <item sd="0" m="1" x="4194"/>
        <item sd="0" m="1" x="4239"/>
        <item sd="0" m="1" x="5198"/>
        <item sd="0" m="1" x="6052"/>
        <item sd="0" m="1" x="844"/>
        <item sd="0" m="1" x="1366"/>
        <item sd="0" m="1" x="2101"/>
        <item sd="0" m="1" x="2980"/>
        <item sd="0" m="1" x="2152"/>
        <item sd="0" m="1" x="3038"/>
        <item sd="0" m="1" x="4011"/>
        <item sd="0" m="1" x="4963"/>
        <item sd="0" m="1" x="6189"/>
        <item sd="0" m="1" x="6833"/>
        <item sd="0" m="1" x="7320"/>
        <item sd="0" m="1" x="1823"/>
        <item sd="0" m="1" x="2634"/>
        <item sd="0" m="1" x="3553"/>
        <item sd="0" m="1" x="138"/>
        <item sd="0" m="1" x="270"/>
        <item sd="0" m="1" x="3180"/>
        <item sd="0" m="1" x="4145"/>
        <item sd="0" m="1" x="5077"/>
        <item sd="0" m="1" x="566"/>
        <item sd="0" m="1" x="975"/>
        <item sd="0" m="1" x="5130"/>
        <item sd="0" m="1" x="5996"/>
        <item sd="0" m="1" x="6669"/>
        <item sd="0" m="1" x="1601"/>
        <item sd="0" m="1" x="2360"/>
        <item sd="0" m="1" x="110"/>
        <item sd="0" m="1" x="1353"/>
        <item sd="0" m="1" x="2065"/>
        <item sd="0" m="1" x="2942"/>
        <item sd="0" m="1" x="3884"/>
        <item sd="0" m="1" x="473"/>
        <item sd="0" m="1" x="2981"/>
        <item sd="0" m="1" x="3953"/>
        <item sd="0" m="1" x="4898"/>
        <item sd="0" m="1" x="5781"/>
        <item sd="0" m="1" x="1429"/>
        <item sd="0" m="1" x="1311"/>
        <item sd="0" m="1" x="1964"/>
        <item sd="0" m="1" x="2815"/>
        <item sd="0" m="1" x="3767"/>
        <item sd="0" m="1" x="7016"/>
        <item sd="0" m="1" x="7465"/>
        <item sd="0" m="1" x="2912"/>
        <item sd="0" m="1" x="3841"/>
        <item sd="0" m="1" x="4796"/>
        <item sd="0" m="1" x="5681"/>
        <item sd="0" m="1" x="7825"/>
        <item sd="0" m="1" x="7973"/>
        <item sd="0" m="1" x="4850"/>
        <item sd="0" m="1" x="5721"/>
        <item sd="0" m="1" x="6472"/>
        <item sd="0" m="1" x="695"/>
        <item sd="0" m="1" x="1148"/>
        <item sd="0" m="1" x="1776"/>
        <item sd="0" m="1" x="6240"/>
        <item sd="0" m="1" x="6859"/>
        <item sd="0" m="1" x="7350"/>
        <item sd="0" m="1" x="1862"/>
        <item sd="0" m="1" x="2666"/>
        <item sd="0" m="1" x="3587"/>
        <item sd="0" m="1" x="7406"/>
        <item sd="0" m="1" x="7735"/>
        <item sd="0" m="1" x="7941"/>
        <item sd="0" m="1" x="3646"/>
        <item sd="0" m="1" x="4592"/>
        <item sd="0" m="1" x="5490"/>
        <item sd="0" m="1" x="591"/>
        <item sd="0" m="1" x="1008"/>
        <item sd="0" m="1" x="5169"/>
        <item sd="0" m="1" x="6022"/>
        <item sd="0" m="1" x="6702"/>
        <item sd="0" m="1" x="1659"/>
        <item sd="0" m="1" x="2416"/>
        <item sd="0" m="1" x="6763"/>
        <item sd="0" m="1" x="5682"/>
        <item sd="0" m="1" x="1094"/>
        <item sd="0" m="1" x="1717"/>
        <item sd="0" m="1" x="2525"/>
        <item sd="0" m="1" x="6818"/>
        <item sd="0" m="1" x="2594"/>
        <item sd="0" m="1" x="3528"/>
        <item sd="0" m="1" x="4492"/>
        <item sd="0" m="1" x="7711"/>
        <item sd="0" m="1" x="4547"/>
        <item sd="0" m="1" x="5465"/>
        <item sd="0" m="1" x="295"/>
        <item sd="0" m="1" x="538"/>
        <item sd="0" m="1" x="948"/>
        <item sd="0" m="1" x="1531"/>
        <item sd="0" m="1" x="5969"/>
        <item sd="0" m="1" x="6653"/>
        <item sd="0" m="1" x="1009"/>
        <item sd="0" m="1" x="1568"/>
        <item sd="0" m="1" x="2336"/>
        <item sd="0" m="1" x="3238"/>
        <item sd="0" m="1" x="7217"/>
        <item sd="0" m="1" x="7619"/>
        <item sd="0" m="1" x="2417"/>
        <item sd="0" m="1" x="3302"/>
        <item sd="0" m="1" x="4281"/>
        <item sd="0" m="1" x="5224"/>
        <item sd="0" m="1" x="230"/>
        <item sd="0" m="1" x="448"/>
        <item sd="0" m="1" x="824"/>
        <item sd="0" m="1" x="3930"/>
        <item sd="0" m="1" x="4863"/>
        <item sd="0" m="1" x="5734"/>
        <item sd="0" m="1" x="6481"/>
        <item sd="0" m="1" x="865"/>
        <item sd="0" m="1" x="1399"/>
        <item sd="0" m="1" x="2127"/>
        <item sd="0" m="1" x="5811"/>
        <item sd="0" m="1" x="6528"/>
        <item sd="0" m="1" x="7093"/>
        <item sd="0" m="1" x="7529"/>
        <item sd="0" m="1" x="2199"/>
        <item sd="0" m="1" x="3071"/>
        <item sd="0" m="1" x="4046"/>
        <item sd="0" m="1" x="184"/>
        <item sd="0" m="1" x="2728"/>
        <item sd="0" m="1" x="3668"/>
        <item sd="0" m="1" x="4611"/>
        <item sd="0" m="1" x="5509"/>
        <item sd="0" m="1" x="756"/>
        <item sd="0" m="1" x="4668"/>
        <item sd="0" m="1" x="5572"/>
        <item sd="0" m="1" x="6350"/>
        <item sd="0" m="1" x="6945"/>
        <item sd="0" m="1" x="1965"/>
        <item sd="0" m="1" x="1690"/>
        <item sd="0" m="1" x="2490"/>
        <item sd="0" m="1" x="3399"/>
        <item sd="0" m="1" x="4360"/>
        <item sd="0" m="1" x="3461"/>
        <item sd="0" m="1" x="4427"/>
        <item sd="0" m="1" x="5353"/>
        <item sd="0" m="1" x="7583"/>
        <item sd="0" m="1" x="7855"/>
        <item sd="0" m="1" x="31"/>
        <item sd="0" m="1" x="4124"/>
        <item sd="0" m="1" x="5063"/>
        <item sd="0" m="1" x="5924"/>
        <item sd="0" m="1" x="696"/>
        <item sd="0" m="1" x="1149"/>
        <item sd="0" m="1" x="1777"/>
        <item sd="0" m="1" x="6241"/>
        <item sd="0" m="1" x="6860"/>
        <item sd="0" m="1" x="1863"/>
        <item sd="0" m="1" x="2667"/>
        <item sd="0" m="1" x="3588"/>
        <item sd="0" m="1" x="7407"/>
        <item sd="0" m="1" x="7736"/>
        <item sd="0" m="1" x="3647"/>
        <item sd="0" m="1" x="4593"/>
        <item sd="0" m="1" x="5491"/>
        <item sd="0" m="1" x="317"/>
        <item sd="0" m="1" x="592"/>
        <item sd="0" m="1" x="1010"/>
        <item sd="0" m="1" x="5170"/>
        <item sd="0" m="1" x="6023"/>
        <item sd="0" m="1" x="6703"/>
        <item sd="0" m="1" x="1067"/>
        <item sd="0" m="1" x="1660"/>
        <item sd="0" m="1" x="2418"/>
        <item sd="0" m="1" x="6764"/>
        <item sd="0" m="1" x="7286"/>
        <item sd="0" m="1" x="7660"/>
        <item sd="0" m="1" x="2483"/>
        <item sd="0" m="1" x="3384"/>
        <item sd="0" m="1" x="4343"/>
        <item sd="0" m="1" x="263"/>
        <item sd="0" m="1" x="494"/>
        <item sd="0" m="1" x="3016"/>
        <item sd="0" m="1" x="3977"/>
        <item sd="0" m="1" x="4929"/>
        <item sd="0" m="1" x="5812"/>
        <item sd="0" m="1" x="937"/>
        <item sd="0" m="1" x="1479"/>
        <item sd="0" m="1" x="4997"/>
        <item sd="0" m="1" x="5872"/>
        <item sd="0" m="1" x="6613"/>
        <item sd="0" m="1" x="7158"/>
        <item sd="0" m="1" x="2277"/>
        <item sd="0" m="1" x="3143"/>
        <item sd="0" m="1" x="1916"/>
        <item sd="0" m="1" x="2753"/>
        <item sd="0" m="1" x="3710"/>
        <item sd="0" m="1" x="4669"/>
        <item sd="0" m="1" x="3768"/>
        <item sd="0" m="1" x="4730"/>
        <item sd="0" m="1" x="5638"/>
        <item sd="0" m="1" x="6419"/>
        <item sd="0" m="1" x="1095"/>
        <item sd="0" m="1" x="1718"/>
        <item sd="0" m="1" x="2526"/>
        <item sd="0" m="1" x="2595"/>
        <item sd="0" m="1" x="3529"/>
        <item sd="0" m="1" x="4493"/>
        <item sd="0" m="1" x="5813"/>
        <item sd="0" m="1" x="6529"/>
        <item sd="0" m="1" x="7094"/>
        <item sd="0" m="1" x="1480"/>
        <item sd="0" m="1" x="2200"/>
        <item sd="0" m="1" x="3072"/>
        <item sd="0" m="1" x="4047"/>
        <item sd="0" m="1" x="101"/>
        <item sd="0" m="1" x="185"/>
        <item sd="0" m="1" x="2729"/>
        <item sd="0" m="1" x="3669"/>
        <item sd="0" m="1" x="4612"/>
        <item sd="0" m="1" x="5510"/>
        <item sd="0" m="1" x="419"/>
        <item sd="0" m="1" x="757"/>
        <item sd="0" m="1" x="4670"/>
        <item sd="0" m="1" x="5573"/>
        <item sd="0" m="1" x="6351"/>
        <item sd="0" m="1" x="6946"/>
        <item sd="0" m="1" x="1312"/>
        <item sd="0" m="1" x="1966"/>
        <item sd="0" m="1" x="93"/>
        <item sd="0" m="1" x="1691"/>
        <item sd="0" m="1" x="2491"/>
        <item sd="0" m="1" x="3400"/>
        <item sd="0" m="1" x="4361"/>
        <item sd="0" m="1" x="351"/>
        <item sd="0" m="1" x="3462"/>
        <item sd="0" m="1" x="4428"/>
        <item sd="0" m="1" x="5354"/>
        <item sd="0" m="1" x="1150"/>
        <item sd="0" m="1" x="1602"/>
        <item sd="0" m="1" x="2361"/>
        <item sd="0" m="1" x="3262"/>
        <item sd="0" m="1" x="7253"/>
        <item sd="0" m="1" x="3344"/>
        <item sd="0" m="1" x="4312"/>
        <item sd="0" m="1" x="5242"/>
        <item sd="0" m="1" x="7904"/>
        <item sd="0" m="1" x="5292"/>
        <item sd="0" m="1" x="6119"/>
        <item sd="0" m="1" x="524"/>
        <item sd="0" m="1" x="896"/>
        <item sd="0" m="1" x="1430"/>
        <item sd="0" m="1" x="2153"/>
        <item sd="0" m="1" x="6566"/>
        <item sd="0" m="1" x="7121"/>
        <item sd="0" m="1" x="1514"/>
        <item sd="0" m="1" x="2234"/>
        <item sd="0" m="1" x="3106"/>
        <item sd="0" m="1" x="4072"/>
        <item sd="0" m="1" x="7584"/>
        <item sd="0" m="1" x="7856"/>
        <item sd="0" m="1" x="3169"/>
        <item sd="0" m="1" x="4125"/>
        <item sd="0" m="1" x="5064"/>
        <item sd="0" m="1" x="5925"/>
        <item sd="0" m="1" x="432"/>
        <item sd="0" m="1" x="788"/>
        <item sd="0" m="1" x="1260"/>
        <item sd="0" m="1" x="4710"/>
        <item sd="0" m="1" x="5599"/>
        <item sd="0" m="1" x="6386"/>
        <item sd="0" m="1" x="6973"/>
        <item sd="0" m="1" x="1337"/>
        <item sd="0" m="1" x="2024"/>
        <item sd="0" m="1" x="2855"/>
        <item sd="0" m="1" x="6445"/>
        <item sd="0" m="1" x="845"/>
        <item sd="0" m="1" x="1367"/>
        <item sd="0" m="1" x="2102"/>
        <item sd="0" m="1" x="2982"/>
        <item sd="0" m="1" x="2154"/>
        <item sd="0" m="1" x="3039"/>
        <item sd="0" m="1" x="4012"/>
        <item sd="0" m="1" x="4964"/>
        <item sd="0" m="1" x="4073"/>
        <item sd="0" m="1" x="5019"/>
        <item sd="0" m="1" x="385"/>
        <item sd="0" m="1" x="729"/>
        <item sd="0" m="1" x="1218"/>
        <item sd="0" m="1" x="1896"/>
        <item sd="0" m="1" x="5552"/>
        <item sd="0" m="1" x="6317"/>
        <item sd="0" m="1" x="1261"/>
        <item sd="0" m="1" x="1938"/>
        <item sd="0" m="1" x="2782"/>
        <item sd="0" m="1" x="3740"/>
        <item sd="0" m="1" x="6974"/>
        <item sd="0" m="1" x="7430"/>
        <item sd="0" m="1" x="2856"/>
        <item sd="0" m="1" x="3811"/>
        <item sd="0" m="1" x="4759"/>
        <item sd="0" m="1" x="162"/>
        <item sd="0" m="1" x="325"/>
        <item sd="0" m="1" x="622"/>
        <item sd="0" m="1" x="4391"/>
        <item sd="0" m="1" x="5318"/>
        <item sd="0" m="1" x="6133"/>
        <item sd="0" m="1" x="661"/>
        <item sd="0" m="1" x="1122"/>
        <item sd="0" m="1" x="1742"/>
        <item sd="0" m="1" x="6190"/>
        <item sd="0" m="1" x="6834"/>
        <item sd="0" m="1" x="7321"/>
        <item sd="0" m="1" x="1824"/>
        <item sd="0" m="1" x="2635"/>
        <item sd="0" m="1" x="3554"/>
        <item sd="0" m="1" x="139"/>
        <item sd="0" m="1" x="271"/>
        <item sd="0" m="1" x="3181"/>
        <item sd="0" m="1" x="4146"/>
        <item sd="0" m="1" x="5078"/>
        <item sd="0" m="1" x="567"/>
        <item sd="0" m="1" x="976"/>
        <item sd="0" m="1" x="5131"/>
        <item sd="0" m="1" x="5997"/>
        <item sd="0" m="1" x="6670"/>
        <item sd="0" m="1" x="1603"/>
        <item sd="0" m="1" x="2362"/>
        <item sd="0" m="1" x="111"/>
        <item sd="0" m="1" x="1354"/>
        <item sd="0" m="1" x="2066"/>
        <item sd="0" m="1" x="2943"/>
        <item sd="0" m="1" x="3885"/>
        <item sd="0" m="1" x="474"/>
        <item sd="0" m="1" x="2983"/>
        <item sd="0" m="1" x="3954"/>
        <item sd="0" m="1" x="4899"/>
        <item sd="0" m="1" x="7408"/>
        <item sd="0" m="1" x="7737"/>
        <item sd="0" m="1" x="7942"/>
        <item sd="0" m="1" x="3648"/>
        <item sd="0" m="1" x="4594"/>
        <item sd="0" m="1" x="5492"/>
        <item sd="0" m="1" x="593"/>
        <item sd="0" m="1" x="1011"/>
        <item sd="0" m="1" x="5171"/>
        <item sd="0" m="1" x="6024"/>
        <item sd="0" m="1" x="6704"/>
        <item sd="0" m="1" x="1661"/>
        <item sd="0" m="1" x="2419"/>
        <item sd="0" m="1" x="6765"/>
        <item sd="0" m="1" x="7287"/>
        <item sd="0" m="1" x="7661"/>
        <item sd="0" m="1" x="3385"/>
        <item sd="0" m="1" x="4344"/>
        <item sd="0" m="1" x="495"/>
        <item sd="0" m="1" x="3017"/>
        <item sd="0" m="1" x="3978"/>
        <item sd="0" m="1" x="4930"/>
        <item sd="0" m="1" x="5814"/>
        <item sd="0" m="1" x="1481"/>
        <item sd="0" m="1" x="4998"/>
        <item sd="0" m="1" x="5873"/>
        <item sd="0" m="1" x="6614"/>
        <item sd="0" m="1" x="7159"/>
        <item sd="0" m="1" x="3144"/>
        <item sd="0" m="1" x="1917"/>
        <item sd="0" m="1" x="2754"/>
        <item sd="0" m="1" x="3711"/>
        <item sd="0" m="1" x="4671"/>
        <item sd="0" m="1" x="3769"/>
        <item sd="0" m="1" x="4731"/>
        <item sd="0" m="1" x="5639"/>
        <item sd="0" m="1" x="6420"/>
        <item sd="0" m="1" x="5683"/>
        <item sd="0" m="1" x="1096"/>
        <item sd="0" m="1" x="1719"/>
        <item sd="0" m="1" x="2527"/>
        <item sd="0" m="1" x="6819"/>
        <item sd="0" m="1" x="2596"/>
        <item sd="0" m="1" x="3530"/>
        <item sd="0" m="1" x="4494"/>
        <item sd="0" m="1" x="7712"/>
        <item sd="0" m="1" x="4548"/>
        <item sd="0" m="1" x="5466"/>
        <item sd="0" m="1" x="296"/>
        <item sd="0" m="1" x="539"/>
        <item sd="0" m="1" x="949"/>
        <item sd="0" m="1" x="1532"/>
        <item sd="0" m="1" x="5970"/>
        <item sd="0" m="1" x="6654"/>
        <item sd="0" m="1" x="1012"/>
        <item sd="0" m="1" x="1569"/>
        <item sd="0" m="1" x="2337"/>
        <item sd="0" m="1" x="3239"/>
        <item sd="0" m="1" x="6352"/>
        <item sd="0" m="1" x="6947"/>
        <item sd="0" m="1" x="1967"/>
        <item sd="0" m="1" x="1692"/>
        <item sd="0" m="1" x="2492"/>
        <item sd="0" m="1" x="3401"/>
        <item sd="0" m="1" x="3463"/>
        <item sd="0" m="1" x="4429"/>
        <item sd="0" m="1" x="5355"/>
        <item sd="0" m="1" x="697"/>
        <item sd="0" m="1" x="1151"/>
        <item sd="0" m="1" x="1778"/>
        <item sd="0" m="1" x="6242"/>
        <item sd="0" m="1" x="6861"/>
        <item sd="0" m="1" x="1864"/>
        <item sd="0" m="1" x="2668"/>
        <item sd="0" m="1" x="3589"/>
        <item sd="0" m="1" x="7409"/>
        <item sd="0" m="1" x="7738"/>
        <item sd="0" m="1" x="3649"/>
        <item sd="0" m="1" x="4595"/>
        <item sd="0" m="1" x="5493"/>
        <item sd="0" m="1" x="318"/>
        <item sd="0" m="1" x="594"/>
        <item sd="0" m="1" x="1013"/>
        <item sd="0" m="1" x="5172"/>
        <item sd="0" m="1" x="6025"/>
        <item sd="0" m="1" x="6705"/>
        <item sd="0" m="1" x="1068"/>
        <item sd="0" m="1" x="1662"/>
        <item sd="0" m="1" x="2420"/>
        <item sd="0" m="1" x="6766"/>
        <item sd="0" m="1" x="7288"/>
        <item sd="0" m="1" x="7662"/>
        <item sd="0" m="1" x="2484"/>
        <item sd="0" m="1" x="3386"/>
        <item sd="0" m="1" x="4345"/>
        <item sd="0" m="1" x="264"/>
        <item sd="0" m="1" x="496"/>
        <item sd="0" m="1" x="3018"/>
        <item sd="0" m="1" x="3979"/>
        <item sd="0" m="1" x="4931"/>
        <item sd="0" m="1" x="5815"/>
        <item sd="0" m="1" x="938"/>
        <item sd="0" m="1" x="1482"/>
        <item sd="0" m="1" x="4999"/>
        <item sd="0" m="1" x="5874"/>
        <item sd="0" m="1" x="6615"/>
        <item sd="0" m="1" x="7160"/>
        <item sd="0" m="1" x="2278"/>
        <item sd="0" m="1" x="3145"/>
        <item sd="0" m="1" x="1918"/>
        <item sd="0" m="1" x="2755"/>
        <item sd="0" m="1" x="3712"/>
        <item sd="0" m="1" x="4672"/>
        <item sd="0" m="1" x="3770"/>
        <item sd="0" m="1" x="4732"/>
        <item sd="0" m="1" x="5640"/>
        <item sd="0" m="1" x="7218"/>
        <item sd="0" m="1" x="2421"/>
        <item sd="0" m="1" x="3303"/>
        <item sd="0" m="1" x="4282"/>
        <item sd="0" m="1" x="124"/>
        <item sd="0" m="1" x="231"/>
        <item sd="0" m="1" x="449"/>
        <item sd="0" m="1" x="825"/>
        <item sd="0" m="1" x="3931"/>
        <item sd="0" m="1" x="4864"/>
        <item sd="0" m="1" x="5735"/>
        <item sd="0" m="1" x="497"/>
        <item sd="0" m="1" x="866"/>
        <item sd="0" m="1" x="1400"/>
        <item sd="0" m="1" x="2128"/>
        <item sd="0" m="1" x="5816"/>
        <item sd="0" m="1" x="6530"/>
        <item sd="0" m="1" x="7095"/>
        <item sd="0" m="1" x="1483"/>
        <item sd="0" m="1" x="2201"/>
        <item sd="0" m="1" x="3073"/>
        <item sd="0" m="1" x="4048"/>
        <item sd="0" m="1" x="102"/>
        <item sd="0" m="1" x="186"/>
        <item sd="0" m="1" x="2730"/>
        <item sd="0" m="1" x="3670"/>
        <item sd="0" m="1" x="4613"/>
        <item sd="0" m="1" x="5511"/>
        <item sd="0" m="1" x="420"/>
        <item sd="0" m="1" x="758"/>
        <item sd="0" m="1" x="4673"/>
        <item sd="0" m="1" x="5574"/>
        <item sd="0" m="1" x="6353"/>
        <item sd="0" m="1" x="6948"/>
        <item sd="0" m="1" x="1313"/>
        <item sd="0" m="1" x="1968"/>
        <item sd="0" m="1" x="94"/>
        <item sd="0" m="1" x="1693"/>
        <item sd="0" m="1" x="2493"/>
        <item sd="0" m="1" x="3402"/>
        <item sd="0" m="1" x="352"/>
        <item sd="0" m="1" x="3464"/>
        <item sd="0" m="1" x="4430"/>
        <item sd="0" m="1" x="5356"/>
        <item sd="0" m="1" x="1152"/>
        <item sd="0" m="1" x="1604"/>
        <item sd="0" m="1" x="2363"/>
        <item sd="0" m="1" x="3263"/>
        <item sd="0" m="1" x="7254"/>
        <item sd="0" m="1" x="3345"/>
        <item sd="0" m="1" x="4313"/>
        <item sd="0" m="1" x="5243"/>
        <item sd="0" m="1" x="7905"/>
        <item sd="0" m="1" x="5293"/>
        <item sd="0" m="1" x="6120"/>
        <item sd="0" m="1" x="525"/>
        <item sd="0" m="1" x="897"/>
        <item sd="0" m="1" x="1431"/>
        <item sd="0" m="1" x="2155"/>
        <item sd="0" m="1" x="6567"/>
        <item sd="0" m="1" x="7122"/>
        <item sd="0" m="1" x="1515"/>
        <item sd="0" m="1" x="2235"/>
        <item sd="0" m="1" x="3107"/>
        <item sd="0" m="1" x="4074"/>
        <item sd="0" m="1" x="6899"/>
        <item sd="0" m="1" x="7382"/>
        <item sd="0" m="1" x="2703"/>
        <item sd="0" m="1" x="2302"/>
        <item sd="0" m="1" x="3212"/>
        <item sd="0" m="1" x="4195"/>
        <item sd="0" m="1" x="4240"/>
        <item sd="0" m="1" x="5199"/>
        <item sd="0" m="1" x="6053"/>
        <item sd="0" m="1" x="846"/>
        <item sd="0" m="1" x="1368"/>
        <item sd="0" m="1" x="2103"/>
        <item sd="0" m="1" x="2984"/>
        <item sd="0" m="1" x="2156"/>
        <item sd="0" m="1" x="3040"/>
        <item sd="0" m="1" x="4013"/>
        <item sd="0" m="1" x="4965"/>
        <item sd="0" m="1" x="4075"/>
        <item sd="0" m="1" x="5020"/>
        <item sd="0" m="1" x="386"/>
        <item sd="0" m="1" x="730"/>
        <item sd="0" m="1" x="1219"/>
        <item sd="0" m="1" x="1897"/>
        <item sd="0" m="1" x="5553"/>
        <item sd="0" m="1" x="6318"/>
        <item sd="0" m="1" x="1262"/>
        <item sd="0" m="1" x="1939"/>
        <item sd="0" m="1" x="2783"/>
        <item sd="0" m="1" x="3741"/>
        <item sd="0" m="1" x="6975"/>
        <item sd="0" m="1" x="7431"/>
        <item sd="0" m="1" x="2857"/>
        <item sd="0" m="1" x="3812"/>
        <item sd="0" m="1" x="4760"/>
        <item sd="0" m="1" x="163"/>
        <item sd="0" m="1" x="326"/>
        <item sd="0" m="1" x="623"/>
        <item sd="0" m="1" x="4392"/>
        <item sd="0" m="1" x="5319"/>
        <item sd="0" m="1" x="6134"/>
        <item sd="0" m="1" x="662"/>
        <item sd="0" m="1" x="1123"/>
        <item sd="0" m="1" x="1743"/>
        <item sd="0" m="1" x="6191"/>
        <item sd="0" m="1" x="6835"/>
        <item sd="0" m="1" x="7322"/>
        <item sd="0" m="1" x="1825"/>
        <item sd="0" m="1" x="2636"/>
        <item sd="0" m="1" x="3555"/>
        <item sd="0" m="1" x="140"/>
        <item sd="0" m="1" x="272"/>
        <item sd="0" m="1" x="3182"/>
        <item sd="0" m="1" x="4147"/>
        <item sd="0" m="1" x="5079"/>
        <item sd="0" m="1" x="568"/>
        <item sd="0" m="1" x="977"/>
        <item sd="0" m="1" x="5132"/>
        <item sd="0" m="1" x="7826"/>
        <item sd="0" m="1" x="7974"/>
        <item sd="0" m="1" x="4851"/>
        <item sd="0" m="1" x="5722"/>
        <item sd="0" m="1" x="6473"/>
        <item sd="0" m="1" x="698"/>
        <item sd="0" m="1" x="1153"/>
        <item sd="0" m="1" x="1779"/>
        <item sd="0" m="1" x="6243"/>
        <item sd="0" m="1" x="6862"/>
        <item sd="0" m="1" x="7351"/>
        <item sd="0" m="1" x="1865"/>
        <item sd="0" m="1" x="2669"/>
        <item sd="0" m="1" x="3590"/>
        <item sd="0" m="1" x="7410"/>
        <item sd="0" m="1" x="7739"/>
        <item sd="0" m="1" x="7943"/>
        <item sd="0" m="1" x="3650"/>
        <item sd="0" m="1" x="4596"/>
        <item sd="0" m="1" x="5494"/>
        <item sd="0" m="1" x="595"/>
        <item sd="0" m="1" x="1014"/>
        <item sd="0" m="1" x="5173"/>
        <item sd="0" m="1" x="6026"/>
        <item sd="0" m="1" x="6706"/>
        <item sd="0" m="1" x="1663"/>
        <item sd="0" m="1" x="2422"/>
        <item sd="0" m="1" x="6767"/>
        <item sd="0" m="1" x="7289"/>
        <item sd="0" m="1" x="7663"/>
        <item sd="0" m="1" x="3387"/>
        <item sd="0" m="1" x="4346"/>
        <item sd="0" m="1" x="498"/>
        <item sd="0" m="1" x="3019"/>
        <item sd="0" m="1" x="3980"/>
        <item sd="0" m="1" x="4932"/>
        <item sd="0" m="1" x="5817"/>
        <item sd="0" m="1" x="1484"/>
        <item sd="0" m="1" x="5000"/>
        <item sd="0" m="1" x="5875"/>
        <item sd="0" m="1" x="6616"/>
        <item sd="0" m="1" x="7161"/>
        <item sd="0" m="1" x="3146"/>
        <item sd="0" m="1" x="1919"/>
        <item sd="0" m="1" x="2756"/>
        <item sd="0" m="1" x="3713"/>
        <item sd="0" m="1" x="4674"/>
        <item sd="0" m="1" x="3771"/>
        <item sd="0" m="1" x="4733"/>
        <item sd="0" m="1" x="5641"/>
        <item sd="0" m="1" x="6421"/>
        <item sd="0" m="1" x="5684"/>
        <item sd="0" m="1" x="1097"/>
        <item sd="0" m="1" x="1720"/>
        <item sd="0" m="1" x="2528"/>
        <item sd="0" m="1" x="6820"/>
        <item sd="0" m="1" x="2597"/>
        <item sd="0" m="1" x="3531"/>
        <item sd="0" m="1" x="4495"/>
        <item sd="0" m="1" x="6531"/>
        <item sd="0" m="1" x="7096"/>
        <item sd="0" m="1" x="7530"/>
        <item sd="0" m="1" x="2202"/>
        <item sd="0" m="1" x="3074"/>
        <item sd="0" m="1" x="4049"/>
        <item sd="0" m="1" x="187"/>
        <item sd="0" m="1" x="2731"/>
        <item sd="0" m="1" x="3671"/>
        <item sd="0" m="1" x="4614"/>
        <item sd="0" m="1" x="5512"/>
        <item sd="0" m="1" x="759"/>
        <item sd="0" m="1" x="4675"/>
        <item sd="0" m="1" x="5575"/>
        <item sd="0" m="1" x="6354"/>
        <item sd="0" m="1" x="6949"/>
        <item sd="0" m="1" x="1969"/>
        <item sd="0" m="1" x="1694"/>
        <item sd="0" m="1" x="2494"/>
        <item sd="0" m="1" x="3403"/>
        <item sd="0" m="1" x="3465"/>
        <item sd="0" m="1" x="4431"/>
        <item sd="0" m="1" x="5357"/>
        <item sd="0" m="1" x="1605"/>
        <item sd="0" m="1" x="2364"/>
        <item sd="0" m="1" x="3264"/>
        <item sd="0" m="1" x="7255"/>
        <item sd="0" m="1" x="7636"/>
        <item sd="0" m="1" x="3346"/>
        <item sd="0" m="1" x="4314"/>
        <item sd="0" m="1" x="5244"/>
        <item sd="0" m="1" x="7906"/>
        <item sd="0" m="1" x="50"/>
        <item sd="0" m="1" x="5294"/>
        <item sd="0" m="1" x="6121"/>
        <item sd="0" m="1" x="6791"/>
        <item sd="0" m="1" x="898"/>
        <item sd="0" m="1" x="1432"/>
        <item sd="0" m="1" x="2157"/>
        <item sd="0" m="1" x="6568"/>
        <item sd="0" m="1" x="7123"/>
        <item sd="0" m="1" x="7543"/>
        <item sd="0" m="1" x="2236"/>
        <item sd="0" m="1" x="3108"/>
        <item sd="0" m="1" x="4076"/>
        <item sd="0" m="1" x="7585"/>
        <item sd="0" m="1" x="7857"/>
        <item sd="0" m="1" x="32"/>
        <item sd="0" m="1" x="4126"/>
        <item sd="0" m="1" x="5065"/>
        <item sd="0" m="1" x="5926"/>
        <item sd="0" m="1" x="699"/>
        <item sd="0" m="1" x="1154"/>
        <item sd="0" m="1" x="1780"/>
        <item sd="0" m="1" x="6244"/>
        <item sd="0" m="1" x="6863"/>
        <item sd="0" m="1" x="1866"/>
        <item sd="0" m="1" x="2670"/>
        <item sd="0" m="1" x="3591"/>
        <item sd="0" m="1" x="6617"/>
        <item sd="0" m="1" x="7162"/>
        <item sd="0" m="1" x="2279"/>
        <item sd="0" m="1" x="3147"/>
        <item sd="0" m="1" x="1920"/>
        <item sd="0" m="1" x="2757"/>
        <item sd="0" m="1" x="3714"/>
        <item sd="0" m="1" x="4676"/>
        <item sd="0" m="1" x="3772"/>
        <item sd="0" m="1" x="4734"/>
        <item sd="0" m="1" x="5642"/>
        <item sd="0" m="1" x="6422"/>
        <item sd="0" m="1" x="1098"/>
        <item sd="0" m="1" x="1721"/>
        <item sd="0" m="1" x="2529"/>
        <item sd="0" m="1" x="2598"/>
        <item sd="0" m="1" x="3532"/>
        <item sd="0" m="1" x="4496"/>
        <item sd="0" m="1" x="4549"/>
        <item sd="0" m="1" x="297"/>
        <item sd="0" m="1" x="540"/>
        <item sd="0" m="1" x="950"/>
        <item sd="0" m="1" x="1533"/>
        <item sd="0" m="1" x="5971"/>
        <item sd="0" m="1" x="1015"/>
        <item sd="0" m="1" x="1570"/>
        <item sd="0" m="1" x="2338"/>
        <item sd="0" m="1" x="3240"/>
        <item sd="0" m="1" x="7219"/>
        <item sd="0" m="1" x="2423"/>
        <item sd="0" m="1" x="3304"/>
        <item sd="0" m="1" x="4283"/>
        <item sd="0" m="1" x="125"/>
        <item sd="0" m="1" x="232"/>
        <item sd="0" m="1" x="450"/>
        <item sd="0" m="1" x="826"/>
        <item sd="0" m="1" x="3932"/>
        <item sd="0" m="1" x="4865"/>
        <item sd="0" m="1" x="5736"/>
        <item sd="0" m="1" x="499"/>
        <item sd="0" m="1" x="867"/>
        <item sd="0" m="1" x="1401"/>
        <item sd="0" m="1" x="2129"/>
        <item sd="0" m="1" x="5818"/>
        <item sd="0" m="1" x="6532"/>
        <item sd="0" m="1" x="7097"/>
        <item sd="0" m="1" x="1485"/>
        <item sd="0" m="1" x="2203"/>
        <item sd="0" m="1" x="3075"/>
        <item sd="0" m="1" x="4050"/>
        <item sd="0" m="1" x="103"/>
        <item sd="0" m="1" x="188"/>
        <item sd="0" m="1" x="2732"/>
        <item sd="0" m="1" x="3672"/>
        <item sd="0" m="1" x="4615"/>
        <item sd="0" m="1" x="5513"/>
        <item sd="0" m="1" x="421"/>
        <item sd="0" m="1" x="760"/>
        <item sd="0" m="1" x="4677"/>
        <item sd="0" m="1" x="7907"/>
        <item sd="0" m="1" x="5295"/>
        <item sd="0" m="1" x="6122"/>
        <item sd="0" m="1" x="526"/>
        <item sd="0" m="1" x="899"/>
        <item sd="0" m="1" x="1433"/>
        <item sd="0" m="1" x="2158"/>
        <item sd="0" m="1" x="6569"/>
        <item sd="0" m="1" x="7124"/>
        <item sd="0" m="1" x="1516"/>
        <item sd="0" m="1" x="2237"/>
        <item sd="0" m="1" x="3109"/>
        <item sd="0" m="1" x="4077"/>
        <item sd="0" m="1" x="7586"/>
        <item sd="0" m="1" x="7858"/>
        <item sd="0" m="1" x="3170"/>
        <item sd="0" m="1" x="4127"/>
        <item sd="0" m="1" x="5066"/>
        <item sd="0" m="1" x="5927"/>
        <item sd="0" m="1" x="433"/>
        <item sd="0" m="1" x="789"/>
        <item sd="0" m="1" x="1263"/>
        <item sd="0" m="1" x="4711"/>
        <item sd="0" m="1" x="5600"/>
        <item sd="0" m="1" x="6387"/>
        <item sd="0" m="1" x="6976"/>
        <item sd="0" m="1" x="1338"/>
        <item sd="0" m="1" x="2025"/>
        <item sd="0" m="1" x="2858"/>
        <item sd="0" m="1" x="6446"/>
        <item sd="0" m="1" x="7034"/>
        <item sd="0" m="1" x="7498"/>
        <item sd="0" m="1" x="7799"/>
        <item sd="0" m="1" x="2930"/>
        <item sd="0" m="1" x="3873"/>
        <item sd="0" m="1" x="4828"/>
        <item sd="0" m="1" x="361"/>
        <item sd="0" m="1" x="3495"/>
        <item sd="0" m="1" x="4459"/>
        <item sd="0" m="1" x="5383"/>
        <item sd="0" m="1" x="6192"/>
        <item sd="0" m="1" x="1190"/>
        <item sd="0" m="1" x="5433"/>
        <item sd="0" m="1" x="6266"/>
        <item sd="0" m="1" x="6900"/>
        <item sd="0" m="1" x="7383"/>
        <item sd="0" m="1" x="2704"/>
        <item sd="0" m="1" x="2303"/>
        <item sd="0" m="1" x="3213"/>
        <item sd="0" m="1" x="4196"/>
        <item sd="0" m="1" x="4241"/>
        <item sd="0" m="1" x="5200"/>
        <item sd="0" m="1" x="6054"/>
        <item sd="0" m="1" x="847"/>
        <item sd="0" m="1" x="1369"/>
        <item sd="0" m="1" x="2104"/>
        <item sd="0" m="1" x="2985"/>
        <item sd="0" m="1" x="2159"/>
        <item sd="0" m="1" x="3041"/>
        <item sd="0" m="1" x="4014"/>
        <item sd="0" m="1" x="4966"/>
        <item sd="0" m="1" x="6193"/>
        <item sd="0" m="1" x="6836"/>
        <item sd="0" m="1" x="7323"/>
        <item sd="0" m="1" x="1826"/>
        <item sd="0" m="1" x="2637"/>
        <item sd="0" m="1" x="3556"/>
        <item sd="0" m="1" x="141"/>
        <item sd="0" m="1" x="273"/>
        <item sd="0" m="1" x="3183"/>
        <item sd="0" m="1" x="4148"/>
        <item sd="0" m="1" x="5080"/>
        <item sd="0" m="1" x="569"/>
        <item sd="0" m="1" x="978"/>
        <item sd="0" m="1" x="5133"/>
        <item sd="0" m="1" x="5998"/>
        <item sd="0" m="1" x="6671"/>
        <item sd="0" m="1" x="1606"/>
        <item sd="0" m="1" x="2365"/>
        <item sd="0" m="1" x="112"/>
        <item sd="0" m="1" x="1355"/>
        <item sd="0" m="1" x="2067"/>
        <item sd="0" m="1" x="2944"/>
        <item sd="0" m="1" x="3886"/>
        <item sd="0" m="1" x="475"/>
        <item sd="0" m="1" x="2986"/>
        <item sd="0" m="1" x="3955"/>
        <item sd="0" m="1" x="4900"/>
        <item sd="0" m="1" x="5782"/>
        <item sd="0" m="1" x="1434"/>
        <item sd="0" m="1" x="1314"/>
        <item sd="0" m="1" x="1970"/>
        <item sd="0" m="1" x="2816"/>
        <item sd="0" m="1" x="3773"/>
        <item sd="0" m="1" x="7017"/>
        <item sd="0" m="1" x="7466"/>
        <item sd="0" m="1" x="2913"/>
        <item sd="0" m="1" x="3842"/>
        <item sd="0" m="1" x="4797"/>
        <item sd="0" m="1" x="5685"/>
        <item sd="0" m="1" x="7827"/>
        <item sd="0" m="1" x="7975"/>
        <item sd="0" m="1" x="4852"/>
        <item sd="0" m="1" x="5723"/>
        <item sd="0" m="1" x="6474"/>
        <item sd="0" m="1" x="700"/>
        <item sd="0" m="1" x="1155"/>
        <item sd="0" m="1" x="1781"/>
        <item sd="0" m="1" x="6245"/>
        <item sd="0" m="1" x="6864"/>
        <item sd="0" m="1" x="7352"/>
        <item sd="0" m="1" x="1867"/>
        <item sd="0" m="1" x="2671"/>
        <item sd="0" m="1" x="3592"/>
        <item sd="0" m="1" x="7411"/>
        <item sd="0" m="1" x="7740"/>
        <item sd="0" m="1" x="7944"/>
        <item sd="0" m="1" x="3651"/>
        <item sd="0" m="1" x="4597"/>
        <item sd="0" m="1" x="5495"/>
        <item sd="0" m="1" x="596"/>
        <item sd="0" m="1" x="1016"/>
        <item sd="0" m="1" x="5174"/>
        <item sd="0" m="1" x="6027"/>
        <item sd="0" m="1" x="6707"/>
        <item sd="0" m="1" x="1664"/>
        <item sd="0" m="1" x="2424"/>
        <item sd="0" m="1" x="6768"/>
        <item sd="0" m="1" x="5686"/>
        <item sd="0" m="1" x="1099"/>
        <item sd="0" m="1" x="1722"/>
        <item sd="0" m="1" x="2530"/>
        <item sd="0" m="1" x="6821"/>
        <item sd="0" m="1" x="2599"/>
        <item sd="0" m="1" x="3533"/>
        <item sd="0" m="1" x="4497"/>
        <item sd="0" m="1" x="7713"/>
        <item sd="0" m="1" x="4550"/>
        <item sd="0" m="1" x="5467"/>
        <item sd="0" m="1" x="298"/>
        <item sd="0" m="1" x="541"/>
        <item sd="0" m="1" x="951"/>
        <item sd="0" m="1" x="1534"/>
        <item sd="0" m="1" x="5972"/>
        <item sd="0" m="1" x="6655"/>
        <item sd="0" m="1" x="1017"/>
        <item sd="0" m="1" x="1571"/>
        <item sd="0" m="1" x="2339"/>
        <item sd="0" m="1" x="3241"/>
        <item sd="0" m="1" x="7220"/>
        <item sd="0" m="1" x="7620"/>
        <item sd="0" m="1" x="2425"/>
        <item sd="0" m="1" x="3305"/>
        <item sd="0" m="1" x="4284"/>
        <item sd="0" m="1" x="5225"/>
        <item sd="0" m="1" x="233"/>
        <item sd="0" m="1" x="451"/>
        <item sd="0" m="1" x="827"/>
        <item sd="0" m="1" x="3933"/>
        <item sd="0" m="1" x="4866"/>
        <item sd="0" m="1" x="5737"/>
        <item sd="0" m="1" x="6482"/>
        <item sd="0" m="1" x="868"/>
        <item sd="0" m="1" x="1402"/>
        <item sd="0" m="1" x="2130"/>
        <item sd="0" m="1" x="5819"/>
        <item sd="0" m="1" x="6533"/>
        <item sd="0" m="1" x="7098"/>
        <item sd="0" m="1" x="7531"/>
        <item sd="0" m="1" x="2204"/>
        <item sd="0" m="1" x="3076"/>
        <item sd="0" m="1" x="4051"/>
        <item sd="0" m="1" x="189"/>
        <item sd="0" m="1" x="2733"/>
        <item sd="0" m="1" x="3673"/>
        <item sd="0" m="1" x="4616"/>
        <item sd="0" m="1" x="5514"/>
        <item sd="0" m="1" x="761"/>
        <item sd="0" m="1" x="4678"/>
        <item sd="0" m="1" x="5576"/>
        <item sd="0" m="1" x="6355"/>
        <item sd="0" m="1" x="6950"/>
        <item sd="0" m="1" x="1971"/>
        <item sd="0" m="1" x="1695"/>
        <item sd="0" m="1" x="2495"/>
        <item sd="0" m="1" x="3404"/>
        <item sd="0" m="1" x="3466"/>
        <item sd="0" m="1" x="4432"/>
        <item sd="0" m="1" x="5358"/>
        <item sd="0" m="1" x="7412"/>
        <item sd="0" m="1" x="7741"/>
        <item sd="0" m="1" x="3652"/>
        <item sd="0" m="1" x="4598"/>
        <item sd="0" m="1" x="5496"/>
        <item sd="0" m="1" x="319"/>
        <item sd="0" m="1" x="597"/>
        <item sd="0" m="1" x="1018"/>
        <item sd="0" m="1" x="5175"/>
        <item sd="0" m="1" x="6028"/>
        <item sd="0" m="1" x="6708"/>
        <item sd="0" m="1" x="1069"/>
        <item sd="0" m="1" x="1665"/>
        <item sd="0" m="1" x="2426"/>
        <item sd="0" m="1" x="6769"/>
        <item sd="0" m="1" x="7290"/>
        <item sd="0" m="1" x="7664"/>
        <item sd="0" m="1" x="2485"/>
        <item sd="0" m="1" x="3388"/>
        <item sd="0" m="1" x="4347"/>
        <item sd="0" m="1" x="265"/>
        <item sd="0" m="1" x="500"/>
        <item sd="0" m="1" x="3020"/>
        <item sd="0" m="1" x="3981"/>
        <item sd="0" m="1" x="4933"/>
        <item sd="0" m="1" x="5820"/>
        <item sd="0" m="1" x="939"/>
        <item sd="0" m="1" x="1486"/>
        <item sd="0" m="1" x="5001"/>
        <item sd="0" m="1" x="5876"/>
        <item sd="0" m="1" x="6618"/>
        <item sd="0" m="1" x="7163"/>
        <item sd="0" m="1" x="2280"/>
        <item sd="0" m="1" x="3148"/>
        <item sd="0" m="1" x="1921"/>
        <item sd="0" m="1" x="2758"/>
        <item sd="0" m="1" x="3715"/>
        <item sd="0" m="1" x="4679"/>
        <item sd="0" m="1" x="3774"/>
        <item sd="0" m="1" x="4735"/>
        <item sd="0" m="1" x="5643"/>
        <item sd="0" m="1" x="6423"/>
        <item sd="0" m="1" x="1100"/>
        <item sd="0" m="1" x="1723"/>
        <item sd="0" m="1" x="2531"/>
        <item sd="0" m="1" x="2600"/>
        <item sd="0" m="1" x="3534"/>
        <item sd="0" m="1" x="4498"/>
        <item sd="0" m="1" x="4551"/>
        <item sd="0" m="1" x="299"/>
        <item sd="0" m="1" x="542"/>
        <item sd="0" m="1" x="952"/>
        <item sd="0" m="1" x="1535"/>
        <item sd="0" m="1" x="5973"/>
        <item sd="0" m="1" x="1019"/>
        <item sd="0" m="1" x="1572"/>
        <item sd="0" m="1" x="2340"/>
        <item sd="0" m="1" x="3242"/>
        <item sd="0" m="1" x="5577"/>
        <item sd="0" m="1" x="6356"/>
        <item sd="0" m="1" x="6951"/>
        <item sd="0" m="1" x="1315"/>
        <item sd="0" m="1" x="1972"/>
        <item sd="0" m="1" x="95"/>
        <item sd="0" m="1" x="1696"/>
        <item sd="0" m="1" x="2496"/>
        <item sd="0" m="1" x="3405"/>
        <item sd="0" m="1" x="353"/>
        <item sd="0" m="1" x="3467"/>
        <item sd="0" m="1" x="4433"/>
        <item sd="0" m="1" x="5359"/>
        <item sd="0" m="1" x="1156"/>
        <item sd="0" m="1" x="1607"/>
        <item sd="0" m="1" x="2366"/>
        <item sd="0" m="1" x="3265"/>
        <item sd="0" m="1" x="7256"/>
        <item sd="0" m="1" x="3347"/>
        <item sd="0" m="1" x="4315"/>
        <item sd="0" m="1" x="5245"/>
        <item sd="0" m="1" x="7908"/>
        <item sd="0" m="1" x="5296"/>
        <item sd="0" m="1" x="6123"/>
        <item sd="0" m="1" x="527"/>
        <item sd="0" m="1" x="900"/>
        <item sd="0" m="1" x="1435"/>
        <item sd="0" m="1" x="2160"/>
        <item sd="0" m="1" x="6570"/>
        <item sd="0" m="1" x="7125"/>
        <item sd="0" m="1" x="1517"/>
        <item sd="0" m="1" x="2238"/>
        <item sd="0" m="1" x="3110"/>
        <item sd="0" m="1" x="4078"/>
        <item sd="0" m="1" x="7587"/>
        <item sd="0" m="1" x="7859"/>
        <item sd="0" m="1" x="3171"/>
        <item sd="0" m="1" x="4128"/>
        <item sd="0" m="1" x="5067"/>
        <item sd="0" m="1" x="5928"/>
        <item sd="0" m="1" x="434"/>
        <item sd="0" m="1" x="790"/>
        <item sd="0" m="1" x="1264"/>
        <item sd="0" m="1" x="4712"/>
        <item sd="0" m="1" x="5601"/>
        <item sd="0" m="1" x="6388"/>
        <item sd="0" m="1" x="6977"/>
        <item sd="0" m="1" x="1339"/>
        <item sd="0" m="1" x="2026"/>
        <item sd="0" m="1" x="2859"/>
        <item sd="0" m="1" x="6447"/>
        <item sd="0" m="1" x="7035"/>
        <item sd="0" m="1" x="7499"/>
        <item sd="0" m="1" x="7800"/>
        <item sd="0" m="1" x="2931"/>
        <item sd="0" m="1" x="3874"/>
        <item sd="0" m="1" x="4829"/>
        <item sd="0" m="1" x="362"/>
        <item sd="0" m="1" x="3496"/>
        <item sd="0" m="1" x="4460"/>
        <item sd="0" m="1" x="5384"/>
        <item sd="0" m="1" x="6194"/>
        <item sd="0" m="1" x="1191"/>
        <item sd="0" m="1" x="5434"/>
        <item sd="0" m="1" x="6267"/>
        <item sd="0" m="1" x="4079"/>
        <item sd="0" m="1" x="5021"/>
        <item sd="0" m="1" x="387"/>
        <item sd="0" m="1" x="731"/>
        <item sd="0" m="1" x="1220"/>
        <item sd="0" m="1" x="1898"/>
        <item sd="0" m="1" x="5554"/>
        <item sd="0" m="1" x="6319"/>
        <item sd="0" m="1" x="1265"/>
        <item sd="0" m="1" x="1940"/>
        <item sd="0" m="1" x="2784"/>
        <item sd="0" m="1" x="3742"/>
        <item sd="0" m="1" x="6978"/>
        <item sd="0" m="1" x="7432"/>
        <item sd="0" m="1" x="2860"/>
        <item sd="0" m="1" x="3813"/>
        <item sd="0" m="1" x="4761"/>
        <item sd="0" m="1" x="164"/>
        <item sd="0" m="1" x="327"/>
        <item sd="0" m="1" x="624"/>
        <item sd="0" m="1" x="4393"/>
        <item sd="0" m="1" x="5320"/>
        <item sd="0" m="1" x="6135"/>
        <item sd="0" m="1" x="663"/>
        <item sd="0" m="1" x="1124"/>
        <item sd="0" m="1" x="1744"/>
        <item sd="0" m="1" x="6195"/>
        <item sd="0" m="1" x="6837"/>
        <item sd="0" m="1" x="7324"/>
        <item sd="0" m="1" x="1827"/>
        <item sd="0" m="1" x="2638"/>
        <item sd="0" m="1" x="3557"/>
        <item sd="0" m="1" x="142"/>
        <item sd="0" m="1" x="274"/>
        <item sd="0" m="1" x="3184"/>
        <item sd="0" m="1" x="4149"/>
        <item sd="0" m="1" x="5081"/>
        <item sd="0" m="1" x="570"/>
        <item sd="0" m="1" x="979"/>
        <item sd="0" m="1" x="5134"/>
        <item sd="0" m="1" x="5999"/>
        <item sd="0" m="1" x="6672"/>
        <item sd="0" m="1" x="1608"/>
        <item sd="0" m="1" x="2367"/>
        <item sd="0" m="1" x="113"/>
        <item sd="0" m="1" x="1356"/>
        <item sd="0" m="1" x="2068"/>
        <item sd="0" m="1" x="2945"/>
        <item sd="0" m="1" x="3887"/>
        <item sd="0" m="1" x="476"/>
        <item sd="0" m="1" x="2987"/>
        <item sd="0" m="1" x="3956"/>
        <item sd="0" m="1" x="4901"/>
        <item sd="0" m="1" x="5783"/>
        <item sd="0" m="1" x="1436"/>
        <item sd="0" m="1" x="1316"/>
        <item sd="0" m="1" x="1973"/>
        <item sd="0" m="1" x="2817"/>
        <item sd="0" m="1" x="3775"/>
        <item sd="0" m="1" x="7018"/>
        <item sd="0" m="1" x="7467"/>
        <item sd="0" m="1" x="2914"/>
        <item sd="0" m="1" x="3843"/>
        <item sd="0" m="1" x="4798"/>
        <item sd="0" m="1" x="5687"/>
        <item sd="0" m="1" x="7291"/>
        <item sd="0" m="1" x="7665"/>
        <item sd="0" m="1" x="3389"/>
        <item sd="0" m="1" x="4348"/>
        <item sd="0" m="1" x="501"/>
        <item sd="0" m="1" x="3021"/>
        <item sd="0" m="1" x="3982"/>
        <item sd="0" m="1" x="4934"/>
        <item sd="0" m="1" x="5821"/>
        <item sd="0" m="1" x="1487"/>
        <item sd="0" m="1" x="5002"/>
        <item sd="0" m="1" x="5877"/>
        <item sd="0" m="1" x="6619"/>
        <item sd="0" m="1" x="7164"/>
        <item sd="0" m="1" x="3149"/>
        <item sd="0" m="1" x="1922"/>
        <item sd="0" m="1" x="2759"/>
        <item sd="0" m="1" x="3716"/>
        <item sd="0" m="1" x="4680"/>
        <item sd="0" m="1" x="3776"/>
        <item sd="0" m="1" x="4736"/>
        <item sd="0" m="1" x="5644"/>
        <item sd="0" m="1" x="6424"/>
        <item sd="0" m="1" x="5688"/>
        <item sd="0" m="1" x="1101"/>
        <item sd="0" m="1" x="1724"/>
        <item sd="0" m="1" x="2532"/>
        <item sd="0" m="1" x="6822"/>
        <item sd="0" m="1" x="2601"/>
        <item sd="0" m="1" x="3535"/>
        <item sd="0" m="1" x="4499"/>
        <item sd="0" m="1" x="7714"/>
        <item sd="0" m="1" x="4552"/>
        <item sd="0" m="1" x="5468"/>
        <item sd="0" m="1" x="300"/>
        <item sd="0" m="1" x="543"/>
        <item sd="0" m="1" x="953"/>
        <item sd="0" m="1" x="1536"/>
        <item sd="0" m="1" x="5974"/>
        <item sd="0" m="1" x="6656"/>
        <item sd="0" m="1" x="1020"/>
        <item sd="0" m="1" x="1573"/>
        <item sd="0" m="1" x="2341"/>
        <item sd="0" m="1" x="3243"/>
        <item sd="0" m="1" x="7221"/>
        <item sd="0" m="1" x="7621"/>
        <item sd="0" m="1" x="2427"/>
        <item sd="0" m="1" x="3306"/>
        <item sd="0" m="1" x="4285"/>
        <item sd="0" m="1" x="5226"/>
        <item sd="0" m="1" x="234"/>
        <item sd="0" m="1" x="452"/>
        <item sd="0" m="1" x="828"/>
        <item sd="0" m="1" x="3934"/>
        <item sd="0" m="1" x="4867"/>
        <item sd="0" m="1" x="5738"/>
        <item sd="0" m="1" x="6483"/>
        <item sd="0" m="1" x="869"/>
        <item sd="0" m="1" x="1403"/>
        <item sd="0" m="1" x="2131"/>
        <item sd="0" m="1" x="5822"/>
        <item sd="0" m="1" x="1609"/>
        <item sd="0" m="1" x="2368"/>
        <item sd="0" m="1" x="3266"/>
        <item sd="0" m="1" x="7257"/>
        <item sd="0" m="1" x="7637"/>
        <item sd="0" m="1" x="3348"/>
        <item sd="0" m="1" x="4316"/>
        <item sd="0" m="1" x="5246"/>
        <item sd="0" m="1" x="7909"/>
        <item sd="0" m="1" x="51"/>
        <item sd="0" m="1" x="5297"/>
        <item sd="0" m="1" x="6124"/>
        <item sd="0" m="1" x="6792"/>
        <item sd="0" m="1" x="901"/>
        <item sd="0" m="1" x="1437"/>
        <item sd="0" m="1" x="2161"/>
        <item sd="0" m="1" x="6571"/>
        <item sd="0" m="1" x="7126"/>
        <item sd="0" m="1" x="7544"/>
        <item sd="0" m="1" x="2239"/>
        <item sd="0" m="1" x="3111"/>
        <item sd="0" m="1" x="4080"/>
        <item sd="0" m="1" x="7588"/>
        <item sd="0" m="1" x="7860"/>
        <item sd="0" m="1" x="33"/>
        <item sd="0" m="1" x="4129"/>
        <item sd="0" m="1" x="5068"/>
        <item sd="0" m="1" x="5929"/>
        <item sd="0" m="1" x="701"/>
        <item sd="0" m="1" x="1157"/>
        <item sd="0" m="1" x="1782"/>
        <item sd="0" m="1" x="6246"/>
        <item sd="0" m="1" x="6865"/>
        <item sd="0" m="1" x="1868"/>
        <item sd="0" m="1" x="2672"/>
        <item sd="0" m="1" x="3593"/>
        <item sd="0" m="1" x="7413"/>
        <item sd="0" m="1" x="7742"/>
        <item sd="0" m="1" x="3653"/>
        <item sd="0" m="1" x="4599"/>
        <item sd="0" m="1" x="5497"/>
        <item sd="0" m="1" x="320"/>
        <item sd="0" m="1" x="598"/>
        <item sd="0" m="1" x="1021"/>
        <item sd="0" m="1" x="5176"/>
        <item sd="0" m="1" x="6029"/>
        <item sd="0" m="1" x="6709"/>
        <item sd="0" m="1" x="1070"/>
        <item sd="0" m="1" x="1666"/>
        <item sd="0" m="1" x="2428"/>
        <item sd="0" m="1" x="6770"/>
        <item sd="0" m="1" x="7292"/>
        <item sd="0" m="1" x="7666"/>
        <item sd="0" m="1" x="2486"/>
        <item sd="0" m="1" x="3390"/>
        <item sd="0" m="1" x="4349"/>
        <item sd="0" m="1" x="266"/>
        <item sd="0" m="1" x="502"/>
        <item sd="0" m="1" x="3022"/>
        <item sd="0" m="1" x="3983"/>
        <item sd="0" m="1" x="4935"/>
        <item sd="0" m="1" x="5823"/>
        <item sd="0" m="1" x="940"/>
        <item sd="0" m="1" x="1488"/>
        <item sd="0" m="1" x="5003"/>
        <item sd="0" m="1" x="5878"/>
        <item sd="0" m="1" x="4553"/>
        <item sd="0" m="1" x="301"/>
        <item sd="0" m="1" x="544"/>
        <item sd="0" m="1" x="954"/>
        <item sd="0" m="1" x="1537"/>
        <item sd="0" m="1" x="5975"/>
        <item sd="0" m="1" x="1022"/>
        <item sd="0" m="1" x="1574"/>
        <item sd="0" m="1" x="2342"/>
        <item sd="0" m="1" x="3244"/>
        <item sd="0" m="1" x="7222"/>
        <item sd="0" m="1" x="2429"/>
        <item sd="0" m="1" x="3307"/>
        <item sd="0" m="1" x="4286"/>
        <item sd="0" m="1" x="126"/>
        <item sd="0" m="1" x="235"/>
        <item sd="0" m="1" x="453"/>
        <item sd="0" m="1" x="829"/>
        <item sd="0" m="1" x="3935"/>
        <item sd="0" m="1" x="4868"/>
        <item sd="0" m="1" x="5739"/>
        <item sd="0" m="1" x="503"/>
        <item sd="0" m="1" x="870"/>
        <item sd="0" m="1" x="1404"/>
        <item sd="0" m="1" x="2132"/>
        <item sd="0" m="1" x="5824"/>
        <item sd="0" m="1" x="6534"/>
        <item sd="0" m="1" x="7099"/>
        <item sd="0" m="1" x="1489"/>
        <item sd="0" m="1" x="2205"/>
        <item sd="0" m="1" x="3077"/>
        <item sd="0" m="1" x="4052"/>
        <item sd="0" m="1" x="104"/>
        <item sd="0" m="1" x="190"/>
        <item sd="0" m="1" x="2734"/>
        <item sd="0" m="1" x="3674"/>
        <item sd="0" m="1" x="4617"/>
        <item sd="0" m="1" x="5515"/>
        <item sd="0" m="1" x="422"/>
        <item sd="0" m="1" x="762"/>
        <item sd="0" m="1" x="4681"/>
        <item sd="0" m="1" x="5578"/>
        <item sd="0" m="1" x="6357"/>
        <item sd="0" m="1" x="6952"/>
        <item sd="0" m="1" x="1317"/>
        <item sd="0" m="1" x="1974"/>
        <item sd="0" m="1" x="96"/>
        <item sd="0" m="1" x="1697"/>
        <item sd="0" m="1" x="2497"/>
        <item sd="0" m="1" x="3406"/>
        <item sd="0" m="1" x="354"/>
        <item sd="0" m="1" x="3468"/>
        <item sd="0" m="1" x="4434"/>
        <item sd="0" m="1" x="5360"/>
        <item sd="0" m="1" x="1158"/>
        <item sd="0" m="1" x="1610"/>
        <item sd="0" m="1" x="2369"/>
        <item sd="0" m="1" x="3267"/>
        <item sd="0" m="1" x="7258"/>
        <item sd="0" m="1" x="3349"/>
        <item sd="0" m="1" x="4317"/>
        <item sd="0" m="1" x="5247"/>
        <item sd="0" m="1" x="7036"/>
        <item sd="0" m="1" x="7500"/>
        <item sd="0" m="1" x="7801"/>
        <item sd="0" m="1" x="2932"/>
        <item sd="0" m="1" x="3875"/>
        <item sd="0" m="1" x="4830"/>
        <item sd="0" m="1" x="363"/>
        <item sd="0" m="1" x="3497"/>
        <item sd="0" m="1" x="4461"/>
        <item sd="0" m="1" x="5385"/>
        <item sd="0" m="1" x="6196"/>
        <item sd="0" m="1" x="1192"/>
        <item sd="0" m="1" x="5435"/>
        <item sd="0" m="1" x="6268"/>
        <item sd="0" m="1" x="6901"/>
        <item sd="0" m="1" x="7384"/>
        <item sd="0" m="1" x="2705"/>
        <item sd="0" m="1" x="2304"/>
        <item sd="0" m="1" x="3214"/>
        <item sd="0" m="1" x="4197"/>
        <item sd="0" m="1" x="4242"/>
        <item sd="0" m="1" x="5201"/>
        <item sd="0" m="1" x="6055"/>
        <item sd="0" m="1" x="848"/>
        <item sd="0" m="1" x="1370"/>
        <item sd="0" m="1" x="2105"/>
        <item sd="0" m="1" x="2988"/>
        <item sd="0" m="1" x="2162"/>
        <item sd="0" m="1" x="3042"/>
        <item sd="0" m="1" x="4015"/>
        <item sd="0" m="1" x="4967"/>
        <item sd="0" m="1" x="4081"/>
        <item sd="0" m="1" x="5022"/>
        <item sd="0" m="1" x="388"/>
        <item sd="0" m="1" x="732"/>
        <item sd="0" m="1" x="1221"/>
        <item sd="0" m="1" x="1899"/>
        <item sd="0" m="1" x="5555"/>
        <item sd="0" m="1" x="6320"/>
        <item sd="0" m="1" x="1266"/>
        <item sd="0" m="1" x="1941"/>
        <item sd="0" m="1" x="2785"/>
        <item sd="0" m="1" x="3743"/>
        <item sd="0" m="1" x="6979"/>
        <item sd="0" m="1" x="7433"/>
        <item sd="0" m="1" x="2861"/>
        <item sd="0" m="1" x="3814"/>
        <item sd="0" m="1" x="4762"/>
        <item sd="0" m="1" x="165"/>
        <item sd="0" m="1" x="328"/>
        <item sd="0" m="1" x="625"/>
        <item sd="0" m="1" x="4394"/>
        <item sd="0" m="1" x="5321"/>
        <item sd="0" m="1" x="6136"/>
        <item sd="0" m="1" x="664"/>
        <item sd="0" m="1" x="1125"/>
        <item sd="0" m="1" x="1745"/>
        <item sd="0" m="1" x="5784"/>
        <item sd="0" m="1" x="1438"/>
        <item sd="0" m="1" x="1318"/>
        <item sd="0" m="1" x="1975"/>
        <item sd="0" m="1" x="2818"/>
        <item sd="0" m="1" x="3777"/>
        <item sd="0" m="1" x="7019"/>
        <item sd="0" m="1" x="7468"/>
        <item sd="0" m="1" x="2915"/>
        <item sd="0" m="1" x="3844"/>
        <item sd="0" m="1" x="4799"/>
        <item sd="0" m="1" x="5689"/>
        <item sd="0" m="1" x="7828"/>
        <item sd="0" m="1" x="7976"/>
        <item sd="0" m="1" x="4853"/>
        <item sd="0" m="1" x="5724"/>
        <item sd="0" m="1" x="6475"/>
        <item sd="0" m="1" x="702"/>
        <item sd="0" m="1" x="1159"/>
        <item sd="0" m="1" x="1783"/>
        <item sd="0" m="1" x="6247"/>
        <item sd="0" m="1" x="6866"/>
        <item sd="0" m="1" x="7353"/>
        <item sd="0" m="1" x="1869"/>
        <item sd="0" m="1" x="2673"/>
        <item sd="0" m="1" x="3594"/>
        <item sd="0" m="1" x="7414"/>
        <item sd="0" m="1" x="7743"/>
        <item sd="0" m="1" x="7945"/>
        <item sd="0" m="1" x="3654"/>
        <item sd="0" m="1" x="4600"/>
        <item sd="0" m="1" x="5498"/>
        <item sd="0" m="1" x="599"/>
        <item sd="0" m="1" x="1023"/>
        <item sd="0" m="1" x="5177"/>
        <item sd="0" m="1" x="6030"/>
        <item sd="0" m="1" x="6710"/>
        <item sd="0" m="1" x="1667"/>
        <item sd="0" m="1" x="2430"/>
        <item sd="0" m="1" x="6771"/>
        <item sd="0" m="1" x="7293"/>
        <item sd="0" m="1" x="7667"/>
        <item sd="0" m="1" x="3391"/>
        <item sd="0" m="1" x="4350"/>
        <item sd="0" m="1" x="504"/>
        <item sd="0" m="1" x="3023"/>
        <item sd="0" m="1" x="3984"/>
        <item sd="0" m="1" x="4936"/>
        <item sd="0" m="1" x="5825"/>
        <item sd="0" m="1" x="1490"/>
        <item sd="0" m="1" x="5004"/>
        <item sd="0" m="1" x="5879"/>
        <item sd="0" m="1" x="6620"/>
        <item sd="0" m="1" x="7165"/>
        <item sd="0" m="1" x="3150"/>
        <item sd="0" m="1" x="1923"/>
        <item sd="0" m="1" x="2760"/>
        <item sd="0" m="1" x="3717"/>
        <item sd="0" m="1" x="4682"/>
        <item sd="0" m="1" x="3778"/>
        <item sd="0" m="1" x="4737"/>
        <item sd="0" m="1" x="5645"/>
        <item sd="0" m="1" x="6425"/>
        <item sd="0" m="1" x="7223"/>
        <item sd="0" m="1" x="7622"/>
        <item sd="0" m="1" x="2431"/>
        <item sd="0" m="1" x="3308"/>
        <item sd="0" m="1" x="4287"/>
        <item sd="0" m="1" x="5227"/>
        <item sd="0" m="1" x="236"/>
        <item sd="0" m="1" x="454"/>
        <item sd="0" m="1" x="830"/>
        <item sd="0" m="1" x="3936"/>
        <item sd="0" m="1" x="4869"/>
        <item sd="0" m="1" x="5740"/>
        <item sd="0" m="1" x="6484"/>
        <item sd="0" m="1" x="871"/>
        <item sd="0" m="1" x="1405"/>
        <item sd="0" m="1" x="2133"/>
        <item sd="0" m="1" x="5826"/>
        <item sd="0" m="1" x="6535"/>
        <item sd="0" m="1" x="7100"/>
        <item sd="0" m="1" x="7532"/>
        <item sd="0" m="1" x="2206"/>
        <item sd="0" m="1" x="3078"/>
        <item sd="0" m="1" x="4053"/>
        <item sd="0" m="1" x="191"/>
        <item sd="0" m="1" x="2735"/>
        <item sd="0" m="1" x="3675"/>
        <item sd="0" m="1" x="4618"/>
        <item sd="0" m="1" x="5516"/>
        <item sd="0" m="1" x="763"/>
        <item sd="0" m="1" x="4683"/>
        <item sd="0" m="1" x="5579"/>
        <item sd="0" m="1" x="6358"/>
        <item sd="0" m="1" x="6953"/>
        <item sd="0" m="1" x="1976"/>
        <item sd="0" m="1" x="1698"/>
        <item sd="0" m="1" x="2498"/>
        <item sd="0" m="1" x="3407"/>
        <item sd="0" m="1" x="3469"/>
        <item sd="0" m="1" x="4435"/>
        <item sd="0" m="1" x="5361"/>
        <item sd="0" m="1" x="1611"/>
        <item sd="0" m="1" x="2370"/>
        <item sd="0" m="1" x="3268"/>
        <item sd="0" m="1" x="7259"/>
        <item sd="0" m="1" x="7638"/>
        <item sd="0" m="1" x="3350"/>
        <item sd="0" m="1" x="4318"/>
        <item sd="0" m="1" x="5248"/>
        <item sd="0" m="1" x="7910"/>
        <item sd="0" m="1" x="52"/>
        <item sd="0" m="1" x="5298"/>
        <item sd="0" m="1" x="6125"/>
        <item sd="0" m="1" x="6793"/>
        <item sd="0" m="1" x="703"/>
        <item sd="0" m="1" x="1160"/>
        <item sd="0" m="1" x="1784"/>
        <item sd="0" m="1" x="6248"/>
        <item sd="0" m="1" x="6867"/>
        <item sd="0" m="1" x="1870"/>
        <item sd="0" m="1" x="2674"/>
        <item sd="0" m="1" x="3595"/>
        <item sd="0" m="1" x="6621"/>
        <item sd="0" m="1" x="7166"/>
        <item sd="0" m="1" x="2281"/>
        <item sd="0" m="1" x="3151"/>
        <item sd="0" m="1" x="1924"/>
        <item sd="0" m="1" x="2761"/>
        <item sd="0" m="1" x="3718"/>
        <item sd="0" m="1" x="4684"/>
        <item sd="0" m="1" x="3779"/>
        <item sd="0" m="1" x="4738"/>
        <item sd="0" m="1" x="5646"/>
        <item sd="0" m="1" x="6426"/>
        <item sd="0" m="1" x="1102"/>
        <item sd="0" m="1" x="1725"/>
        <item sd="0" m="1" x="2533"/>
        <item sd="0" m="1" x="2602"/>
        <item sd="0" m="1" x="3536"/>
        <item sd="0" m="1" x="4500"/>
        <item sd="0" m="1" x="4554"/>
        <item sd="0" m="1" x="302"/>
        <item sd="0" m="1" x="545"/>
        <item sd="0" m="1" x="955"/>
        <item sd="0" m="1" x="1538"/>
        <item sd="0" m="1" x="5976"/>
        <item sd="0" m="1" x="1024"/>
        <item sd="0" m="1" x="1575"/>
        <item sd="0" m="1" x="2343"/>
        <item sd="0" m="1" x="3245"/>
        <item sd="0" m="1" x="7224"/>
        <item sd="0" m="1" x="2432"/>
        <item sd="0" m="1" x="3309"/>
        <item sd="0" m="1" x="4288"/>
        <item sd="0" m="1" x="127"/>
        <item sd="0" m="1" x="237"/>
        <item sd="0" m="1" x="455"/>
        <item sd="0" m="1" x="831"/>
        <item sd="0" m="1" x="3937"/>
        <item sd="0" m="1" x="4870"/>
        <item sd="0" m="1" x="5741"/>
        <item sd="0" m="1" x="505"/>
        <item sd="0" m="1" x="872"/>
        <item sd="0" m="1" x="1406"/>
        <item sd="0" m="1" x="2134"/>
        <item sd="0" m="1" x="5827"/>
        <item sd="0" m="1" x="6536"/>
        <item sd="0" m="1" x="7101"/>
        <item sd="0" m="1" x="1491"/>
        <item sd="0" m="1" x="2207"/>
        <item sd="0" m="1" x="3079"/>
        <item sd="0" m="1" x="4054"/>
        <item sd="0" m="1" x="105"/>
        <item sd="0" m="1" x="192"/>
        <item sd="0" m="1" x="2736"/>
        <item sd="0" m="1" x="3676"/>
        <item sd="0" m="1" x="4619"/>
        <item sd="0" m="1" x="5517"/>
        <item sd="0" m="1" x="423"/>
        <item sd="0" m="1" x="764"/>
        <item sd="0" m="1" x="4685"/>
        <item sd="0" m="1" x="7911"/>
        <item sd="0" m="1" x="5299"/>
        <item sd="0" m="1" x="6126"/>
        <item sd="0" m="1" x="528"/>
        <item sd="0" m="1" x="902"/>
        <item sd="0" m="1" x="1439"/>
        <item sd="0" m="1" x="2163"/>
        <item sd="0" m="1" x="6572"/>
        <item sd="0" m="1" x="7127"/>
        <item sd="0" m="1" x="1518"/>
        <item sd="0" m="1" x="2240"/>
        <item sd="0" m="1" x="3112"/>
        <item sd="0" m="1" x="4082"/>
        <item sd="0" m="1" x="7589"/>
        <item sd="0" m="1" x="7861"/>
        <item sd="0" m="1" x="3172"/>
        <item sd="0" m="1" x="4130"/>
        <item sd="0" m="1" x="5069"/>
        <item sd="0" m="1" x="5930"/>
        <item sd="0" m="1" x="435"/>
        <item sd="0" m="1" x="791"/>
        <item sd="0" m="1" x="1267"/>
        <item sd="0" m="1" x="4713"/>
        <item sd="0" m="1" x="5602"/>
        <item sd="0" m="1" x="6389"/>
        <item sd="0" m="1" x="6980"/>
        <item sd="0" m="1" x="1340"/>
        <item sd="0" m="1" x="2027"/>
        <item sd="0" m="1" x="2862"/>
        <item sd="0" m="1" x="6448"/>
        <item sd="0" m="1" x="7037"/>
        <item sd="0" m="1" x="7501"/>
        <item sd="0" m="1" x="7802"/>
        <item sd="0" m="1" x="2933"/>
        <item sd="0" m="1" x="3876"/>
        <item sd="0" m="1" x="4831"/>
        <item sd="0" m="1" x="364"/>
        <item sd="0" m="1" x="3498"/>
        <item sd="0" m="1" x="4462"/>
        <item sd="0" m="1" x="5386"/>
        <item sd="0" m="1" x="6197"/>
        <item sd="0" m="1" x="1193"/>
        <item sd="0" m="1" x="5436"/>
        <item sd="0" m="1" x="6269"/>
        <item sd="0" m="1" x="6902"/>
        <item sd="0" m="1" x="7385"/>
        <item sd="0" m="1" x="2706"/>
        <item sd="0" m="1" x="2305"/>
        <item sd="0" m="1" x="3215"/>
        <item sd="0" m="1" x="4198"/>
        <item sd="0" m="1" x="4243"/>
        <item sd="0" m="1" x="5202"/>
        <item sd="0" m="1" x="6056"/>
        <item sd="0" m="1" x="849"/>
        <item sd="0" m="1" x="1371"/>
        <item sd="0" m="1" x="2106"/>
        <item sd="0" m="1" x="2989"/>
        <item sd="0" m="1" x="2164"/>
        <item sd="0" m="1" x="3043"/>
        <item sd="0" m="1" x="4016"/>
        <item sd="0" m="1" x="4968"/>
        <item sd="0" m="1" x="6198"/>
        <item sd="0" m="1" x="6838"/>
        <item sd="0" m="1" x="7325"/>
        <item sd="0" m="1" x="1828"/>
        <item sd="0" m="1" x="2639"/>
        <item sd="0" m="1" x="3558"/>
        <item sd="0" m="1" x="143"/>
        <item sd="0" m="1" x="275"/>
        <item sd="0" m="1" x="3185"/>
        <item sd="0" m="1" x="4150"/>
        <item sd="0" m="1" x="5082"/>
        <item sd="0" m="1" x="571"/>
        <item sd="0" m="1" x="980"/>
        <item sd="0" m="1" x="5135"/>
        <item sd="0" m="1" x="6000"/>
        <item sd="0" m="1" x="6673"/>
        <item sd="0" m="1" x="1612"/>
        <item sd="0" m="1" x="2371"/>
        <item sd="0" m="1" x="114"/>
        <item sd="0" m="1" x="1357"/>
        <item sd="0" m="1" x="2069"/>
        <item sd="0" m="1" x="2946"/>
        <item sd="0" m="1" x="3888"/>
        <item sd="0" m="1" x="477"/>
        <item sd="0" m="1" x="2990"/>
        <item sd="0" m="1" x="3957"/>
        <item sd="0" m="1" x="4902"/>
        <item sd="0" m="1" x="5785"/>
        <item sd="0" m="1" x="1440"/>
        <item sd="0" m="1" x="1319"/>
        <item sd="0" m="1" x="1977"/>
        <item sd="0" m="1" x="2819"/>
        <item sd="0" m="1" x="3780"/>
        <item sd="0" m="1" x="7020"/>
        <item sd="0" m="1" x="7469"/>
        <item sd="0" m="1" x="2916"/>
        <item sd="0" m="1" x="3845"/>
        <item sd="0" m="1" x="4800"/>
        <item sd="0" m="1" x="5690"/>
        <item sd="0" m="1" x="7829"/>
        <item sd="0" m="1" x="7977"/>
        <item sd="0" m="1" x="4854"/>
        <item sd="0" m="1" x="5725"/>
        <item sd="0" m="1" x="6476"/>
        <item sd="0" m="1" x="704"/>
        <item sd="0" m="1" x="1161"/>
        <item sd="0" m="1" x="1785"/>
        <item sd="0" m="1" x="6249"/>
        <item sd="0" m="1" x="6868"/>
        <item sd="0" m="1" x="7354"/>
        <item sd="0" m="1" x="1871"/>
        <item sd="0" m="1" x="2675"/>
        <item sd="0" m="1" x="3596"/>
        <item sd="0" m="1" x="7415"/>
        <item sd="0" m="1" x="7744"/>
        <item sd="0" m="1" x="7946"/>
        <item sd="0" m="1" x="3655"/>
        <item sd="0" m="1" x="4601"/>
        <item sd="0" m="1" x="5499"/>
        <item sd="0" m="1" x="600"/>
        <item sd="0" m="1" x="1025"/>
        <item sd="0" m="1" x="5178"/>
        <item sd="0" m="1" x="6031"/>
        <item sd="0" m="1" x="6711"/>
        <item sd="0" m="1" x="1668"/>
        <item sd="0" m="1" x="2433"/>
        <item sd="0" m="1" x="6772"/>
        <item sd="0" m="1" x="5691"/>
        <item sd="0" m="1" x="1103"/>
        <item sd="0" m="1" x="1726"/>
        <item sd="0" m="1" x="2534"/>
        <item sd="0" m="1" x="6823"/>
        <item sd="0" m="1" x="2603"/>
        <item sd="0" m="1" x="3537"/>
        <item sd="0" m="1" x="4501"/>
        <item sd="0" m="1" x="7715"/>
        <item sd="0" m="1" x="4555"/>
        <item sd="0" m="1" x="5469"/>
        <item sd="0" m="1" x="303"/>
        <item sd="0" m="1" x="546"/>
        <item sd="0" m="1" x="956"/>
        <item sd="0" m="1" x="1539"/>
        <item sd="0" m="1" x="5977"/>
        <item sd="0" m="1" x="6657"/>
        <item sd="0" m="1" x="1026"/>
        <item sd="0" m="1" x="1576"/>
        <item sd="0" m="1" x="2344"/>
        <item sd="0" m="1" x="3246"/>
        <item sd="0" m="1" x="7225"/>
        <item sd="0" m="1" x="7623"/>
        <item sd="0" m="1" x="2434"/>
        <item sd="0" m="1" x="3310"/>
        <item sd="0" m="1" x="4289"/>
        <item sd="0" m="1" x="5228"/>
        <item sd="0" m="1" x="238"/>
        <item sd="0" m="1" x="456"/>
        <item sd="0" m="1" x="832"/>
        <item sd="0" m="1" x="3938"/>
        <item sd="0" m="1" x="4871"/>
        <item sd="0" m="1" x="5742"/>
        <item sd="0" m="1" x="6485"/>
        <item sd="0" m="1" x="873"/>
        <item sd="0" m="1" x="1407"/>
        <item sd="0" m="1" x="2135"/>
        <item sd="0" m="1" x="5828"/>
        <item sd="0" m="1" x="6537"/>
        <item sd="0" m="1" x="7102"/>
        <item sd="0" m="1" x="7533"/>
        <item sd="0" m="1" x="2208"/>
        <item sd="0" m="1" x="3080"/>
        <item sd="0" m="1" x="4055"/>
        <item sd="0" m="1" x="193"/>
        <item sd="0" m="1" x="2737"/>
        <item sd="0" m="1" x="3677"/>
        <item sd="0" m="1" x="4620"/>
        <item sd="0" m="1" x="5518"/>
        <item sd="0" m="1" x="765"/>
        <item sd="0" m="1" x="4686"/>
        <item sd="0" m="1" x="5580"/>
        <item sd="0" m="1" x="6359"/>
        <item sd="0" m="1" x="6954"/>
        <item sd="0" m="1" x="1978"/>
        <item sd="0" m="1" x="1699"/>
        <item sd="0" m="1" x="2499"/>
        <item sd="0" m="1" x="3408"/>
        <item sd="0" m="1" x="3470"/>
        <item sd="0" m="1" x="4436"/>
        <item sd="0" m="1" x="5362"/>
        <item sd="0" m="1" x="7590"/>
        <item sd="0" m="1" x="7862"/>
        <item sd="0" m="1" x="34"/>
        <item sd="0" m="1" x="4131"/>
        <item sd="0" m="1" x="5070"/>
        <item sd="0" m="1" x="5931"/>
        <item sd="0" m="1" x="705"/>
        <item sd="0" m="1" x="1162"/>
        <item sd="0" m="1" x="1786"/>
        <item sd="0" m="1" x="6250"/>
        <item sd="0" m="1" x="6869"/>
        <item sd="0" m="1" x="1872"/>
        <item sd="0" m="1" x="2676"/>
        <item sd="0" m="1" x="3597"/>
        <item sd="0" m="1" x="7416"/>
        <item sd="0" m="1" x="7745"/>
        <item sd="0" m="1" x="3656"/>
        <item sd="0" m="1" x="4602"/>
        <item sd="0" m="1" x="5500"/>
        <item sd="0" m="1" x="321"/>
        <item sd="0" m="1" x="601"/>
        <item sd="0" m="1" x="1027"/>
        <item sd="0" m="1" x="5179"/>
        <item sd="0" m="1" x="6032"/>
        <item sd="0" m="1" x="6712"/>
        <item sd="0" m="1" x="1071"/>
        <item sd="0" m="1" x="1669"/>
        <item sd="0" m="1" x="2435"/>
        <item sd="0" m="1" x="6773"/>
        <item sd="0" m="1" x="7294"/>
        <item sd="0" m="1" x="7668"/>
        <item sd="0" m="1" x="2487"/>
        <item sd="0" m="1" x="3392"/>
        <item sd="0" m="1" x="4351"/>
        <item sd="0" m="1" x="267"/>
        <item sd="0" m="1" x="506"/>
        <item sd="0" m="1" x="3024"/>
        <item sd="0" m="1" x="3985"/>
        <item sd="0" m="1" x="4937"/>
        <item sd="0" m="1" x="5829"/>
        <item sd="0" m="1" x="941"/>
        <item sd="0" m="1" x="1492"/>
        <item sd="0" m="1" x="5005"/>
        <item sd="0" m="1" x="5880"/>
        <item sd="0" m="1" x="6622"/>
        <item sd="0" m="1" x="7167"/>
        <item sd="0" m="1" x="2282"/>
        <item sd="0" m="1" x="3152"/>
        <item sd="0" m="1" x="1925"/>
        <item sd="0" m="1" x="2762"/>
        <item sd="0" m="1" x="3719"/>
        <item sd="0" m="1" x="4687"/>
        <item sd="0" m="1" x="3781"/>
        <item sd="0" m="1" x="4739"/>
        <item sd="0" m="1" x="5647"/>
        <item sd="0" m="1" x="6427"/>
        <item sd="0" m="1" x="1104"/>
        <item sd="0" m="1" x="1727"/>
        <item sd="0" m="1" x="2535"/>
        <item sd="0" m="1" x="2604"/>
        <item sd="0" m="1" x="3538"/>
        <item sd="0" m="1" x="4502"/>
        <item sd="0" m="1" x="5830"/>
        <item sd="0" m="1" x="6538"/>
        <item sd="0" m="1" x="7103"/>
        <item sd="0" m="1" x="1493"/>
        <item sd="0" m="1" x="2209"/>
        <item sd="0" m="1" x="3081"/>
        <item sd="0" m="1" x="4056"/>
        <item sd="0" m="1" x="106"/>
        <item sd="0" m="1" x="194"/>
        <item sd="0" m="1" x="2738"/>
        <item sd="0" m="1" x="3678"/>
        <item sd="0" m="1" x="4621"/>
        <item sd="0" m="1" x="5519"/>
        <item sd="0" m="1" x="424"/>
        <item sd="0" m="1" x="766"/>
        <item sd="0" m="1" x="4688"/>
        <item sd="0" m="1" x="5581"/>
        <item sd="0" m="1" x="6360"/>
        <item sd="0" m="1" x="6955"/>
        <item sd="0" m="1" x="1320"/>
        <item sd="0" m="1" x="1979"/>
        <item sd="0" m="1" x="97"/>
        <item sd="0" m="1" x="1700"/>
        <item sd="0" m="1" x="2500"/>
        <item sd="0" m="1" x="3409"/>
        <item sd="0" m="1" x="355"/>
        <item sd="0" m="1" x="3471"/>
        <item sd="0" m="1" x="4437"/>
        <item sd="0" m="1" x="5363"/>
        <item sd="0" m="1" x="1163"/>
        <item sd="0" m="1" x="1613"/>
        <item sd="0" m="1" x="2372"/>
        <item sd="0" m="1" x="3269"/>
        <item sd="0" m="1" x="7260"/>
        <item sd="0" m="1" x="3351"/>
        <item sd="0" m="1" x="4319"/>
        <item sd="0" m="1" x="5249"/>
        <item sd="0" m="1" x="7912"/>
        <item sd="0" m="1" x="5300"/>
        <item sd="0" m="1" x="6127"/>
        <item sd="0" m="1" x="529"/>
        <item sd="0" m="1" x="903"/>
        <item sd="0" m="1" x="1441"/>
        <item sd="0" m="1" x="2165"/>
        <item sd="0" m="1" x="6573"/>
        <item sd="0" m="1" x="7128"/>
        <item sd="0" m="1" x="1519"/>
        <item sd="0" m="1" x="2241"/>
        <item sd="0" m="1" x="3113"/>
        <item sd="0" m="1" x="4083"/>
        <item sd="0" m="1" x="7591"/>
        <item sd="0" m="1" x="7863"/>
        <item sd="0" m="1" x="3173"/>
        <item sd="0" m="1" x="4132"/>
        <item sd="0" m="1" x="5071"/>
        <item sd="0" m="1" x="5932"/>
        <item sd="0" m="1" x="436"/>
        <item sd="0" m="1" x="792"/>
        <item sd="0" m="1" x="1268"/>
        <item sd="0" m="1" x="4714"/>
        <item sd="0" m="1" x="5603"/>
        <item sd="0" m="1" x="6390"/>
        <item sd="0" m="1" x="6981"/>
        <item sd="0" m="1" x="1341"/>
        <item sd="0" m="1" x="2028"/>
        <item sd="0" m="1" x="2863"/>
        <item sd="0" m="1" x="6449"/>
        <item sd="0" m="1" x="850"/>
        <item sd="0" m="1" x="1372"/>
        <item sd="0" m="1" x="2107"/>
        <item sd="0" m="1" x="2991"/>
        <item sd="0" m="1" x="2166"/>
        <item sd="0" m="1" x="3044"/>
        <item sd="0" m="1" x="4017"/>
        <item sd="0" m="1" x="4969"/>
        <item sd="0" m="1" x="4084"/>
        <item sd="0" m="1" x="5023"/>
        <item sd="0" m="1" x="389"/>
        <item sd="0" m="1" x="733"/>
        <item sd="0" m="1" x="1222"/>
        <item sd="0" m="1" x="1900"/>
        <item sd="0" m="1" x="5556"/>
        <item sd="0" m="1" x="6321"/>
        <item sd="0" m="1" x="1269"/>
        <item sd="0" m="1" x="1942"/>
        <item sd="0" m="1" x="2786"/>
        <item sd="0" m="1" x="3744"/>
        <item sd="0" m="1" x="6982"/>
        <item sd="0" m="1" x="7434"/>
        <item sd="0" m="1" x="2864"/>
        <item sd="0" m="1" x="3815"/>
        <item sd="0" m="1" x="4763"/>
        <item sd="0" m="1" x="166"/>
        <item sd="0" m="1" x="329"/>
        <item sd="0" m="1" x="626"/>
        <item sd="0" m="1" x="4395"/>
        <item sd="0" m="1" x="5322"/>
        <item sd="0" m="1" x="6137"/>
        <item sd="0" m="1" x="665"/>
        <item sd="0" m="1" x="1126"/>
        <item sd="0" m="1" x="1746"/>
        <item sd="0" m="1" x="6199"/>
        <item sd="0" m="1" x="6839"/>
        <item sd="0" m="1" x="7326"/>
        <item sd="0" m="1" x="1829"/>
        <item sd="0" m="1" x="2640"/>
        <item sd="0" m="1" x="3559"/>
        <item sd="0" m="1" x="144"/>
        <item sd="0" m="1" x="276"/>
        <item sd="0" m="1" x="3186"/>
        <item sd="0" m="1" x="4151"/>
        <item sd="0" m="1" x="5083"/>
        <item sd="0" m="1" x="572"/>
        <item sd="0" m="1" x="981"/>
        <item sd="0" m="1" x="5136"/>
        <item sd="0" m="1" x="6001"/>
        <item sd="0" m="1" x="6674"/>
        <item sd="0" m="1" x="1614"/>
        <item sd="0" m="1" x="2373"/>
        <item sd="0" m="1" x="115"/>
        <item sd="0" m="1" x="1358"/>
        <item sd="0" m="1" x="2070"/>
        <item sd="0" m="1" x="2947"/>
        <item sd="0" m="1" x="3889"/>
        <item sd="0" m="1" x="478"/>
        <item sd="0" m="1" x="2992"/>
        <item sd="0" m="1" x="3958"/>
        <item sd="0" m="1" x="4903"/>
        <item sd="0" m="1" x="7417"/>
        <item sd="0" m="1" x="7746"/>
        <item sd="0" m="1" x="7947"/>
        <item sd="0" m="1" x="3657"/>
        <item sd="0" m="1" x="4603"/>
        <item sd="0" m="1" x="5501"/>
        <item sd="0" m="1" x="602"/>
        <item sd="0" m="1" x="1028"/>
        <item sd="0" m="1" x="5180"/>
        <item sd="0" m="1" x="6033"/>
        <item sd="0" m="1" x="6713"/>
        <item sd="0" m="1" x="1670"/>
        <item sd="0" m="1" x="2436"/>
        <item sd="0" m="1" x="6774"/>
        <item sd="0" m="1" x="7295"/>
        <item sd="0" m="1" x="7669"/>
        <item sd="0" m="1" x="3393"/>
        <item sd="0" m="1" x="4352"/>
        <item sd="0" m="1" x="507"/>
        <item sd="0" m="1" x="3025"/>
        <item sd="0" m="1" x="3986"/>
        <item sd="0" m="1" x="4938"/>
        <item sd="0" m="1" x="5831"/>
        <item sd="0" m="1" x="1494"/>
        <item sd="0" m="1" x="5006"/>
        <item sd="0" m="1" x="5881"/>
        <item sd="0" m="1" x="6623"/>
        <item sd="0" m="1" x="7168"/>
        <item sd="0" m="1" x="3153"/>
        <item sd="0" m="1" x="1926"/>
        <item sd="0" m="1" x="2763"/>
        <item sd="0" m="1" x="3720"/>
        <item sd="0" m="1" x="4689"/>
        <item sd="0" m="1" x="3782"/>
        <item sd="0" m="1" x="4740"/>
        <item sd="0" m="1" x="5648"/>
        <item sd="0" m="1" x="6428"/>
        <item sd="0" m="1" x="5692"/>
        <item sd="0" m="1" x="1105"/>
        <item sd="0" m="1" x="1728"/>
        <item sd="0" m="1" x="2536"/>
        <item sd="0" m="1" x="6824"/>
        <item sd="0" m="1" x="2605"/>
        <item sd="0" m="1" x="3539"/>
        <item sd="0" m="1" x="4503"/>
        <item sd="0" m="1" x="7716"/>
        <item sd="0" m="1" x="4556"/>
        <item sd="0" m="1" x="5470"/>
        <item sd="0" m="1" x="304"/>
        <item sd="0" m="1" x="547"/>
        <item sd="0" m="1" x="957"/>
        <item sd="0" m="1" x="1540"/>
        <item sd="0" m="1" x="5978"/>
        <item sd="0" m="1" x="6658"/>
        <item sd="0" m="1" x="1029"/>
        <item sd="0" m="1" x="1577"/>
        <item sd="0" m="1" x="2345"/>
        <item sd="0" m="1" x="3247"/>
        <item sd="0" m="1" x="6361"/>
        <item sd="0" m="1" x="6956"/>
        <item sd="0" m="1" x="1980"/>
        <item sd="0" m="1" x="1701"/>
        <item sd="0" m="1" x="2501"/>
        <item sd="0" m="1" x="3410"/>
        <item sd="0" m="1" x="3472"/>
        <item sd="0" m="1" x="4438"/>
        <item sd="0" m="1" x="5364"/>
        <item sd="0" m="1" x="1615"/>
        <item sd="0" m="1" x="2374"/>
        <item sd="0" m="1" x="3270"/>
        <item sd="0" m="1" x="7261"/>
        <item sd="0" m="1" x="7639"/>
        <item sd="0" m="1" x="3352"/>
        <item sd="0" m="1" x="4320"/>
        <item sd="0" m="1" x="5250"/>
        <item sd="0" m="1" x="7913"/>
        <item sd="0" m="1" x="53"/>
        <item sd="0" m="1" x="5301"/>
        <item sd="0" m="1" x="6128"/>
        <item sd="0" m="1" x="6794"/>
        <item sd="0" m="1" x="904"/>
        <item sd="0" m="1" x="1442"/>
        <item sd="0" m="1" x="2167"/>
        <item sd="0" m="1" x="6574"/>
        <item sd="0" m="1" x="7129"/>
        <item sd="0" m="1" x="7545"/>
        <item sd="0" m="1" x="2242"/>
        <item sd="0" m="1" x="3114"/>
        <item sd="0" m="1" x="4085"/>
        <item sd="0" m="1" x="7592"/>
        <item sd="0" m="1" x="7864"/>
        <item sd="0" m="1" x="35"/>
        <item sd="0" m="1" x="4133"/>
        <item sd="0" m="1" x="5072"/>
        <item sd="0" m="1" x="5933"/>
        <item sd="0" m="1" x="706"/>
        <item sd="0" m="1" x="1164"/>
        <item sd="0" m="1" x="1787"/>
        <item sd="0" m="1" x="6251"/>
        <item sd="0" m="1" x="6870"/>
        <item sd="0" m="1" x="1873"/>
        <item sd="0" m="1" x="2677"/>
        <item sd="0" m="1" x="3598"/>
        <item sd="0" m="1" x="7418"/>
        <item sd="0" m="1" x="7747"/>
        <item sd="0" m="1" x="3658"/>
        <item sd="0" m="1" x="4604"/>
        <item sd="0" m="1" x="5502"/>
        <item sd="0" m="1" x="322"/>
        <item sd="0" m="1" x="603"/>
        <item sd="0" m="1" x="1030"/>
        <item sd="0" m="1" x="5181"/>
        <item sd="0" m="1" x="6034"/>
        <item sd="0" m="1" x="6714"/>
        <item sd="0" m="1" x="1072"/>
        <item sd="0" m="1" x="1671"/>
        <item sd="0" m="1" x="2437"/>
        <item sd="0" m="1" x="6429"/>
        <item sd="0" m="1" x="1106"/>
        <item sd="0" m="1" x="1729"/>
        <item sd="0" m="1" x="2537"/>
        <item sd="0" m="1" x="2606"/>
        <item sd="0" m="1" x="3540"/>
        <item sd="0" m="1" x="4504"/>
        <item sd="0" m="1" x="4557"/>
        <item sd="0" m="1" x="305"/>
        <item sd="0" m="1" x="548"/>
        <item sd="0" m="1" x="958"/>
        <item sd="0" m="1" x="1541"/>
        <item sd="0" m="1" x="5979"/>
        <item sd="0" m="1" x="1031"/>
        <item sd="0" m="1" x="1578"/>
        <item sd="0" m="1" x="2346"/>
        <item sd="0" m="1" x="3248"/>
        <item sd="0" m="1" x="7226"/>
        <item sd="0" m="1" x="2438"/>
        <item sd="0" m="1" x="3311"/>
        <item sd="0" m="1" x="4290"/>
        <item sd="0" m="1" x="128"/>
        <item sd="0" m="1" x="239"/>
        <item sd="0" m="1" x="457"/>
        <item sd="0" m="1" x="833"/>
        <item sd="0" m="1" x="3939"/>
        <item sd="0" m="1" x="4872"/>
        <item sd="0" m="1" x="5743"/>
        <item sd="0" m="1" x="508"/>
        <item sd="0" m="1" x="874"/>
        <item sd="0" m="1" x="1408"/>
        <item sd="0" m="1" x="2136"/>
        <item sd="0" m="1" x="5832"/>
        <item sd="0" m="1" x="6539"/>
        <item sd="0" m="1" x="7104"/>
        <item sd="0" m="1" x="1495"/>
        <item sd="0" m="1" x="2210"/>
        <item sd="0" m="1" x="3082"/>
        <item sd="0" m="1" x="4057"/>
        <item sd="0" m="1" x="107"/>
        <item sd="0" m="1" x="195"/>
        <item sd="0" m="1" x="2739"/>
        <item sd="0" m="1" x="3679"/>
        <item sd="0" m="1" x="4622"/>
        <item sd="0" m="1" x="5520"/>
        <item sd="0" m="1" x="425"/>
        <item sd="0" m="1" x="767"/>
        <item sd="0" m="1" x="4690"/>
        <item sd="0" m="1" x="5582"/>
        <item sd="0" m="1" x="6362"/>
        <item sd="0" m="1" x="6957"/>
        <item sd="0" m="1" x="1321"/>
        <item sd="0" m="1" x="1981"/>
        <item sd="0" m="1" x="98"/>
        <item sd="0" m="1" x="1702"/>
        <item sd="0" m="1" x="2502"/>
        <item sd="0" m="1" x="3411"/>
        <item sd="0" m="1" x="356"/>
        <item sd="0" m="1" x="3473"/>
        <item sd="0" m="1" x="4439"/>
        <item sd="0" m="1" x="7593"/>
        <item sd="0" m="1" x="7865"/>
        <item sd="0" m="1" x="3174"/>
        <item sd="0" m="1" x="4134"/>
        <item sd="0" m="1" x="5073"/>
        <item sd="0" m="1" x="5934"/>
        <item sd="0" m="1" x="437"/>
        <item sd="0" m="1" x="793"/>
        <item sd="0" m="1" x="1270"/>
        <item sd="0" m="1" x="4715"/>
        <item sd="0" m="1" x="5604"/>
        <item sd="0" m="1" x="6391"/>
        <item sd="0" m="1" x="6983"/>
        <item sd="0" m="1" x="1342"/>
        <item sd="0" m="1" x="2029"/>
        <item sd="0" m="1" x="2865"/>
        <item sd="0" m="1" x="6450"/>
        <item sd="0" m="1" x="7038"/>
        <item sd="0" m="1" x="7502"/>
        <item sd="0" m="1" x="7803"/>
        <item sd="0" m="1" x="2934"/>
        <item sd="0" m="1" x="3877"/>
        <item sd="0" m="1" x="4832"/>
        <item sd="0" m="1" x="365"/>
        <item sd="0" m="1" x="3499"/>
        <item sd="0" m="1" x="4463"/>
        <item sd="0" m="1" x="5387"/>
        <item sd="0" m="1" x="6200"/>
        <item sd="0" m="1" x="1194"/>
        <item sd="0" m="1" x="5437"/>
        <item sd="0" m="1" x="6270"/>
        <item sd="0" m="1" x="6903"/>
        <item sd="0" m="1" x="7386"/>
        <item sd="0" m="1" x="2707"/>
        <item sd="0" m="1" x="2306"/>
        <item sd="0" m="1" x="3216"/>
        <item sd="0" m="1" x="4199"/>
        <item sd="0" m="1" x="4244"/>
        <item sd="0" m="1" x="5203"/>
        <item sd="0" m="1" x="6057"/>
        <item sd="0" m="1" x="851"/>
        <item sd="0" m="1" x="1373"/>
        <item sd="0" m="1" x="2108"/>
        <item sd="0" m="1" x="2993"/>
        <item sd="0" m="1" x="2168"/>
        <item sd="0" m="1" x="3045"/>
        <item sd="0" m="1" x="4018"/>
        <item sd="0" m="1" x="4970"/>
        <item sd="0" m="1" x="4086"/>
        <item sd="0" m="1" x="5024"/>
        <item sd="0" m="1" x="390"/>
        <item sd="0" m="1" x="734"/>
        <item sd="0" m="1" x="1223"/>
        <item sd="0" m="1" x="1901"/>
        <item sd="0" m="1" x="5557"/>
        <item sd="0" m="1" x="6322"/>
        <item sd="0" m="1" x="1271"/>
        <item sd="0" m="1" x="1943"/>
        <item sd="0" m="1" x="2787"/>
        <item sd="0" m="1" x="3745"/>
        <item sd="0" m="1" x="6002"/>
        <item sd="0" m="1" x="6675"/>
        <item sd="0" m="1" x="1616"/>
        <item sd="0" m="1" x="2375"/>
        <item sd="0" m="1" x="116"/>
        <item sd="0" m="1" x="1359"/>
        <item sd="0" m="1" x="2071"/>
        <item sd="0" m="1" x="2948"/>
        <item sd="0" m="1" x="3890"/>
        <item sd="0" m="1" x="479"/>
        <item sd="0" m="1" x="2994"/>
        <item sd="0" m="1" x="3959"/>
        <item sd="0" m="1" x="4904"/>
        <item sd="0" m="1" x="5786"/>
        <item sd="0" m="1" x="1443"/>
        <item sd="0" m="1" x="1322"/>
        <item sd="0" m="1" x="1982"/>
        <item sd="0" m="1" x="2820"/>
        <item sd="0" m="1" x="3783"/>
        <item sd="0" m="1" x="7021"/>
        <item sd="0" m="1" x="7470"/>
        <item sd="0" m="1" x="2917"/>
        <item sd="0" m="1" x="3846"/>
        <item sd="0" m="1" x="4801"/>
        <item sd="0" m="1" x="5693"/>
        <item sd="0" m="1" x="7830"/>
        <item sd="0" m="1" x="7978"/>
        <item sd="0" m="1" x="4855"/>
        <item sd="0" m="1" x="5726"/>
        <item sd="0" m="1" x="6477"/>
        <item sd="0" m="1" x="707"/>
        <item sd="0" m="1" x="1165"/>
        <item sd="0" m="1" x="1788"/>
        <item sd="0" m="1" x="6252"/>
        <item sd="0" m="1" x="6871"/>
        <item sd="0" m="1" x="7355"/>
        <item sd="0" m="1" x="1874"/>
        <item sd="0" m="1" x="2678"/>
        <item sd="0" m="1" x="3599"/>
        <item sd="0" m="1" x="7419"/>
        <item sd="0" m="1" x="7748"/>
        <item sd="0" m="1" x="7948"/>
        <item sd="0" m="1" x="3659"/>
        <item sd="0" m="1" x="4605"/>
        <item sd="0" m="1" x="5503"/>
        <item sd="0" m="1" x="604"/>
        <item sd="0" m="1" x="1032"/>
        <item sd="0" m="1" x="5182"/>
        <item sd="0" m="1" x="6035"/>
        <item sd="0" m="1" x="6715"/>
        <item sd="0" m="1" x="1672"/>
        <item sd="0" m="1" x="2439"/>
        <item sd="0" m="1" x="6775"/>
        <item sd="0" m="1" x="7296"/>
        <item sd="0" m="1" x="7670"/>
        <item sd="0" m="1" x="3394"/>
        <item sd="0" m="1" x="4353"/>
        <item sd="0" m="1" x="509"/>
        <item sd="0" m="1" x="3026"/>
        <item sd="0" m="1" x="3987"/>
        <item sd="0" m="1" x="4939"/>
        <item sd="0" m="1" x="5833"/>
        <item sd="0" m="1" x="1496"/>
        <item sd="0" m="1" x="5007"/>
        <item sd="0" m="1" x="5882"/>
        <item sd="0" m="1" x="6624"/>
        <item sd="0" m="1" x="7717"/>
        <item sd="0" m="1" x="4558"/>
        <item sd="0" m="1" x="5471"/>
        <item sd="0" m="1" x="306"/>
        <item sd="0" m="1" x="549"/>
        <item sd="0" m="1" x="959"/>
        <item sd="0" m="1" x="1542"/>
        <item sd="0" m="1" x="5980"/>
        <item sd="0" m="1" x="6659"/>
        <item sd="0" m="1" x="1033"/>
        <item sd="0" m="1" x="1579"/>
        <item sd="0" m="1" x="2347"/>
        <item sd="0" m="1" x="3249"/>
        <item sd="0" m="1" x="7227"/>
        <item sd="0" m="1" x="7624"/>
        <item sd="0" m="1" x="2440"/>
        <item sd="0" m="1" x="3312"/>
        <item sd="0" m="1" x="4291"/>
        <item sd="0" m="1" x="5229"/>
        <item sd="0" m="1" x="240"/>
        <item sd="0" m="1" x="458"/>
        <item sd="0" m="1" x="834"/>
        <item sd="0" m="1" x="3940"/>
        <item sd="0" m="1" x="4873"/>
        <item sd="0" m="1" x="5744"/>
        <item sd="0" m="1" x="6486"/>
        <item sd="0" m="1" x="875"/>
        <item sd="0" m="1" x="1409"/>
        <item sd="0" m="1" x="2137"/>
        <item sd="0" m="1" x="5834"/>
        <item sd="0" m="1" x="6540"/>
        <item sd="0" m="1" x="7105"/>
        <item sd="0" m="1" x="7534"/>
        <item sd="0" m="1" x="2211"/>
        <item sd="0" m="1" x="3083"/>
        <item sd="0" m="1" x="4058"/>
        <item sd="0" m="1" x="196"/>
        <item sd="0" m="1" x="2740"/>
        <item sd="0" m="1" x="3680"/>
        <item sd="0" m="1" x="4623"/>
        <item sd="0" m="1" x="5521"/>
        <item sd="0" m="1" x="768"/>
        <item sd="0" m="1" x="4691"/>
        <item sd="0" m="1" x="5583"/>
        <item sd="0" m="1" x="6363"/>
        <item sd="0" m="1" x="6958"/>
        <item sd="0" m="1" x="1983"/>
        <item sd="0" m="1" x="1703"/>
        <item sd="0" m="1" x="2503"/>
        <item sd="0" m="1" x="3412"/>
        <item sd="0" m="1" x="3474"/>
        <item sd="0" m="1" x="4440"/>
        <item sd="0" m="1" x="5365"/>
        <item sd="0" m="1" x="1617"/>
        <item sd="0" m="1" x="2376"/>
        <item sd="0" m="1" x="3271"/>
        <item sd="0" m="1" x="7262"/>
        <item sd="0" m="1" x="7640"/>
        <item sd="0" m="1" x="3353"/>
        <item sd="0" m="1" x="4321"/>
        <item sd="0" m="1" x="5251"/>
        <item sd="0" m="1" x="6776"/>
        <item sd="0" m="1" x="7297"/>
        <item sd="0" m="1" x="7671"/>
        <item sd="0" m="1" x="2488"/>
        <item sd="0" m="1" x="3395"/>
        <item sd="0" m="1" x="268"/>
        <item sd="0" m="1" x="3027"/>
        <item sd="0" m="1" x="3988"/>
        <item sd="0" m="1" x="4940"/>
        <item sd="0" m="1" x="942"/>
        <item sd="0" m="1" x="5008"/>
        <item sd="0" m="1" x="5883"/>
        <item sd="0" m="1" x="6625"/>
        <item sd="0" m="1" x="2283"/>
        <item sd="0" m="1" x="1244"/>
        <item sd="0" m="1" x="1927"/>
        <item sd="0" m="1" x="2764"/>
        <item sd="0" m="1" x="3721"/>
        <item sd="0" m="1" x="2821"/>
        <item sd="0" m="1" x="3784"/>
        <item sd="0" m="1" x="4741"/>
        <item sd="0" m="1" x="5649"/>
        <item sd="0" m="1" x="4802"/>
        <item sd="0" m="1" x="648"/>
        <item sd="0" m="1" x="1107"/>
        <item sd="0" m="1" x="1730"/>
        <item sd="0" m="1" x="2538"/>
        <item sd="0" m="1" x="6173"/>
        <item sd="0" m="1" x="1789"/>
        <item sd="0" m="1" x="2607"/>
        <item sd="0" m="1" x="3541"/>
        <item sd="0" m="1" x="4505"/>
        <item sd="0" m="1" x="7356"/>
        <item sd="0" m="1" x="3600"/>
        <item sd="0" m="1" x="4559"/>
        <item sd="0" m="1" x="307"/>
        <item sd="0" m="1" x="550"/>
        <item sd="0" m="1" x="960"/>
        <item sd="0" m="1" x="5123"/>
        <item sd="0" m="1" x="5981"/>
        <item sd="0" m="1" x="1034"/>
        <item sd="0" m="1" x="1580"/>
        <item sd="0" m="1" x="2348"/>
        <item sd="0" m="1" x="6716"/>
        <item sd="0" m="1" x="7228"/>
        <item sd="0" m="1" x="2441"/>
        <item sd="0" m="1" x="3313"/>
        <item sd="0" m="1" x="4292"/>
        <item sd="0" m="1" x="129"/>
        <item sd="0" m="1" x="241"/>
        <item sd="0" m="1" x="459"/>
        <item sd="0" m="1" x="3941"/>
        <item sd="0" m="1" x="4874"/>
        <item sd="0" m="1" x="5745"/>
        <item sd="0" m="1" x="510"/>
        <item sd="0" m="1" x="876"/>
        <item sd="0" m="1" x="1410"/>
        <item sd="0" m="1" x="5366"/>
        <item sd="0" m="1" x="1051"/>
        <item sd="0" m="1" x="1618"/>
        <item sd="0" m="1" x="2377"/>
        <item sd="0" m="1" x="3272"/>
        <item sd="0" m="1" x="6737"/>
        <item sd="0" m="1" x="7263"/>
        <item sd="0" m="1" x="2467"/>
        <item sd="0" m="1" x="3354"/>
        <item sd="0" m="1" x="4322"/>
        <item sd="0" m="1" x="5252"/>
        <item sd="0" m="1" x="7691"/>
        <item sd="0" m="1" x="7914"/>
        <item sd="0" m="1" x="4378"/>
        <item sd="0" m="1" x="5302"/>
        <item sd="0" m="1" x="6129"/>
        <item sd="0" m="1" x="530"/>
        <item sd="0" m="1" x="905"/>
        <item sd="0" m="1" x="1444"/>
        <item sd="0" m="1" x="5856"/>
        <item sd="0" m="1" x="6575"/>
        <item sd="0" m="1" x="7130"/>
        <item sd="0" m="1" x="1520"/>
        <item sd="0" m="1" x="2243"/>
        <item sd="0" m="1" x="3115"/>
        <item sd="0" m="1" x="7183"/>
        <item sd="0" m="1" x="7594"/>
        <item sd="0" m="1" x="7866"/>
        <item sd="0" m="1" x="3175"/>
        <item sd="0" m="1" x="4135"/>
        <item sd="0" m="1" x="5074"/>
        <item sd="0" m="1" x="438"/>
        <item sd="0" m="1" x="794"/>
        <item sd="0" m="1" x="4716"/>
        <item sd="0" m="1" x="5605"/>
        <item sd="0" m="1" x="6392"/>
        <item sd="0" m="1" x="1343"/>
        <item sd="0" m="1" x="2030"/>
        <item sd="0" m="1" x="6451"/>
        <item sd="0" m="1" x="7039"/>
        <item sd="0" m="1" x="7503"/>
        <item sd="0" m="1" x="2935"/>
        <item sd="0" m="1" x="3878"/>
        <item sd="0" m="1" x="366"/>
        <item sd="0" m="1" x="2569"/>
        <item sd="0" m="1" x="3500"/>
        <item sd="0" m="1" x="4464"/>
        <item sd="0" m="1" x="5388"/>
        <item sd="0" m="1" x="1195"/>
        <item sd="0" m="1" x="4523"/>
        <item sd="0" m="1" x="5438"/>
        <item sd="0" m="1" x="6271"/>
        <item sd="0" m="1" x="6904"/>
        <item sd="0" m="1" x="2708"/>
        <item sd="0" m="1" x="1552"/>
        <item sd="0" m="1" x="2307"/>
        <item sd="0" m="1" x="3217"/>
        <item sd="0" m="1" x="4200"/>
        <item sd="0" m="1" x="3273"/>
        <item sd="0" m="1" x="4245"/>
        <item sd="0" m="1" x="5204"/>
        <item sd="0" m="1" x="6058"/>
        <item sd="0" m="1" x="6984"/>
        <item sd="0" m="1" x="7435"/>
        <item sd="0" m="1" x="2031"/>
        <item sd="0" m="1" x="2866"/>
        <item sd="0" m="1" x="3816"/>
        <item sd="0" m="1" x="4764"/>
        <item sd="0" m="1" x="167"/>
        <item sd="0" m="1" x="330"/>
        <item sd="0" m="1" x="627"/>
        <item sd="0" m="1" x="3451"/>
        <item sd="0" m="1" x="4396"/>
        <item sd="0" m="1" x="5323"/>
        <item sd="0" m="1" x="6138"/>
        <item sd="0" m="1" x="666"/>
        <item sd="0" m="1" x="1127"/>
        <item sd="0" m="1" x="1747"/>
        <item sd="0" m="1" x="5389"/>
        <item sd="0" m="1" x="6201"/>
        <item sd="0" m="1" x="6840"/>
        <item sd="0" m="1" x="7327"/>
        <item sd="0" m="1" x="1830"/>
        <item sd="0" m="1" x="2641"/>
        <item sd="0" m="1" x="3560"/>
        <item sd="0" m="1" x="145"/>
        <item sd="0" m="1" x="2288"/>
        <item sd="0" m="1" x="3187"/>
        <item sd="0" m="1" x="4152"/>
        <item sd="0" m="1" x="5084"/>
        <item sd="0" m="1" x="573"/>
        <item sd="0" m="1" x="4201"/>
        <item sd="0" m="1" x="5137"/>
        <item sd="0" m="1" x="6003"/>
        <item sd="0" m="1" x="6676"/>
        <item sd="0" m="1" x="1619"/>
        <item sd="0" m="1" x="1360"/>
        <item sd="0" m="1" x="2072"/>
        <item sd="0" m="1" x="2949"/>
        <item sd="0" m="1" x="2995"/>
        <item sd="0" m="1" x="3960"/>
        <item sd="0" m="1" x="4905"/>
        <item sd="0" m="1" x="817"/>
        <item sd="0" m="1" x="1323"/>
        <item sd="0" m="1" x="1984"/>
        <item sd="0" m="1" x="2822"/>
        <item sd="0" m="1" x="7022"/>
        <item sd="0" m="1" x="7471"/>
        <item sd="0" m="1" x="2059"/>
        <item sd="0" m="1" x="2918"/>
        <item sd="0" m="1" x="3847"/>
        <item sd="0" m="1" x="4803"/>
        <item sd="0" m="1" x="7831"/>
        <item sd="0" m="1" x="7979"/>
        <item sd="0" m="1" x="3923"/>
        <item sd="0" m="1" x="4856"/>
        <item sd="0" m="1" x="5727"/>
        <item sd="0" m="1" x="6478"/>
        <item sd="0" m="1" x="708"/>
        <item sd="0" m="1" x="1166"/>
        <item sd="0" m="1" x="1790"/>
        <item sd="0" m="1" x="5417"/>
        <item sd="0" m="1" x="6253"/>
        <item sd="0" m="1" x="6872"/>
        <item sd="0" m="1" x="7357"/>
        <item sd="0" m="1" x="1875"/>
        <item sd="0" m="1" x="2679"/>
        <item sd="0" m="1" x="3601"/>
        <item sd="0" m="1" x="6929"/>
        <item sd="0" m="1" x="1245"/>
        <item sd="0" m="1" x="1928"/>
        <item sd="0" m="1" x="2765"/>
        <item sd="0" m="1" x="3722"/>
        <item sd="0" m="1" x="2823"/>
        <item sd="0" m="1" x="3785"/>
        <item sd="0" m="1" x="4742"/>
        <item sd="0" m="1" x="5650"/>
        <item sd="0" m="1" x="4804"/>
        <item sd="0" m="1" x="5694"/>
        <item sd="0" m="1" x="649"/>
        <item sd="0" m="1" x="1108"/>
        <item sd="0" m="1" x="1731"/>
        <item sd="0" m="1" x="2539"/>
        <item sd="0" m="1" x="6174"/>
        <item sd="0" m="1" x="6825"/>
        <item sd="0" m="1" x="1791"/>
        <item sd="0" m="1" x="2608"/>
        <item sd="0" m="1" x="3542"/>
        <item sd="0" m="1" x="4506"/>
        <item sd="0" m="1" x="7358"/>
        <item sd="0" m="1" x="7718"/>
        <item sd="0" m="1" x="3602"/>
        <item sd="0" m="1" x="4560"/>
        <item sd="0" m="1" x="5472"/>
        <item sd="0" m="1" x="308"/>
        <item sd="0" m="1" x="551"/>
        <item sd="0" m="1" x="961"/>
        <item sd="0" m="1" x="5124"/>
        <item sd="0" m="1" x="5982"/>
        <item sd="0" m="1" x="6660"/>
        <item sd="0" m="1" x="1035"/>
        <item sd="0" m="1" x="1581"/>
        <item sd="0" m="1" x="2349"/>
        <item sd="0" m="1" x="6717"/>
        <item sd="0" m="1" x="7229"/>
        <item sd="0" m="1" x="7625"/>
        <item sd="0" m="1" x="2442"/>
        <item sd="0" m="1" x="3314"/>
        <item sd="0" m="1" x="4293"/>
        <item sd="0" m="1" x="242"/>
        <item sd="0" m="1" x="460"/>
        <item sd="0" m="1" x="3942"/>
        <item sd="0" m="1" x="4875"/>
        <item sd="0" m="1" x="5746"/>
        <item sd="0" m="1" x="877"/>
        <item sd="0" m="1" x="1411"/>
        <item sd="0" m="1" x="5835"/>
        <item sd="0" m="1" x="6541"/>
        <item sd="0" m="1" x="7106"/>
        <item sd="0" m="1" x="2212"/>
        <item sd="0" m="1" x="3084"/>
        <item sd="0" m="1" x="197"/>
        <item sd="0" m="1" x="1891"/>
        <item sd="0" m="1" x="2741"/>
        <item sd="0" m="1" x="3681"/>
        <item sd="0" m="1" x="4624"/>
        <item sd="0" m="1" x="769"/>
        <item sd="0" m="1" x="3723"/>
        <item sd="0" m="1" x="4692"/>
        <item sd="0" m="1" x="5584"/>
        <item sd="0" m="1" x="7692"/>
        <item sd="0" m="1" x="7915"/>
        <item sd="0" m="1" x="54"/>
        <item sd="0" m="1" x="4379"/>
        <item sd="0" m="1" x="5303"/>
        <item sd="0" m="1" x="6130"/>
        <item sd="0" m="1" x="6795"/>
        <item sd="0" m="1" x="906"/>
        <item sd="0" m="1" x="1445"/>
        <item sd="0" m="1" x="5857"/>
        <item sd="0" m="1" x="6576"/>
        <item sd="0" m="1" x="7131"/>
        <item sd="0" m="1" x="7546"/>
        <item sd="0" m="1" x="2244"/>
        <item sd="0" m="1" x="3116"/>
        <item sd="0" m="1" x="7184"/>
        <item sd="0" m="1" x="7595"/>
        <item sd="0" m="1" x="7867"/>
        <item sd="0" m="1" x="36"/>
        <item sd="0" m="1" x="4136"/>
        <item sd="0" m="1" x="5075"/>
        <item sd="0" m="1" x="377"/>
        <item sd="0" m="1" x="709"/>
        <item sd="0" m="1" x="1167"/>
        <item sd="0" m="1" x="1792"/>
        <item sd="0" m="1" x="5418"/>
        <item sd="0" m="1" x="6254"/>
        <item sd="0" m="1" x="6873"/>
        <item sd="0" m="1" x="1212"/>
        <item sd="0" m="1" x="1876"/>
        <item sd="0" m="1" x="2680"/>
        <item sd="0" m="1" x="3603"/>
        <item sd="0" m="1" x="6930"/>
        <item sd="0" m="1" x="7420"/>
        <item sd="0" m="1" x="7749"/>
        <item sd="0" m="1" x="2725"/>
        <item sd="0" m="1" x="3660"/>
        <item sd="0" m="1" x="4606"/>
        <item sd="0" m="1" x="5504"/>
        <item sd="0" m="1" x="323"/>
        <item sd="0" m="1" x="605"/>
        <item sd="0" m="1" x="4226"/>
        <item sd="0" m="1" x="5183"/>
        <item sd="0" m="1" x="6036"/>
        <item sd="0" m="1" x="6718"/>
        <item sd="0" m="1" x="1073"/>
        <item sd="0" m="1" x="1673"/>
        <item sd="0" m="1" x="6087"/>
        <item sd="0" m="1" x="6777"/>
        <item sd="0" m="1" x="7298"/>
        <item sd="0" m="1" x="7672"/>
        <item sd="0" m="1" x="2489"/>
        <item sd="0" m="1" x="3396"/>
        <item sd="0" m="1" x="269"/>
        <item sd="0" m="1" x="3028"/>
        <item sd="0" m="1" x="3989"/>
        <item sd="0" m="1" x="4941"/>
        <item sd="0" m="1" x="943"/>
        <item sd="0" m="1" x="5009"/>
        <item sd="0" m="1" x="5884"/>
        <item sd="0" m="1" x="6626"/>
        <item sd="0" m="1" x="2284"/>
        <item sd="0" m="1" x="1246"/>
        <item sd="0" m="1" x="1929"/>
        <item sd="0" m="1" x="2766"/>
        <item sd="0" m="1" x="3724"/>
        <item sd="0" m="1" x="2824"/>
        <item sd="0" m="1" x="3786"/>
        <item sd="0" m="1" x="4743"/>
        <item sd="0" m="1" x="5651"/>
        <item sd="0" m="1" x="6719"/>
        <item sd="0" m="1" x="7230"/>
        <item sd="0" m="1" x="2443"/>
        <item sd="0" m="1" x="3315"/>
        <item sd="0" m="1" x="4294"/>
        <item sd="0" m="1" x="130"/>
        <item sd="0" m="1" x="243"/>
        <item sd="0" m="1" x="461"/>
        <item sd="0" m="1" x="3943"/>
        <item sd="0" m="1" x="4876"/>
        <item sd="0" m="1" x="5747"/>
        <item sd="0" m="1" x="511"/>
        <item sd="0" m="1" x="878"/>
        <item sd="0" m="1" x="1412"/>
        <item sd="0" m="1" x="5836"/>
        <item sd="0" m="1" x="6542"/>
        <item sd="0" m="1" x="7107"/>
        <item sd="0" m="1" x="1497"/>
        <item sd="0" m="1" x="2213"/>
        <item sd="0" m="1" x="3085"/>
        <item sd="0" m="1" x="108"/>
        <item sd="0" m="1" x="198"/>
        <item sd="0" m="1" x="1892"/>
        <item sd="0" m="1" x="2742"/>
        <item sd="0" m="1" x="3682"/>
        <item sd="0" m="1" x="4625"/>
        <item sd="0" m="1" x="426"/>
        <item sd="0" m="1" x="770"/>
        <item sd="0" m="1" x="3725"/>
        <item sd="0" m="1" x="4693"/>
        <item sd="0" m="1" x="5585"/>
        <item sd="0" m="1" x="6364"/>
        <item sd="0" m="1" x="1324"/>
        <item sd="0" m="1" x="1985"/>
        <item sd="0" m="1" x="99"/>
        <item sd="0" m="1" x="1075"/>
        <item sd="0" m="1" x="1704"/>
        <item sd="0" m="1" x="2504"/>
        <item sd="0" m="1" x="3413"/>
        <item sd="0" m="1" x="2540"/>
        <item sd="0" m="1" x="3475"/>
        <item sd="0" m="1" x="4441"/>
        <item sd="0" m="1" x="5367"/>
        <item sd="0" m="1" x="1052"/>
        <item sd="0" m="1" x="1620"/>
        <item sd="0" m="1" x="2378"/>
        <item sd="0" m="1" x="3274"/>
        <item sd="0" m="1" x="6738"/>
        <item sd="0" m="1" x="7264"/>
        <item sd="0" m="1" x="2468"/>
        <item sd="0" m="1" x="3355"/>
        <item sd="0" m="1" x="4323"/>
        <item sd="0" m="1" x="5253"/>
        <item sd="0" m="1" x="7693"/>
        <item sd="0" m="1" x="7916"/>
        <item sd="0" m="1" x="4380"/>
        <item sd="0" m="1" x="5304"/>
        <item sd="0" m="1" x="6131"/>
        <item sd="0" m="1" x="531"/>
        <item sd="0" m="1" x="907"/>
        <item sd="0" m="1" x="1446"/>
        <item sd="0" m="1" x="5858"/>
        <item sd="0" m="1" x="6577"/>
        <item sd="0" m="1" x="7132"/>
        <item sd="0" m="1" x="1521"/>
        <item sd="0" m="1" x="2245"/>
        <item sd="0" m="1" x="3117"/>
        <item sd="0" m="1" x="6905"/>
        <item sd="0" m="1" x="2709"/>
        <item sd="0" m="1" x="1553"/>
        <item sd="0" m="1" x="2308"/>
        <item sd="0" m="1" x="3218"/>
        <item sd="0" m="1" x="4202"/>
        <item sd="0" m="1" x="3275"/>
        <item sd="0" m="1" x="4246"/>
        <item sd="0" m="1" x="5205"/>
        <item sd="0" m="1" x="6059"/>
        <item sd="0" m="1" x="5254"/>
        <item sd="0" m="1" x="852"/>
        <item sd="0" m="1" x="1374"/>
        <item sd="0" m="1" x="2109"/>
        <item sd="0" m="1" x="6515"/>
        <item sd="0" m="1" x="2169"/>
        <item sd="0" m="1" x="3046"/>
        <item sd="0" m="1" x="4019"/>
        <item sd="0" m="1" x="7547"/>
        <item sd="0" m="1" x="4087"/>
        <item sd="0" m="1" x="5025"/>
        <item sd="0" m="1" x="223"/>
        <item sd="0" m="1" x="391"/>
        <item sd="0" m="1" x="735"/>
        <item sd="0" m="1" x="1224"/>
        <item sd="0" m="1" x="5558"/>
        <item sd="0" m="1" x="6323"/>
        <item sd="0" m="1" x="795"/>
        <item sd="0" m="1" x="1272"/>
        <item sd="0" m="1" x="1944"/>
        <item sd="0" m="1" x="2788"/>
        <item sd="0" m="1" x="6985"/>
        <item sd="0" m="1" x="7436"/>
        <item sd="0" m="1" x="2032"/>
        <item sd="0" m="1" x="2867"/>
        <item sd="0" m="1" x="3817"/>
        <item sd="0" m="1" x="4765"/>
        <item sd="0" m="1" x="168"/>
        <item sd="0" m="1" x="331"/>
        <item sd="0" m="1" x="628"/>
        <item sd="0" m="1" x="3452"/>
        <item sd="0" m="1" x="4397"/>
        <item sd="0" m="1" x="5324"/>
        <item sd="0" m="1" x="6139"/>
        <item sd="0" m="1" x="667"/>
        <item sd="0" m="1" x="1128"/>
        <item sd="0" m="1" x="1748"/>
        <item sd="0" m="1" x="5390"/>
        <item sd="0" m="1" x="6202"/>
        <item sd="0" m="1" x="6841"/>
        <item sd="0" m="1" x="7328"/>
        <item sd="0" m="1" x="1831"/>
        <item sd="0" m="1" x="2642"/>
        <item sd="0" m="1" x="3561"/>
        <item sd="0" m="1" x="146"/>
        <item sd="0" m="1" x="2289"/>
        <item sd="0" m="1" x="3188"/>
        <item sd="0" m="1" x="4153"/>
        <item sd="0" m="1" x="5085"/>
        <item sd="0" m="1" x="574"/>
        <item sd="0" m="1" x="4203"/>
        <item sd="0" m="1" x="5138"/>
        <item sd="0" m="1" x="7832"/>
        <item sd="0" m="1" x="7980"/>
        <item sd="0" m="1" x="3924"/>
        <item sd="0" m="1" x="4857"/>
        <item sd="0" m="1" x="5728"/>
        <item sd="0" m="1" x="6479"/>
        <item sd="0" m="1" x="710"/>
        <item sd="0" m="1" x="1168"/>
        <item sd="0" m="1" x="1793"/>
        <item sd="0" m="1" x="5419"/>
        <item sd="0" m="1" x="6255"/>
        <item sd="0" m="1" x="6874"/>
        <item sd="0" m="1" x="7359"/>
        <item sd="0" m="1" x="1877"/>
        <item sd="0" m="1" x="2681"/>
        <item sd="0" m="1" x="3604"/>
        <item sd="0" m="1" x="6931"/>
        <item sd="0" m="1" x="7421"/>
        <item sd="0" m="1" x="7750"/>
        <item sd="0" m="1" x="7949"/>
        <item sd="0" m="1" x="3661"/>
        <item sd="0" m="1" x="4607"/>
        <item sd="0" m="1" x="5505"/>
        <item sd="0" m="1" x="606"/>
        <item sd="0" m="1" x="4227"/>
        <item sd="0" m="1" x="5184"/>
        <item sd="0" m="1" x="6037"/>
        <item sd="0" m="1" x="6720"/>
        <item sd="0" m="1" x="1674"/>
        <item sd="0" m="1" x="6088"/>
        <item sd="0" m="1" x="6778"/>
        <item sd="0" m="1" x="7299"/>
        <item sd="0" m="1" x="7673"/>
        <item sd="0" m="1" x="3397"/>
        <item sd="0" m="1" x="3029"/>
        <item sd="0" m="1" x="3990"/>
        <item sd="0" m="1" x="4942"/>
        <item sd="0" m="1" x="5010"/>
        <item sd="0" m="1" x="5885"/>
        <item sd="0" m="1" x="6627"/>
        <item sd="0" m="1" x="1247"/>
        <item sd="0" m="1" x="1930"/>
        <item sd="0" m="1" x="2767"/>
        <item sd="0" m="1" x="3726"/>
        <item sd="0" m="1" x="2825"/>
        <item sd="0" m="1" x="3787"/>
        <item sd="0" m="1" x="4744"/>
        <item sd="0" m="1" x="5652"/>
        <item sd="0" m="1" x="4805"/>
        <item sd="0" m="1" x="5695"/>
        <item sd="0" m="1" x="650"/>
        <item sd="0" m="1" x="1109"/>
        <item sd="0" m="1" x="1732"/>
        <item sd="0" m="1" x="2541"/>
        <item sd="0" m="1" x="6175"/>
        <item sd="0" m="1" x="6826"/>
        <item sd="0" m="1" x="1794"/>
        <item sd="0" m="1" x="2609"/>
        <item sd="0" m="1" x="3543"/>
        <item sd="0" m="1" x="4507"/>
        <item sd="0" m="1" x="6543"/>
        <item sd="0" m="1" x="7108"/>
        <item sd="0" m="1" x="2214"/>
        <item sd="0" m="1" x="3086"/>
        <item sd="0" m="1" x="199"/>
        <item sd="0" m="1" x="1893"/>
        <item sd="0" m="1" x="2743"/>
        <item sd="0" m="1" x="3683"/>
        <item sd="0" m="1" x="4626"/>
        <item sd="0" m="1" x="771"/>
        <item sd="0" m="1" x="3727"/>
        <item sd="0" m="1" x="4694"/>
        <item sd="0" m="1" x="5586"/>
        <item sd="0" m="1" x="6365"/>
        <item sd="0" m="1" x="1986"/>
        <item sd="0" m="1" x="1076"/>
        <item sd="0" m="1" x="1705"/>
        <item sd="0" m="1" x="2505"/>
        <item sd="0" m="1" x="3414"/>
        <item sd="0" m="1" x="2542"/>
        <item sd="0" m="1" x="3476"/>
        <item sd="0" m="1" x="4442"/>
        <item sd="0" m="1" x="5368"/>
        <item sd="0" m="1" x="4508"/>
        <item sd="0" m="1" x="1053"/>
        <item sd="0" m="1" x="1621"/>
        <item sd="0" m="1" x="2379"/>
        <item sd="0" m="1" x="3276"/>
        <item sd="0" m="1" x="6739"/>
        <item sd="0" m="1" x="7265"/>
        <item sd="0" m="1" x="7641"/>
        <item sd="0" m="1" x="2469"/>
        <item sd="0" m="1" x="3356"/>
        <item sd="0" m="1" x="4324"/>
        <item sd="0" m="1" x="5255"/>
        <item sd="0" m="1" x="7694"/>
        <item sd="0" m="1" x="7917"/>
        <item sd="0" m="1" x="55"/>
        <item sd="0" m="1" x="4381"/>
        <item sd="0" m="1" x="5305"/>
        <item sd="0" m="1" x="6132"/>
        <item sd="0" m="1" x="6796"/>
        <item sd="0" m="1" x="378"/>
        <item sd="0" m="1" x="711"/>
        <item sd="0" m="1" x="1169"/>
        <item sd="0" m="1" x="1795"/>
        <item sd="0" m="1" x="5420"/>
        <item sd="0" m="1" x="6256"/>
        <item sd="0" m="1" x="6875"/>
        <item sd="0" m="1" x="1213"/>
        <item sd="0" m="1" x="1878"/>
        <item sd="0" m="1" x="2682"/>
        <item sd="0" m="1" x="3605"/>
        <item sd="0" m="1" x="6932"/>
        <item sd="0" m="1" x="7422"/>
        <item sd="0" m="1" x="7751"/>
        <item sd="0" m="1" x="2726"/>
        <item sd="0" m="1" x="3662"/>
        <item sd="0" m="1" x="4608"/>
        <item sd="0" m="1" x="5506"/>
        <item sd="0" m="1" x="324"/>
        <item sd="0" m="1" x="607"/>
        <item sd="0" m="1" x="4228"/>
        <item sd="0" m="1" x="5185"/>
        <item sd="0" m="1" x="6038"/>
        <item sd="0" m="1" x="6721"/>
        <item sd="0" m="1" x="1074"/>
        <item sd="0" m="1" x="1675"/>
        <item sd="0" m="1" x="6089"/>
        <item sd="0" m="1" x="4806"/>
        <item sd="0" m="1" x="651"/>
        <item sd="0" m="1" x="1110"/>
        <item sd="0" m="1" x="1733"/>
        <item sd="0" m="1" x="2543"/>
        <item sd="0" m="1" x="6176"/>
        <item sd="0" m="1" x="1796"/>
        <item sd="0" m="1" x="2610"/>
        <item sd="0" m="1" x="3544"/>
        <item sd="0" m="1" x="4509"/>
        <item sd="0" m="1" x="7360"/>
        <item sd="0" m="1" x="3606"/>
        <item sd="0" m="1" x="4561"/>
        <item sd="0" m="1" x="309"/>
        <item sd="0" m="1" x="552"/>
        <item sd="0" m="1" x="962"/>
        <item sd="0" m="1" x="5125"/>
        <item sd="0" m="1" x="5983"/>
        <item sd="0" m="1" x="1036"/>
        <item sd="0" m="1" x="1582"/>
        <item sd="0" m="1" x="2350"/>
        <item sd="0" m="1" x="6722"/>
        <item sd="0" m="1" x="7231"/>
        <item sd="0" m="1" x="2444"/>
        <item sd="0" m="1" x="3316"/>
        <item sd="0" m="1" x="4295"/>
        <item sd="0" m="1" x="131"/>
        <item sd="0" m="1" x="244"/>
        <item sd="0" m="1" x="462"/>
        <item sd="0" m="1" x="3944"/>
        <item sd="0" m="1" x="4877"/>
        <item sd="0" m="1" x="5748"/>
        <item sd="0" m="1" x="512"/>
        <item sd="0" m="1" x="879"/>
        <item sd="0" m="1" x="1413"/>
        <item sd="0" m="1" x="5837"/>
        <item sd="0" m="1" x="6544"/>
        <item sd="0" m="1" x="7109"/>
        <item sd="0" m="1" x="1498"/>
        <item sd="0" m="1" x="2215"/>
        <item sd="0" m="1" x="3087"/>
        <item sd="0" m="1" x="109"/>
        <item sd="0" m="1" x="200"/>
        <item sd="0" m="1" x="1894"/>
        <item sd="0" m="1" x="2744"/>
        <item sd="0" m="1" x="3684"/>
        <item sd="0" m="1" x="4627"/>
        <item sd="0" m="1" x="427"/>
        <item sd="0" m="1" x="772"/>
        <item sd="0" m="1" x="3728"/>
        <item sd="0" m="1" x="4695"/>
        <item sd="0" m="1" x="5587"/>
        <item sd="0" m="1" x="6366"/>
        <item sd="0" m="1" x="1325"/>
        <item sd="0" m="1" x="1987"/>
        <item sd="0" m="1" x="1077"/>
        <item sd="0" m="1" x="1706"/>
        <item sd="0" m="1" x="2506"/>
        <item sd="0" m="1" x="3415"/>
        <item sd="0" m="1" x="2544"/>
        <item sd="0" m="1" x="3477"/>
        <item sd="0" m="1" x="4443"/>
        <item sd="0" m="1" x="7185"/>
        <item sd="0" m="1" x="7596"/>
        <item sd="0" m="1" x="7868"/>
        <item sd="0" m="1" x="3176"/>
        <item sd="0" m="1" x="4137"/>
        <item sd="0" m="1" x="5076"/>
        <item sd="0" m="1" x="439"/>
        <item sd="0" m="1" x="796"/>
        <item sd="0" m="1" x="4717"/>
        <item sd="0" m="1" x="5606"/>
        <item sd="0" m="1" x="6393"/>
        <item sd="0" m="1" x="1344"/>
        <item sd="0" m="1" x="2033"/>
        <item sd="0" m="1" x="6452"/>
        <item sd="0" m="1" x="7040"/>
        <item sd="0" m="1" x="7504"/>
        <item sd="0" m="1" x="2936"/>
        <item sd="0" m="1" x="3879"/>
        <item sd="0" m="1" x="367"/>
        <item sd="0" m="1" x="2570"/>
        <item sd="0" m="1" x="3501"/>
        <item sd="0" m="1" x="4465"/>
        <item sd="0" m="1" x="5391"/>
        <item sd="0" m="1" x="1196"/>
        <item sd="0" m="1" x="4524"/>
        <item sd="0" m="1" x="5439"/>
        <item sd="0" m="1" x="6272"/>
        <item sd="0" m="1" x="6906"/>
        <item sd="0" m="1" x="2710"/>
        <item sd="0" m="1" x="1554"/>
        <item sd="0" m="1" x="2309"/>
        <item sd="0" m="1" x="3219"/>
        <item sd="0" m="1" x="4204"/>
        <item sd="0" m="1" x="3277"/>
        <item sd="0" m="1" x="4247"/>
        <item sd="0" m="1" x="5206"/>
        <item sd="0" m="1" x="6060"/>
        <item sd="0" m="1" x="5256"/>
        <item sd="0" m="1" x="853"/>
        <item sd="0" m="1" x="1375"/>
        <item sd="0" m="1" x="2110"/>
        <item sd="0" m="1" x="6516"/>
        <item sd="0" m="1" x="2170"/>
        <item sd="0" m="1" x="3047"/>
        <item sd="0" m="1" x="4020"/>
        <item sd="0" m="1" x="7548"/>
        <item sd="0" m="1" x="4088"/>
        <item sd="0" m="1" x="5026"/>
        <item sd="0" m="1" x="224"/>
        <item sd="0" m="1" x="392"/>
        <item sd="0" m="1" x="736"/>
        <item sd="0" m="1" x="1225"/>
        <item sd="0" m="1" x="5559"/>
        <item sd="0" m="1" x="6324"/>
        <item sd="0" m="1" x="797"/>
        <item sd="0" m="1" x="1273"/>
        <item sd="0" m="1" x="1945"/>
        <item sd="0" m="1" x="2789"/>
        <item sd="0" m="1" x="6004"/>
        <item sd="0" m="1" x="6677"/>
        <item sd="0" m="1" x="1622"/>
        <item sd="0" m="1" x="1361"/>
        <item sd="0" m="1" x="2073"/>
        <item sd="0" m="1" x="2950"/>
        <item sd="0" m="1" x="2996"/>
        <item sd="0" m="1" x="3961"/>
        <item sd="0" m="1" x="4906"/>
        <item sd="0" m="1" x="818"/>
        <item sd="0" m="1" x="1326"/>
        <item sd="0" m="1" x="1988"/>
        <item sd="0" m="1" x="2826"/>
        <item sd="0" m="1" x="7023"/>
        <item sd="0" m="1" x="7472"/>
        <item sd="0" m="1" x="2060"/>
        <item sd="0" m="1" x="2919"/>
        <item sd="0" m="1" x="3848"/>
        <item sd="0" m="1" x="4807"/>
        <item sd="0" m="1" x="7833"/>
        <item sd="0" m="1" x="7981"/>
        <item sd="0" m="1" x="3925"/>
        <item sd="0" m="1" x="4858"/>
        <item sd="0" m="1" x="5729"/>
        <item sd="0" m="1" x="6480"/>
        <item sd="0" m="1" x="712"/>
        <item sd="0" m="1" x="1170"/>
        <item sd="0" m="1" x="1797"/>
        <item sd="0" m="1" x="5421"/>
        <item sd="0" m="1" x="6257"/>
        <item sd="0" m="1" x="6876"/>
        <item sd="0" m="1" x="7361"/>
        <item sd="0" m="1" x="1879"/>
        <item sd="0" m="1" x="2683"/>
        <item sd="0" m="1" x="3607"/>
        <item sd="0" m="1" x="6933"/>
        <item sd="0" m="1" x="7423"/>
        <item sd="0" m="1" x="7752"/>
        <item sd="0" m="1" x="7950"/>
        <item sd="0" m="1" x="3663"/>
        <item sd="0" m="1" x="4609"/>
        <item sd="0" m="1" x="5507"/>
        <item sd="0" m="1" x="608"/>
        <item sd="0" m="1" x="4229"/>
        <item sd="0" m="1" x="5186"/>
        <item sd="0" m="1" x="6039"/>
        <item sd="0" m="1" x="6723"/>
        <item sd="0" m="1" x="1676"/>
        <item sd="0" m="1" x="6090"/>
        <item sd="0" m="1" x="6779"/>
        <item sd="0" m="1" x="7300"/>
        <item sd="0" m="1" x="7674"/>
        <item sd="0" m="1" x="3398"/>
        <item sd="0" m="1" x="3030"/>
        <item sd="0" m="1" x="3991"/>
        <item sd="0" m="1" x="4943"/>
        <item sd="0" m="1" x="5011"/>
        <item sd="0" m="1" x="5886"/>
        <item sd="0" m="1" x="6628"/>
        <item sd="0" m="1" x="7362"/>
        <item sd="0" m="1" x="7719"/>
        <item sd="0" m="1" x="3608"/>
        <item sd="0" m="1" x="4562"/>
        <item sd="0" m="1" x="5473"/>
        <item sd="0" m="1" x="310"/>
        <item sd="0" m="1" x="553"/>
        <item sd="0" m="1" x="7232"/>
        <item sd="0" m="1" x="7626"/>
        <item sd="0" m="1" x="2445"/>
        <item sd="0" m="1" x="3317"/>
        <item sd="0" m="1" x="4296"/>
        <item sd="0" m="1" x="245"/>
        <item sd="0" m="1" x="463"/>
        <item sd="0" m="1" x="3945"/>
        <item sd="0" m="1" x="4878"/>
        <item sd="0" m="1" x="5749"/>
        <item sd="0" m="1" x="880"/>
        <item sd="0" m="1" x="1414"/>
        <item sd="0" m="1" x="5838"/>
        <item sd="0" m="1" x="6545"/>
        <item sd="0" m="1" x="7110"/>
        <item sd="0" m="1" x="2216"/>
        <item sd="0" m="1" x="3088"/>
        <item sd="0" m="1" x="201"/>
        <item sd="0" m="1" x="1895"/>
        <item sd="0" m="1" x="2745"/>
        <item sd="0" m="1" x="3685"/>
        <item sd="0" m="1" x="4628"/>
        <item sd="0" m="1" x="773"/>
        <item sd="0" m="1" x="3729"/>
        <item sd="0" m="1" x="4696"/>
        <item sd="0" m="1" x="5588"/>
        <item sd="0" m="1" x="6367"/>
        <item sd="0" m="1" x="1989"/>
        <item sd="0" m="1" x="1078"/>
        <item sd="0" m="1" x="1707"/>
        <item sd="0" m="1" x="2507"/>
        <item sd="0" m="1" x="3416"/>
        <item sd="0" m="1" x="2545"/>
        <item sd="0" m="1" x="3478"/>
        <item sd="0" m="1" x="4444"/>
        <item sd="0" m="1" x="5369"/>
        <item sd="0" m="1" x="4510"/>
        <item sd="0" m="1" x="1054"/>
        <item sd="0" m="1" x="1623"/>
        <item sd="0" m="1" x="2380"/>
        <item sd="0" m="1" x="3278"/>
        <item sd="0" m="1" x="6740"/>
        <item sd="0" m="1" x="7266"/>
        <item sd="0" m="1" x="7642"/>
        <item sd="0" m="1" x="2470"/>
        <item sd="0" m="1" x="3357"/>
        <item sd="0" m="1" x="4325"/>
        <item sd="0" m="1" x="5257"/>
        <item sd="0" m="1" x="1281"/>
        <item sd="0" m="1" x="5621"/>
        <item sd="0" m="1" x="6402"/>
        <item sd="0" m="1" x="6995"/>
        <item sd="0" m="1" x="1345"/>
        <item sd="0" m="1" x="2043"/>
        <item sd="0" m="1" x="2881"/>
        <item sd="0" m="1" x="7049"/>
        <item sd="0" m="1" x="7509"/>
        <item sd="0" m="1" x="7808"/>
        <item sd="0" m="1" x="2951"/>
        <item sd="0" m="1" x="3891"/>
        <item sd="0" m="1" x="4837"/>
        <item sd="0" m="1" x="368"/>
        <item sd="0" m="1" x="673"/>
        <item sd="0" m="1" x="3510"/>
        <item sd="0" m="1" x="4474"/>
        <item sd="0" m="1" x="5400"/>
        <item sd="0" m="1" x="6209"/>
        <item sd="0" m="1" x="1203"/>
        <item sd="0" m="1" x="1841"/>
        <item sd="0" m="1" x="5448"/>
        <item sd="0" m="1" x="6273"/>
        <item sd="0" m="1" x="6913"/>
        <item sd="0" m="1" x="7393"/>
        <item sd="0" m="1" x="2717"/>
        <item sd="0" m="1" x="3633"/>
        <item sd="0" m="1" x="2318"/>
        <item sd="0" m="1" x="3220"/>
        <item sd="0" m="1" x="4205"/>
        <item sd="0" m="1" x="5139"/>
        <item sd="0" m="1" x="4256"/>
        <item sd="0" m="1" x="5207"/>
        <item sd="0" m="1" x="6070"/>
        <item sd="0" m="1" x="6750"/>
        <item sd="0" m="1" x="1383"/>
        <item sd="0" m="1" x="2111"/>
        <item sd="0" m="1" x="2997"/>
        <item sd="0" m="1" x="3055"/>
        <item sd="0" m="1" x="4030"/>
        <item sd="0" m="1" x="4980"/>
        <item sd="0" m="1" x="5034"/>
        <item sd="0" m="1" x="400"/>
        <item sd="0" m="1" x="737"/>
        <item sd="0" m="1" x="1226"/>
        <item sd="0" m="1" x="1902"/>
        <item sd="0" m="1" x="6332"/>
        <item sd="0" m="1" x="1282"/>
        <item sd="0" m="1" x="1946"/>
        <item sd="0" m="1" x="2797"/>
        <item sd="0" m="1" x="3753"/>
        <item sd="0" m="1" x="6005"/>
        <item sd="0" m="1" x="6686"/>
        <item sd="0" m="1" x="7204"/>
        <item sd="0" m="1" x="1641"/>
        <item sd="0" m="1" x="2389"/>
        <item sd="0" m="1" x="117"/>
        <item sd="0" m="1" x="2074"/>
        <item sd="0" m="1" x="2960"/>
        <item sd="0" m="1" x="3908"/>
        <item sd="0" m="1" x="487"/>
        <item sd="0" m="1" x="3962"/>
        <item sd="0" m="1" x="4914"/>
        <item sd="0" m="1" x="5794"/>
        <item sd="0" m="1" x="1454"/>
        <item sd="0" m="1" x="1999"/>
        <item sd="0" m="1" x="2832"/>
        <item sd="0" m="1" x="3793"/>
        <item sd="0" m="1" x="7481"/>
        <item sd="0" m="1" x="3856"/>
        <item sd="0" m="1" x="4811"/>
        <item sd="0" m="1" x="5699"/>
        <item sd="0" m="1" x="7985"/>
        <item sd="0" m="1" x="5750"/>
        <item sd="0" m="1" x="6487"/>
        <item sd="0" m="1" x="716"/>
        <item sd="0" m="1" x="1175"/>
        <item sd="0" m="1" x="1802"/>
        <item sd="0" m="1" x="2615"/>
        <item sd="0" m="1" x="6884"/>
        <item sd="0" m="1" x="7367"/>
        <item sd="0" m="1" x="1883"/>
        <item sd="0" m="1" x="2688"/>
        <item sd="0" m="1" x="3613"/>
        <item sd="0" m="1" x="4567"/>
        <item sd="0" m="1" x="7756"/>
        <item sd="0" m="1" x="7951"/>
        <item sd="0" m="1" x="3686"/>
        <item sd="0" m="1" x="4629"/>
        <item sd="0" m="1" x="5522"/>
        <item sd="0" m="1" x="6298"/>
        <item sd="0" m="1" x="609"/>
        <item sd="0" m="1" x="1041"/>
        <item sd="0" m="1" x="1587"/>
        <item sd="0" m="1" x="5190"/>
        <item sd="0" m="1" x="6044"/>
        <item sd="0" m="1" x="6729"/>
        <item sd="0" m="1" x="7238"/>
        <item sd="0" m="1" x="1677"/>
        <item sd="0" m="1" x="2457"/>
        <item sd="0" m="1" x="3329"/>
        <item sd="0" m="1" x="6783"/>
        <item sd="0" m="1" x="7301"/>
        <item sd="0" m="1" x="7681"/>
        <item sd="0" m="1" x="7896"/>
        <item sd="0" m="1" x="3417"/>
        <item sd="0" m="1" x="4362"/>
        <item sd="0" m="1" x="5284"/>
        <item sd="0" m="1" x="513"/>
        <item sd="0" m="1" x="4001"/>
        <item sd="0" m="1" x="4953"/>
        <item sd="0" m="1" x="5844"/>
        <item sd="0" m="1" x="6550"/>
        <item sd="0" m="1" x="1503"/>
        <item sd="0" m="1" x="5891"/>
        <item sd="0" m="1" x="6629"/>
        <item sd="0" m="1" x="4568"/>
        <item sd="0" m="1" x="5474"/>
        <item sd="0" m="1" x="558"/>
        <item sd="0" m="1" x="967"/>
        <item sd="0" m="1" x="1544"/>
        <item sd="0" m="1" x="2295"/>
        <item sd="0" m="1" x="5988"/>
        <item sd="0" m="1" x="6661"/>
        <item sd="0" m="1" x="1588"/>
        <item sd="0" m="1" x="2352"/>
        <item sd="0" m="1" x="3254"/>
        <item sd="0" m="1" x="4233"/>
        <item sd="0" m="1" x="7239"/>
        <item sd="0" m="1" x="7627"/>
        <item sd="0" m="1" x="3330"/>
        <item sd="0" m="1" x="4303"/>
        <item sd="0" m="1" x="5233"/>
        <item sd="0" m="1" x="251"/>
        <item sd="0" m="1" x="464"/>
        <item sd="0" m="1" x="835"/>
        <item sd="0" m="1" x="4888"/>
        <item sd="0" m="1" x="5769"/>
        <item sd="0" m="1" x="6503"/>
        <item sd="0" m="1" x="886"/>
        <item sd="0" m="1" x="1419"/>
        <item sd="0" m="1" x="2142"/>
        <item sd="0" m="1" x="6551"/>
        <item sd="0" m="1" x="7111"/>
        <item sd="0" m="1" x="7535"/>
        <item sd="0" m="1" x="2225"/>
        <item sd="0" m="1" x="3097"/>
        <item sd="0" m="1" x="4063"/>
        <item sd="0" m="1" x="215"/>
        <item sd="0" m="1" x="379"/>
        <item sd="0" m="1" x="3694"/>
        <item sd="0" m="1" x="4642"/>
        <item sd="0" m="1" x="5535"/>
        <item sd="0" m="1" x="779"/>
        <item sd="0" m="1" x="1253"/>
        <item sd="0" m="1" x="5590"/>
        <item sd="0" m="1" x="6374"/>
        <item sd="0" m="1" x="6964"/>
        <item sd="0" m="1" x="2000"/>
        <item sd="0" m="1" x="2833"/>
        <item sd="0" m="1" x="156"/>
        <item sd="0" m="1" x="1708"/>
        <item sd="0" m="1" x="2508"/>
        <item sd="0" m="1" x="3440"/>
        <item sd="0" m="1" x="4372"/>
        <item sd="0" m="1" x="655"/>
        <item sd="0" m="1" x="3480"/>
        <item sd="0" m="1" x="4446"/>
        <item sd="0" m="1" x="5374"/>
        <item sd="0" m="1" x="6181"/>
        <item sd="0" m="1" x="1803"/>
        <item sd="0" m="1" x="1642"/>
        <item sd="0" m="1" x="2390"/>
        <item sd="0" m="1" x="3287"/>
        <item sd="0" m="1" x="4257"/>
        <item sd="0" m="1" x="7276"/>
        <item sd="0" m="1" x="7650"/>
        <item sd="0" m="1" x="3374"/>
        <item sd="0" m="1" x="4333"/>
        <item sd="0" m="1" x="5265"/>
        <item sd="0" m="1" x="6098"/>
        <item sd="0" m="1" x="7510"/>
        <item sd="0" m="1" x="7809"/>
        <item sd="0" m="1" x="3892"/>
        <item sd="0" m="1" x="4838"/>
        <item sd="0" m="1" x="674"/>
        <item sd="0" m="1" x="3511"/>
        <item sd="0" m="1" x="4475"/>
        <item sd="0" m="1" x="5401"/>
        <item sd="0" m="1" x="6210"/>
        <item sd="0" m="1" x="1842"/>
        <item sd="0" m="1" x="5449"/>
        <item sd="0" m="1" x="6274"/>
        <item sd="0" m="1" x="6914"/>
        <item sd="0" m="1" x="7394"/>
        <item sd="0" m="1" x="3634"/>
        <item sd="0" m="1" x="2319"/>
        <item sd="0" m="1" x="3221"/>
        <item sd="0" m="1" x="4206"/>
        <item sd="0" m="1" x="5140"/>
        <item sd="0" m="1" x="4258"/>
        <item sd="0" m="1" x="5208"/>
        <item sd="0" m="1" x="6071"/>
        <item sd="0" m="1" x="6751"/>
        <item sd="0" m="1" x="6099"/>
        <item sd="0" m="1" x="1384"/>
        <item sd="0" m="1" x="2112"/>
        <item sd="0" m="1" x="2998"/>
        <item sd="0" m="1" x="7085"/>
        <item sd="0" m="1" x="3056"/>
        <item sd="0" m="1" x="4031"/>
        <item sd="0" m="1" x="4981"/>
        <item sd="0" m="1" x="7844"/>
        <item sd="0" m="1" x="5035"/>
        <item sd="0" m="1" x="5910"/>
        <item sd="0" m="1" x="401"/>
        <item sd="0" m="1" x="738"/>
        <item sd="0" m="1" x="1227"/>
        <item sd="0" m="1" x="1903"/>
        <item sd="0" m="1" x="6333"/>
        <item sd="0" m="1" x="6937"/>
        <item sd="0" m="1" x="1283"/>
        <item sd="0" m="1" x="1947"/>
        <item sd="0" m="1" x="2798"/>
        <item sd="0" m="1" x="3754"/>
        <item sd="0" m="1" x="7446"/>
        <item sd="0" m="1" x="7778"/>
        <item sd="0" m="1" x="2882"/>
        <item sd="0" m="1" x="3822"/>
        <item sd="0" m="1" x="4777"/>
        <item sd="0" m="1" x="5674"/>
        <item sd="0" m="1" x="332"/>
        <item sd="0" m="1" x="629"/>
        <item sd="0" m="1" x="1079"/>
        <item sd="0" m="1" x="4408"/>
        <item sd="0" m="1" x="5334"/>
        <item sd="0" m="1" x="6149"/>
        <item sd="0" m="1" x="6806"/>
        <item sd="0" m="1" x="1129"/>
        <item sd="0" m="1" x="1757"/>
        <item sd="0" m="1" x="2579"/>
        <item sd="0" m="1" x="6211"/>
        <item sd="0" m="1" x="2001"/>
        <item sd="0" m="1" x="2834"/>
        <item sd="0" m="1" x="3794"/>
        <item sd="0" m="1" x="7482"/>
        <item sd="0" m="1" x="7791"/>
        <item sd="0" m="1" x="3857"/>
        <item sd="0" m="1" x="4812"/>
        <item sd="0" m="1" x="5700"/>
        <item sd="0" m="1" x="7986"/>
        <item sd="0" m="1" x="79"/>
        <item sd="0" m="1" x="5751"/>
        <item sd="0" m="1" x="6488"/>
        <item sd="0" m="1" x="7070"/>
        <item sd="0" m="1" x="1176"/>
        <item sd="0" m="1" x="1804"/>
        <item sd="0" m="1" x="2616"/>
        <item sd="0" m="1" x="6885"/>
        <item sd="0" m="1" x="7368"/>
        <item sd="0" m="1" x="7724"/>
        <item sd="0" m="1" x="2689"/>
        <item sd="0" m="1" x="3614"/>
        <item sd="0" m="1" x="4569"/>
        <item sd="0" m="1" x="7757"/>
        <item sd="0" m="1" x="7952"/>
        <item sd="0" m="1" x="70"/>
        <item sd="0" m="1" x="4630"/>
        <item sd="0" m="1" x="5523"/>
        <item sd="0" m="1" x="6299"/>
        <item sd="0" m="1" x="920"/>
        <item sd="0" m="1" x="1455"/>
        <item sd="0" m="1" x="2178"/>
        <item sd="0" m="1" x="6595"/>
        <item sd="0" m="1" x="7140"/>
        <item sd="0" m="1" x="2259"/>
        <item sd="0" m="1" x="3125"/>
        <item sd="0" m="1" x="4096"/>
        <item sd="0" m="1" x="7604"/>
        <item sd="0" m="1" x="7869"/>
        <item sd="0" m="1" x="4154"/>
        <item sd="0" m="1" x="5086"/>
        <item sd="0" m="1" x="5935"/>
        <item sd="0" m="1" x="440"/>
        <item sd="0" m="1" x="802"/>
        <item sd="0" m="1" x="1284"/>
        <item sd="0" m="1" x="5622"/>
        <item sd="0" m="1" x="6403"/>
        <item sd="0" m="1" x="6996"/>
        <item sd="0" m="1" x="1346"/>
        <item sd="0" m="1" x="2044"/>
        <item sd="0" m="1" x="2883"/>
        <item sd="0" m="1" x="7050"/>
        <item sd="0" m="1" x="7511"/>
        <item sd="0" m="1" x="7810"/>
        <item sd="0" m="1" x="2952"/>
        <item sd="0" m="1" x="3893"/>
        <item sd="0" m="1" x="4839"/>
        <item sd="0" m="1" x="369"/>
        <item sd="0" m="1" x="675"/>
        <item sd="0" m="1" x="3512"/>
        <item sd="0" m="1" x="4476"/>
        <item sd="0" m="1" x="5402"/>
        <item sd="0" m="1" x="6212"/>
        <item sd="0" m="1" x="1204"/>
        <item sd="0" m="1" x="1843"/>
        <item sd="0" m="1" x="5450"/>
        <item sd="0" m="1" x="6275"/>
        <item sd="0" m="1" x="5036"/>
        <item sd="0" m="1" x="402"/>
        <item sd="0" m="1" x="739"/>
        <item sd="0" m="1" x="1228"/>
        <item sd="0" m="1" x="1904"/>
        <item sd="0" m="1" x="6334"/>
        <item sd="0" m="1" x="1285"/>
        <item sd="0" m="1" x="1948"/>
        <item sd="0" m="1" x="2799"/>
        <item sd="0" m="1" x="3755"/>
        <item sd="0" m="1" x="7447"/>
        <item sd="0" m="1" x="2884"/>
        <item sd="0" m="1" x="3823"/>
        <item sd="0" m="1" x="4778"/>
        <item sd="0" m="1" x="174"/>
        <item sd="0" m="1" x="333"/>
        <item sd="0" m="1" x="630"/>
        <item sd="0" m="1" x="1080"/>
        <item sd="0" m="1" x="4409"/>
        <item sd="0" m="1" x="5335"/>
        <item sd="0" m="1" x="6150"/>
        <item sd="0" m="1" x="676"/>
        <item sd="0" m="1" x="1130"/>
        <item sd="0" m="1" x="1758"/>
        <item sd="0" m="1" x="2580"/>
        <item sd="0" m="1" x="6213"/>
        <item sd="0" m="1" x="6842"/>
        <item sd="0" m="1" x="7333"/>
        <item sd="0" m="1" x="1844"/>
        <item sd="0" m="1" x="2649"/>
        <item sd="0" m="1" x="3570"/>
        <item sd="0" m="1" x="4533"/>
        <item sd="0" m="1" x="147"/>
        <item sd="0" m="1" x="277"/>
        <item sd="0" m="1" x="3191"/>
        <item sd="0" m="1" x="4169"/>
        <item sd="0" m="1" x="5101"/>
        <item sd="0" m="1" x="5950"/>
        <item sd="0" m="1" x="583"/>
        <item sd="0" m="1" x="990"/>
        <item sd="0" m="1" x="5141"/>
        <item sd="0" m="1" x="6006"/>
        <item sd="0" m="1" x="6687"/>
        <item sd="0" m="1" x="7205"/>
        <item sd="0" m="1" x="1643"/>
        <item sd="0" m="1" x="2391"/>
        <item sd="0" m="1" x="118"/>
        <item sd="0" m="1" x="2075"/>
        <item sd="0" m="1" x="2961"/>
        <item sd="0" m="1" x="3909"/>
        <item sd="0" m="1" x="488"/>
        <item sd="0" m="1" x="3963"/>
        <item sd="0" m="1" x="4915"/>
        <item sd="0" m="1" x="5795"/>
        <item sd="0" m="1" x="1456"/>
        <item sd="0" m="1" x="2002"/>
        <item sd="0" m="1" x="2835"/>
        <item sd="0" m="1" x="3795"/>
        <item sd="0" m="1" x="7483"/>
        <item sd="0" m="1" x="3858"/>
        <item sd="0" m="1" x="4813"/>
        <item sd="0" m="1" x="5701"/>
        <item sd="0" m="1" x="7302"/>
        <item sd="0" m="1" x="7682"/>
        <item sd="0" m="1" x="7897"/>
        <item sd="0" m="1" x="3418"/>
        <item sd="0" m="1" x="4363"/>
        <item sd="0" m="1" x="5285"/>
        <item sd="0" m="1" x="514"/>
        <item sd="0" m="1" x="4002"/>
        <item sd="0" m="1" x="4954"/>
        <item sd="0" m="1" x="5845"/>
        <item sd="0" m="1" x="6552"/>
        <item sd="0" m="1" x="1504"/>
        <item sd="0" m="1" x="5892"/>
        <item sd="0" m="1" x="6630"/>
        <item sd="0" m="1" x="7174"/>
        <item sd="0" m="1" x="7575"/>
        <item sd="0" m="1" x="3159"/>
        <item sd="0" m="1" x="2773"/>
        <item sd="0" m="1" x="3731"/>
        <item sd="0" m="1" x="4698"/>
        <item sd="0" m="1" x="4750"/>
        <item sd="0" m="1" x="5658"/>
        <item sd="0" m="1" x="6435"/>
        <item sd="0" m="1" x="1114"/>
        <item sd="0" m="1" x="1734"/>
        <item sd="0" m="1" x="2561"/>
        <item sd="0" m="1" x="3481"/>
        <item sd="0" m="1" x="2617"/>
        <item sd="0" m="1" x="3545"/>
        <item sd="0" m="1" x="4515"/>
        <item sd="0" m="1" x="5426"/>
        <item sd="0" m="1" x="4570"/>
        <item sd="0" m="1" x="5475"/>
        <item sd="0" m="1" x="559"/>
        <item sd="0" m="1" x="968"/>
        <item sd="0" m="1" x="1545"/>
        <item sd="0" m="1" x="2296"/>
        <item sd="0" m="1" x="5989"/>
        <item sd="0" m="1" x="6662"/>
        <item sd="0" m="1" x="1589"/>
        <item sd="0" m="1" x="2353"/>
        <item sd="0" m="1" x="3255"/>
        <item sd="0" m="1" x="4234"/>
        <item sd="0" m="1" x="7240"/>
        <item sd="0" m="1" x="7628"/>
        <item sd="0" m="1" x="3331"/>
        <item sd="0" m="1" x="4304"/>
        <item sd="0" m="1" x="5234"/>
        <item sd="0" m="1" x="252"/>
        <item sd="0" m="1" x="465"/>
        <item sd="0" m="1" x="836"/>
        <item sd="0" m="1" x="4889"/>
        <item sd="0" m="1" x="5770"/>
        <item sd="0" m="1" x="6504"/>
        <item sd="0" m="1" x="887"/>
        <item sd="0" m="1" x="1420"/>
        <item sd="0" m="1" x="2143"/>
        <item sd="0" m="1" x="6182"/>
        <item sd="0" m="1" x="1805"/>
        <item sd="0" m="1" x="1644"/>
        <item sd="0" m="1" x="2392"/>
        <item sd="0" m="1" x="3288"/>
        <item sd="0" m="1" x="4259"/>
        <item sd="0" m="1" x="7277"/>
        <item sd="0" m="1" x="7651"/>
        <item sd="0" m="1" x="3375"/>
        <item sd="0" m="1" x="4334"/>
        <item sd="0" m="1" x="5266"/>
        <item sd="0" m="1" x="6100"/>
        <item sd="0" m="1" x="7927"/>
        <item sd="0" m="1" x="56"/>
        <item sd="0" m="1" x="5325"/>
        <item sd="0" m="1" x="6140"/>
        <item sd="0" m="1" x="6797"/>
        <item sd="0" m="1" x="921"/>
        <item sd="0" m="1" x="1457"/>
        <item sd="0" m="1" x="2179"/>
        <item sd="0" m="1" x="6596"/>
        <item sd="0" m="1" x="7141"/>
        <item sd="0" m="1" x="7556"/>
        <item sd="0" m="1" x="2260"/>
        <item sd="0" m="1" x="3126"/>
        <item sd="0" m="1" x="4097"/>
        <item sd="0" m="1" x="7605"/>
        <item sd="0" m="1" x="7870"/>
        <item sd="0" m="1" x="37"/>
        <item sd="0" m="1" x="4155"/>
        <item sd="0" m="1" x="5087"/>
        <item sd="0" m="1" x="5936"/>
        <item sd="0" m="1" x="803"/>
        <item sd="0" m="1" x="1286"/>
        <item sd="0" m="1" x="5623"/>
        <item sd="0" m="1" x="6404"/>
        <item sd="0" m="1" x="6997"/>
        <item sd="0" m="1" x="2045"/>
        <item sd="0" m="1" x="2885"/>
        <item sd="0" m="1" x="7051"/>
        <item sd="0" m="1" x="7512"/>
        <item sd="0" m="1" x="7811"/>
        <item sd="0" m="1" x="3894"/>
        <item sd="0" m="1" x="4840"/>
        <item sd="0" m="1" x="677"/>
        <item sd="0" m="1" x="3513"/>
        <item sd="0" m="1" x="4477"/>
        <item sd="0" m="1" x="5403"/>
        <item sd="0" m="1" x="6214"/>
        <item sd="0" m="1" x="1845"/>
        <item sd="0" m="1" x="5451"/>
        <item sd="0" m="1" x="6276"/>
        <item sd="0" m="1" x="6915"/>
        <item sd="0" m="1" x="7395"/>
        <item sd="0" m="1" x="3635"/>
        <item sd="0" m="1" x="2320"/>
        <item sd="0" m="1" x="3222"/>
        <item sd="0" m="1" x="4207"/>
        <item sd="0" m="1" x="5142"/>
        <item sd="0" m="1" x="4260"/>
        <item sd="0" m="1" x="5209"/>
        <item sd="0" m="1" x="6072"/>
        <item sd="0" m="1" x="6752"/>
        <item sd="0" m="1" x="7448"/>
        <item sd="0" m="1" x="7779"/>
        <item sd="0" m="1" x="2886"/>
        <item sd="0" m="1" x="3824"/>
        <item sd="0" m="1" x="4779"/>
        <item sd="0" m="1" x="5675"/>
        <item sd="0" m="1" x="334"/>
        <item sd="0" m="1" x="631"/>
        <item sd="0" m="1" x="1081"/>
        <item sd="0" m="1" x="4410"/>
        <item sd="0" m="1" x="5336"/>
        <item sd="0" m="1" x="6151"/>
        <item sd="0" m="1" x="6807"/>
        <item sd="0" m="1" x="1131"/>
        <item sd="0" m="1" x="1759"/>
        <item sd="0" m="1" x="2581"/>
        <item sd="0" m="1" x="6215"/>
        <item sd="0" m="1" x="6843"/>
        <item sd="0" m="1" x="7334"/>
        <item sd="0" m="1" x="7704"/>
        <item sd="0" m="1" x="2650"/>
        <item sd="0" m="1" x="3571"/>
        <item sd="0" m="1" x="4534"/>
        <item sd="0" m="1" x="278"/>
        <item sd="0" m="1" x="3192"/>
        <item sd="0" m="1" x="4170"/>
        <item sd="0" m="1" x="5102"/>
        <item sd="0" m="1" x="5951"/>
        <item sd="0" m="1" x="991"/>
        <item sd="0" m="1" x="5143"/>
        <item sd="0" m="1" x="6007"/>
        <item sd="0" m="1" x="6688"/>
        <item sd="0" m="1" x="7206"/>
        <item sd="0" m="1" x="2393"/>
        <item sd="0" m="1" x="922"/>
        <item sd="0" m="1" x="1458"/>
        <item sd="0" m="1" x="2180"/>
        <item sd="0" m="1" x="6597"/>
        <item sd="0" m="1" x="7142"/>
        <item sd="0" m="1" x="2261"/>
        <item sd="0" m="1" x="3127"/>
        <item sd="0" m="1" x="4098"/>
        <item sd="0" m="1" x="7606"/>
        <item sd="0" m="1" x="7871"/>
        <item sd="0" m="1" x="4156"/>
        <item sd="0" m="1" x="5088"/>
        <item sd="0" m="1" x="5937"/>
        <item sd="0" m="1" x="441"/>
        <item sd="0" m="1" x="804"/>
        <item sd="0" m="1" x="1287"/>
        <item sd="0" m="1" x="5624"/>
        <item sd="0" m="1" x="6405"/>
        <item sd="0" m="1" x="6998"/>
        <item sd="0" m="1" x="1347"/>
        <item sd="0" m="1" x="2046"/>
        <item sd="0" m="1" x="2887"/>
        <item sd="0" m="1" x="7052"/>
        <item sd="0" m="1" x="7513"/>
        <item sd="0" m="1" x="7812"/>
        <item sd="0" m="1" x="2953"/>
        <item sd="0" m="1" x="3895"/>
        <item sd="0" m="1" x="4841"/>
        <item sd="0" m="1" x="370"/>
        <item sd="0" m="1" x="678"/>
        <item sd="0" m="1" x="3514"/>
        <item sd="0" m="1" x="4478"/>
        <item sd="0" m="1" x="5404"/>
        <item sd="0" m="1" x="6216"/>
        <item sd="0" m="1" x="1205"/>
        <item sd="0" m="1" x="1846"/>
        <item sd="0" m="1" x="5452"/>
        <item sd="0" m="1" x="6277"/>
        <item sd="0" m="1" x="5037"/>
        <item sd="0" m="1" x="403"/>
        <item sd="0" m="1" x="740"/>
        <item sd="0" m="1" x="1229"/>
        <item sd="0" m="1" x="1905"/>
        <item sd="0" m="1" x="6335"/>
        <item sd="0" m="1" x="1288"/>
        <item sd="0" m="1" x="1949"/>
        <item sd="0" m="1" x="2800"/>
        <item sd="0" m="1" x="3756"/>
        <item sd="0" m="1" x="7449"/>
        <item sd="0" m="1" x="2888"/>
        <item sd="0" m="1" x="3825"/>
        <item sd="0" m="1" x="4780"/>
        <item sd="0" m="1" x="175"/>
        <item sd="0" m="1" x="335"/>
        <item sd="0" m="1" x="632"/>
        <item sd="0" m="1" x="1082"/>
        <item sd="0" m="1" x="4411"/>
        <item sd="0" m="1" x="5337"/>
        <item sd="0" m="1" x="6152"/>
        <item sd="0" m="1" x="679"/>
        <item sd="0" m="1" x="1132"/>
        <item sd="0" m="1" x="1760"/>
        <item sd="0" m="1" x="2582"/>
        <item sd="0" m="1" x="6217"/>
        <item sd="0" m="1" x="6844"/>
        <item sd="0" m="1" x="7335"/>
        <item sd="0" m="1" x="1847"/>
        <item sd="0" m="1" x="2651"/>
        <item sd="0" m="1" x="3572"/>
        <item sd="0" m="1" x="4535"/>
        <item sd="0" m="1" x="148"/>
        <item sd="0" m="1" x="279"/>
        <item sd="0" m="1" x="3193"/>
        <item sd="0" m="1" x="4171"/>
        <item sd="0" m="1" x="5103"/>
        <item sd="0" m="1" x="5952"/>
        <item sd="0" m="1" x="584"/>
        <item sd="0" m="1" x="992"/>
        <item sd="0" m="1" x="5144"/>
        <item sd="0" m="1" x="6008"/>
        <item sd="0" m="1" x="6689"/>
        <item sd="0" m="1" x="7207"/>
        <item sd="0" m="1" x="1645"/>
        <item sd="0" m="1" x="2394"/>
        <item sd="0" m="1" x="119"/>
        <item sd="0" m="1" x="2076"/>
        <item sd="0" m="1" x="2962"/>
        <item sd="0" m="1" x="3910"/>
        <item sd="0" m="1" x="489"/>
        <item sd="0" m="1" x="3964"/>
        <item sd="0" m="1" x="4916"/>
        <item sd="0" m="1" x="5796"/>
        <item sd="0" m="1" x="1459"/>
        <item sd="0" m="1" x="2003"/>
        <item sd="0" m="1" x="2836"/>
        <item sd="0" m="1" x="3796"/>
        <item sd="0" m="1" x="7484"/>
        <item sd="0" m="1" x="3859"/>
        <item sd="0" m="1" x="4814"/>
        <item sd="0" m="1" x="5702"/>
        <item sd="0" m="1" x="7303"/>
        <item sd="0" m="1" x="7683"/>
        <item sd="0" m="1" x="7898"/>
        <item sd="0" m="1" x="3419"/>
        <item sd="0" m="1" x="4364"/>
        <item sd="0" m="1" x="5286"/>
        <item sd="0" m="1" x="515"/>
        <item sd="0" m="1" x="4003"/>
        <item sd="0" m="1" x="4955"/>
        <item sd="0" m="1" x="5846"/>
        <item sd="0" m="1" x="6553"/>
        <item sd="0" m="1" x="1505"/>
        <item sd="0" m="1" x="5893"/>
        <item sd="0" m="1" x="6631"/>
        <item sd="0" m="1" x="7175"/>
        <item sd="0" m="1" x="7576"/>
        <item sd="0" m="1" x="3160"/>
        <item sd="0" m="1" x="2774"/>
        <item sd="0" m="1" x="3732"/>
        <item sd="0" m="1" x="4699"/>
        <item sd="0" m="1" x="4751"/>
        <item sd="0" m="1" x="5659"/>
        <item sd="0" m="1" x="6436"/>
        <item sd="0" m="1" x="1115"/>
        <item sd="0" m="1" x="1735"/>
        <item sd="0" m="1" x="2562"/>
        <item sd="0" m="1" x="3482"/>
        <item sd="0" m="1" x="2618"/>
        <item sd="0" m="1" x="3546"/>
        <item sd="0" m="1" x="4516"/>
        <item sd="0" m="1" x="5427"/>
        <item sd="0" m="1" x="4571"/>
        <item sd="0" m="1" x="5476"/>
        <item sd="0" m="1" x="560"/>
        <item sd="0" m="1" x="969"/>
        <item sd="0" m="1" x="1546"/>
        <item sd="0" m="1" x="2297"/>
        <item sd="0" m="1" x="5990"/>
        <item sd="0" m="1" x="6663"/>
        <item sd="0" m="1" x="1590"/>
        <item sd="0" m="1" x="2354"/>
        <item sd="0" m="1" x="3256"/>
        <item sd="0" m="1" x="4235"/>
        <item sd="0" m="1" x="7241"/>
        <item sd="0" m="1" x="7629"/>
        <item sd="0" m="1" x="3332"/>
        <item sd="0" m="1" x="4305"/>
        <item sd="0" m="1" x="5235"/>
        <item sd="0" m="1" x="253"/>
        <item sd="0" m="1" x="466"/>
        <item sd="0" m="1" x="837"/>
        <item sd="0" m="1" x="4890"/>
        <item sd="0" m="1" x="5771"/>
        <item sd="0" m="1" x="6505"/>
        <item sd="0" m="1" x="888"/>
        <item sd="0" m="1" x="1421"/>
        <item sd="0" m="1" x="2144"/>
        <item sd="0" m="1" x="6183"/>
        <item sd="0" m="1" x="1806"/>
        <item sd="0" m="1" x="1646"/>
        <item sd="0" m="1" x="2395"/>
        <item sd="0" m="1" x="3289"/>
        <item sd="0" m="1" x="4261"/>
        <item sd="0" m="1" x="7278"/>
        <item sd="0" m="1" x="7652"/>
        <item sd="0" m="1" x="3376"/>
        <item sd="0" m="1" x="4335"/>
        <item sd="0" m="1" x="5267"/>
        <item sd="0" m="1" x="6101"/>
        <item sd="0" m="1" x="7928"/>
        <item sd="0" m="1" x="57"/>
        <item sd="0" m="1" x="5326"/>
        <item sd="0" m="1" x="6141"/>
        <item sd="0" m="1" x="6798"/>
        <item sd="0" m="1" x="923"/>
        <item sd="0" m="1" x="1460"/>
        <item sd="0" m="1" x="2181"/>
        <item sd="0" m="1" x="6598"/>
        <item sd="0" m="1" x="7143"/>
        <item sd="0" m="1" x="7557"/>
        <item sd="0" m="1" x="2262"/>
        <item sd="0" m="1" x="3128"/>
        <item sd="0" m="1" x="4099"/>
        <item sd="0" m="1" x="7607"/>
        <item sd="0" m="1" x="7872"/>
        <item sd="0" m="1" x="38"/>
        <item sd="0" m="1" x="4157"/>
        <item sd="0" m="1" x="5089"/>
        <item sd="0" m="1" x="5938"/>
        <item sd="0" m="1" x="805"/>
        <item sd="0" m="1" x="1289"/>
        <item sd="0" m="1" x="5625"/>
        <item sd="0" m="1" x="6406"/>
        <item sd="0" m="1" x="6999"/>
        <item sd="0" m="1" x="2047"/>
        <item sd="0" m="1" x="2889"/>
        <item sd="0" m="1" x="7053"/>
        <item sd="0" m="1" x="7514"/>
        <item sd="0" m="1" x="7813"/>
        <item sd="0" m="1" x="3896"/>
        <item sd="0" m="1" x="4842"/>
        <item sd="0" m="1" x="680"/>
        <item sd="0" m="1" x="3515"/>
        <item sd="0" m="1" x="4479"/>
        <item sd="0" m="1" x="5405"/>
        <item sd="0" m="1" x="6218"/>
        <item sd="0" m="1" x="1848"/>
        <item sd="0" m="1" x="5453"/>
        <item sd="0" m="1" x="6278"/>
        <item sd="0" m="1" x="6916"/>
        <item sd="0" m="1" x="7396"/>
        <item sd="0" m="1" x="3636"/>
        <item sd="0" m="1" x="2321"/>
        <item sd="0" m="1" x="3223"/>
        <item sd="0" m="1" x="4208"/>
        <item sd="0" m="1" x="5145"/>
        <item sd="0" m="1" x="4262"/>
        <item sd="0" m="1" x="5210"/>
        <item sd="0" m="1" x="6073"/>
        <item sd="0" m="1" x="6753"/>
        <item sd="0" m="1" x="7450"/>
        <item sd="0" m="1" x="7780"/>
        <item sd="0" m="1" x="2890"/>
        <item sd="0" m="1" x="3826"/>
        <item sd="0" m="1" x="4781"/>
        <item sd="0" m="1" x="5676"/>
        <item sd="0" m="1" x="336"/>
        <item sd="0" m="1" x="633"/>
        <item sd="0" m="1" x="1083"/>
        <item sd="0" m="1" x="4412"/>
        <item sd="0" m="1" x="5338"/>
        <item sd="0" m="1" x="6153"/>
        <item sd="0" m="1" x="6808"/>
        <item sd="0" m="1" x="1133"/>
        <item sd="0" m="1" x="1761"/>
        <item sd="0" m="1" x="2583"/>
        <item sd="0" m="1" x="6219"/>
        <item sd="0" m="1" x="6845"/>
        <item sd="0" m="1" x="7336"/>
        <item sd="0" m="1" x="7705"/>
        <item sd="0" m="1" x="2652"/>
        <item sd="0" m="1" x="3573"/>
        <item sd="0" m="1" x="4536"/>
        <item sd="0" m="1" x="280"/>
        <item sd="0" m="1" x="3194"/>
        <item sd="0" m="1" x="4172"/>
        <item sd="0" m="1" x="5104"/>
        <item sd="0" m="1" x="5953"/>
        <item sd="0" m="1" x="993"/>
        <item sd="0" m="1" x="5146"/>
        <item sd="0" m="1" x="6009"/>
        <item sd="0" m="1" x="6690"/>
        <item sd="0" m="1" x="7208"/>
        <item sd="0" m="1" x="2396"/>
        <item sd="0" m="1" x="2077"/>
        <item sd="0" m="1" x="2963"/>
        <item sd="0" m="1" x="3911"/>
        <item sd="0" m="1" x="3965"/>
        <item sd="0" m="1" x="4917"/>
        <item sd="0" m="1" x="5797"/>
        <item sd="0" m="1" x="2004"/>
        <item sd="0" m="1" x="2837"/>
        <item sd="0" m="1" x="3797"/>
        <item sd="0" m="1" x="7485"/>
        <item sd="0" m="1" x="7792"/>
        <item sd="0" m="1" x="3860"/>
        <item sd="0" m="1" x="4815"/>
        <item sd="0" m="1" x="5703"/>
        <item sd="0" m="1" x="7987"/>
        <item sd="0" m="1" x="80"/>
        <item sd="0" m="1" x="5752"/>
        <item sd="0" m="1" x="6489"/>
        <item sd="0" m="1" x="7071"/>
        <item sd="0" m="1" x="1177"/>
        <item sd="0" m="1" x="1807"/>
        <item sd="0" m="1" x="2619"/>
        <item sd="0" m="1" x="6886"/>
        <item sd="0" m="1" x="7369"/>
        <item sd="0" m="1" x="7725"/>
        <item sd="0" m="1" x="2690"/>
        <item sd="0" m="1" x="3615"/>
        <item sd="0" m="1" x="4572"/>
        <item sd="0" m="1" x="7054"/>
        <item sd="0" m="1" x="7515"/>
        <item sd="0" m="1" x="7814"/>
        <item sd="0" m="1" x="2954"/>
        <item sd="0" m="1" x="3897"/>
        <item sd="0" m="1" x="4843"/>
        <item sd="0" m="1" x="371"/>
        <item sd="0" m="1" x="681"/>
        <item sd="0" m="1" x="3516"/>
        <item sd="0" m="1" x="4480"/>
        <item sd="0" m="1" x="5406"/>
        <item sd="0" m="1" x="6220"/>
        <item sd="0" m="1" x="1206"/>
        <item sd="0" m="1" x="1849"/>
        <item sd="0" m="1" x="5454"/>
        <item sd="0" m="1" x="6279"/>
        <item sd="0" m="1" x="6917"/>
        <item sd="0" m="1" x="7397"/>
        <item sd="0" m="1" x="2718"/>
        <item sd="0" m="1" x="3637"/>
        <item sd="0" m="1" x="2322"/>
        <item sd="0" m="1" x="3224"/>
        <item sd="0" m="1" x="4209"/>
        <item sd="0" m="1" x="5147"/>
        <item sd="0" m="1" x="4263"/>
        <item sd="0" m="1" x="5211"/>
        <item sd="0" m="1" x="6074"/>
        <item sd="0" m="1" x="6754"/>
        <item sd="0" m="1" x="1385"/>
        <item sd="0" m="1" x="2113"/>
        <item sd="0" m="1" x="2999"/>
        <item sd="0" m="1" x="3057"/>
        <item sd="0" m="1" x="4032"/>
        <item sd="0" m="1" x="4982"/>
        <item sd="0" m="1" x="5038"/>
        <item sd="0" m="1" x="404"/>
        <item sd="0" m="1" x="741"/>
        <item sd="0" m="1" x="1230"/>
        <item sd="0" m="1" x="1906"/>
        <item sd="0" m="1" x="6336"/>
        <item sd="0" m="1" x="1290"/>
        <item sd="0" m="1" x="1950"/>
        <item sd="0" m="1" x="2801"/>
        <item sd="0" m="1" x="3757"/>
        <item sd="0" m="1" x="7451"/>
        <item sd="0" m="1" x="2891"/>
        <item sd="0" m="1" x="3827"/>
        <item sd="0" m="1" x="4782"/>
        <item sd="0" m="1" x="176"/>
        <item sd="0" m="1" x="337"/>
        <item sd="0" m="1" x="634"/>
        <item sd="0" m="1" x="1084"/>
        <item sd="0" m="1" x="4413"/>
        <item sd="0" m="1" x="5339"/>
        <item sd="0" m="1" x="6154"/>
        <item sd="0" m="1" x="682"/>
        <item sd="0" m="1" x="1134"/>
        <item sd="0" m="1" x="1762"/>
        <item sd="0" m="1" x="2584"/>
        <item sd="0" m="1" x="5798"/>
        <item sd="0" m="1" x="1461"/>
        <item sd="0" m="1" x="2005"/>
        <item sd="0" m="1" x="2838"/>
        <item sd="0" m="1" x="3798"/>
        <item sd="0" m="1" x="7486"/>
        <item sd="0" m="1" x="3861"/>
        <item sd="0" m="1" x="4816"/>
        <item sd="0" m="1" x="5704"/>
        <item sd="0" m="1" x="7988"/>
        <item sd="0" m="1" x="5753"/>
        <item sd="0" m="1" x="6490"/>
        <item sd="0" m="1" x="717"/>
        <item sd="0" m="1" x="1178"/>
        <item sd="0" m="1" x="1808"/>
        <item sd="0" m="1" x="2620"/>
        <item sd="0" m="1" x="6887"/>
        <item sd="0" m="1" x="7370"/>
        <item sd="0" m="1" x="1884"/>
        <item sd="0" m="1" x="2691"/>
        <item sd="0" m="1" x="3616"/>
        <item sd="0" m="1" x="4573"/>
        <item sd="0" m="1" x="7758"/>
        <item sd="0" m="1" x="7953"/>
        <item sd="0" m="1" x="3687"/>
        <item sd="0" m="1" x="4631"/>
        <item sd="0" m="1" x="5524"/>
        <item sd="0" m="1" x="6300"/>
        <item sd="0" m="1" x="610"/>
        <item sd="0" m="1" x="1042"/>
        <item sd="0" m="1" x="1591"/>
        <item sd="0" m="1" x="5191"/>
        <item sd="0" m="1" x="6045"/>
        <item sd="0" m="1" x="6730"/>
        <item sd="0" m="1" x="7242"/>
        <item sd="0" m="1" x="1678"/>
        <item sd="0" m="1" x="2458"/>
        <item sd="0" m="1" x="3333"/>
        <item sd="0" m="1" x="6784"/>
        <item sd="0" m="1" x="7304"/>
        <item sd="0" m="1" x="7684"/>
        <item sd="0" m="1" x="7899"/>
        <item sd="0" m="1" x="3420"/>
        <item sd="0" m="1" x="4365"/>
        <item sd="0" m="1" x="5287"/>
        <item sd="0" m="1" x="516"/>
        <item sd="0" m="1" x="4004"/>
        <item sd="0" m="1" x="4956"/>
        <item sd="0" m="1" x="5847"/>
        <item sd="0" m="1" x="6554"/>
        <item sd="0" m="1" x="1506"/>
        <item sd="0" m="1" x="5894"/>
        <item sd="0" m="1" x="6632"/>
        <item sd="0" m="1" x="7176"/>
        <item sd="0" m="1" x="7577"/>
        <item sd="0" m="1" x="3161"/>
        <item sd="0" m="1" x="2775"/>
        <item sd="0" m="1" x="3733"/>
        <item sd="0" m="1" x="4700"/>
        <item sd="0" m="1" x="4752"/>
        <item sd="0" m="1" x="5660"/>
        <item sd="0" m="1" x="6437"/>
        <item sd="0" m="1" x="7243"/>
        <item sd="0" m="1" x="7630"/>
        <item sd="0" m="1" x="3334"/>
        <item sd="0" m="1" x="4306"/>
        <item sd="0" m="1" x="5236"/>
        <item sd="0" m="1" x="254"/>
        <item sd="0" m="1" x="467"/>
        <item sd="0" m="1" x="838"/>
        <item sd="0" m="1" x="4891"/>
        <item sd="0" m="1" x="5772"/>
        <item sd="0" m="1" x="6506"/>
        <item sd="0" m="1" x="889"/>
        <item sd="0" m="1" x="1422"/>
        <item sd="0" m="1" x="2145"/>
        <item sd="0" m="1" x="6555"/>
        <item sd="0" m="1" x="7112"/>
        <item sd="0" m="1" x="7536"/>
        <item sd="0" m="1" x="2226"/>
        <item sd="0" m="1" x="3098"/>
        <item sd="0" m="1" x="4064"/>
        <item sd="0" m="1" x="216"/>
        <item sd="0" m="1" x="380"/>
        <item sd="0" m="1" x="3695"/>
        <item sd="0" m="1" x="4643"/>
        <item sd="0" m="1" x="5536"/>
        <item sd="0" m="1" x="780"/>
        <item sd="0" m="1" x="1254"/>
        <item sd="0" m="1" x="5591"/>
        <item sd="0" m="1" x="6375"/>
        <item sd="0" m="1" x="6965"/>
        <item sd="0" m="1" x="2006"/>
        <item sd="0" m="1" x="2839"/>
        <item sd="0" m="1" x="157"/>
        <item sd="0" m="1" x="1709"/>
        <item sd="0" m="1" x="2509"/>
        <item sd="0" m="1" x="3441"/>
        <item sd="0" m="1" x="4373"/>
        <item sd="0" m="1" x="656"/>
        <item sd="0" m="1" x="3483"/>
        <item sd="0" m="1" x="4447"/>
        <item sd="0" m="1" x="5375"/>
        <item sd="0" m="1" x="6184"/>
        <item sd="0" m="1" x="1809"/>
        <item sd="0" m="1" x="1647"/>
        <item sd="0" m="1" x="2397"/>
        <item sd="0" m="1" x="3290"/>
        <item sd="0" m="1" x="4264"/>
        <item sd="0" m="1" x="7279"/>
        <item sd="0" m="1" x="7653"/>
        <item sd="0" m="1" x="3377"/>
        <item sd="0" m="1" x="4336"/>
        <item sd="0" m="1" x="5268"/>
        <item sd="0" m="1" x="6102"/>
        <item sd="0" m="1" x="7929"/>
        <item sd="0" m="1" x="58"/>
        <item sd="0" m="1" x="5327"/>
        <item sd="0" m="1" x="6142"/>
        <item sd="0" m="1" x="6799"/>
        <item sd="0" m="1" x="924"/>
        <item sd="0" m="1" x="1462"/>
        <item sd="0" m="1" x="2182"/>
        <item sd="0" m="1" x="6599"/>
        <item sd="0" m="1" x="7144"/>
        <item sd="0" m="1" x="7558"/>
        <item sd="0" m="1" x="2263"/>
        <item sd="0" m="1" x="3129"/>
        <item sd="0" m="1" x="4100"/>
        <item sd="0" m="1" x="7398"/>
        <item sd="0" m="1" x="3638"/>
        <item sd="0" m="1" x="2323"/>
        <item sd="0" m="1" x="3225"/>
        <item sd="0" m="1" x="4210"/>
        <item sd="0" m="1" x="5148"/>
        <item sd="0" m="1" x="4265"/>
        <item sd="0" m="1" x="5212"/>
        <item sd="0" m="1" x="6075"/>
        <item sd="0" m="1" x="6755"/>
        <item sd="0" m="1" x="6103"/>
        <item sd="0" m="1" x="1386"/>
        <item sd="0" m="1" x="2114"/>
        <item sd="0" m="1" x="3000"/>
        <item sd="0" m="1" x="7086"/>
        <item sd="0" m="1" x="3058"/>
        <item sd="0" m="1" x="4033"/>
        <item sd="0" m="1" x="4983"/>
        <item sd="0" m="1" x="7845"/>
        <item sd="0" m="1" x="5039"/>
        <item sd="0" m="1" x="5911"/>
        <item sd="0" m="1" x="405"/>
        <item sd="0" m="1" x="742"/>
        <item sd="0" m="1" x="1231"/>
        <item sd="0" m="1" x="1907"/>
        <item sd="0" m="1" x="6337"/>
        <item sd="0" m="1" x="6938"/>
        <item sd="0" m="1" x="1291"/>
        <item sd="0" m="1" x="1951"/>
        <item sd="0" m="1" x="2802"/>
        <item sd="0" m="1" x="3758"/>
        <item sd="0" m="1" x="7452"/>
        <item sd="0" m="1" x="7781"/>
        <item sd="0" m="1" x="2892"/>
        <item sd="0" m="1" x="3828"/>
        <item sd="0" m="1" x="4783"/>
        <item sd="0" m="1" x="5677"/>
        <item sd="0" m="1" x="338"/>
        <item sd="0" m="1" x="635"/>
        <item sd="0" m="1" x="1085"/>
        <item sd="0" m="1" x="4414"/>
        <item sd="0" m="1" x="5340"/>
        <item sd="0" m="1" x="6155"/>
        <item sd="0" m="1" x="6809"/>
        <item sd="0" m="1" x="1135"/>
        <item sd="0" m="1" x="1763"/>
        <item sd="0" m="1" x="2585"/>
        <item sd="0" m="1" x="6221"/>
        <item sd="0" m="1" x="6846"/>
        <item sd="0" m="1" x="7337"/>
        <item sd="0" m="1" x="7706"/>
        <item sd="0" m="1" x="2653"/>
        <item sd="0" m="1" x="3574"/>
        <item sd="0" m="1" x="4537"/>
        <item sd="0" m="1" x="281"/>
        <item sd="0" m="1" x="3195"/>
        <item sd="0" m="1" x="4173"/>
        <item sd="0" m="1" x="5105"/>
        <item sd="0" m="1" x="5954"/>
        <item sd="0" m="1" x="994"/>
        <item sd="0" m="1" x="5149"/>
        <item sd="0" m="1" x="6010"/>
        <item sd="0" m="1" x="7989"/>
        <item sd="0" m="1" x="81"/>
        <item sd="0" m="1" x="5754"/>
        <item sd="0" m="1" x="6491"/>
        <item sd="0" m="1" x="7072"/>
        <item sd="0" m="1" x="925"/>
        <item sd="0" m="1" x="1463"/>
        <item sd="0" m="1" x="2183"/>
        <item sd="0" m="1" x="6600"/>
        <item sd="0" m="1" x="7145"/>
        <item sd="0" m="1" x="2264"/>
        <item sd="0" m="1" x="3130"/>
        <item sd="0" m="1" x="4101"/>
        <item sd="0" m="1" x="7608"/>
        <item sd="0" m="1" x="7873"/>
        <item sd="0" m="1" x="4158"/>
        <item sd="0" m="1" x="5090"/>
        <item sd="0" m="1" x="5939"/>
        <item sd="0" m="1" x="442"/>
        <item sd="0" m="1" x="806"/>
        <item sd="0" m="1" x="1292"/>
        <item sd="0" m="1" x="5626"/>
        <item sd="0" m="1" x="6407"/>
        <item sd="0" m="1" x="7000"/>
        <item sd="0" m="1" x="1348"/>
        <item sd="0" m="1" x="2048"/>
        <item sd="0" m="1" x="2893"/>
        <item sd="0" m="1" x="7055"/>
        <item sd="0" m="1" x="7516"/>
        <item sd="0" m="1" x="7815"/>
        <item sd="0" m="1" x="2955"/>
        <item sd="0" m="1" x="3898"/>
        <item sd="0" m="1" x="4844"/>
        <item sd="0" m="1" x="372"/>
        <item sd="0" m="1" x="683"/>
        <item sd="0" m="1" x="3517"/>
        <item sd="0" m="1" x="4481"/>
        <item sd="0" m="1" x="5407"/>
        <item sd="0" m="1" x="6222"/>
        <item sd="0" m="1" x="1207"/>
        <item sd="0" m="1" x="1850"/>
        <item sd="0" m="1" x="5455"/>
        <item sd="0" m="1" x="6280"/>
        <item sd="0" m="1" x="6918"/>
        <item sd="0" m="1" x="7399"/>
        <item sd="0" m="1" x="2719"/>
        <item sd="0" m="1" x="3639"/>
        <item sd="0" m="1" x="2324"/>
        <item sd="0" m="1" x="3226"/>
        <item sd="0" m="1" x="4211"/>
        <item sd="0" m="1" x="5150"/>
        <item sd="0" m="1" x="4266"/>
        <item sd="0" m="1" x="5213"/>
        <item sd="0" m="1" x="6076"/>
        <item sd="0" m="1" x="6756"/>
        <item sd="0" m="1" x="1387"/>
        <item sd="0" m="1" x="2115"/>
        <item sd="0" m="1" x="3001"/>
        <item sd="0" m="1" x="3059"/>
        <item sd="0" m="1" x="4034"/>
        <item sd="0" m="1" x="4984"/>
        <item sd="0" m="1" x="6223"/>
        <item sd="0" m="1" x="6847"/>
        <item sd="0" m="1" x="7338"/>
        <item sd="0" m="1" x="1851"/>
        <item sd="0" m="1" x="2654"/>
        <item sd="0" m="1" x="3575"/>
        <item sd="0" m="1" x="4538"/>
        <item sd="0" m="1" x="149"/>
        <item sd="0" m="1" x="282"/>
        <item sd="0" m="1" x="3196"/>
        <item sd="0" m="1" x="4174"/>
        <item sd="0" m="1" x="5106"/>
        <item sd="0" m="1" x="5955"/>
        <item sd="0" m="1" x="585"/>
        <item sd="0" m="1" x="995"/>
        <item sd="0" m="1" x="5151"/>
        <item sd="0" m="1" x="6011"/>
        <item sd="0" m="1" x="6691"/>
        <item sd="0" m="1" x="7209"/>
        <item sd="0" m="1" x="1648"/>
        <item sd="0" m="1" x="2398"/>
        <item sd="0" m="1" x="120"/>
        <item sd="0" m="1" x="2078"/>
        <item sd="0" m="1" x="2964"/>
        <item sd="0" m="1" x="3912"/>
        <item sd="0" m="1" x="490"/>
        <item sd="0" m="1" x="3966"/>
        <item sd="0" m="1" x="4918"/>
        <item sd="0" m="1" x="5799"/>
        <item sd="0" m="1" x="1464"/>
        <item sd="0" m="1" x="2007"/>
        <item sd="0" m="1" x="2840"/>
        <item sd="0" m="1" x="3799"/>
        <item sd="0" m="1" x="7487"/>
        <item sd="0" m="1" x="3862"/>
        <item sd="0" m="1" x="4817"/>
        <item sd="0" m="1" x="5705"/>
        <item sd="0" m="1" x="7990"/>
        <item sd="0" m="1" x="5755"/>
        <item sd="0" m="1" x="6492"/>
        <item sd="0" m="1" x="718"/>
        <item sd="0" m="1" x="1179"/>
        <item sd="0" m="1" x="1810"/>
        <item sd="0" m="1" x="2621"/>
        <item sd="0" m="1" x="6888"/>
        <item sd="0" m="1" x="7371"/>
        <item sd="0" m="1" x="1885"/>
        <item sd="0" m="1" x="2692"/>
        <item sd="0" m="1" x="3617"/>
        <item sd="0" m="1" x="4574"/>
        <item sd="0" m="1" x="7759"/>
        <item sd="0" m="1" x="7954"/>
        <item sd="0" m="1" x="3688"/>
        <item sd="0" m="1" x="4632"/>
        <item sd="0" m="1" x="5525"/>
        <item sd="0" m="1" x="6301"/>
        <item sd="0" m="1" x="611"/>
        <item sd="0" m="1" x="1043"/>
        <item sd="0" m="1" x="1592"/>
        <item sd="0" m="1" x="5192"/>
        <item sd="0" m="1" x="6046"/>
        <item sd="0" m="1" x="6731"/>
        <item sd="0" m="1" x="7244"/>
        <item sd="0" m="1" x="1679"/>
        <item sd="0" m="1" x="2459"/>
        <item sd="0" m="1" x="3335"/>
        <item sd="0" m="1" x="6785"/>
        <item sd="0" m="1" x="1116"/>
        <item sd="0" m="1" x="1736"/>
        <item sd="0" m="1" x="2563"/>
        <item sd="0" m="1" x="3484"/>
        <item sd="0" m="1" x="2622"/>
        <item sd="0" m="1" x="3547"/>
        <item sd="0" m="1" x="4517"/>
        <item sd="0" m="1" x="5428"/>
        <item sd="0" m="1" x="4575"/>
        <item sd="0" m="1" x="5477"/>
        <item sd="0" m="1" x="561"/>
        <item sd="0" m="1" x="970"/>
        <item sd="0" m="1" x="1547"/>
        <item sd="0" m="1" x="2298"/>
        <item sd="0" m="1" x="5991"/>
        <item sd="0" m="1" x="6664"/>
        <item sd="0" m="1" x="1593"/>
        <item sd="0" m="1" x="2355"/>
        <item sd="0" m="1" x="3257"/>
        <item sd="0" m="1" x="4236"/>
        <item sd="0" m="1" x="7245"/>
        <item sd="0" m="1" x="7631"/>
        <item sd="0" m="1" x="3336"/>
        <item sd="0" m="1" x="4307"/>
        <item sd="0" m="1" x="5237"/>
        <item sd="0" m="1" x="255"/>
        <item sd="0" m="1" x="468"/>
        <item sd="0" m="1" x="839"/>
        <item sd="0" m="1" x="4892"/>
        <item sd="0" m="1" x="5773"/>
        <item sd="0" m="1" x="6507"/>
        <item sd="0" m="1" x="890"/>
        <item sd="0" m="1" x="1423"/>
        <item sd="0" m="1" x="2146"/>
        <item sd="0" m="1" x="6556"/>
        <item sd="0" m="1" x="7113"/>
        <item sd="0" m="1" x="7537"/>
        <item sd="0" m="1" x="2227"/>
        <item sd="0" m="1" x="3099"/>
        <item sd="0" m="1" x="4065"/>
        <item sd="0" m="1" x="217"/>
        <item sd="0" m="1" x="381"/>
        <item sd="0" m="1" x="3696"/>
        <item sd="0" m="1" x="4644"/>
        <item sd="0" m="1" x="5537"/>
        <item sd="0" m="1" x="781"/>
        <item sd="0" m="1" x="1255"/>
        <item sd="0" m="1" x="5592"/>
        <item sd="0" m="1" x="6376"/>
        <item sd="0" m="1" x="6966"/>
        <item sd="0" m="1" x="2008"/>
        <item sd="0" m="1" x="2841"/>
        <item sd="0" m="1" x="158"/>
        <item sd="0" m="1" x="1710"/>
        <item sd="0" m="1" x="2510"/>
        <item sd="0" m="1" x="3442"/>
        <item sd="0" m="1" x="4374"/>
        <item sd="0" m="1" x="657"/>
        <item sd="0" m="1" x="3485"/>
        <item sd="0" m="1" x="4448"/>
        <item sd="0" m="1" x="5376"/>
        <item sd="0" m="1" x="7609"/>
        <item sd="0" m="1" x="7874"/>
        <item sd="0" m="1" x="39"/>
        <item sd="0" m="1" x="4159"/>
        <item sd="0" m="1" x="5091"/>
        <item sd="0" m="1" x="5940"/>
        <item sd="0" m="1" x="807"/>
        <item sd="0" m="1" x="1293"/>
        <item sd="0" m="1" x="5627"/>
        <item sd="0" m="1" x="6408"/>
        <item sd="0" m="1" x="7001"/>
        <item sd="0" m="1" x="2049"/>
        <item sd="0" m="1" x="2894"/>
        <item sd="0" m="1" x="7056"/>
        <item sd="0" m="1" x="7517"/>
        <item sd="0" m="1" x="7816"/>
        <item sd="0" m="1" x="3899"/>
        <item sd="0" m="1" x="4845"/>
        <item sd="0" m="1" x="684"/>
        <item sd="0" m="1" x="3518"/>
        <item sd="0" m="1" x="4482"/>
        <item sd="0" m="1" x="5408"/>
        <item sd="0" m="1" x="6224"/>
        <item sd="0" m="1" x="1852"/>
        <item sd="0" m="1" x="5456"/>
        <item sd="0" m="1" x="6281"/>
        <item sd="0" m="1" x="6919"/>
        <item sd="0" m="1" x="7400"/>
        <item sd="0" m="1" x="3640"/>
        <item sd="0" m="1" x="2325"/>
        <item sd="0" m="1" x="3227"/>
        <item sd="0" m="1" x="4212"/>
        <item sd="0" m="1" x="5152"/>
        <item sd="0" m="1" x="4267"/>
        <item sd="0" m="1" x="5214"/>
        <item sd="0" m="1" x="6077"/>
        <item sd="0" m="1" x="6757"/>
        <item sd="0" m="1" x="6104"/>
        <item sd="0" m="1" x="1388"/>
        <item sd="0" m="1" x="2116"/>
        <item sd="0" m="1" x="3002"/>
        <item sd="0" m="1" x="7087"/>
        <item sd="0" m="1" x="3060"/>
        <item sd="0" m="1" x="4035"/>
        <item sd="0" m="1" x="4985"/>
        <item sd="0" m="1" x="7846"/>
        <item sd="0" m="1" x="5040"/>
        <item sd="0" m="1" x="5912"/>
        <item sd="0" m="1" x="406"/>
        <item sd="0" m="1" x="743"/>
        <item sd="0" m="1" x="1232"/>
        <item sd="0" m="1" x="1908"/>
        <item sd="0" m="1" x="6338"/>
        <item sd="0" m="1" x="6939"/>
        <item sd="0" m="1" x="1294"/>
        <item sd="0" m="1" x="1952"/>
        <item sd="0" m="1" x="2803"/>
        <item sd="0" m="1" x="3759"/>
        <item sd="0" m="1" x="6692"/>
        <item sd="0" m="1" x="7210"/>
        <item sd="0" m="1" x="2399"/>
        <item sd="0" m="1" x="2079"/>
        <item sd="0" m="1" x="2965"/>
        <item sd="0" m="1" x="3913"/>
        <item sd="0" m="1" x="3967"/>
        <item sd="0" m="1" x="4919"/>
        <item sd="0" m="1" x="5800"/>
        <item sd="0" m="1" x="2009"/>
        <item sd="0" m="1" x="2842"/>
        <item sd="0" m="1" x="3800"/>
        <item sd="0" m="1" x="7488"/>
        <item sd="0" m="1" x="7793"/>
        <item sd="0" m="1" x="3863"/>
        <item sd="0" m="1" x="4818"/>
        <item sd="0" m="1" x="5706"/>
        <item sd="0" m="1" x="7991"/>
        <item sd="0" m="1" x="82"/>
        <item sd="0" m="1" x="5756"/>
        <item sd="0" m="1" x="6493"/>
        <item sd="0" m="1" x="7073"/>
        <item sd="0" m="1" x="1180"/>
        <item sd="0" m="1" x="1811"/>
        <item sd="0" m="1" x="2623"/>
        <item sd="0" m="1" x="6889"/>
        <item sd="0" m="1" x="7372"/>
        <item sd="0" m="1" x="7726"/>
        <item sd="0" m="1" x="2693"/>
        <item sd="0" m="1" x="3618"/>
        <item sd="0" m="1" x="4576"/>
        <item sd="0" m="1" x="7760"/>
        <item sd="0" m="1" x="7955"/>
        <item sd="0" m="1" x="71"/>
        <item sd="0" m="1" x="4633"/>
        <item sd="0" m="1" x="5526"/>
        <item sd="0" m="1" x="6302"/>
        <item sd="0" m="1" x="926"/>
        <item sd="0" m="1" x="1465"/>
        <item sd="0" m="1" x="2184"/>
        <item sd="0" m="1" x="6601"/>
        <item sd="0" m="1" x="7146"/>
        <item sd="0" m="1" x="2265"/>
        <item sd="0" m="1" x="3131"/>
        <item sd="0" m="1" x="4102"/>
        <item sd="0" m="1" x="7610"/>
        <item sd="0" m="1" x="7875"/>
        <item sd="0" m="1" x="4160"/>
        <item sd="0" m="1" x="5092"/>
        <item sd="0" m="1" x="5941"/>
        <item sd="0" m="1" x="443"/>
        <item sd="0" m="1" x="808"/>
        <item sd="0" m="1" x="1295"/>
        <item sd="0" m="1" x="5628"/>
        <item sd="0" m="1" x="6409"/>
        <item sd="0" m="1" x="7002"/>
        <item sd="0" m="1" x="1349"/>
        <item sd="0" m="1" x="2050"/>
        <item sd="0" m="1" x="2895"/>
        <item sd="0" m="1" x="6758"/>
        <item sd="0" m="1" x="1389"/>
        <item sd="0" m="1" x="2117"/>
        <item sd="0" m="1" x="3003"/>
        <item sd="0" m="1" x="3061"/>
        <item sd="0" m="1" x="4036"/>
        <item sd="0" m="1" x="4986"/>
        <item sd="0" m="1" x="5041"/>
        <item sd="0" m="1" x="407"/>
        <item sd="0" m="1" x="744"/>
        <item sd="0" m="1" x="1233"/>
        <item sd="0" m="1" x="1909"/>
        <item sd="0" m="1" x="6339"/>
        <item sd="0" m="1" x="1296"/>
        <item sd="0" m="1" x="1953"/>
        <item sd="0" m="1" x="2804"/>
        <item sd="0" m="1" x="3760"/>
        <item sd="0" m="1" x="7453"/>
        <item sd="0" m="1" x="2896"/>
        <item sd="0" m="1" x="3829"/>
        <item sd="0" m="1" x="4784"/>
        <item sd="0" m="1" x="177"/>
        <item sd="0" m="1" x="339"/>
        <item sd="0" m="1" x="636"/>
        <item sd="0" m="1" x="1086"/>
        <item sd="0" m="1" x="4415"/>
        <item sd="0" m="1" x="5341"/>
        <item sd="0" m="1" x="6156"/>
        <item sd="0" m="1" x="685"/>
        <item sd="0" m="1" x="1136"/>
        <item sd="0" m="1" x="1764"/>
        <item sd="0" m="1" x="2586"/>
        <item sd="0" m="1" x="6225"/>
        <item sd="0" m="1" x="6848"/>
        <item sd="0" m="1" x="7339"/>
        <item sd="0" m="1" x="1853"/>
        <item sd="0" m="1" x="2655"/>
        <item sd="0" m="1" x="3576"/>
        <item sd="0" m="1" x="4539"/>
        <item sd="0" m="1" x="150"/>
        <item sd="0" m="1" x="283"/>
        <item sd="0" m="1" x="3197"/>
        <item sd="0" m="1" x="4175"/>
        <item sd="0" m="1" x="5107"/>
        <item sd="0" m="1" x="5956"/>
        <item sd="0" m="1" x="586"/>
        <item sd="0" m="1" x="996"/>
        <item sd="0" m="1" x="5153"/>
        <item sd="0" m="1" x="6012"/>
        <item sd="0" m="1" x="6693"/>
        <item sd="0" m="1" x="7211"/>
        <item sd="0" m="1" x="1649"/>
        <item sd="0" m="1" x="2400"/>
        <item sd="0" m="1" x="121"/>
        <item sd="0" m="1" x="2080"/>
        <item sd="0" m="1" x="2966"/>
        <item sd="0" m="1" x="3914"/>
        <item sd="0" m="1" x="491"/>
        <item sd="0" m="1" x="3968"/>
        <item sd="0" m="1" x="4920"/>
        <item sd="0" m="1" x="7761"/>
        <item sd="0" m="1" x="7956"/>
        <item sd="0" m="1" x="3689"/>
        <item sd="0" m="1" x="4634"/>
        <item sd="0" m="1" x="5527"/>
        <item sd="0" m="1" x="6303"/>
        <item sd="0" m="1" x="612"/>
        <item sd="0" m="1" x="1044"/>
        <item sd="0" m="1" x="1594"/>
        <item sd="0" m="1" x="5193"/>
        <item sd="0" m="1" x="6047"/>
        <item sd="0" m="1" x="6732"/>
        <item sd="0" m="1" x="7246"/>
        <item sd="0" m="1" x="1680"/>
        <item sd="0" m="1" x="2460"/>
        <item sd="0" m="1" x="3337"/>
        <item sd="0" m="1" x="6786"/>
        <item sd="0" m="1" x="7305"/>
        <item sd="0" m="1" x="7685"/>
        <item sd="0" m="1" x="7900"/>
        <item sd="0" m="1" x="3421"/>
        <item sd="0" m="1" x="4366"/>
        <item sd="0" m="1" x="5288"/>
        <item sd="0" m="1" x="517"/>
        <item sd="0" m="1" x="4005"/>
        <item sd="0" m="1" x="4957"/>
        <item sd="0" m="1" x="5848"/>
        <item sd="0" m="1" x="6557"/>
        <item sd="0" m="1" x="1507"/>
        <item sd="0" m="1" x="5895"/>
        <item sd="0" m="1" x="6633"/>
        <item sd="0" m="1" x="7177"/>
        <item sd="0" m="1" x="7578"/>
        <item sd="0" m="1" x="3162"/>
        <item sd="0" m="1" x="2776"/>
        <item sd="0" m="1" x="3734"/>
        <item sd="0" m="1" x="4701"/>
        <item sd="0" m="1" x="4753"/>
        <item sd="0" m="1" x="5661"/>
        <item sd="0" m="1" x="6438"/>
        <item sd="0" m="1" x="1117"/>
        <item sd="0" m="1" x="1737"/>
        <item sd="0" m="1" x="2564"/>
        <item sd="0" m="1" x="3486"/>
        <item sd="0" m="1" x="2624"/>
        <item sd="0" m="1" x="3548"/>
        <item sd="0" m="1" x="4518"/>
        <item sd="0" m="1" x="5429"/>
        <item sd="0" m="1" x="4577"/>
        <item sd="0" m="1" x="5478"/>
        <item sd="0" m="1" x="562"/>
        <item sd="0" m="1" x="971"/>
        <item sd="0" m="1" x="1548"/>
        <item sd="0" m="1" x="2299"/>
        <item sd="0" m="1" x="5992"/>
        <item sd="0" m="1" x="6665"/>
        <item sd="0" m="1" x="1595"/>
        <item sd="0" m="1" x="2356"/>
        <item sd="0" m="1" x="3258"/>
        <item sd="0" m="1" x="4237"/>
        <item sd="0" m="1" x="6377"/>
        <item sd="0" m="1" x="6967"/>
        <item sd="0" m="1" x="2010"/>
        <item sd="0" m="1" x="2843"/>
        <item sd="0" m="1" x="159"/>
        <item sd="0" m="1" x="1711"/>
        <item sd="0" m="1" x="2511"/>
        <item sd="0" m="1" x="3443"/>
        <item sd="0" m="1" x="4375"/>
        <item sd="0" m="1" x="658"/>
        <item sd="0" m="1" x="3487"/>
        <item sd="0" m="1" x="4449"/>
        <item sd="0" m="1" x="5377"/>
        <item sd="0" m="1" x="6185"/>
        <item sd="0" m="1" x="1812"/>
        <item sd="0" m="1" x="1650"/>
        <item sd="0" m="1" x="2401"/>
        <item sd="0" m="1" x="3291"/>
        <item sd="0" m="1" x="4268"/>
        <item sd="0" m="1" x="7280"/>
        <item sd="0" m="1" x="7654"/>
        <item sd="0" m="1" x="3378"/>
        <item sd="0" m="1" x="4337"/>
        <item sd="0" m="1" x="5269"/>
        <item sd="0" m="1" x="6105"/>
        <item sd="0" m="1" x="7930"/>
        <item sd="0" m="1" x="59"/>
        <item sd="0" m="1" x="5328"/>
        <item sd="0" m="1" x="6143"/>
        <item sd="0" m="1" x="6800"/>
        <item sd="0" m="1" x="927"/>
        <item sd="0" m="1" x="1466"/>
        <item sd="0" m="1" x="2185"/>
        <item sd="0" m="1" x="6602"/>
        <item sd="0" m="1" x="7147"/>
        <item sd="0" m="1" x="7559"/>
        <item sd="0" m="1" x="2266"/>
        <item sd="0" m="1" x="3132"/>
        <item sd="0" m="1" x="4103"/>
        <item sd="0" m="1" x="7611"/>
        <item sd="0" m="1" x="7876"/>
        <item sd="0" m="1" x="40"/>
        <item sd="0" m="1" x="4161"/>
        <item sd="0" m="1" x="5093"/>
        <item sd="0" m="1" x="5942"/>
        <item sd="0" m="1" x="809"/>
        <item sd="0" m="1" x="1297"/>
        <item sd="0" m="1" x="5629"/>
        <item sd="0" m="1" x="6410"/>
        <item sd="0" m="1" x="7003"/>
        <item sd="0" m="1" x="2051"/>
        <item sd="0" m="1" x="2897"/>
        <item sd="0" m="1" x="7057"/>
        <item sd="0" m="1" x="7518"/>
        <item sd="0" m="1" x="7817"/>
        <item sd="0" m="1" x="3900"/>
        <item sd="0" m="1" x="4846"/>
        <item sd="0" m="1" x="686"/>
        <item sd="0" m="1" x="3519"/>
        <item sd="0" m="1" x="4483"/>
        <item sd="0" m="1" x="5409"/>
        <item sd="0" m="1" x="6226"/>
        <item sd="0" m="1" x="1854"/>
        <item sd="0" m="1" x="5457"/>
        <item sd="0" m="1" x="6282"/>
        <item sd="0" m="1" x="6920"/>
        <item sd="0" m="1" x="7847"/>
        <item sd="0" m="1" x="5042"/>
        <item sd="0" m="1" x="5913"/>
        <item sd="0" m="1" x="408"/>
        <item sd="0" m="1" x="745"/>
        <item sd="0" m="1" x="1234"/>
        <item sd="0" m="1" x="1910"/>
        <item sd="0" m="1" x="6340"/>
        <item sd="0" m="1" x="6940"/>
        <item sd="0" m="1" x="1298"/>
        <item sd="0" m="1" x="1954"/>
        <item sd="0" m="1" x="2805"/>
        <item sd="0" m="1" x="3761"/>
        <item sd="0" m="1" x="7454"/>
        <item sd="0" m="1" x="7782"/>
        <item sd="0" m="1" x="2898"/>
        <item sd="0" m="1" x="3830"/>
        <item sd="0" m="1" x="4785"/>
        <item sd="0" m="1" x="5678"/>
        <item sd="0" m="1" x="340"/>
        <item sd="0" m="1" x="637"/>
        <item sd="0" m="1" x="1087"/>
        <item sd="0" m="1" x="4416"/>
        <item sd="0" m="1" x="5342"/>
        <item sd="0" m="1" x="6157"/>
        <item sd="0" m="1" x="6810"/>
        <item sd="0" m="1" x="1137"/>
        <item sd="0" m="1" x="1765"/>
        <item sd="0" m="1" x="2587"/>
        <item sd="0" m="1" x="6227"/>
        <item sd="0" m="1" x="6849"/>
        <item sd="0" m="1" x="7340"/>
        <item sd="0" m="1" x="7707"/>
        <item sd="0" m="1" x="2656"/>
        <item sd="0" m="1" x="3577"/>
        <item sd="0" m="1" x="4540"/>
        <item sd="0" m="1" x="284"/>
        <item sd="0" m="1" x="3198"/>
        <item sd="0" m="1" x="4176"/>
        <item sd="0" m="1" x="5108"/>
        <item sd="0" m="1" x="5957"/>
        <item sd="0" m="1" x="997"/>
        <item sd="0" m="1" x="5154"/>
        <item sd="0" m="1" x="6013"/>
        <item sd="0" m="1" x="6694"/>
        <item sd="0" m="1" x="7212"/>
        <item sd="0" m="1" x="2402"/>
        <item sd="0" m="1" x="2081"/>
        <item sd="0" m="1" x="2967"/>
        <item sd="0" m="1" x="3915"/>
        <item sd="0" m="1" x="3969"/>
        <item sd="0" m="1" x="4921"/>
        <item sd="0" m="1" x="5801"/>
        <item sd="0" m="1" x="2011"/>
        <item sd="0" m="1" x="2844"/>
        <item sd="0" m="1" x="3801"/>
        <item sd="0" m="1" x="7489"/>
        <item sd="0" m="1" x="7794"/>
        <item sd="0" m="1" x="3864"/>
        <item sd="0" m="1" x="4819"/>
        <item sd="0" m="1" x="5707"/>
        <item sd="0" m="1" x="7058"/>
        <item sd="0" m="1" x="7519"/>
        <item sd="0" m="1" x="7818"/>
        <item sd="0" m="1" x="2956"/>
        <item sd="0" m="1" x="3901"/>
        <item sd="0" m="1" x="4847"/>
        <item sd="0" m="1" x="373"/>
        <item sd="0" m="1" x="687"/>
        <item sd="0" m="1" x="3520"/>
        <item sd="0" m="1" x="4484"/>
        <item sd="0" m="1" x="5410"/>
        <item sd="0" m="1" x="6228"/>
        <item sd="0" m="1" x="1208"/>
        <item sd="0" m="1" x="1855"/>
        <item sd="0" m="1" x="5458"/>
        <item sd="0" m="1" x="6283"/>
        <item sd="0" m="1" x="6921"/>
        <item sd="0" m="1" x="7401"/>
        <item sd="0" m="1" x="2720"/>
        <item sd="0" m="1" x="3641"/>
        <item sd="0" m="1" x="2326"/>
        <item sd="0" m="1" x="3228"/>
        <item sd="0" m="1" x="4213"/>
        <item sd="0" m="1" x="5155"/>
        <item sd="0" m="1" x="4269"/>
        <item sd="0" m="1" x="5215"/>
        <item sd="0" m="1" x="6078"/>
        <item sd="0" m="1" x="6759"/>
        <item sd="0" m="1" x="1390"/>
        <item sd="0" m="1" x="2118"/>
        <item sd="0" m="1" x="3004"/>
        <item sd="0" m="1" x="3062"/>
        <item sd="0" m="1" x="4037"/>
        <item sd="0" m="1" x="4987"/>
        <item sd="0" m="1" x="5043"/>
        <item sd="0" m="1" x="409"/>
        <item sd="0" m="1" x="746"/>
        <item sd="0" m="1" x="1235"/>
        <item sd="0" m="1" x="1911"/>
        <item sd="0" m="1" x="6341"/>
        <item sd="0" m="1" x="1299"/>
        <item sd="0" m="1" x="1955"/>
        <item sd="0" m="1" x="2806"/>
        <item sd="0" m="1" x="3762"/>
        <item sd="0" m="1" x="7455"/>
        <item sd="0" m="1" x="2899"/>
        <item sd="0" m="1" x="3831"/>
        <item sd="0" m="1" x="4786"/>
        <item sd="0" m="1" x="178"/>
        <item sd="0" m="1" x="341"/>
        <item sd="0" m="1" x="638"/>
        <item sd="0" m="1" x="1088"/>
        <item sd="0" m="1" x="4417"/>
        <item sd="0" m="1" x="5343"/>
        <item sd="0" m="1" x="6158"/>
        <item sd="0" m="1" x="688"/>
        <item sd="0" m="1" x="1138"/>
        <item sd="0" m="1" x="1766"/>
        <item sd="0" m="1" x="2588"/>
        <item sd="0" m="1" x="5802"/>
        <item sd="0" m="1" x="1467"/>
        <item sd="0" m="1" x="2012"/>
        <item sd="0" m="1" x="2845"/>
        <item sd="0" m="1" x="3802"/>
        <item sd="0" m="1" x="7490"/>
        <item sd="0" m="1" x="3865"/>
        <item sd="0" m="1" x="4820"/>
        <item sd="0" m="1" x="5708"/>
        <item sd="0" m="1" x="7992"/>
        <item sd="0" m="1" x="5757"/>
        <item sd="0" m="1" x="6494"/>
        <item sd="0" m="1" x="719"/>
        <item sd="0" m="1" x="1181"/>
        <item sd="0" m="1" x="1813"/>
        <item sd="0" m="1" x="2625"/>
        <item sd="0" m="1" x="6890"/>
        <item sd="0" m="1" x="7373"/>
        <item sd="0" m="1" x="1886"/>
        <item sd="0" m="1" x="2694"/>
        <item sd="0" m="1" x="3619"/>
        <item sd="0" m="1" x="4578"/>
        <item sd="0" m="1" x="7762"/>
        <item sd="0" m="1" x="7957"/>
        <item sd="0" m="1" x="3690"/>
        <item sd="0" m="1" x="4635"/>
        <item sd="0" m="1" x="5528"/>
        <item sd="0" m="1" x="6304"/>
        <item sd="0" m="1" x="613"/>
        <item sd="0" m="1" x="1045"/>
        <item sd="0" m="1" x="1596"/>
        <item sd="0" m="1" x="5194"/>
        <item sd="0" m="1" x="6048"/>
        <item sd="0" m="1" x="6733"/>
        <item sd="0" m="1" x="7247"/>
        <item sd="0" m="1" x="1681"/>
        <item sd="0" m="1" x="2461"/>
        <item sd="0" m="1" x="3338"/>
        <item sd="0" m="1" x="6787"/>
        <item sd="0" m="1" x="7306"/>
        <item sd="0" m="1" x="7686"/>
        <item sd="0" m="1" x="7901"/>
        <item sd="0" m="1" x="3422"/>
        <item sd="0" m="1" x="4367"/>
        <item sd="0" m="1" x="5289"/>
        <item sd="0" m="1" x="518"/>
        <item sd="0" m="1" x="4006"/>
        <item sd="0" m="1" x="4958"/>
        <item sd="0" m="1" x="5849"/>
        <item sd="0" m="1" x="6558"/>
        <item sd="0" m="1" x="1508"/>
        <item sd="0" m="1" x="5896"/>
        <item sd="0" m="1" x="6634"/>
        <item sd="0" m="1" x="7178"/>
        <item sd="0" m="1" x="7579"/>
        <item sd="0" m="1" x="3163"/>
        <item sd="0" m="1" x="2777"/>
        <item sd="0" m="1" x="3735"/>
        <item sd="0" m="1" x="4702"/>
        <item sd="0" m="1" x="4754"/>
        <item sd="0" m="1" x="5662"/>
        <item sd="0" m="1" x="6439"/>
        <item sd="0" m="1" x="7248"/>
        <item sd="0" m="1" x="7632"/>
        <item sd="0" m="1" x="3339"/>
        <item sd="0" m="1" x="4308"/>
        <item sd="0" m="1" x="5238"/>
        <item sd="0" m="1" x="256"/>
        <item sd="0" m="1" x="469"/>
        <item sd="0" m="1" x="840"/>
        <item sd="0" m="1" x="4893"/>
        <item sd="0" m="1" x="5774"/>
        <item sd="0" m="1" x="6508"/>
        <item sd="0" m="1" x="891"/>
        <item sd="0" m="1" x="1424"/>
        <item sd="0" m="1" x="2147"/>
        <item sd="0" m="1" x="6559"/>
        <item sd="0" m="1" x="7114"/>
        <item sd="0" m="1" x="7538"/>
        <item sd="0" m="1" x="2228"/>
        <item sd="0" m="1" x="3100"/>
        <item sd="0" m="1" x="4066"/>
        <item sd="0" m="1" x="218"/>
        <item sd="0" m="1" x="382"/>
        <item sd="0" m="1" x="3697"/>
        <item sd="0" m="1" x="4645"/>
        <item sd="0" m="1" x="5538"/>
        <item sd="0" m="1" x="782"/>
        <item sd="0" m="1" x="1256"/>
        <item sd="0" m="1" x="5593"/>
        <item sd="0" m="1" x="6378"/>
        <item sd="0" m="1" x="6968"/>
        <item sd="0" m="1" x="2013"/>
        <item sd="0" m="1" x="2846"/>
        <item sd="0" m="1" x="160"/>
        <item sd="0" m="1" x="1712"/>
        <item sd="0" m="1" x="2512"/>
        <item sd="0" m="1" x="3444"/>
        <item sd="0" m="1" x="4376"/>
        <item sd="0" m="1" x="659"/>
        <item sd="0" m="1" x="3488"/>
        <item sd="0" m="1" x="4450"/>
        <item sd="0" m="1" x="5378"/>
        <item sd="0" m="1" x="6186"/>
        <item sd="0" m="1" x="1814"/>
        <item sd="0" m="1" x="1651"/>
        <item sd="0" m="1" x="2403"/>
        <item sd="0" m="1" x="3292"/>
        <item sd="0" m="1" x="4270"/>
        <item sd="0" m="1" x="7281"/>
        <item sd="0" m="1" x="7655"/>
        <item sd="0" m="1" x="3379"/>
        <item sd="0" m="1" x="4338"/>
        <item sd="0" m="1" x="5270"/>
        <item sd="0" m="1" x="6106"/>
        <item sd="0" m="1" x="7931"/>
        <item sd="0" m="1" x="60"/>
        <item sd="0" m="1" x="5329"/>
        <item sd="0" m="1" x="6144"/>
        <item sd="0" m="1" x="6801"/>
        <item sd="0" m="1" x="928"/>
        <item sd="0" m="1" x="1468"/>
        <item sd="0" m="1" x="2186"/>
        <item sd="0" m="1" x="6603"/>
        <item sd="0" m="1" x="7148"/>
        <item sd="0" m="1" x="7560"/>
        <item sd="0" m="1" x="2267"/>
        <item sd="0" m="1" x="3133"/>
        <item sd="0" m="1" x="4104"/>
        <item sd="0" m="1" x="7402"/>
        <item sd="0" m="1" x="3642"/>
        <item sd="0" m="1" x="2327"/>
        <item sd="0" m="1" x="3229"/>
        <item sd="0" m="1" x="4214"/>
        <item sd="0" m="1" x="5156"/>
        <item sd="0" m="1" x="4271"/>
        <item sd="0" m="1" x="5216"/>
        <item sd="0" m="1" x="6079"/>
        <item sd="0" m="1" x="6760"/>
        <item sd="0" m="1" x="6107"/>
        <item sd="0" m="1" x="1391"/>
        <item sd="0" m="1" x="2119"/>
        <item sd="0" m="1" x="3005"/>
        <item sd="0" m="1" x="7088"/>
        <item sd="0" m="1" x="3063"/>
        <item sd="0" m="1" x="4038"/>
        <item sd="0" m="1" x="4988"/>
        <item sd="0" m="1" x="7848"/>
        <item sd="0" m="1" x="5044"/>
        <item sd="0" m="1" x="5914"/>
        <item sd="0" m="1" x="410"/>
        <item sd="0" m="1" x="747"/>
        <item sd="0" m="1" x="1236"/>
        <item sd="0" m="1" x="1912"/>
        <item sd="0" m="1" x="6342"/>
        <item sd="0" m="1" x="6941"/>
        <item sd="0" m="1" x="1300"/>
        <item sd="0" m="1" x="1956"/>
        <item sd="0" m="1" x="2807"/>
        <item sd="0" m="1" x="3763"/>
        <item sd="0" m="1" x="7456"/>
        <item sd="0" m="1" x="7783"/>
        <item sd="0" m="1" x="2900"/>
        <item sd="0" m="1" x="3832"/>
        <item sd="0" m="1" x="4787"/>
        <item sd="0" m="1" x="5679"/>
        <item sd="0" m="1" x="342"/>
        <item sd="0" m="1" x="639"/>
        <item sd="0" m="1" x="1089"/>
        <item sd="0" m="1" x="4418"/>
        <item sd="0" m="1" x="5344"/>
        <item sd="0" m="1" x="6159"/>
        <item sd="0" m="1" x="6811"/>
        <item sd="0" m="1" x="1139"/>
        <item sd="0" m="1" x="1767"/>
        <item sd="0" m="1" x="2589"/>
        <item sd="0" m="1" x="6229"/>
        <item sd="0" m="1" x="6850"/>
        <item sd="0" m="1" x="7341"/>
        <item sd="0" m="1" x="7708"/>
        <item sd="0" m="1" x="2657"/>
        <item sd="0" m="1" x="3578"/>
        <item sd="0" m="1" x="4541"/>
        <item sd="0" m="1" x="285"/>
        <item sd="0" m="1" x="3199"/>
        <item sd="0" m="1" x="4177"/>
        <item sd="0" m="1" x="5109"/>
        <item sd="0" m="1" x="5958"/>
        <item sd="0" m="1" x="998"/>
        <item sd="0" m="1" x="5157"/>
        <item sd="0" m="1" x="6014"/>
        <item sd="0" m="1" x="7993"/>
        <item sd="0" m="1" x="83"/>
        <item sd="0" m="1" x="5758"/>
        <item sd="0" m="1" x="6495"/>
        <item sd="0" m="1" x="7074"/>
        <item sd="0" m="1" x="1182"/>
        <item sd="0" m="1" x="1815"/>
        <item sd="0" m="1" x="2626"/>
        <item sd="0" m="1" x="6891"/>
        <item sd="0" m="1" x="7374"/>
        <item sd="0" m="1" x="7727"/>
        <item sd="0" m="1" x="2695"/>
        <item sd="0" m="1" x="3620"/>
        <item sd="0" m="1" x="4579"/>
        <item sd="0" m="1" x="7763"/>
        <item sd="0" m="1" x="7958"/>
        <item sd="0" m="1" x="72"/>
        <item sd="0" m="1" x="4636"/>
        <item sd="0" m="1" x="5529"/>
        <item sd="0" m="1" x="6305"/>
        <item sd="0" m="1" x="929"/>
        <item sd="0" m="1" x="1469"/>
        <item sd="0" m="1" x="2187"/>
        <item sd="0" m="1" x="6604"/>
        <item sd="0" m="1" x="7149"/>
        <item sd="0" m="1" x="2268"/>
        <item sd="0" m="1" x="3134"/>
        <item sd="0" m="1" x="4105"/>
        <item sd="0" m="1" x="7612"/>
        <item sd="0" m="1" x="7877"/>
        <item sd="0" m="1" x="4162"/>
        <item sd="0" m="1" x="5094"/>
        <item sd="0" m="1" x="5943"/>
        <item sd="0" m="1" x="444"/>
        <item sd="0" m="1" x="810"/>
        <item sd="0" m="1" x="1301"/>
        <item sd="0" m="1" x="5630"/>
        <item sd="0" m="1" x="6411"/>
        <item sd="0" m="1" x="7004"/>
        <item sd="0" m="1" x="1350"/>
        <item sd="0" m="1" x="2052"/>
        <item sd="0" m="1" x="2901"/>
        <item sd="0" m="1" x="7059"/>
        <item sd="0" m="1" x="7520"/>
        <item sd="0" m="1" x="7819"/>
        <item sd="0" m="1" x="2957"/>
        <item sd="0" m="1" x="3902"/>
        <item sd="0" m="1" x="4848"/>
        <item sd="0" m="1" x="374"/>
        <item sd="0" m="1" x="689"/>
        <item sd="0" m="1" x="3521"/>
        <item sd="0" m="1" x="4485"/>
        <item sd="0" m="1" x="5411"/>
        <item sd="0" m="1" x="6230"/>
        <item sd="0" m="1" x="1209"/>
        <item sd="0" m="1" x="1856"/>
        <item sd="0" m="1" x="5459"/>
        <item sd="0" m="1" x="6284"/>
        <item sd="0" m="1" x="6922"/>
        <item sd="0" m="1" x="7403"/>
        <item sd="0" m="1" x="2721"/>
        <item sd="0" m="1" x="3643"/>
        <item sd="0" m="1" x="2328"/>
        <item sd="0" m="1" x="3230"/>
        <item sd="0" m="1" x="4215"/>
        <item sd="0" m="1" x="5158"/>
        <item sd="0" m="1" x="4272"/>
        <item sd="0" m="1" x="5217"/>
        <item sd="0" m="1" x="6080"/>
        <item sd="0" m="1" x="7457"/>
        <item sd="0" m="1" x="2902"/>
        <item sd="0" m="1" x="3833"/>
        <item sd="0" m="1" x="4788"/>
        <item sd="0" m="1" x="179"/>
        <item sd="0" m="1" x="343"/>
        <item sd="0" m="1" x="640"/>
        <item sd="0" m="1" x="1090"/>
        <item sd="0" m="1" x="4419"/>
        <item sd="0" m="1" x="5345"/>
        <item sd="0" m="1" x="6160"/>
        <item sd="0" m="1" x="690"/>
        <item sd="0" m="1" x="1140"/>
        <item sd="0" m="1" x="1768"/>
        <item sd="0" m="1" x="2590"/>
        <item sd="0" m="1" x="6231"/>
        <item sd="0" m="1" x="6851"/>
        <item sd="0" m="1" x="7342"/>
        <item sd="0" m="1" x="1857"/>
        <item sd="0" m="1" x="2658"/>
        <item sd="0" m="1" x="3579"/>
        <item sd="0" m="1" x="4542"/>
        <item sd="0" m="1" x="151"/>
        <item sd="0" m="1" x="286"/>
        <item sd="0" m="1" x="3200"/>
        <item sd="0" m="1" x="4178"/>
        <item sd="0" m="1" x="5110"/>
        <item sd="0" m="1" x="5959"/>
        <item sd="0" m="1" x="587"/>
        <item sd="0" m="1" x="999"/>
        <item sd="0" m="1" x="5159"/>
        <item sd="0" m="1" x="6015"/>
        <item sd="0" m="1" x="6695"/>
        <item sd="0" m="1" x="7213"/>
        <item sd="0" m="1" x="1652"/>
        <item sd="0" m="1" x="2404"/>
        <item sd="0" m="1" x="122"/>
        <item sd="0" m="1" x="2082"/>
        <item sd="0" m="1" x="2968"/>
        <item sd="0" m="1" x="3916"/>
        <item sd="0" m="1" x="492"/>
        <item sd="0" m="1" x="3970"/>
        <item sd="0" m="1" x="4922"/>
        <item sd="0" m="1" x="5803"/>
        <item sd="0" m="1" x="1470"/>
        <item sd="0" m="1" x="2014"/>
        <item sd="0" m="1" x="2847"/>
        <item sd="0" m="1" x="3803"/>
        <item sd="0" m="1" x="7491"/>
        <item sd="0" m="1" x="3866"/>
        <item sd="0" m="1" x="4821"/>
        <item sd="0" m="1" x="5709"/>
        <item sd="0" m="1" x="7994"/>
        <item sd="0" m="1" x="5759"/>
        <item sd="0" m="1" x="6496"/>
        <item sd="0" m="1" x="720"/>
        <item sd="0" m="1" x="1183"/>
        <item sd="0" m="1" x="1816"/>
        <item sd="0" m="1" x="2627"/>
        <item sd="0" m="1" x="6892"/>
        <item sd="0" m="1" x="7375"/>
        <item sd="0" m="1" x="1887"/>
        <item sd="0" m="1" x="2696"/>
        <item sd="0" m="1" x="3621"/>
        <item sd="0" m="1" x="4580"/>
        <item sd="0" m="1" x="7179"/>
        <item sd="0" m="1" x="7580"/>
        <item sd="0" m="1" x="3164"/>
        <item sd="0" m="1" x="2778"/>
        <item sd="0" m="1" x="3736"/>
        <item sd="0" m="1" x="4703"/>
        <item sd="0" m="1" x="4755"/>
        <item sd="0" m="1" x="5663"/>
        <item sd="0" m="1" x="6440"/>
        <item sd="0" m="1" x="1118"/>
        <item sd="0" m="1" x="1738"/>
        <item sd="0" m="1" x="2565"/>
        <item sd="0" m="1" x="3489"/>
        <item sd="0" m="1" x="2628"/>
        <item sd="0" m="1" x="3549"/>
        <item sd="0" m="1" x="4519"/>
        <item sd="0" m="1" x="5430"/>
        <item sd="0" m="1" x="4581"/>
        <item sd="0" m="1" x="5479"/>
        <item sd="0" m="1" x="563"/>
        <item sd="0" m="1" x="972"/>
        <item sd="0" m="1" x="1549"/>
        <item sd="0" m="1" x="2300"/>
        <item sd="0" m="1" x="5993"/>
        <item sd="0" m="1" x="6666"/>
        <item sd="0" m="1" x="1597"/>
        <item sd="0" m="1" x="2357"/>
        <item sd="0" m="1" x="3259"/>
        <item sd="0" m="1" x="4238"/>
        <item sd="0" m="1" x="7249"/>
        <item sd="0" m="1" x="7633"/>
        <item sd="0" m="1" x="3340"/>
        <item sd="0" m="1" x="4309"/>
        <item sd="0" m="1" x="5239"/>
        <item sd="0" m="1" x="257"/>
        <item sd="0" m="1" x="470"/>
        <item sd="0" m="1" x="841"/>
        <item sd="0" m="1" x="4894"/>
        <item sd="0" m="1" x="5775"/>
        <item sd="0" m="1" x="6509"/>
        <item sd="0" m="1" x="892"/>
        <item sd="0" m="1" x="1425"/>
        <item sd="0" m="1" x="2148"/>
        <item sd="0" m="1" x="6560"/>
        <item sd="0" m="1" x="7115"/>
        <item sd="0" m="1" x="7539"/>
        <item sd="0" m="1" x="2229"/>
        <item sd="0" m="1" x="3101"/>
        <item sd="0" m="1" x="4067"/>
        <item sd="0" m="1" x="219"/>
        <item sd="0" m="1" x="383"/>
        <item sd="0" m="1" x="3698"/>
        <item sd="0" m="1" x="4646"/>
        <item sd="0" m="1" x="5539"/>
        <item sd="0" m="1" x="783"/>
        <item sd="0" m="1" x="1257"/>
        <item sd="0" m="1" x="5594"/>
        <item sd="0" m="1" x="7932"/>
        <item sd="0" m="1" x="61"/>
        <item sd="0" m="1" x="5330"/>
        <item sd="0" m="1" x="6145"/>
        <item sd="0" m="1" x="6802"/>
        <item sd="0" m="1" x="930"/>
        <item sd="0" m="1" x="1471"/>
        <item sd="0" m="1" x="2188"/>
        <item sd="0" m="1" x="6605"/>
        <item sd="0" m="1" x="7150"/>
        <item sd="0" m="1" x="7561"/>
        <item sd="0" m="1" x="2269"/>
        <item sd="0" m="1" x="3135"/>
        <item sd="0" m="1" x="4106"/>
        <item sd="0" m="1" x="7613"/>
        <item sd="0" m="1" x="7878"/>
        <item sd="0" m="1" x="41"/>
        <item sd="0" m="1" x="4163"/>
        <item sd="0" m="1" x="5095"/>
        <item sd="0" m="1" x="5944"/>
        <item sd="0" m="1" x="811"/>
        <item sd="0" m="1" x="1302"/>
        <item sd="0" m="1" x="5631"/>
        <item sd="0" m="1" x="6412"/>
        <item sd="0" m="1" x="7005"/>
        <item sd="0" m="1" x="2053"/>
        <item sd="0" m="1" x="2903"/>
        <item sd="0" m="1" x="7060"/>
        <item sd="0" m="1" x="7521"/>
        <item sd="0" m="1" x="7820"/>
        <item sd="0" m="1" x="3903"/>
        <item sd="0" m="1" x="4849"/>
        <item sd="0" m="1" x="691"/>
        <item sd="0" m="1" x="3522"/>
        <item sd="0" m="1" x="4486"/>
        <item sd="0" m="1" x="5412"/>
        <item sd="0" m="1" x="6232"/>
        <item sd="0" m="1" x="1858"/>
        <item sd="0" m="1" x="5460"/>
        <item sd="0" m="1" x="6285"/>
        <item sd="0" m="1" x="6923"/>
        <item sd="0" m="1" x="7404"/>
        <item sd="0" m="1" x="3644"/>
        <item sd="0" m="1" x="2329"/>
        <item sd="0" m="1" x="3231"/>
        <item sd="0" m="1" x="4216"/>
        <item sd="0" m="1" x="5160"/>
        <item sd="0" m="1" x="4273"/>
        <item sd="0" m="1" x="5218"/>
        <item sd="0" m="1" x="6081"/>
        <item sd="0" m="1" x="6761"/>
        <item sd="0" m="1" x="6108"/>
        <item sd="0" m="1" x="1392"/>
        <item sd="0" m="1" x="2120"/>
        <item sd="0" m="1" x="3006"/>
        <item sd="0" m="1" x="7089"/>
        <item sd="0" m="1" x="3064"/>
        <item sd="0" m="1" x="4039"/>
        <item sd="0" m="1" x="4989"/>
        <item sd="0" m="1" x="6852"/>
        <item sd="0" m="1" x="7343"/>
        <item sd="0" m="1" x="7709"/>
        <item sd="0" m="1" x="2659"/>
        <item sd="0" m="1" x="3580"/>
        <item sd="0" m="1" x="4543"/>
        <item sd="0" m="1" x="287"/>
        <item sd="0" m="1" x="3201"/>
        <item sd="0" m="1" x="4179"/>
        <item sd="0" m="1" x="5111"/>
        <item sd="0" m="1" x="5960"/>
        <item sd="0" m="1" x="1000"/>
        <item sd="0" m="1" x="5161"/>
        <item sd="0" m="1" x="6016"/>
        <item sd="0" m="1" x="6696"/>
        <item sd="0" m="1" x="7214"/>
        <item sd="0" m="1" x="2405"/>
        <item sd="0" m="1" x="2083"/>
        <item sd="0" m="1" x="2969"/>
        <item sd="0" m="1" x="3917"/>
        <item sd="0" m="1" x="3971"/>
        <item sd="0" m="1" x="4923"/>
        <item sd="0" m="1" x="5804"/>
        <item sd="0" m="1" x="2015"/>
        <item sd="0" m="1" x="2848"/>
        <item sd="0" m="1" x="3804"/>
        <item sd="0" m="1" x="7492"/>
        <item sd="0" m="1" x="7795"/>
        <item sd="0" m="1" x="3867"/>
        <item sd="0" m="1" x="4822"/>
        <item sd="0" m="1" x="5710"/>
        <item sd="0" m="1" x="7995"/>
        <item sd="0" m="1" x="84"/>
        <item sd="0" m="1" x="5760"/>
        <item sd="0" m="1" x="6497"/>
        <item sd="0" m="1" x="7075"/>
        <item sd="0" m="1" x="1184"/>
        <item sd="0" m="1" x="1817"/>
        <item sd="0" m="1" x="2629"/>
        <item sd="0" m="1" x="6893"/>
        <item sd="0" m="1" x="7376"/>
        <item sd="0" m="1" x="7728"/>
        <item sd="0" m="1" x="2697"/>
        <item sd="0" m="1" x="3622"/>
        <item sd="0" m="1" x="4582"/>
        <item sd="0" m="1" x="7764"/>
        <item sd="0" m="1" x="7959"/>
        <item sd="0" m="1" x="73"/>
        <item sd="0" m="1" x="4637"/>
        <item sd="0" m="1" x="5530"/>
        <item sd="0" m="1" x="6306"/>
        <item sd="0" m="1" x="931"/>
        <item sd="0" m="1" x="1472"/>
        <item sd="0" m="1" x="2189"/>
        <item sd="0" m="1" x="6606"/>
        <item sd="0" m="1" x="7151"/>
        <item sd="0" m="1" x="2270"/>
        <item sd="0" m="1" x="3136"/>
        <item sd="0" m="1" x="4107"/>
        <item sd="0" m="1" x="6924"/>
        <item sd="0" m="1" x="7405"/>
        <item sd="0" m="1" x="2722"/>
        <item sd="0" m="1" x="3645"/>
        <item sd="0" m="1" x="2330"/>
        <item sd="0" m="1" x="3232"/>
        <item sd="0" m="1" x="4217"/>
        <item sd="0" m="1" x="5162"/>
        <item sd="0" m="1" x="4274"/>
        <item sd="0" m="1" x="5219"/>
        <item sd="0" m="1" x="6082"/>
        <item sd="0" m="1" x="6762"/>
        <item sd="0" m="1" x="1393"/>
        <item sd="0" m="1" x="2121"/>
        <item sd="0" m="1" x="3007"/>
        <item sd="0" m="1" x="3065"/>
        <item sd="0" m="1" x="4040"/>
        <item sd="0" m="1" x="4990"/>
        <item sd="0" m="1" x="5045"/>
        <item sd="0" m="1" x="411"/>
        <item sd="0" m="1" x="748"/>
        <item sd="0" m="1" x="1237"/>
        <item sd="0" m="1" x="1913"/>
        <item sd="0" m="1" x="6343"/>
        <item sd="0" m="1" x="1303"/>
        <item sd="0" m="1" x="1957"/>
        <item sd="0" m="1" x="2808"/>
        <item sd="0" m="1" x="3764"/>
        <item sd="0" m="1" x="7458"/>
        <item sd="0" m="1" x="2904"/>
        <item sd="0" m="1" x="3834"/>
        <item sd="0" m="1" x="4789"/>
        <item sd="0" m="1" x="180"/>
        <item sd="0" m="1" x="344"/>
        <item sd="0" m="1" x="641"/>
        <item sd="0" m="1" x="1091"/>
        <item sd="0" m="1" x="4420"/>
        <item sd="0" m="1" x="5346"/>
        <item sd="0" m="1" x="6161"/>
        <item sd="0" m="1" x="692"/>
        <item sd="0" m="1" x="1141"/>
        <item sd="0" m="1" x="1769"/>
        <item sd="0" m="1" x="2591"/>
        <item sd="0" m="1" x="6233"/>
        <item sd="0" m="1" x="6853"/>
        <item sd="0" m="1" x="7344"/>
        <item sd="0" m="1" x="1859"/>
        <item sd="0" m="1" x="2660"/>
        <item sd="0" m="1" x="3581"/>
        <item sd="0" m="1" x="4544"/>
        <item sd="0" m="1" x="152"/>
        <item sd="0" m="1" x="288"/>
        <item sd="0" m="1" x="3202"/>
        <item sd="0" m="1" x="4180"/>
        <item sd="0" m="1" x="5112"/>
        <item sd="0" m="1" x="5961"/>
        <item sd="0" m="1" x="588"/>
        <item sd="0" m="1" x="1001"/>
        <item sd="0" m="1" x="5163"/>
        <item sd="0" m="1" x="7996"/>
        <item sd="0" m="1" x="5761"/>
        <item sd="0" m="1" x="6498"/>
        <item sd="0" m="1" x="721"/>
        <item sd="0" m="1" x="1185"/>
        <item sd="0" m="1" x="1818"/>
        <item sd="0" m="1" x="2630"/>
        <item sd="0" m="1" x="6894"/>
        <item sd="0" m="1" x="7377"/>
        <item sd="0" m="1" x="1888"/>
        <item sd="0" m="1" x="2698"/>
        <item sd="0" m="1" x="3623"/>
        <item sd="0" m="1" x="4583"/>
        <item sd="0" m="1" x="7765"/>
        <item sd="0" m="1" x="7960"/>
        <item sd="0" m="1" x="3691"/>
        <item sd="0" m="1" x="4638"/>
        <item sd="0" m="1" x="5531"/>
        <item sd="0" m="1" x="6307"/>
        <item sd="0" m="1" x="614"/>
        <item sd="0" m="1" x="1046"/>
        <item sd="0" m="1" x="1598"/>
        <item sd="0" m="1" x="5195"/>
        <item sd="0" m="1" x="6049"/>
        <item sd="0" m="1" x="6734"/>
        <item sd="0" m="1" x="7250"/>
        <item sd="0" m="1" x="1682"/>
        <item sd="0" m="1" x="2462"/>
        <item sd="0" m="1" x="3341"/>
        <item sd="0" m="1" x="6788"/>
        <item sd="0" m="1" x="7307"/>
        <item sd="0" m="1" x="7687"/>
        <item sd="0" m="1" x="7902"/>
        <item sd="0" m="1" x="3423"/>
        <item sd="0" m="1" x="4368"/>
        <item sd="0" m="1" x="5290"/>
        <item sd="0" m="1" x="519"/>
        <item sd="0" m="1" x="4007"/>
        <item sd="0" m="1" x="4959"/>
        <item sd="0" m="1" x="5850"/>
        <item sd="0" m="1" x="6561"/>
        <item sd="0" m="1" x="1509"/>
        <item sd="0" m="1" x="5897"/>
        <item sd="0" m="1" x="6635"/>
        <item sd="0" m="1" x="7180"/>
        <item sd="0" m="1" x="7581"/>
        <item sd="0" m="1" x="3165"/>
        <item sd="0" m="1" x="2779"/>
        <item sd="0" m="1" x="3737"/>
        <item sd="0" m="1" x="4704"/>
        <item sd="0" m="1" x="4756"/>
        <item sd="0" m="1" x="5664"/>
        <item sd="0" m="1" x="6441"/>
        <item sd="0" m="1" x="1119"/>
        <item sd="0" m="1" x="1739"/>
        <item sd="0" m="1" x="2566"/>
        <item sd="0" m="1" x="3490"/>
        <item sd="0" m="1" x="2631"/>
        <item sd="0" m="1" x="3550"/>
        <item sd="0" m="1" x="4520"/>
        <item sd="0" m="1" x="5431"/>
        <item sd="0" m="1" x="6562"/>
        <item sd="0" m="1" x="7116"/>
        <item sd="0" m="1" x="7540"/>
        <item sd="0" m="1" x="2230"/>
        <item sd="0" m="1" x="3102"/>
        <item sd="0" m="1" x="4068"/>
        <item sd="0" m="1" x="220"/>
        <item sd="0" m="1" x="384"/>
        <item sd="0" m="1" x="3699"/>
        <item sd="0" m="1" x="4647"/>
        <item sd="0" m="1" x="5540"/>
        <item sd="0" m="1" x="784"/>
        <item sd="0" m="1" x="1258"/>
        <item sd="0" m="1" x="5595"/>
        <item sd="0" m="1" x="6379"/>
        <item sd="0" m="1" x="6969"/>
        <item sd="0" m="1" x="2016"/>
        <item sd="0" m="1" x="2849"/>
        <item sd="0" m="1" x="161"/>
        <item sd="0" m="1" x="1713"/>
        <item sd="0" m="1" x="2513"/>
        <item sd="0" m="1" x="3445"/>
        <item sd="0" m="1" x="4377"/>
        <item sd="0" m="1" x="660"/>
        <item sd="0" m="1" x="3491"/>
        <item sd="0" m="1" x="4451"/>
        <item sd="0" m="1" x="5379"/>
        <item sd="0" m="1" x="6187"/>
        <item sd="0" m="1" x="1819"/>
        <item sd="0" m="1" x="1653"/>
        <item sd="0" m="1" x="2406"/>
        <item sd="0" m="1" x="3293"/>
        <item sd="0" m="1" x="4275"/>
        <item sd="0" m="1" x="7282"/>
        <item sd="0" m="1" x="7656"/>
        <item sd="0" m="1" x="3380"/>
        <item sd="0" m="1" x="4339"/>
        <item sd="0" m="1" x="5271"/>
        <item sd="0" m="1" x="6109"/>
        <item sd="0" m="1" x="7933"/>
        <item sd="0" m="1" x="62"/>
        <item sd="0" m="1" x="5331"/>
        <item sd="0" m="1" x="6146"/>
        <item sd="0" m="1" x="6803"/>
        <item sd="0" m="1" x="932"/>
        <item sd="0" m="1" x="1473"/>
        <item sd="0" m="1" x="2190"/>
        <item sd="0" m="1" x="6607"/>
        <item sd="0" m="1" x="7152"/>
        <item sd="0" m="1" x="7562"/>
        <item sd="0" m="1" x="2271"/>
        <item sd="0" m="1" x="3137"/>
        <item sd="0" m="1" x="4108"/>
        <item sd="0" m="1" x="7614"/>
        <item sd="0" m="1" x="7879"/>
        <item sd="0" m="1" x="42"/>
        <item sd="0" m="1" x="4164"/>
        <item sd="0" m="1" x="5096"/>
        <item sd="0" m="1" x="5945"/>
        <item sd="0" m="1" x="812"/>
        <item sd="0" m="1" x="1304"/>
        <item sd="0" m="1" x="5632"/>
        <item sd="0" m="1" x="6413"/>
        <item sd="0" m="1" x="7006"/>
        <item sd="0" m="1" x="2054"/>
        <item sd="0" m="1" x="2905"/>
        <item sd="0" m="1" x="7061"/>
        <item sd="0" m="1" x="6110"/>
        <item sd="0" m="1" x="1394"/>
        <item sd="0" m="1" x="2122"/>
        <item sd="0" m="1" x="3008"/>
        <item sd="0" m="1" x="7090"/>
        <item sd="0" m="1" x="3066"/>
        <item sd="0" m="1" x="4041"/>
        <item sd="0" m="1" x="4991"/>
        <item sd="0" m="1" x="7849"/>
        <item sd="0" m="1" x="5046"/>
        <item sd="0" m="1" x="5915"/>
        <item sd="0" m="1" x="412"/>
        <item sd="0" m="1" x="749"/>
        <item sd="0" m="1" x="1238"/>
        <item sd="0" m="1" x="1914"/>
        <item sd="0" m="1" x="6344"/>
        <item sd="0" m="1" x="6942"/>
        <item sd="0" m="1" x="1305"/>
        <item sd="0" m="1" x="1958"/>
        <item sd="0" m="1" x="2809"/>
        <item sd="0" m="1" x="3765"/>
        <item sd="0" m="1" x="7459"/>
        <item sd="0" m="1" x="7784"/>
        <item sd="0" m="1" x="2906"/>
        <item sd="0" m="1" x="3835"/>
        <item sd="0" m="1" x="4790"/>
        <item sd="0" m="1" x="5680"/>
        <item sd="0" m="1" x="345"/>
        <item sd="0" m="1" x="642"/>
        <item sd="0" m="1" x="1092"/>
        <item sd="0" m="1" x="4421"/>
        <item sd="0" m="1" x="5347"/>
        <item sd="0" m="1" x="6162"/>
        <item sd="0" m="1" x="6812"/>
        <item sd="0" m="1" x="1142"/>
        <item sd="0" m="1" x="1770"/>
        <item sd="0" m="1" x="2592"/>
        <item sd="0" m="1" x="6234"/>
        <item sd="0" m="1" x="6854"/>
        <item sd="0" m="1" x="7345"/>
        <item sd="0" m="1" x="7710"/>
        <item sd="0" m="1" x="2661"/>
        <item sd="0" m="1" x="3582"/>
        <item sd="0" m="1" x="4545"/>
        <item sd="0" m="1" x="289"/>
        <item sd="0" m="1" x="3203"/>
        <item sd="0" m="1" x="4181"/>
        <item sd="0" m="1" x="5113"/>
        <item sd="0" m="1" x="5962"/>
        <item sd="0" m="1" x="1002"/>
        <item sd="0" m="1" x="5164"/>
        <item sd="0" m="1" x="6017"/>
        <item sd="0" m="1" x="6697"/>
        <item sd="0" m="1" x="7215"/>
        <item sd="0" m="1" x="2407"/>
        <item sd="0" m="1" x="2084"/>
        <item sd="0" m="1" x="2970"/>
        <item sd="0" m="1" x="3918"/>
        <item sd="0" m="1" x="3972"/>
        <item sd="0" m="1" x="4924"/>
        <item sd="0" m="1" x="5805"/>
        <item sd="0" m="1" x="7195"/>
        <item sd="0" m="1" x="7615"/>
        <item sd="0" m="1" x="7880"/>
        <item sd="0" m="1" x="3189"/>
        <item sd="0" m="1" x="4165"/>
        <item sd="0" m="1" x="5097"/>
        <item sd="0" m="1" x="5946"/>
        <item sd="0" m="1" x="445"/>
        <item sd="0" m="1" x="813"/>
        <item sd="0" m="1" x="4725"/>
        <item sd="0" m="1" x="5633"/>
        <item sd="0" m="1" x="6414"/>
        <item sd="0" m="1" x="7007"/>
        <item sd="0" m="1" x="1351"/>
        <item sd="0" m="1" x="2055"/>
        <item sd="0" m="1" x="6460"/>
        <item sd="0" m="1" x="7062"/>
        <item sd="0" m="1" x="7522"/>
        <item sd="0" m="1" x="7821"/>
        <item sd="0" m="1" x="2958"/>
        <item sd="0" m="1" x="3904"/>
        <item sd="0" m="1" x="375"/>
        <item sd="0" m="1" x="3523"/>
        <item sd="0" m="1" x="4487"/>
        <item sd="0" m="1" x="5413"/>
        <item sd="0" m="1" x="1210"/>
        <item sd="0" m="1" x="5461"/>
        <item sd="0" m="1" x="6286"/>
        <item sd="0" m="1" x="6925"/>
        <item sd="0" m="1" x="2723"/>
        <item sd="0" m="1" x="1563"/>
        <item sd="0" m="1" x="2331"/>
        <item sd="0" m="1" x="3233"/>
        <item sd="0" m="1" x="4218"/>
        <item sd="0" m="1" x="3294"/>
        <item sd="0" m="1" x="4276"/>
        <item sd="0" m="1" x="5220"/>
        <item sd="0" m="1" x="6083"/>
        <item sd="0" m="1" x="5272"/>
        <item sd="0" m="1" x="861"/>
        <item sd="0" m="1" x="1395"/>
        <item sd="0" m="1" x="2123"/>
        <item sd="0" m="1" x="3009"/>
        <item sd="0" m="1" x="6524"/>
        <item sd="0" m="1" x="2191"/>
        <item sd="0" m="1" x="3067"/>
        <item sd="0" m="1" x="4042"/>
        <item sd="0" m="1" x="4992"/>
        <item sd="0" m="1" x="7563"/>
        <item sd="0" m="1" x="4109"/>
        <item sd="0" m="1" x="5047"/>
        <item sd="0" m="1" x="413"/>
        <item sd="0" m="1" x="750"/>
        <item sd="0" m="1" x="1239"/>
        <item sd="0" m="1" x="5567"/>
        <item sd="0" m="1" x="6345"/>
        <item sd="0" m="1" x="1306"/>
        <item sd="0" m="1" x="1959"/>
        <item sd="0" m="1" x="2810"/>
        <item sd="0" m="1" x="6018"/>
        <item sd="0" m="1" x="6698"/>
        <item sd="0" m="1" x="1654"/>
        <item sd="0" m="1" x="2408"/>
        <item sd="0" m="1" x="1362"/>
        <item sd="0" m="1" x="2085"/>
        <item sd="0" m="1" x="2971"/>
        <item sd="0" m="1" x="3919"/>
        <item sd="0" m="1" x="3010"/>
        <item sd="0" m="1" x="3973"/>
        <item sd="0" m="1" x="4925"/>
        <item sd="0" m="1" x="5806"/>
        <item sd="0" m="1" x="1332"/>
        <item sd="0" m="1" x="2017"/>
        <item sd="0" m="1" x="2850"/>
        <item sd="0" m="1" x="3805"/>
        <item sd="0" m="1" x="7029"/>
        <item sd="0" m="1" x="7493"/>
        <item sd="0" m="1" x="2925"/>
        <item sd="0" m="1" x="3868"/>
        <item sd="0" m="1" x="4823"/>
        <item sd="0" m="1" x="5711"/>
        <item sd="0" m="1" x="7837"/>
        <item sd="0" m="1" x="7997"/>
        <item sd="0" m="1" x="4884"/>
        <item sd="0" m="1" x="5762"/>
        <item sd="0" m="1" x="6499"/>
        <item sd="0" m="1" x="722"/>
        <item sd="0" m="1" x="1186"/>
        <item sd="0" m="1" x="1820"/>
        <item sd="0" m="1" x="6262"/>
        <item sd="0" m="1" x="6895"/>
        <item sd="0" m="1" x="7378"/>
        <item sd="0" m="1" x="1889"/>
        <item sd="0" m="1" x="2699"/>
        <item sd="0" m="1" x="3624"/>
        <item sd="0" m="1" x="7427"/>
        <item sd="0" m="1" x="7766"/>
        <item sd="0" m="1" x="7961"/>
        <item sd="0" m="1" x="3692"/>
        <item sd="0" m="1" x="4639"/>
        <item sd="0" m="1" x="5532"/>
        <item sd="0" m="1" x="615"/>
        <item sd="0" m="1" x="1047"/>
        <item sd="0" m="1" x="5196"/>
        <item sd="0" m="1" x="6050"/>
        <item sd="0" m="1" x="6735"/>
        <item sd="0" m="1" x="1683"/>
        <item sd="0" m="1" x="2463"/>
        <item sd="0" m="1" x="6789"/>
        <item sd="0" m="1" x="7308"/>
        <item sd="0" m="1" x="7688"/>
        <item sd="0" m="1" x="3424"/>
        <item sd="0" m="1" x="4369"/>
        <item sd="0" m="1" x="520"/>
        <item sd="0" m="1" x="3035"/>
        <item sd="0" m="1" x="4008"/>
        <item sd="0" m="1" x="4960"/>
        <item sd="0" m="1" x="5851"/>
        <item sd="0" m="1" x="1510"/>
        <item sd="0" m="1" x="5016"/>
        <item sd="0" m="1" x="5898"/>
        <item sd="0" m="1" x="6636"/>
        <item sd="0" m="1" x="7729"/>
        <item sd="0" m="1" x="4584"/>
        <item sd="0" m="1" x="5480"/>
        <item sd="0" m="1" x="315"/>
        <item sd="0" m="1" x="564"/>
        <item sd="0" m="1" x="973"/>
        <item sd="0" m="1" x="1550"/>
        <item sd="0" m="1" x="5994"/>
        <item sd="0" m="1" x="6667"/>
        <item sd="0" m="1" x="1048"/>
        <item sd="0" m="1" x="1599"/>
        <item sd="0" m="1" x="2358"/>
        <item sd="0" m="1" x="3260"/>
        <item sd="0" m="1" x="7251"/>
        <item sd="0" m="1" x="7634"/>
        <item sd="0" m="1" x="2464"/>
        <item sd="0" m="1" x="3342"/>
        <item sd="0" m="1" x="4310"/>
        <item sd="0" m="1" x="5240"/>
        <item sd="0" m="1" x="258"/>
        <item sd="0" m="1" x="471"/>
        <item sd="0" m="1" x="842"/>
        <item sd="0" m="1" x="3951"/>
        <item sd="0" m="1" x="4895"/>
        <item sd="0" m="1" x="5776"/>
        <item sd="0" m="1" x="6510"/>
        <item sd="0" m="1" x="893"/>
        <item sd="0" m="1" x="1426"/>
        <item sd="0" m="1" x="2149"/>
        <item sd="0" m="1" x="5852"/>
        <item sd="0" m="1" x="6563"/>
        <item sd="0" m="1" x="7117"/>
        <item sd="0" m="1" x="7541"/>
        <item sd="0" m="1" x="2231"/>
        <item sd="0" m="1" x="3103"/>
        <item sd="0" m="1" x="4069"/>
        <item sd="0" m="1" x="221"/>
        <item sd="0" m="1" x="2746"/>
        <item sd="0" m="1" x="3700"/>
        <item sd="0" m="1" x="4648"/>
        <item sd="0" m="1" x="5541"/>
        <item sd="0" m="1" x="785"/>
        <item sd="0" m="1" x="4705"/>
        <item sd="0" m="1" x="5596"/>
        <item sd="0" m="1" x="6380"/>
        <item sd="0" m="1" x="6970"/>
        <item sd="0" m="1" x="2018"/>
        <item sd="0" m="1" x="1714"/>
        <item sd="0" m="1" x="2514"/>
        <item sd="0" m="1" x="3446"/>
        <item sd="0" m="1" x="3492"/>
        <item sd="0" m="1" x="4452"/>
        <item sd="0" m="1" x="5380"/>
        <item sd="0" m="1" x="1064"/>
        <item sd="0" m="1" x="1655"/>
        <item sd="0" m="1" x="2409"/>
        <item sd="0" m="1" x="3295"/>
        <item sd="0" m="1" x="7283"/>
        <item sd="0" m="1" x="7657"/>
        <item sd="0" m="1" x="2480"/>
        <item sd="0" m="1" x="3381"/>
        <item sd="0" m="1" x="4340"/>
        <item sd="0" m="1" x="5273"/>
        <item sd="0" m="1" x="7523"/>
        <item sd="0" m="1" x="7822"/>
        <item sd="0" m="1" x="3905"/>
        <item sd="0" m="1" x="3524"/>
        <item sd="0" m="1" x="4488"/>
        <item sd="0" m="1" x="5414"/>
        <item sd="0" m="1" x="5462"/>
        <item sd="0" m="1" x="6287"/>
        <item sd="0" m="1" x="6926"/>
        <item sd="0" m="1" x="1564"/>
        <item sd="0" m="1" x="2332"/>
        <item sd="0" m="1" x="3234"/>
        <item sd="0" m="1" x="4219"/>
        <item sd="0" m="1" x="3296"/>
        <item sd="0" m="1" x="4277"/>
        <item sd="0" m="1" x="5221"/>
        <item sd="0" m="1" x="6084"/>
        <item sd="0" m="1" x="5274"/>
        <item sd="0" m="1" x="6111"/>
        <item sd="0" m="1" x="862"/>
        <item sd="0" m="1" x="1396"/>
        <item sd="0" m="1" x="2124"/>
        <item sd="0" m="1" x="3011"/>
        <item sd="0" m="1" x="6525"/>
        <item sd="0" m="1" x="7091"/>
        <item sd="0" m="1" x="2192"/>
        <item sd="0" m="1" x="3068"/>
        <item sd="0" m="1" x="4043"/>
        <item sd="0" m="1" x="4993"/>
        <item sd="0" m="1" x="7564"/>
        <item sd="0" m="1" x="7850"/>
        <item sd="0" m="1" x="4110"/>
        <item sd="0" m="1" x="5048"/>
        <item sd="0" m="1" x="5916"/>
        <item sd="0" m="1" x="414"/>
        <item sd="0" m="1" x="751"/>
        <item sd="0" m="1" x="1240"/>
        <item sd="0" m="1" x="5568"/>
        <item sd="0" m="1" x="6346"/>
        <item sd="0" m="1" x="6943"/>
        <item sd="0" m="1" x="1307"/>
        <item sd="0" m="1" x="1960"/>
        <item sd="0" m="1" x="2811"/>
        <item sd="0" m="1" x="7008"/>
        <item sd="0" m="1" x="7460"/>
        <item sd="0" m="1" x="7785"/>
        <item sd="0" m="1" x="2907"/>
        <item sd="0" m="1" x="3836"/>
        <item sd="0" m="1" x="4791"/>
        <item sd="0" m="1" x="346"/>
        <item sd="0" m="1" x="643"/>
        <item sd="0" m="1" x="4422"/>
        <item sd="0" m="1" x="5348"/>
        <item sd="0" m="1" x="6163"/>
        <item sd="0" m="1" x="1143"/>
        <item sd="0" m="1" x="1771"/>
        <item sd="0" m="1" x="6235"/>
        <item sd="0" m="1" x="4994"/>
        <item sd="0" m="1" x="1333"/>
        <item sd="0" m="1" x="2019"/>
        <item sd="0" m="1" x="2851"/>
        <item sd="0" m="1" x="3806"/>
        <item sd="0" m="1" x="7030"/>
        <item sd="0" m="1" x="7494"/>
        <item sd="0" m="1" x="7796"/>
        <item sd="0" m="1" x="2926"/>
        <item sd="0" m="1" x="3869"/>
        <item sd="0" m="1" x="4824"/>
        <item sd="0" m="1" x="5712"/>
        <item sd="0" m="1" x="7838"/>
        <item sd="0" m="1" x="7998"/>
        <item sd="0" m="1" x="85"/>
        <item sd="0" m="1" x="4885"/>
        <item sd="0" m="1" x="5763"/>
        <item sd="0" m="1" x="6500"/>
        <item sd="0" m="1" x="7076"/>
        <item sd="0" m="1" x="1187"/>
        <item sd="0" m="1" x="1821"/>
        <item sd="0" m="1" x="6263"/>
        <item sd="0" m="1" x="6896"/>
        <item sd="0" m="1" x="7379"/>
        <item sd="0" m="1" x="7730"/>
        <item sd="0" m="1" x="2700"/>
        <item sd="0" m="1" x="3625"/>
        <item sd="0" m="1" x="7428"/>
        <item sd="0" m="1" x="7767"/>
        <item sd="0" m="1" x="7962"/>
        <item sd="0" m="1" x="74"/>
        <item sd="0" m="1" x="4640"/>
        <item sd="0" m="1" x="5533"/>
        <item sd="0" m="1" x="535"/>
        <item sd="0" m="1" x="933"/>
        <item sd="0" m="1" x="1474"/>
        <item sd="0" m="1" x="2193"/>
        <item sd="0" m="1" x="5868"/>
        <item sd="0" m="1" x="6608"/>
        <item sd="0" m="1" x="7153"/>
        <item sd="0" m="1" x="1525"/>
        <item sd="0" m="1" x="2272"/>
        <item sd="0" m="1" x="3138"/>
        <item sd="0" m="1" x="4111"/>
        <item sd="0" m="1" x="7196"/>
        <item sd="0" m="1" x="7616"/>
        <item sd="0" m="1" x="7881"/>
        <item sd="0" m="1" x="3190"/>
        <item sd="0" m="1" x="4166"/>
        <item sd="0" m="1" x="5098"/>
        <item sd="0" m="1" x="5947"/>
        <item sd="0" m="1" x="446"/>
        <item sd="0" m="1" x="814"/>
        <item sd="0" m="1" x="4726"/>
        <item sd="0" m="1" x="5634"/>
        <item sd="0" m="1" x="6415"/>
        <item sd="0" m="1" x="7009"/>
        <item sd="0" m="1" x="1352"/>
        <item sd="0" m="1" x="2056"/>
        <item sd="0" m="1" x="6461"/>
        <item sd="0" m="1" x="7063"/>
        <item sd="0" m="1" x="7524"/>
        <item sd="0" m="1" x="7823"/>
        <item sd="0" m="1" x="2959"/>
        <item sd="0" m="1" x="3906"/>
        <item sd="0" m="1" x="376"/>
        <item sd="0" m="1" x="3525"/>
        <item sd="0" m="1" x="4489"/>
        <item sd="0" m="1" x="5415"/>
        <item sd="0" m="1" x="1211"/>
        <item sd="0" m="1" x="5463"/>
        <item sd="0" m="1" x="6288"/>
        <item sd="0" m="1" x="7565"/>
        <item sd="0" m="1" x="4112"/>
        <item sd="0" m="1" x="5049"/>
        <item sd="0" m="1" x="415"/>
        <item sd="0" m="1" x="752"/>
        <item sd="0" m="1" x="1241"/>
        <item sd="0" m="1" x="5569"/>
        <item sd="0" m="1" x="6347"/>
        <item sd="0" m="1" x="1308"/>
        <item sd="0" m="1" x="1961"/>
        <item sd="0" m="1" x="2812"/>
        <item sd="0" m="1" x="7010"/>
        <item sd="0" m="1" x="7461"/>
        <item sd="0" m="1" x="2908"/>
        <item sd="0" m="1" x="3837"/>
        <item sd="0" m="1" x="4792"/>
        <item sd="0" m="1" x="181"/>
        <item sd="0" m="1" x="347"/>
        <item sd="0" m="1" x="644"/>
        <item sd="0" m="1" x="4423"/>
        <item sd="0" m="1" x="5349"/>
        <item sd="0" m="1" x="6164"/>
        <item sd="0" m="1" x="693"/>
        <item sd="0" m="1" x="1144"/>
        <item sd="0" m="1" x="1772"/>
        <item sd="0" m="1" x="6236"/>
        <item sd="0" m="1" x="6855"/>
        <item sd="0" m="1" x="7346"/>
        <item sd="0" m="1" x="1860"/>
        <item sd="0" m="1" x="2662"/>
        <item sd="0" m="1" x="3583"/>
        <item sd="0" m="1" x="153"/>
        <item sd="0" m="1" x="290"/>
        <item sd="0" m="1" x="2290"/>
        <item sd="0" m="1" x="3204"/>
        <item sd="0" m="1" x="4182"/>
        <item sd="0" m="1" x="5114"/>
        <item sd="0" m="1" x="589"/>
        <item sd="0" m="1" x="1003"/>
        <item sd="0" m="1" x="4220"/>
        <item sd="0" m="1" x="5165"/>
        <item sd="0" m="1" x="6019"/>
        <item sd="0" m="1" x="6699"/>
        <item sd="0" m="1" x="1656"/>
        <item sd="0" m="1" x="2410"/>
        <item sd="0" m="1" x="1363"/>
        <item sd="0" m="1" x="2086"/>
        <item sd="0" m="1" x="2972"/>
        <item sd="0" m="1" x="3920"/>
        <item sd="0" m="1" x="3012"/>
        <item sd="0" m="1" x="3974"/>
        <item sd="0" m="1" x="4926"/>
        <item sd="0" m="1" x="5807"/>
        <item sd="0" m="1" x="1334"/>
        <item sd="0" m="1" x="2020"/>
        <item sd="0" m="1" x="2852"/>
        <item sd="0" m="1" x="3807"/>
        <item sd="0" m="1" x="7031"/>
        <item sd="0" m="1" x="7495"/>
        <item sd="0" m="1" x="2927"/>
        <item sd="0" m="1" x="3870"/>
        <item sd="0" m="1" x="4825"/>
        <item sd="0" m="1" x="5713"/>
        <item sd="0" m="1" x="7309"/>
        <item sd="0" m="1" x="7689"/>
        <item sd="0" m="1" x="3425"/>
        <item sd="0" m="1" x="4370"/>
        <item sd="0" m="1" x="521"/>
        <item sd="0" m="1" x="3036"/>
        <item sd="0" m="1" x="4009"/>
        <item sd="0" m="1" x="4961"/>
        <item sd="0" m="1" x="5853"/>
        <item sd="0" m="1" x="1511"/>
        <item sd="0" m="1" x="5017"/>
        <item sd="0" m="1" x="5899"/>
        <item sd="0" m="1" x="6637"/>
        <item sd="0" m="1" x="7181"/>
        <item sd="0" m="1" x="3166"/>
        <item sd="0" m="1" x="1936"/>
        <item sd="0" m="1" x="2780"/>
        <item sd="0" m="1" x="3738"/>
        <item sd="0" m="1" x="4706"/>
        <item sd="0" m="1" x="3808"/>
        <item sd="0" m="1" x="4757"/>
        <item sd="0" m="1" x="5665"/>
        <item sd="0" m="1" x="6442"/>
        <item sd="0" m="1" x="5714"/>
        <item sd="0" m="1" x="1120"/>
        <item sd="0" m="1" x="1740"/>
        <item sd="0" m="1" x="2567"/>
        <item sd="0" m="1" x="6831"/>
        <item sd="0" m="1" x="2632"/>
        <item sd="0" m="1" x="3551"/>
        <item sd="0" m="1" x="4521"/>
        <item sd="0" m="1" x="7731"/>
        <item sd="0" m="1" x="4585"/>
        <item sd="0" m="1" x="5481"/>
        <item sd="0" m="1" x="316"/>
        <item sd="0" m="1" x="565"/>
        <item sd="0" m="1" x="974"/>
        <item sd="0" m="1" x="1551"/>
        <item sd="0" m="1" x="5995"/>
        <item sd="0" m="1" x="6668"/>
        <item sd="0" m="1" x="1049"/>
        <item sd="0" m="1" x="1600"/>
        <item sd="0" m="1" x="2359"/>
        <item sd="0" m="1" x="3261"/>
        <item sd="0" m="1" x="7252"/>
        <item sd="0" m="1" x="7635"/>
        <item sd="0" m="1" x="2465"/>
        <item sd="0" m="1" x="3343"/>
        <item sd="0" m="1" x="4311"/>
        <item sd="0" m="1" x="5241"/>
        <item sd="0" m="1" x="259"/>
        <item sd="0" m="1" x="472"/>
        <item sd="0" m="1" x="843"/>
        <item sd="0" m="1" x="3952"/>
        <item sd="0" m="1" x="4896"/>
        <item sd="0" m="1" x="5777"/>
        <item sd="0" m="1" x="6511"/>
        <item sd="0" m="1" x="894"/>
        <item sd="0" m="1" x="1427"/>
        <item sd="0" m="1" x="2150"/>
        <item sd="0" m="1" x="5854"/>
        <item sd="0" m="1" x="1065"/>
        <item sd="0" m="1" x="1657"/>
        <item sd="0" m="1" x="2411"/>
        <item sd="0" m="1" x="3297"/>
        <item sd="0" m="1" x="7284"/>
        <item sd="0" m="1" x="7658"/>
        <item sd="0" m="1" x="2481"/>
        <item sd="0" m="1" x="3382"/>
        <item sd="0" m="1" x="4341"/>
        <item sd="0" m="1" x="5275"/>
        <item sd="0" m="1" x="7934"/>
        <item sd="0" m="1" x="63"/>
        <item sd="0" m="1" x="4406"/>
        <item sd="0" m="1" x="5332"/>
        <item sd="0" m="1" x="6147"/>
        <item sd="0" m="1" x="6804"/>
        <item sd="0" m="1" x="934"/>
        <item sd="0" m="1" x="1475"/>
        <item sd="0" m="1" x="2194"/>
        <item sd="0" m="1" x="5869"/>
        <item sd="0" m="1" x="6609"/>
        <item sd="0" m="1" x="7154"/>
        <item sd="0" m="1" x="7566"/>
        <item sd="0" m="1" x="2273"/>
        <item sd="0" m="1" x="3139"/>
        <item sd="0" m="1" x="4113"/>
        <item sd="0" m="1" x="7197"/>
        <item sd="0" m="1" x="7617"/>
        <item sd="0" m="1" x="7882"/>
        <item sd="0" m="1" x="43"/>
        <item sd="0" m="1" x="4167"/>
        <item sd="0" m="1" x="5099"/>
        <item sd="0" m="1" x="5948"/>
        <item sd="0" m="1" x="815"/>
        <item sd="0" m="1" x="4727"/>
        <item sd="0" m="1" x="5635"/>
        <item sd="0" m="1" x="6416"/>
        <item sd="0" m="1" x="7011"/>
        <item sd="0" m="1" x="2057"/>
        <item sd="0" m="1" x="6462"/>
        <item sd="0" m="1" x="7064"/>
        <item sd="0" m="1" x="7525"/>
        <item sd="0" m="1" x="7824"/>
        <item sd="0" m="1" x="3907"/>
        <item sd="0" m="1" x="3526"/>
        <item sd="0" m="1" x="4490"/>
        <item sd="0" m="1" x="5416"/>
        <item sd="0" m="1" x="5464"/>
        <item sd="0" m="1" x="6289"/>
        <item sd="0" m="1" x="6927"/>
        <item sd="0" m="1" x="1565"/>
        <item sd="0" m="1" x="2333"/>
        <item sd="0" m="1" x="3235"/>
        <item sd="0" m="1" x="4221"/>
        <item sd="0" m="1" x="3298"/>
        <item sd="0" m="1" x="4278"/>
        <item sd="0" m="1" x="5222"/>
        <item sd="0" m="1" x="6085"/>
        <item sd="0" m="1" x="7012"/>
        <item sd="0" m="1" x="7462"/>
        <item sd="0" m="1" x="7786"/>
        <item sd="0" m="1" x="2909"/>
        <item sd="0" m="1" x="3838"/>
        <item sd="0" m="1" x="4793"/>
        <item sd="0" m="1" x="348"/>
        <item sd="0" m="1" x="645"/>
        <item sd="0" m="1" x="4424"/>
        <item sd="0" m="1" x="5350"/>
        <item sd="0" m="1" x="6165"/>
        <item sd="0" m="1" x="1145"/>
        <item sd="0" m="1" x="1773"/>
        <item sd="0" m="1" x="6237"/>
        <item sd="0" m="1" x="6856"/>
        <item sd="0" m="1" x="7347"/>
        <item sd="0" m="1" x="2663"/>
        <item sd="0" m="1" x="3584"/>
        <item sd="0" m="1" x="291"/>
        <item sd="0" m="1" x="2291"/>
        <item sd="0" m="1" x="3205"/>
        <item sd="0" m="1" x="4183"/>
        <item sd="0" m="1" x="5115"/>
        <item sd="0" m="1" x="1004"/>
        <item sd="0" m="1" x="4222"/>
        <item sd="0" m="1" x="5166"/>
        <item sd="0" m="1" x="6020"/>
        <item sd="0" m="1" x="6700"/>
        <item sd="0" m="1" x="2412"/>
        <item sd="0" m="1" x="1364"/>
        <item sd="0" m="1" x="2087"/>
        <item sd="0" m="1" x="2973"/>
        <item sd="0" m="1" x="3921"/>
        <item sd="0" m="1" x="3013"/>
        <item sd="0" m="1" x="3975"/>
        <item sd="0" m="1" x="4927"/>
        <item sd="0" m="1" x="5808"/>
        <item sd="0" m="1" x="4995"/>
        <item sd="0" m="1" x="1335"/>
        <item sd="0" m="1" x="2021"/>
        <item sd="0" m="1" x="2853"/>
        <item sd="0" m="1" x="3809"/>
        <item sd="0" m="1" x="7032"/>
        <item sd="0" m="1" x="7496"/>
        <item sd="0" m="1" x="7797"/>
        <item sd="0" m="1" x="2928"/>
        <item sd="0" m="1" x="3871"/>
        <item sd="0" m="1" x="4826"/>
        <item sd="0" m="1" x="5715"/>
        <item sd="0" m="1" x="7839"/>
        <item sd="0" m="1" x="7999"/>
        <item sd="0" m="1" x="86"/>
        <item sd="0" m="1" x="4886"/>
        <item sd="0" m="1" x="5764"/>
        <item sd="0" m="1" x="6501"/>
        <item sd="0" m="1" x="7077"/>
        <item sd="0" m="1" x="536"/>
        <item sd="0" m="1" x="935"/>
        <item sd="0" m="1" x="1476"/>
        <item sd="0" m="1" x="2195"/>
        <item sd="0" m="1" x="5870"/>
        <item sd="0" m="1" x="6610"/>
        <item sd="0" m="1" x="7155"/>
        <item sd="0" m="1" x="1526"/>
        <item sd="0" m="1" x="2274"/>
        <item sd="0" m="1" x="3140"/>
        <item sd="0" m="1" x="4114"/>
        <item sd="0" m="1" x="6928"/>
        <item sd="0" m="1" x="2724"/>
        <item sd="0" m="1" x="1566"/>
        <item sd="0" m="1" x="2334"/>
        <item sd="0" m="1" x="3236"/>
        <item sd="0" m="1" x="4223"/>
        <item sd="0" m="1" x="3299"/>
        <item sd="0" m="1" x="4279"/>
        <item sd="0" m="1" x="5223"/>
        <item sd="0" m="1" x="6086"/>
        <item sd="0" m="1" x="5276"/>
        <item sd="0" m="1" x="863"/>
        <item sd="0" m="1" x="1397"/>
        <item sd="0" m="1" x="2125"/>
        <item sd="0" m="1" x="3014"/>
        <item sd="0" m="1" x="6526"/>
        <item sd="0" m="1" x="2196"/>
        <item sd="0" m="1" x="3069"/>
        <item sd="0" m="1" x="4044"/>
        <item sd="0" m="1" x="4996"/>
        <item sd="0" m="1" x="7567"/>
        <item sd="0" m="1" x="4115"/>
        <item sd="0" m="1" x="5050"/>
        <item sd="0" m="1" x="416"/>
        <item sd="0" m="1" x="753"/>
        <item sd="0" m="1" x="1242"/>
        <item sd="0" m="1" x="5570"/>
        <item sd="0" m="1" x="6348"/>
        <item sd="0" m="1" x="1309"/>
        <item sd="0" m="1" x="1962"/>
        <item sd="0" m="1" x="2813"/>
        <item sd="0" m="1" x="7013"/>
        <item sd="0" m="1" x="7463"/>
        <item sd="0" m="1" x="2910"/>
        <item sd="0" m="1" x="3839"/>
        <item sd="0" m="1" x="4794"/>
        <item sd="0" m="1" x="182"/>
        <item sd="0" m="1" x="349"/>
        <item sd="0" m="1" x="646"/>
        <item sd="0" m="1" x="4425"/>
        <item sd="0" m="1" x="5351"/>
        <item sd="0" m="1" x="6166"/>
        <item sd="0" m="1" x="694"/>
        <item sd="0" m="1" x="1146"/>
        <item sd="0" m="1" x="1774"/>
        <item sd="0" m="1" x="6238"/>
        <item sd="0" m="1" x="6857"/>
        <item sd="0" m="1" x="7348"/>
        <item sd="0" m="1" x="1861"/>
        <item sd="0" m="1" x="2664"/>
        <item sd="0" m="1" x="3585"/>
        <item sd="0" m="1" x="154"/>
        <item sd="0" m="1" x="292"/>
        <item sd="0" m="1" x="2292"/>
        <item sd="0" m="1" x="3206"/>
        <item sd="0" m="1" x="4184"/>
        <item sd="0" m="1" x="5116"/>
        <item sd="0" m="1" x="590"/>
        <item sd="0" m="1" x="1005"/>
        <item sd="0" m="1" x="4224"/>
        <item sd="0" m="1" x="5167"/>
        <item sd="0" m="1" x="7840"/>
        <item sd="0" m="1" x="4887"/>
        <item sd="0" m="1" x="5765"/>
        <item sd="0" m="1" x="6502"/>
        <item sd="0" m="1" x="723"/>
        <item sd="0" m="1" x="1188"/>
        <item sd="0" m="1" x="1822"/>
        <item sd="0" m="1" x="6264"/>
        <item sd="0" m="1" x="6897"/>
        <item sd="0" m="1" x="7380"/>
        <item sd="0" m="1" x="1890"/>
        <item sd="0" m="1" x="2701"/>
        <item sd="0" m="1" x="3626"/>
        <item sd="0" m="1" x="7429"/>
        <item sd="0" m="1" x="7768"/>
        <item sd="0" m="1" x="7963"/>
        <item sd="0" m="1" x="3693"/>
        <item sd="0" m="1" x="4641"/>
        <item sd="0" m="1" x="5534"/>
        <item sd="0" m="1" x="616"/>
        <item sd="0" m="1" x="1050"/>
        <item sd="0" m="1" x="5197"/>
        <item sd="0" m="1" x="6051"/>
        <item sd="0" m="1" x="6736"/>
        <item sd="0" m="1" x="1684"/>
        <item sd="0" m="1" x="2466"/>
        <item sd="0" m="1" x="6790"/>
        <item sd="0" m="1" x="7310"/>
        <item sd="0" m="1" x="7690"/>
        <item sd="0" m="1" x="3426"/>
        <item sd="0" m="1" x="4371"/>
        <item sd="0" m="1" x="522"/>
        <item sd="0" m="1" x="3037"/>
        <item sd="0" m="1" x="4010"/>
        <item sd="0" m="1" x="4962"/>
        <item sd="0" m="1" x="5855"/>
        <item sd="0" m="1" x="1512"/>
        <item sd="0" m="1" x="5018"/>
        <item sd="0" m="1" x="5900"/>
        <item sd="0" m="1" x="6638"/>
        <item sd="0" m="1" x="7182"/>
        <item sd="0" m="1" x="3167"/>
        <item sd="0" m="1" x="1937"/>
        <item sd="0" m="1" x="2781"/>
        <item sd="0" m="1" x="3739"/>
        <item sd="0" m="1" x="4707"/>
        <item sd="0" m="1" x="3810"/>
        <item sd="0" m="1" x="4758"/>
        <item sd="0" m="1" x="5666"/>
        <item sd="0" m="1" x="6443"/>
        <item sd="0" m="1" x="5716"/>
        <item sd="0" m="1" x="1121"/>
        <item sd="0" m="1" x="1741"/>
        <item sd="0" m="1" x="2568"/>
        <item sd="0" m="1" x="6832"/>
        <item sd="0" m="1" x="2633"/>
        <item sd="0" m="1" x="3552"/>
        <item sd="0" m="1" x="4522"/>
        <item sd="0" m="1" x="6564"/>
        <item sd="0" m="1" x="7118"/>
        <item sd="0" m="1" x="7542"/>
        <item sd="0" m="1" x="2232"/>
        <item sd="0" m="1" x="3104"/>
        <item sd="0" m="1" x="4070"/>
        <item sd="0" m="1" x="222"/>
        <item sd="0" m="1" x="2747"/>
        <item sd="0" m="1" x="3701"/>
        <item sd="0" m="1" x="4649"/>
        <item sd="0" m="1" x="5542"/>
        <item sd="0" m="1" x="786"/>
        <item sd="0" m="1" x="4708"/>
        <item sd="0" m="1" x="5597"/>
        <item sd="0" m="1" x="6381"/>
        <item sd="0" m="1" x="6971"/>
        <item sd="0" m="1" x="2022"/>
        <item sd="0" m="1" x="1715"/>
        <item sd="0" m="1" x="2515"/>
        <item sd="0" m="1" x="3447"/>
        <item sd="0" m="1" x="3493"/>
        <item sd="0" m="1" x="4453"/>
        <item sd="0" m="1" x="5381"/>
        <item sd="0" m="1" x="1066"/>
        <item sd="0" m="1" x="1658"/>
        <item sd="0" m="1" x="2413"/>
        <item sd="0" m="1" x="3300"/>
        <item sd="0" m="1" x="7285"/>
        <item sd="0" m="1" x="7659"/>
        <item sd="0" m="1" x="2482"/>
        <item sd="0" m="1" x="3383"/>
        <item sd="0" m="1" x="4342"/>
        <item sd="0" m="1" x="5277"/>
        <item sd="0" m="1" x="7935"/>
        <item sd="0" m="1" x="64"/>
        <item sd="0" m="1" x="4407"/>
        <item sd="0" m="1" x="5333"/>
        <item sd="0" m="1" x="6148"/>
        <item sd="0" m="1" x="6805"/>
        <item sd="0" m="1" x="936"/>
        <item sd="0" m="1" x="1477"/>
        <item sd="0" m="1" x="2197"/>
        <item sd="0" m="1" x="5871"/>
        <item sd="0" m="1" x="6611"/>
        <item sd="0" m="1" x="7156"/>
        <item sd="0" m="1" x="7568"/>
        <item sd="0" m="1" x="2275"/>
        <item sd="0" m="1" x="3141"/>
        <item sd="0" m="1" x="4116"/>
        <item sd="0" m="1" x="7198"/>
        <item sd="0" m="1" x="7618"/>
        <item sd="0" m="1" x="7883"/>
        <item sd="0" m="1" x="44"/>
        <item sd="0" m="1" x="4168"/>
        <item sd="0" m="1" x="5100"/>
        <item sd="0" m="1" x="5949"/>
        <item sd="0" m="1" x="816"/>
        <item sd="0" m="1" x="4728"/>
        <item sd="0" m="1" x="5636"/>
        <item sd="0" m="1" x="6417"/>
        <item sd="0" m="1" x="7014"/>
        <item sd="0" m="1" x="2058"/>
        <item sd="0" m="1" x="6463"/>
        <item sd="0" m="1" x="7065"/>
        <item sd="0" m="1" x="7569"/>
        <item sd="0" m="1" x="7851"/>
        <item sd="0" m="1" x="4117"/>
        <item sd="0" m="1" x="5051"/>
        <item sd="0" m="1" x="5917"/>
        <item sd="0" m="1" x="417"/>
        <item sd="0" m="1" x="754"/>
        <item sd="0" m="1" x="1243"/>
        <item sd="0" m="1" x="5571"/>
        <item sd="0" m="1" x="6349"/>
        <item sd="0" m="1" x="6944"/>
        <item sd="0" m="1" x="1310"/>
        <item sd="0" m="1" x="1963"/>
        <item sd="0" m="1" x="2814"/>
        <item sd="0" m="1" x="7015"/>
        <item sd="0" m="1" x="7464"/>
        <item sd="0" m="1" x="7787"/>
        <item sd="0" m="1" x="2911"/>
        <item sd="0" m="1" x="3840"/>
        <item sd="0" m="1" x="4795"/>
        <item sd="0" m="1" x="350"/>
        <item sd="0" m="1" x="647"/>
        <item sd="0" m="1" x="4426"/>
        <item sd="0" m="1" x="5352"/>
        <item sd="0" m="1" x="6167"/>
        <item sd="0" m="1" x="1147"/>
        <item sd="0" m="1" x="1775"/>
        <item sd="0" m="1" x="6239"/>
        <item sd="0" m="1" x="6858"/>
        <item sd="0" m="1" x="7349"/>
        <item sd="0" m="1" x="2665"/>
        <item sd="0" m="1" x="3586"/>
        <item sd="0" m="1" x="293"/>
        <item sd="0" m="1" x="2293"/>
        <item sd="0" m="1" x="3207"/>
        <item sd="0" m="1" x="4185"/>
        <item sd="0" m="1" x="5117"/>
        <item sd="0" m="1" x="1006"/>
        <item sd="0" m="1" x="4225"/>
        <item sd="0" m="1" x="5168"/>
        <item sd="0" m="1" x="6021"/>
        <item sd="0" m="1" x="6701"/>
        <item sd="0" m="1" x="2414"/>
        <item sd="0" m="1" x="1365"/>
        <item sd="0" m="1" x="2088"/>
        <item sd="0" m="1" x="2974"/>
        <item sd="0" m="1" x="3922"/>
        <item sd="0" m="1" x="3015"/>
        <item sd="0" m="1" x="3976"/>
        <item sd="0" m="1" x="4928"/>
        <item sd="0" m="1" x="5809"/>
        <item sd="0" m="1" x="7769"/>
        <item sd="0" m="1" x="7964"/>
        <item sd="0" m="1" x="4650"/>
        <item sd="0" m="1" x="5543"/>
        <item sd="0" m="1" x="6308"/>
        <item sd="0" m="1" x="617"/>
        <item sd="0" m="1" x="1055"/>
        <item sd="0" m="1" x="1624"/>
        <item sd="0" m="1" x="6061"/>
        <item sd="0" m="1" x="6741"/>
        <item sd="0" m="1" x="7267"/>
        <item sd="0" m="1" x="1685"/>
        <item sd="0" m="1" x="2471"/>
        <item sd="0" m="1" x="3358"/>
        <item sd="0" m="1" x="7311"/>
        <item sd="0" m="1" x="7695"/>
        <item sd="0" m="1" x="7918"/>
        <item sd="0" m="1" x="3448"/>
        <item sd="0" m="1" x="4382"/>
        <item sd="0" m="1" x="5306"/>
        <item sd="0" m="1" x="532"/>
        <item sd="0" m="1" x="908"/>
        <item sd="0" m="1" x="4021"/>
        <item sd="0" m="1" x="4971"/>
        <item sd="0" m="1" x="5859"/>
        <item sd="0" m="1" x="6578"/>
        <item sd="0" m="1" x="1522"/>
        <item sd="0" m="1" x="2246"/>
        <item sd="0" m="1" x="5901"/>
        <item sd="0" m="1" x="6639"/>
        <item sd="0" m="1" x="7186"/>
        <item sd="0" m="1" x="7597"/>
        <item sd="0" m="1" x="3177"/>
        <item sd="0" m="1" x="4138"/>
        <item sd="0" m="1" x="2790"/>
        <item sd="0" m="1" x="3746"/>
        <item sd="0" m="1" x="4718"/>
        <item sd="0" m="1" x="5607"/>
        <item sd="0" m="1" x="4766"/>
        <item sd="0" m="1" x="5667"/>
        <item sd="0" m="1" x="6453"/>
        <item sd="0" m="1" x="7041"/>
        <item sd="0" m="1" x="1749"/>
        <item sd="0" m="1" x="2571"/>
        <item sd="0" m="1" x="3502"/>
        <item sd="0" m="1" x="3562"/>
        <item sd="0" m="1" x="4525"/>
        <item sd="0" m="1" x="5440"/>
        <item sd="0" m="1" x="6579"/>
        <item sd="0" m="1" x="7133"/>
        <item sd="0" m="1" x="7549"/>
        <item sd="0" m="1" x="2247"/>
        <item sd="0" m="1" x="3118"/>
        <item sd="0" m="1" x="4089"/>
        <item sd="0" m="1" x="5027"/>
        <item sd="0" m="1" x="225"/>
        <item sd="0" m="1" x="393"/>
        <item sd="0" m="1" x="3702"/>
        <item sd="0" m="1" x="4659"/>
        <item sd="0" m="1" x="5560"/>
        <item sd="0" m="1" x="6325"/>
        <item sd="0" m="1" x="798"/>
        <item sd="0" m="1" x="1274"/>
        <item sd="0" m="1" x="5608"/>
        <item sd="0" m="1" x="6394"/>
        <item sd="0" m="1" x="6986"/>
        <item sd="0" m="1" x="7437"/>
        <item sd="0" m="1" x="2034"/>
        <item sd="0" m="1" x="2868"/>
        <item sd="0" m="1" x="169"/>
        <item sd="0" m="1" x="2516"/>
        <item sd="0" m="1" x="3453"/>
        <item sd="0" m="1" x="4398"/>
        <item sd="0" m="1" x="668"/>
        <item sd="0" m="1" x="4466"/>
        <item sd="0" m="1" x="5392"/>
        <item sd="0" m="1" x="6203"/>
        <item sd="0" m="1" x="1832"/>
        <item sd="0" m="1" x="2446"/>
        <item sd="0" m="1" x="3318"/>
        <item sd="0" m="1" x="4297"/>
        <item sd="0" m="1" x="7675"/>
        <item sd="0" m="1" x="4354"/>
        <item sd="0" m="1" x="5278"/>
        <item sd="0" m="1" x="6112"/>
        <item sd="0" m="1" x="65"/>
        <item sd="0" m="1" x="6168"/>
        <item sd="0" m="1" x="6813"/>
        <item sd="0" m="1" x="944"/>
        <item sd="0" m="1" x="1499"/>
        <item sd="0" m="1" x="2217"/>
        <item sd="0" m="1" x="3089"/>
        <item sd="0" m="1" x="7169"/>
        <item sd="0" m="1" x="7570"/>
        <item sd="0" m="1" x="2285"/>
        <item sd="0" m="1" x="3154"/>
        <item sd="0" m="1" x="4118"/>
        <item sd="0" m="1" x="5052"/>
        <item sd="0" m="1" x="7884"/>
        <item sd="0" m="1" x="45"/>
        <item sd="0" m="1" x="4186"/>
        <item sd="0" m="1" x="5118"/>
        <item sd="0" m="1" x="5963"/>
        <item sd="0" m="1" x="6648"/>
        <item sd="0" m="1" x="819"/>
        <item sd="0" m="1" x="1327"/>
        <item sd="0" m="1" x="1990"/>
        <item sd="0" m="1" x="5653"/>
        <item sd="0" m="1" x="6430"/>
        <item sd="0" m="1" x="7024"/>
        <item sd="0" m="1" x="7473"/>
        <item sd="0" m="1" x="2061"/>
        <item sd="0" m="1" x="2920"/>
        <item sd="0" m="1" x="3849"/>
        <item sd="0" m="1" x="7066"/>
        <item sd="0" m="1" x="1415"/>
        <item sd="0" m="1" x="2138"/>
        <item sd="0" m="1" x="3031"/>
        <item sd="0" m="1" x="3992"/>
        <item sd="0" m="1" x="3090"/>
        <item sd="0" m="1" x="4059"/>
        <item sd="0" m="1" x="5012"/>
        <item sd="0" m="1" x="5887"/>
        <item sd="0" m="1" x="5053"/>
        <item sd="0" m="1" x="5918"/>
        <item sd="0" m="1" x="774"/>
        <item sd="0" m="1" x="1248"/>
        <item sd="0" m="1" x="1931"/>
        <item sd="0" m="1" x="2768"/>
        <item sd="0" m="1" x="6368"/>
        <item sd="0" m="1" x="6959"/>
        <item sd="0" m="1" x="1991"/>
        <item sd="0" m="1" x="2827"/>
        <item sd="0" m="1" x="3788"/>
        <item sd="0" m="1" x="4745"/>
        <item sd="0" m="1" x="7474"/>
        <item sd="0" m="1" x="7788"/>
        <item sd="0" m="1" x="3850"/>
        <item sd="0" m="1" x="4808"/>
        <item sd="0" m="1" x="5696"/>
        <item sd="0" m="1" x="357"/>
        <item sd="0" m="1" x="652"/>
        <item sd="0" m="1" x="1111"/>
        <item sd="0" m="1" x="5370"/>
        <item sd="0" m="1" x="6177"/>
        <item sd="0" m="1" x="6827"/>
        <item sd="0" m="1" x="1171"/>
        <item sd="0" m="1" x="1798"/>
        <item sd="0" m="1" x="2611"/>
        <item sd="0" m="1" x="6877"/>
        <item sd="0" m="1" x="7363"/>
        <item sd="0" m="1" x="7720"/>
        <item sd="0" m="1" x="2684"/>
        <item sd="0" m="1" x="3609"/>
        <item sd="0" m="1" x="4563"/>
        <item sd="0" m="1" x="311"/>
        <item sd="0" m="1" x="554"/>
        <item sd="0" m="1" x="4190"/>
        <item sd="0" m="1" x="5126"/>
        <item sd="0" m="1" x="5984"/>
        <item sd="0" m="1" x="1037"/>
        <item sd="0" m="1" x="1583"/>
        <item sd="0" m="1" x="6040"/>
        <item sd="0" m="1" x="6724"/>
        <item sd="0" m="1" x="7233"/>
        <item sd="0" m="1" x="2447"/>
        <item sd="0" m="1" x="3319"/>
        <item sd="0" m="1" x="246"/>
        <item sd="0" m="1" x="2089"/>
        <item sd="0" m="1" x="2975"/>
        <item sd="0" m="1" x="3946"/>
        <item sd="0" m="1" x="4879"/>
        <item sd="0" m="1" x="881"/>
        <item sd="0" m="1" x="3993"/>
        <item sd="0" m="1" x="4944"/>
        <item sd="0" m="1" x="5839"/>
        <item sd="0" m="1" x="7770"/>
        <item sd="0" m="1" x="7965"/>
        <item sd="0" m="1" x="75"/>
        <item sd="0" m="1" x="4651"/>
        <item sd="0" m="1" x="5544"/>
        <item sd="0" m="1" x="6309"/>
        <item sd="0" m="1" x="1056"/>
        <item sd="0" m="1" x="1625"/>
        <item sd="0" m="1" x="6062"/>
        <item sd="0" m="1" x="6742"/>
        <item sd="0" m="1" x="7268"/>
        <item sd="0" m="1" x="2472"/>
        <item sd="0" m="1" x="3359"/>
        <item sd="0" m="1" x="7312"/>
        <item sd="0" m="1" x="7696"/>
        <item sd="0" m="1" x="7919"/>
        <item sd="0" m="1" x="4383"/>
        <item sd="0" m="1" x="5307"/>
        <item sd="0" m="1" x="909"/>
        <item sd="0" m="1" x="4022"/>
        <item sd="0" m="1" x="4972"/>
        <item sd="0" m="1" x="5860"/>
        <item sd="0" m="1" x="6580"/>
        <item sd="0" m="1" x="2248"/>
        <item sd="0" m="1" x="5902"/>
        <item sd="0" m="1" x="6640"/>
        <item sd="0" m="1" x="7187"/>
        <item sd="0" m="1" x="7598"/>
        <item sd="0" m="1" x="4139"/>
        <item sd="0" m="1" x="2791"/>
        <item sd="0" m="1" x="3747"/>
        <item sd="0" m="1" x="4719"/>
        <item sd="0" m="1" x="5609"/>
        <item sd="0" m="1" x="4767"/>
        <item sd="0" m="1" x="5668"/>
        <item sd="0" m="1" x="6454"/>
        <item sd="0" m="1" x="7042"/>
        <item sd="0" m="1" x="6464"/>
        <item sd="0" m="1" x="1750"/>
        <item sd="0" m="1" x="2572"/>
        <item sd="0" m="1" x="3503"/>
        <item sd="0" m="1" x="7329"/>
        <item sd="0" m="1" x="3563"/>
        <item sd="0" m="1" x="4526"/>
        <item sd="0" m="1" x="5441"/>
        <item sd="0" m="1" x="7936"/>
        <item sd="0" m="1" x="5482"/>
        <item sd="0" m="1" x="6293"/>
        <item sd="0" m="1" x="575"/>
        <item sd="0" m="1" x="982"/>
        <item sd="0" m="1" x="1555"/>
        <item sd="0" m="1" x="2310"/>
        <item sd="0" m="1" x="6678"/>
        <item sd="0" m="1" x="7199"/>
        <item sd="0" m="1" x="1626"/>
        <item sd="0" m="1" x="2381"/>
        <item sd="0" m="1" x="3279"/>
        <item sd="0" m="1" x="4248"/>
        <item sd="0" m="1" x="6987"/>
        <item sd="0" m="1" x="7438"/>
        <item sd="0" m="1" x="2869"/>
        <item sd="0" m="1" x="2517"/>
        <item sd="0" m="1" x="3454"/>
        <item sd="0" m="1" x="4399"/>
        <item sd="0" m="1" x="4467"/>
        <item sd="0" m="1" x="5393"/>
        <item sd="0" m="1" x="6204"/>
        <item sd="0" m="1" x="2448"/>
        <item sd="0" m="1" x="3320"/>
        <item sd="0" m="1" x="4298"/>
        <item sd="0" m="1" x="7676"/>
        <item sd="0" m="1" x="7893"/>
        <item sd="0" m="1" x="4355"/>
        <item sd="0" m="1" x="5279"/>
        <item sd="0" m="1" x="6113"/>
        <item sd="0" m="1" x="66"/>
        <item sd="0" m="1" x="91"/>
        <item sd="0" m="1" x="6169"/>
        <item sd="0" m="1" x="6814"/>
        <item sd="0" m="1" x="7318"/>
        <item sd="0" m="1" x="1500"/>
        <item sd="0" m="1" x="2218"/>
        <item sd="0" m="1" x="3091"/>
        <item sd="0" m="1" x="7170"/>
        <item sd="0" m="1" x="7571"/>
        <item sd="0" m="1" x="7852"/>
        <item sd="0" m="1" x="3155"/>
        <item sd="0" m="1" x="4119"/>
        <item sd="0" m="1" x="5054"/>
        <item sd="0" m="1" x="7885"/>
        <item sd="0" m="1" x="46"/>
        <item sd="0" m="1" x="90"/>
        <item sd="0" m="1" x="5119"/>
        <item sd="0" m="1" x="5964"/>
        <item sd="0" m="1" x="6649"/>
        <item sd="0" m="1" x="1197"/>
        <item sd="0" m="1" x="1833"/>
        <item sd="0" m="1" x="2643"/>
        <item sd="0" m="1" x="6907"/>
        <item sd="0" m="1" x="7387"/>
        <item sd="0" m="1" x="2711"/>
        <item sd="0" m="1" x="3627"/>
        <item sd="0" m="1" x="4586"/>
        <item sd="0" m="1" x="7771"/>
        <item sd="0" m="1" x="7966"/>
        <item sd="0" m="1" x="4652"/>
        <item sd="0" m="1" x="5545"/>
        <item sd="0" m="1" x="6310"/>
        <item sd="0" m="1" x="618"/>
        <item sd="0" m="1" x="1057"/>
        <item sd="0" m="1" x="1627"/>
        <item sd="0" m="1" x="6063"/>
        <item sd="0" m="1" x="6743"/>
        <item sd="0" m="1" x="7269"/>
        <item sd="0" m="1" x="1686"/>
        <item sd="0" m="1" x="2473"/>
        <item sd="0" m="1" x="3360"/>
        <item sd="0" m="1" x="7043"/>
        <item sd="0" m="1" x="1751"/>
        <item sd="0" m="1" x="2573"/>
        <item sd="0" m="1" x="3504"/>
        <item sd="0" m="1" x="3564"/>
        <item sd="0" m="1" x="4527"/>
        <item sd="0" m="1" x="5442"/>
        <item sd="0" m="1" x="5483"/>
        <item sd="0" m="1" x="576"/>
        <item sd="0" m="1" x="983"/>
        <item sd="0" m="1" x="1556"/>
        <item sd="0" m="1" x="2311"/>
        <item sd="0" m="1" x="6679"/>
        <item sd="0" m="1" x="1628"/>
        <item sd="0" m="1" x="2382"/>
        <item sd="0" m="1" x="3280"/>
        <item sd="0" m="1" x="4249"/>
        <item sd="0" m="1" x="7643"/>
        <item sd="0" m="1" x="3361"/>
        <item sd="0" m="1" x="4326"/>
        <item sd="0" m="1" x="5258"/>
        <item sd="0" m="1" x="260"/>
        <item sd="0" m="1" x="480"/>
        <item sd="0" m="1" x="854"/>
        <item sd="0" m="1" x="1376"/>
        <item sd="0" m="1" x="4907"/>
        <item sd="0" m="1" x="5787"/>
        <item sd="0" m="1" x="6517"/>
        <item sd="0" m="1" x="910"/>
        <item sd="0" m="1" x="1447"/>
        <item sd="0" m="1" x="2171"/>
        <item sd="0" m="1" x="3048"/>
        <item sd="0" m="1" x="6581"/>
        <item sd="0" m="1" x="7134"/>
        <item sd="0" m="1" x="7550"/>
        <item sd="0" m="1" x="2249"/>
        <item sd="0" m="1" x="3119"/>
        <item sd="0" m="1" x="4090"/>
        <item sd="0" m="1" x="5028"/>
        <item sd="0" m="1" x="226"/>
        <item sd="0" m="1" x="394"/>
        <item sd="0" m="1" x="3703"/>
        <item sd="0" m="1" x="4660"/>
        <item sd="0" m="1" x="5561"/>
        <item sd="0" m="1" x="6326"/>
        <item sd="0" m="1" x="799"/>
        <item sd="0" m="1" x="1275"/>
        <item sd="0" m="1" x="5610"/>
        <item sd="0" m="1" x="6395"/>
        <item sd="0" m="1" x="6988"/>
        <item sd="0" m="1" x="7439"/>
        <item sd="0" m="1" x="2035"/>
        <item sd="0" m="1" x="2870"/>
        <item sd="0" m="1" x="170"/>
        <item sd="0" m="1" x="2518"/>
        <item sd="0" m="1" x="3455"/>
        <item sd="0" m="1" x="4400"/>
        <item sd="0" m="1" x="669"/>
        <item sd="0" m="1" x="4468"/>
        <item sd="0" m="1" x="5394"/>
        <item sd="0" m="1" x="7886"/>
        <item sd="0" m="1" x="47"/>
        <item sd="0" m="1" x="4187"/>
        <item sd="0" m="1" x="5120"/>
        <item sd="0" m="1" x="5965"/>
        <item sd="0" m="1" x="6650"/>
        <item sd="0" m="1" x="820"/>
        <item sd="0" m="1" x="1328"/>
        <item sd="0" m="1" x="1992"/>
        <item sd="0" m="1" x="5654"/>
        <item sd="0" m="1" x="6431"/>
        <item sd="0" m="1" x="7025"/>
        <item sd="0" m="1" x="7475"/>
        <item sd="0" m="1" x="2062"/>
        <item sd="0" m="1" x="2921"/>
        <item sd="0" m="1" x="3851"/>
        <item sd="0" m="1" x="7067"/>
        <item sd="0" m="1" x="7526"/>
        <item sd="0" m="1" x="7834"/>
        <item sd="0" m="1" x="7982"/>
        <item sd="0" m="1" x="3926"/>
        <item sd="0" m="1" x="4859"/>
        <item sd="0" m="1" x="5730"/>
        <item sd="0" m="1" x="713"/>
        <item sd="0" m="1" x="4511"/>
        <item sd="0" m="1" x="5422"/>
        <item sd="0" m="1" x="6258"/>
        <item sd="0" m="1" x="6878"/>
        <item sd="0" m="1" x="1880"/>
        <item sd="0" m="1" x="6290"/>
        <item sd="0" m="1" x="6934"/>
        <item sd="0" m="1" x="7424"/>
        <item sd="0" m="1" x="7753"/>
        <item sd="0" m="1" x="3664"/>
        <item sd="0" m="1" x="3250"/>
        <item sd="0" m="1" x="4230"/>
        <item sd="0" m="1" x="5187"/>
        <item sd="0" m="1" x="5230"/>
        <item sd="0" m="1" x="6091"/>
        <item sd="0" m="1" x="6780"/>
        <item sd="0" m="1" x="1416"/>
        <item sd="0" m="1" x="2139"/>
        <item sd="0" m="1" x="3032"/>
        <item sd="0" m="1" x="3994"/>
        <item sd="0" m="1" x="3092"/>
        <item sd="0" m="1" x="4060"/>
        <item sd="0" m="1" x="5013"/>
        <item sd="0" m="1" x="5888"/>
        <item sd="0" m="1" x="5055"/>
        <item sd="0" m="1" x="5919"/>
        <item sd="0" m="1" x="775"/>
        <item sd="0" m="1" x="1249"/>
        <item sd="0" m="1" x="1932"/>
        <item sd="0" m="1" x="2769"/>
        <item sd="0" m="1" x="6369"/>
        <item sd="0" m="1" x="6960"/>
        <item sd="0" m="1" x="1993"/>
        <item sd="0" m="1" x="2828"/>
        <item sd="0" m="1" x="3789"/>
        <item sd="0" m="1" x="4746"/>
        <item sd="0" m="1" x="6725"/>
        <item sd="0" m="1" x="7234"/>
        <item sd="0" m="1" x="2449"/>
        <item sd="0" m="1" x="3321"/>
        <item sd="0" m="1" x="247"/>
        <item sd="0" m="1" x="2090"/>
        <item sd="0" m="1" x="2976"/>
        <item sd="0" m="1" x="3947"/>
        <item sd="0" m="1" x="4880"/>
        <item sd="0" m="1" x="882"/>
        <item sd="0" m="1" x="3995"/>
        <item sd="0" m="1" x="4945"/>
        <item sd="0" m="1" x="5840"/>
        <item sd="0" m="1" x="6546"/>
        <item sd="0" m="1" x="2219"/>
        <item sd="0" m="1" x="2036"/>
        <item sd="0" m="1" x="2871"/>
        <item sd="0" m="1" x="3818"/>
        <item sd="0" m="1" x="4768"/>
        <item sd="0" m="1" x="7505"/>
        <item sd="0" m="1" x="7804"/>
        <item sd="0" m="1" x="3880"/>
        <item sd="0" m="1" x="4833"/>
        <item sd="0" m="1" x="5717"/>
        <item sd="0" m="1" x="6465"/>
        <item sd="0" m="1" x="87"/>
        <item sd="0" m="1" x="5778"/>
        <item sd="0" m="1" x="6512"/>
        <item sd="0" m="1" x="7078"/>
        <item sd="0" m="1" x="1198"/>
        <item sd="0" m="1" x="1834"/>
        <item sd="0" m="1" x="2644"/>
        <item sd="0" m="1" x="6908"/>
        <item sd="0" m="1" x="7388"/>
        <item sd="0" m="1" x="7732"/>
        <item sd="0" m="1" x="2712"/>
        <item sd="0" m="1" x="3628"/>
        <item sd="0" m="1" x="4587"/>
        <item sd="0" m="1" x="7772"/>
        <item sd="0" m="1" x="7967"/>
        <item sd="0" m="1" x="76"/>
        <item sd="0" m="1" x="4653"/>
        <item sd="0" m="1" x="5546"/>
        <item sd="0" m="1" x="6311"/>
        <item sd="0" m="1" x="1058"/>
        <item sd="0" m="1" x="1629"/>
        <item sd="0" m="1" x="6064"/>
        <item sd="0" m="1" x="6744"/>
        <item sd="0" m="1" x="7270"/>
        <item sd="0" m="1" x="2474"/>
        <item sd="0" m="1" x="3362"/>
        <item sd="0" m="1" x="7313"/>
        <item sd="0" m="1" x="7697"/>
        <item sd="0" m="1" x="7920"/>
        <item sd="0" m="1" x="4384"/>
        <item sd="0" m="1" x="5308"/>
        <item sd="0" m="1" x="911"/>
        <item sd="0" m="1" x="4023"/>
        <item sd="0" m="1" x="4973"/>
        <item sd="0" m="1" x="5861"/>
        <item sd="0" m="1" x="6582"/>
        <item sd="0" m="1" x="2250"/>
        <item sd="0" m="1" x="5903"/>
        <item sd="0" m="1" x="6641"/>
        <item sd="0" m="1" x="7188"/>
        <item sd="0" m="1" x="7937"/>
        <item sd="0" m="1" x="5484"/>
        <item sd="0" m="1" x="6294"/>
        <item sd="0" m="1" x="577"/>
        <item sd="0" m="1" x="984"/>
        <item sd="0" m="1" x="1557"/>
        <item sd="0" m="1" x="2312"/>
        <item sd="0" m="1" x="6680"/>
        <item sd="0" m="1" x="7200"/>
        <item sd="0" m="1" x="1630"/>
        <item sd="0" m="1" x="2383"/>
        <item sd="0" m="1" x="3281"/>
        <item sd="0" m="1" x="4250"/>
        <item sd="0" m="1" x="7644"/>
        <item sd="0" m="1" x="7889"/>
        <item sd="0" m="1" x="3363"/>
        <item sd="0" m="1" x="4327"/>
        <item sd="0" m="1" x="5259"/>
        <item sd="0" m="1" x="6094"/>
        <item sd="0" m="1" x="481"/>
        <item sd="0" m="1" x="855"/>
        <item sd="0" m="1" x="1377"/>
        <item sd="0" m="1" x="4908"/>
        <item sd="0" m="1" x="5788"/>
        <item sd="0" m="1" x="6518"/>
        <item sd="0" m="1" x="7081"/>
        <item sd="0" m="1" x="1448"/>
        <item sd="0" m="1" x="2172"/>
        <item sd="0" m="1" x="3049"/>
        <item sd="0" m="1" x="6583"/>
        <item sd="0" m="1" x="7135"/>
        <item sd="0" m="1" x="7551"/>
        <item sd="0" m="1" x="7841"/>
        <item sd="0" m="1" x="3120"/>
        <item sd="0" m="1" x="4091"/>
        <item sd="0" m="1" x="5029"/>
        <item sd="0" m="1" x="395"/>
        <item sd="0" m="1" x="3704"/>
        <item sd="0" m="1" x="4661"/>
        <item sd="0" m="1" x="5562"/>
        <item sd="0" m="1" x="6327"/>
        <item sd="0" m="1" x="1276"/>
        <item sd="0" m="1" x="5611"/>
        <item sd="0" m="1" x="6396"/>
        <item sd="0" m="1" x="6989"/>
        <item sd="0" m="1" x="7440"/>
        <item sd="0" m="1" x="2872"/>
        <item sd="0" m="1" x="1199"/>
        <item sd="0" m="1" x="1835"/>
        <item sd="0" m="1" x="2645"/>
        <item sd="0" m="1" x="6909"/>
        <item sd="0" m="1" x="7389"/>
        <item sd="0" m="1" x="2713"/>
        <item sd="0" m="1" x="3629"/>
        <item sd="0" m="1" x="4588"/>
        <item sd="0" m="1" x="7773"/>
        <item sd="0" m="1" x="7968"/>
        <item sd="0" m="1" x="4654"/>
        <item sd="0" m="1" x="5547"/>
        <item sd="0" m="1" x="6312"/>
        <item sd="0" m="1" x="619"/>
        <item sd="0" m="1" x="1059"/>
        <item sd="0" m="1" x="1631"/>
        <item sd="0" m="1" x="6065"/>
        <item sd="0" m="1" x="6745"/>
        <item sd="0" m="1" x="7271"/>
        <item sd="0" m="1" x="1687"/>
        <item sd="0" m="1" x="2475"/>
        <item sd="0" m="1" x="3364"/>
        <item sd="0" m="1" x="7044"/>
        <item sd="0" m="1" x="1752"/>
        <item sd="0" m="1" x="2574"/>
        <item sd="0" m="1" x="3505"/>
        <item sd="0" m="1" x="3565"/>
        <item sd="0" m="1" x="4528"/>
        <item sd="0" m="1" x="5443"/>
        <item sd="0" m="1" x="5485"/>
        <item sd="0" m="1" x="578"/>
        <item sd="0" m="1" x="985"/>
        <item sd="0" m="1" x="1558"/>
        <item sd="0" m="1" x="2313"/>
        <item sd="0" m="1" x="6681"/>
        <item sd="0" m="1" x="1632"/>
        <item sd="0" m="1" x="2384"/>
        <item sd="0" m="1" x="3282"/>
        <item sd="0" m="1" x="4251"/>
        <item sd="0" m="1" x="7645"/>
        <item sd="0" m="1" x="3365"/>
        <item sd="0" m="1" x="4328"/>
        <item sd="0" m="1" x="5260"/>
        <item sd="0" m="1" x="261"/>
        <item sd="0" m="1" x="482"/>
        <item sd="0" m="1" x="856"/>
        <item sd="0" m="1" x="1378"/>
        <item sd="0" m="1" x="4909"/>
        <item sd="0" m="1" x="5789"/>
        <item sd="0" m="1" x="6519"/>
        <item sd="0" m="1" x="912"/>
        <item sd="0" m="1" x="1449"/>
        <item sd="0" m="1" x="2173"/>
        <item sd="0" m="1" x="3050"/>
        <item sd="0" m="1" x="6584"/>
        <item sd="0" m="1" x="7136"/>
        <item sd="0" m="1" x="7552"/>
        <item sd="0" m="1" x="2251"/>
        <item sd="0" m="1" x="3121"/>
        <item sd="0" m="1" x="4092"/>
        <item sd="0" m="1" x="5030"/>
        <item sd="0" m="1" x="227"/>
        <item sd="0" m="1" x="396"/>
        <item sd="0" m="1" x="3705"/>
        <item sd="0" m="1" x="4662"/>
        <item sd="0" m="1" x="5563"/>
        <item sd="0" m="1" x="6328"/>
        <item sd="0" m="1" x="800"/>
        <item sd="0" m="1" x="1277"/>
        <item sd="0" m="1" x="5612"/>
        <item sd="0" m="1" x="6397"/>
        <item sd="0" m="1" x="6990"/>
        <item sd="0" m="1" x="7441"/>
        <item sd="0" m="1" x="2037"/>
        <item sd="0" m="1" x="2873"/>
        <item sd="0" m="1" x="171"/>
        <item sd="0" m="1" x="2519"/>
        <item sd="0" m="1" x="3456"/>
        <item sd="0" m="1" x="4401"/>
        <item sd="0" m="1" x="670"/>
        <item sd="0" m="1" x="4469"/>
        <item sd="0" m="1" x="5395"/>
        <item sd="0" m="1" x="7887"/>
        <item sd="0" m="1" x="48"/>
        <item sd="0" m="1" x="4188"/>
        <item sd="0" m="1" x="5121"/>
        <item sd="0" m="1" x="5966"/>
        <item sd="0" m="1" x="6651"/>
        <item sd="0" m="1" x="821"/>
        <item sd="0" m="1" x="1329"/>
        <item sd="0" m="1" x="1994"/>
        <item sd="0" m="1" x="5655"/>
        <item sd="0" m="1" x="6432"/>
        <item sd="0" m="1" x="7026"/>
        <item sd="0" m="1" x="7476"/>
        <item sd="0" m="1" x="2063"/>
        <item sd="0" m="1" x="2922"/>
        <item sd="0" m="1" x="3852"/>
        <item sd="0" m="1" x="7068"/>
        <item sd="0" m="1" x="7527"/>
        <item sd="0" m="1" x="7835"/>
        <item sd="0" m="1" x="7983"/>
        <item sd="0" m="1" x="3927"/>
        <item sd="0" m="1" x="4860"/>
        <item sd="0" m="1" x="5731"/>
        <item sd="0" m="1" x="714"/>
        <item sd="0" m="1" x="4512"/>
        <item sd="0" m="1" x="5423"/>
        <item sd="0" m="1" x="6259"/>
        <item sd="0" m="1" x="6879"/>
        <item sd="0" m="1" x="1881"/>
        <item sd="0" m="1" x="6291"/>
        <item sd="0" m="1" x="6935"/>
        <item sd="0" m="1" x="7425"/>
        <item sd="0" m="1" x="7754"/>
        <item sd="0" m="1" x="3665"/>
        <item sd="0" m="1" x="3251"/>
        <item sd="0" m="1" x="4231"/>
        <item sd="0" m="1" x="5188"/>
        <item sd="0" m="1" x="5231"/>
        <item sd="0" m="1" x="6092"/>
        <item sd="0" m="1" x="6781"/>
        <item sd="0" m="1" x="1417"/>
        <item sd="0" m="1" x="2140"/>
        <item sd="0" m="1" x="3033"/>
        <item sd="0" m="1" x="3996"/>
        <item sd="0" m="1" x="3093"/>
        <item sd="0" m="1" x="4061"/>
        <item sd="0" m="1" x="5014"/>
        <item sd="0" m="1" x="5889"/>
        <item sd="0" m="1" x="5056"/>
        <item sd="0" m="1" x="5920"/>
        <item sd="0" m="1" x="776"/>
        <item sd="0" m="1" x="1250"/>
        <item sd="0" m="1" x="1933"/>
        <item sd="0" m="1" x="2770"/>
        <item sd="0" m="1" x="6370"/>
        <item sd="0" m="1" x="6961"/>
        <item sd="0" m="1" x="1995"/>
        <item sd="0" m="1" x="2829"/>
        <item sd="0" m="1" x="3790"/>
        <item sd="0" m="1" x="4747"/>
        <item sd="0" m="1" x="6726"/>
        <item sd="0" m="1" x="7235"/>
        <item sd="0" m="1" x="2450"/>
        <item sd="0" m="1" x="3322"/>
        <item sd="0" m="1" x="248"/>
        <item sd="0" m="1" x="2091"/>
        <item sd="0" m="1" x="2977"/>
        <item sd="0" m="1" x="3948"/>
        <item sd="0" m="1" x="4881"/>
        <item sd="0" m="1" x="883"/>
        <item sd="0" m="1" x="3997"/>
        <item sd="0" m="1" x="4946"/>
        <item sd="0" m="1" x="5841"/>
        <item sd="0" m="1" x="6547"/>
        <item sd="0" m="1" x="2220"/>
        <item sd="0" m="1" x="2038"/>
        <item sd="0" m="1" x="2874"/>
        <item sd="0" m="1" x="3819"/>
        <item sd="0" m="1" x="4769"/>
        <item sd="0" m="1" x="7506"/>
        <item sd="0" m="1" x="7805"/>
        <item sd="0" m="1" x="3881"/>
        <item sd="0" m="1" x="4834"/>
        <item sd="0" m="1" x="5718"/>
        <item sd="0" m="1" x="6466"/>
        <item sd="0" m="1" x="88"/>
        <item sd="0" m="1" x="5779"/>
        <item sd="0" m="1" x="6513"/>
        <item sd="0" m="1" x="7079"/>
        <item sd="0" m="1" x="1200"/>
        <item sd="0" m="1" x="1836"/>
        <item sd="0" m="1" x="2646"/>
        <item sd="0" m="1" x="6910"/>
        <item sd="0" m="1" x="7390"/>
        <item sd="0" m="1" x="7733"/>
        <item sd="0" m="1" x="2714"/>
        <item sd="0" m="1" x="3630"/>
        <item sd="0" m="1" x="4589"/>
        <item sd="0" m="1" x="7774"/>
        <item sd="0" m="1" x="7969"/>
        <item sd="0" m="1" x="77"/>
        <item sd="0" m="1" x="4655"/>
        <item sd="0" m="1" x="5548"/>
        <item sd="0" m="1" x="6313"/>
        <item sd="0" m="1" x="1060"/>
        <item sd="0" m="1" x="1633"/>
        <item sd="0" m="1" x="6066"/>
        <item sd="0" m="1" x="6746"/>
        <item sd="0" m="1" x="7272"/>
        <item sd="0" m="1" x="2476"/>
        <item sd="0" m="1" x="3366"/>
        <item sd="0" m="1" x="7314"/>
        <item sd="0" m="1" x="7698"/>
        <item sd="0" m="1" x="7921"/>
        <item sd="0" m="1" x="4385"/>
        <item sd="0" m="1" x="5309"/>
        <item sd="0" m="1" x="913"/>
        <item sd="0" m="1" x="4024"/>
        <item sd="0" m="1" x="4974"/>
        <item sd="0" m="1" x="5862"/>
        <item sd="0" m="1" x="6585"/>
        <item sd="0" m="1" x="2252"/>
        <item sd="0" m="1" x="5904"/>
        <item sd="0" m="1" x="6642"/>
        <item sd="0" m="1" x="7189"/>
        <item sd="0" m="1" x="7938"/>
        <item sd="0" m="1" x="5486"/>
        <item sd="0" m="1" x="6295"/>
        <item sd="0" m="1" x="579"/>
        <item sd="0" m="1" x="986"/>
        <item sd="0" m="1" x="1559"/>
        <item sd="0" m="1" x="2314"/>
        <item sd="0" m="1" x="6682"/>
        <item sd="0" m="1" x="7201"/>
        <item sd="0" m="1" x="1634"/>
        <item sd="0" m="1" x="2385"/>
        <item sd="0" m="1" x="3283"/>
        <item sd="0" m="1" x="4252"/>
        <item sd="0" m="1" x="7646"/>
        <item sd="0" m="1" x="7890"/>
        <item sd="0" m="1" x="3367"/>
        <item sd="0" m="1" x="4329"/>
        <item sd="0" m="1" x="5261"/>
        <item sd="0" m="1" x="6095"/>
        <item sd="0" m="1" x="483"/>
        <item sd="0" m="1" x="857"/>
        <item sd="0" m="1" x="1379"/>
        <item sd="0" m="1" x="4910"/>
        <item sd="0" m="1" x="5790"/>
        <item sd="0" m="1" x="6520"/>
        <item sd="0" m="1" x="7082"/>
        <item sd="0" m="1" x="1450"/>
        <item sd="0" m="1" x="2174"/>
        <item sd="0" m="1" x="3051"/>
        <item sd="0" m="1" x="6586"/>
        <item sd="0" m="1" x="7137"/>
        <item sd="0" m="1" x="7553"/>
        <item sd="0" m="1" x="7842"/>
        <item sd="0" m="1" x="3122"/>
        <item sd="0" m="1" x="4093"/>
        <item sd="0" m="1" x="5031"/>
        <item sd="0" m="1" x="397"/>
        <item sd="0" m="1" x="3706"/>
        <item sd="0" m="1" x="4663"/>
        <item sd="0" m="1" x="5564"/>
        <item sd="0" m="1" x="6329"/>
        <item sd="0" m="1" x="1278"/>
        <item sd="0" m="1" x="5613"/>
        <item sd="0" m="1" x="6398"/>
        <item sd="0" m="1" x="6991"/>
        <item sd="0" m="1" x="7442"/>
        <item sd="0" m="1" x="2875"/>
        <item sd="0" m="1" x="2520"/>
        <item sd="0" m="1" x="3457"/>
        <item sd="0" m="1" x="4402"/>
        <item sd="0" m="1" x="4470"/>
        <item sd="0" m="1" x="5396"/>
        <item sd="0" m="1" x="6205"/>
        <item sd="0" m="1" x="2451"/>
        <item sd="0" m="1" x="3323"/>
        <item sd="0" m="1" x="4299"/>
        <item sd="0" m="1" x="7677"/>
        <item sd="0" m="1" x="7894"/>
        <item sd="0" m="1" x="4356"/>
        <item sd="0" m="1" x="5280"/>
        <item sd="0" m="1" x="6114"/>
        <item sd="0" m="1" x="7775"/>
        <item sd="0" m="1" x="7970"/>
        <item sd="0" m="1" x="4656"/>
        <item sd="0" m="1" x="5549"/>
        <item sd="0" m="1" x="6314"/>
        <item sd="0" m="1" x="620"/>
        <item sd="0" m="1" x="1061"/>
        <item sd="0" m="1" x="1635"/>
        <item sd="0" m="1" x="6067"/>
        <item sd="0" m="1" x="6747"/>
        <item sd="0" m="1" x="7273"/>
        <item sd="0" m="1" x="1688"/>
        <item sd="0" m="1" x="2477"/>
        <item sd="0" m="1" x="3368"/>
        <item sd="0" m="1" x="7315"/>
        <item sd="0" m="1" x="7699"/>
        <item sd="0" m="1" x="7922"/>
        <item sd="0" m="1" x="3449"/>
        <item sd="0" m="1" x="4386"/>
        <item sd="0" m="1" x="5310"/>
        <item sd="0" m="1" x="533"/>
        <item sd="0" m="1" x="914"/>
        <item sd="0" m="1" x="4025"/>
        <item sd="0" m="1" x="4975"/>
        <item sd="0" m="1" x="5863"/>
        <item sd="0" m="1" x="6587"/>
        <item sd="0" m="1" x="1523"/>
        <item sd="0" m="1" x="2253"/>
        <item sd="0" m="1" x="5905"/>
        <item sd="0" m="1" x="6643"/>
        <item sd="0" m="1" x="7190"/>
        <item sd="0" m="1" x="7599"/>
        <item sd="0" m="1" x="3178"/>
        <item sd="0" m="1" x="4140"/>
        <item sd="0" m="1" x="2792"/>
        <item sd="0" m="1" x="3748"/>
        <item sd="0" m="1" x="4720"/>
        <item sd="0" m="1" x="5614"/>
        <item sd="0" m="1" x="4770"/>
        <item sd="0" m="1" x="5669"/>
        <item sd="0" m="1" x="6455"/>
        <item sd="0" m="1" x="7045"/>
        <item sd="0" m="1" x="1753"/>
        <item sd="0" m="1" x="2575"/>
        <item sd="0" m="1" x="3506"/>
        <item sd="0" m="1" x="3566"/>
        <item sd="0" m="1" x="4529"/>
        <item sd="0" m="1" x="5444"/>
        <item sd="0" m="1" x="5487"/>
        <item sd="0" m="1" x="580"/>
        <item sd="0" m="1" x="987"/>
        <item sd="0" m="1" x="1560"/>
        <item sd="0" m="1" x="2315"/>
        <item sd="0" m="1" x="6683"/>
        <item sd="0" m="1" x="1636"/>
        <item sd="0" m="1" x="2386"/>
        <item sd="0" m="1" x="3284"/>
        <item sd="0" m="1" x="4253"/>
        <item sd="0" m="1" x="6399"/>
        <item sd="0" m="1" x="6992"/>
        <item sd="0" m="1" x="7443"/>
        <item sd="0" m="1" x="2039"/>
        <item sd="0" m="1" x="2876"/>
        <item sd="0" m="1" x="172"/>
        <item sd="0" m="1" x="2521"/>
        <item sd="0" m="1" x="3458"/>
        <item sd="0" m="1" x="4403"/>
        <item sd="0" m="1" x="671"/>
        <item sd="0" m="1" x="4471"/>
        <item sd="0" m="1" x="5397"/>
        <item sd="0" m="1" x="6206"/>
        <item sd="0" m="1" x="1837"/>
        <item sd="0" m="1" x="2452"/>
        <item sd="0" m="1" x="3324"/>
        <item sd="0" m="1" x="4300"/>
        <item sd="0" m="1" x="7678"/>
        <item sd="0" m="1" x="4357"/>
        <item sd="0" m="1" x="5281"/>
        <item sd="0" m="1" x="6115"/>
        <item sd="0" m="1" x="67"/>
        <item sd="0" m="1" x="6170"/>
        <item sd="0" m="1" x="6815"/>
        <item sd="0" m="1" x="945"/>
        <item sd="0" m="1" x="1501"/>
        <item sd="0" m="1" x="2221"/>
        <item sd="0" m="1" x="3094"/>
        <item sd="0" m="1" x="7171"/>
        <item sd="0" m="1" x="7572"/>
        <item sd="0" m="1" x="2286"/>
        <item sd="0" m="1" x="3156"/>
        <item sd="0" m="1" x="4120"/>
        <item sd="0" m="1" x="5057"/>
        <item sd="0" m="1" x="7888"/>
        <item sd="0" m="1" x="49"/>
        <item sd="0" m="1" x="4189"/>
        <item sd="0" m="1" x="5122"/>
        <item sd="0" m="1" x="5967"/>
        <item sd="0" m="1" x="6652"/>
        <item sd="0" m="1" x="822"/>
        <item sd="0" m="1" x="1330"/>
        <item sd="0" m="1" x="1996"/>
        <item sd="0" m="1" x="5656"/>
        <item sd="0" m="1" x="6433"/>
        <item sd="0" m="1" x="7027"/>
        <item sd="0" m="1" x="7477"/>
        <item sd="0" m="1" x="2064"/>
        <item sd="0" m="1" x="2923"/>
        <item sd="0" m="1" x="3853"/>
        <item sd="0" m="1" x="7069"/>
        <item sd="0" m="1" x="7528"/>
        <item sd="0" m="1" x="7836"/>
        <item sd="0" m="1" x="7984"/>
        <item sd="0" m="1" x="3928"/>
        <item sd="0" m="1" x="4861"/>
        <item sd="0" m="1" x="5732"/>
        <item sd="0" m="1" x="715"/>
        <item sd="0" m="1" x="4513"/>
        <item sd="0" m="1" x="5424"/>
        <item sd="0" m="1" x="6260"/>
        <item sd="0" m="1" x="6880"/>
        <item sd="0" m="1" x="1882"/>
        <item sd="0" m="1" x="6292"/>
        <item sd="0" m="1" x="6936"/>
        <item sd="0" m="1" x="5058"/>
        <item sd="0" m="1" x="5921"/>
        <item sd="0" m="1" x="777"/>
        <item sd="0" m="1" x="1251"/>
        <item sd="0" m="1" x="1934"/>
        <item sd="0" m="1" x="2771"/>
        <item sd="0" m="1" x="6371"/>
        <item sd="0" m="1" x="6962"/>
        <item sd="0" m="1" x="1997"/>
        <item sd="0" m="1" x="2830"/>
        <item sd="0" m="1" x="3791"/>
        <item sd="0" m="1" x="4748"/>
        <item sd="0" m="1" x="7478"/>
        <item sd="0" m="1" x="7789"/>
        <item sd="0" m="1" x="3854"/>
        <item sd="0" m="1" x="4809"/>
        <item sd="0" m="1" x="5697"/>
        <item sd="0" m="1" x="358"/>
        <item sd="0" m="1" x="653"/>
        <item sd="0" m="1" x="1112"/>
        <item sd="0" m="1" x="5371"/>
        <item sd="0" m="1" x="6178"/>
        <item sd="0" m="1" x="6828"/>
        <item sd="0" m="1" x="1172"/>
        <item sd="0" m="1" x="1799"/>
        <item sd="0" m="1" x="2612"/>
        <item sd="0" m="1" x="6881"/>
        <item sd="0" m="1" x="7364"/>
        <item sd="0" m="1" x="7721"/>
        <item sd="0" m="1" x="2685"/>
        <item sd="0" m="1" x="3610"/>
        <item sd="0" m="1" x="4564"/>
        <item sd="0" m="1" x="312"/>
        <item sd="0" m="1" x="555"/>
        <item sd="0" m="1" x="4191"/>
        <item sd="0" m="1" x="5127"/>
        <item sd="0" m="1" x="5985"/>
        <item sd="0" m="1" x="1038"/>
        <item sd="0" m="1" x="1584"/>
        <item sd="0" m="1" x="6041"/>
        <item sd="0" m="1" x="6727"/>
        <item sd="0" m="1" x="7236"/>
        <item sd="0" m="1" x="2453"/>
        <item sd="0" m="1" x="3325"/>
        <item sd="0" m="1" x="249"/>
        <item sd="0" m="1" x="2092"/>
        <item sd="0" m="1" x="2978"/>
        <item sd="0" m="1" x="3949"/>
        <item sd="0" m="1" x="4882"/>
        <item sd="0" m="1" x="884"/>
        <item sd="0" m="1" x="3998"/>
        <item sd="0" m="1" x="4947"/>
        <item sd="0" m="1" x="5842"/>
        <item sd="0" m="1" x="6548"/>
        <item sd="0" m="1" x="2222"/>
        <item sd="0" m="1" x="2040"/>
        <item sd="0" m="1" x="2877"/>
        <item sd="0" m="1" x="3820"/>
        <item sd="0" m="1" x="4771"/>
        <item sd="0" m="1" x="7507"/>
        <item sd="0" m="1" x="7806"/>
        <item sd="0" m="1" x="3882"/>
        <item sd="0" m="1" x="4835"/>
        <item sd="0" m="1" x="5719"/>
        <item sd="0" m="1" x="6467"/>
        <item sd="0" m="1" x="7700"/>
        <item sd="0" m="1" x="7923"/>
        <item sd="0" m="1" x="4387"/>
        <item sd="0" m="1" x="5311"/>
        <item sd="0" m="1" x="915"/>
        <item sd="0" m="1" x="4026"/>
        <item sd="0" m="1" x="4976"/>
        <item sd="0" m="1" x="5864"/>
        <item sd="0" m="1" x="6588"/>
        <item sd="0" m="1" x="2254"/>
        <item sd="0" m="1" x="5906"/>
        <item sd="0" m="1" x="6644"/>
        <item sd="0" m="1" x="7191"/>
        <item sd="0" m="1" x="7600"/>
        <item sd="0" m="1" x="4141"/>
        <item sd="0" m="1" x="2793"/>
        <item sd="0" m="1" x="3749"/>
        <item sd="0" m="1" x="4721"/>
        <item sd="0" m="1" x="5615"/>
        <item sd="0" m="1" x="4772"/>
        <item sd="0" m="1" x="5670"/>
        <item sd="0" m="1" x="6456"/>
        <item sd="0" m="1" x="7046"/>
        <item sd="0" m="1" x="6468"/>
        <item sd="0" m="1" x="1754"/>
        <item sd="0" m="1" x="2576"/>
        <item sd="0" m="1" x="3507"/>
        <item sd="0" m="1" x="7330"/>
        <item sd="0" m="1" x="3567"/>
        <item sd="0" m="1" x="4530"/>
        <item sd="0" m="1" x="5445"/>
        <item sd="0" m="1" x="7939"/>
        <item sd="0" m="1" x="5488"/>
        <item sd="0" m="1" x="6296"/>
        <item sd="0" m="1" x="581"/>
        <item sd="0" m="1" x="988"/>
        <item sd="0" m="1" x="1561"/>
        <item sd="0" m="1" x="2316"/>
        <item sd="0" m="1" x="6684"/>
        <item sd="0" m="1" x="7202"/>
        <item sd="0" m="1" x="1637"/>
        <item sd="0" m="1" x="2387"/>
        <item sd="0" m="1" x="3285"/>
        <item sd="0" m="1" x="4254"/>
        <item sd="0" m="1" x="7647"/>
        <item sd="0" m="1" x="7891"/>
        <item sd="0" m="1" x="3369"/>
        <item sd="0" m="1" x="4330"/>
        <item sd="0" m="1" x="5262"/>
        <item sd="0" m="1" x="6096"/>
        <item sd="0" m="1" x="484"/>
        <item sd="0" m="1" x="858"/>
        <item sd="0" m="1" x="1380"/>
        <item sd="0" m="1" x="4911"/>
        <item sd="0" m="1" x="5791"/>
        <item sd="0" m="1" x="6521"/>
        <item sd="0" m="1" x="7083"/>
        <item sd="0" m="1" x="1451"/>
        <item sd="0" m="1" x="2175"/>
        <item sd="0" m="1" x="3052"/>
        <item sd="0" m="1" x="6589"/>
        <item sd="0" m="1" x="2454"/>
        <item sd="0" m="1" x="3326"/>
        <item sd="0" m="1" x="4301"/>
        <item sd="0" m="1" x="7679"/>
        <item sd="0" m="1" x="7895"/>
        <item sd="0" m="1" x="4358"/>
        <item sd="0" m="1" x="5282"/>
        <item sd="0" m="1" x="6116"/>
        <item sd="0" m="1" x="68"/>
        <item sd="0" m="1" x="92"/>
        <item sd="0" m="1" x="6171"/>
        <item sd="0" m="1" x="6816"/>
        <item sd="0" m="1" x="7319"/>
        <item sd="0" m="1" x="1201"/>
        <item sd="0" m="1" x="1838"/>
        <item sd="0" m="1" x="2647"/>
        <item sd="0" m="1" x="6911"/>
        <item sd="0" m="1" x="7391"/>
        <item sd="0" m="1" x="2715"/>
        <item sd="0" m="1" x="3631"/>
        <item sd="0" m="1" x="4590"/>
        <item sd="0" m="1" x="7776"/>
        <item sd="0" m="1" x="7971"/>
        <item sd="0" m="1" x="4657"/>
        <item sd="0" m="1" x="5550"/>
        <item sd="0" m="1" x="6315"/>
        <item sd="0" m="1" x="621"/>
        <item sd="0" m="1" x="1062"/>
        <item sd="0" m="1" x="1638"/>
        <item sd="0" m="1" x="6068"/>
        <item sd="0" m="1" x="6748"/>
        <item sd="0" m="1" x="7274"/>
        <item sd="0" m="1" x="1689"/>
        <item sd="0" m="1" x="2478"/>
        <item sd="0" m="1" x="3370"/>
        <item sd="0" m="1" x="7316"/>
        <item sd="0" m="1" x="7701"/>
        <item sd="0" m="1" x="7924"/>
        <item sd="0" m="1" x="3450"/>
        <item sd="0" m="1" x="4388"/>
        <item sd="0" m="1" x="5312"/>
        <item sd="0" m="1" x="534"/>
        <item sd="0" m="1" x="916"/>
        <item sd="0" m="1" x="4027"/>
        <item sd="0" m="1" x="4977"/>
        <item sd="0" m="1" x="5865"/>
        <item sd="0" m="1" x="6590"/>
        <item sd="0" m="1" x="1524"/>
        <item sd="0" m="1" x="2255"/>
        <item sd="0" m="1" x="5907"/>
        <item sd="0" m="1" x="6645"/>
        <item sd="0" m="1" x="7192"/>
        <item sd="0" m="1" x="7601"/>
        <item sd="0" m="1" x="3179"/>
        <item sd="0" m="1" x="4142"/>
        <item sd="0" m="1" x="2794"/>
        <item sd="0" m="1" x="3750"/>
        <item sd="0" m="1" x="4722"/>
        <item sd="0" m="1" x="5616"/>
        <item sd="0" m="1" x="4773"/>
        <item sd="0" m="1" x="5671"/>
        <item sd="0" m="1" x="6457"/>
        <item sd="0" m="1" x="7648"/>
        <item sd="0" m="1" x="3371"/>
        <item sd="0" m="1" x="4331"/>
        <item sd="0" m="1" x="5263"/>
        <item sd="0" m="1" x="262"/>
        <item sd="0" m="1" x="485"/>
        <item sd="0" m="1" x="859"/>
        <item sd="0" m="1" x="1381"/>
        <item sd="0" m="1" x="4912"/>
        <item sd="0" m="1" x="5792"/>
        <item sd="0" m="1" x="6522"/>
        <item sd="0" m="1" x="917"/>
        <item sd="0" m="1" x="1452"/>
        <item sd="0" m="1" x="2176"/>
        <item sd="0" m="1" x="3053"/>
        <item sd="0" m="1" x="6591"/>
        <item sd="0" m="1" x="7138"/>
        <item sd="0" m="1" x="7554"/>
        <item sd="0" m="1" x="2256"/>
        <item sd="0" m="1" x="3123"/>
        <item sd="0" m="1" x="4094"/>
        <item sd="0" m="1" x="5032"/>
        <item sd="0" m="1" x="228"/>
        <item sd="0" m="1" x="398"/>
        <item sd="0" m="1" x="3707"/>
        <item sd="0" m="1" x="4664"/>
        <item sd="0" m="1" x="5565"/>
        <item sd="0" m="1" x="6330"/>
        <item sd="0" m="1" x="801"/>
        <item sd="0" m="1" x="1279"/>
        <item sd="0" m="1" x="5617"/>
        <item sd="0" m="1" x="6400"/>
        <item sd="0" m="1" x="6993"/>
        <item sd="0" m="1" x="7444"/>
        <item sd="0" m="1" x="2041"/>
        <item sd="0" m="1" x="2878"/>
        <item sd="0" m="1" x="173"/>
        <item sd="0" m="1" x="2522"/>
        <item sd="0" m="1" x="3459"/>
        <item sd="0" m="1" x="4404"/>
        <item sd="0" m="1" x="672"/>
        <item sd="0" m="1" x="4472"/>
        <item sd="0" m="1" x="5398"/>
        <item sd="0" m="1" x="6207"/>
        <item sd="0" m="1" x="1839"/>
        <item sd="0" m="1" x="2455"/>
        <item sd="0" m="1" x="3327"/>
        <item sd="0" m="1" x="4302"/>
        <item sd="0" m="1" x="7680"/>
        <item sd="0" m="1" x="4359"/>
        <item sd="0" m="1" x="5283"/>
        <item sd="0" m="1" x="6117"/>
        <item sd="0" m="1" x="69"/>
        <item sd="0" m="1" x="6172"/>
        <item sd="0" m="1" x="6817"/>
        <item sd="0" m="1" x="946"/>
        <item sd="0" m="1" x="1502"/>
        <item sd="0" m="1" x="2223"/>
        <item sd="0" m="1" x="3095"/>
        <item sd="0" m="1" x="7172"/>
        <item sd="0" m="1" x="7573"/>
        <item sd="0" m="1" x="2287"/>
        <item sd="0" m="1" x="3157"/>
        <item sd="0" m="1" x="4121"/>
        <item sd="0" m="1" x="5059"/>
        <item sd="0" m="1" x="7426"/>
        <item sd="0" m="1" x="7755"/>
        <item sd="0" m="1" x="3666"/>
        <item sd="0" m="1" x="3252"/>
        <item sd="0" m="1" x="4232"/>
        <item sd="0" m="1" x="5189"/>
        <item sd="0" m="1" x="5232"/>
        <item sd="0" m="1" x="6093"/>
        <item sd="0" m="1" x="6782"/>
        <item sd="0" m="1" x="1418"/>
        <item sd="0" m="1" x="2141"/>
        <item sd="0" m="1" x="3034"/>
        <item sd="0" m="1" x="3999"/>
        <item sd="0" m="1" x="3096"/>
        <item sd="0" m="1" x="4062"/>
        <item sd="0" m="1" x="5015"/>
        <item sd="0" m="1" x="5890"/>
        <item sd="0" m="1" x="5060"/>
        <item sd="0" m="1" x="5922"/>
        <item sd="0" m="1" x="778"/>
        <item sd="0" m="1" x="1252"/>
        <item sd="0" m="1" x="1935"/>
        <item sd="0" m="1" x="2772"/>
        <item sd="0" m="1" x="6372"/>
        <item sd="0" m="1" x="6963"/>
        <item sd="0" m="1" x="1998"/>
        <item sd="0" m="1" x="2831"/>
        <item sd="0" m="1" x="3792"/>
        <item sd="0" m="1" x="4749"/>
        <item sd="0" m="1" x="7479"/>
        <item sd="0" m="1" x="7790"/>
        <item sd="0" m="1" x="3855"/>
        <item sd="0" m="1" x="4810"/>
        <item sd="0" m="1" x="5698"/>
        <item sd="0" m="1" x="359"/>
        <item sd="0" m="1" x="654"/>
        <item sd="0" m="1" x="1113"/>
        <item sd="0" m="1" x="5372"/>
        <item sd="0" m="1" x="6179"/>
        <item sd="0" m="1" x="6829"/>
        <item sd="0" m="1" x="1173"/>
        <item sd="0" m="1" x="1800"/>
        <item sd="0" m="1" x="2613"/>
        <item sd="0" m="1" x="6882"/>
        <item sd="0" m="1" x="7365"/>
        <item sd="0" m="1" x="7722"/>
        <item sd="0" m="1" x="2686"/>
        <item sd="0" m="1" x="3611"/>
        <item sd="0" m="1" x="4565"/>
        <item sd="0" m="1" x="313"/>
        <item sd="0" m="1" x="556"/>
        <item sd="0" m="1" x="4192"/>
        <item sd="0" m="1" x="5128"/>
        <item sd="0" m="1" x="5986"/>
        <item sd="0" m="1" x="1039"/>
        <item sd="0" m="1" x="1585"/>
        <item sd="0" m="1" x="6042"/>
        <item sd="0" m="1" x="89"/>
        <item sd="0" m="1" x="5780"/>
        <item sd="0" m="1" x="6514"/>
        <item sd="0" m="1" x="7080"/>
        <item sd="0" m="1" x="1202"/>
        <item sd="0" m="1" x="1840"/>
        <item sd="0" m="1" x="2648"/>
        <item sd="0" m="1" x="6912"/>
        <item sd="0" m="1" x="7392"/>
        <item sd="0" m="1" x="7734"/>
        <item sd="0" m="1" x="2716"/>
        <item sd="0" m="1" x="3632"/>
        <item sd="0" m="1" x="4591"/>
        <item sd="0" m="1" x="7777"/>
        <item sd="0" m="1" x="7972"/>
        <item sd="0" m="1" x="78"/>
        <item sd="0" m="1" x="4658"/>
        <item sd="0" m="1" x="5551"/>
        <item sd="0" m="1" x="6316"/>
        <item sd="0" m="1" x="1063"/>
        <item sd="0" m="1" x="1639"/>
        <item sd="0" m="1" x="6069"/>
        <item sd="0" m="1" x="6749"/>
        <item sd="0" m="1" x="7275"/>
        <item sd="0" m="1" x="2479"/>
        <item sd="0" m="1" x="3372"/>
        <item sd="0" m="1" x="7317"/>
        <item sd="0" m="1" x="7702"/>
        <item sd="0" m="1" x="7925"/>
        <item sd="0" m="1" x="4389"/>
        <item sd="0" m="1" x="5313"/>
        <item sd="0" m="1" x="918"/>
        <item sd="0" m="1" x="4028"/>
        <item sd="0" m="1" x="4978"/>
        <item sd="0" m="1" x="5866"/>
        <item sd="0" m="1" x="6592"/>
        <item sd="0" m="1" x="2257"/>
        <item sd="0" m="1" x="5908"/>
        <item sd="0" m="1" x="6646"/>
        <item sd="0" m="1" x="7193"/>
        <item sd="0" m="1" x="7602"/>
        <item sd="0" m="1" x="4143"/>
        <item sd="0" m="1" x="2795"/>
        <item sd="0" m="1" x="3751"/>
        <item sd="0" m="1" x="4723"/>
        <item sd="0" m="1" x="5618"/>
        <item sd="0" m="1" x="4774"/>
        <item sd="0" m="1" x="5672"/>
        <item sd="0" m="1" x="6458"/>
        <item sd="0" m="1" x="7047"/>
        <item sd="0" m="1" x="6469"/>
        <item sd="0" m="1" x="1755"/>
        <item sd="0" m="1" x="2577"/>
        <item sd="0" m="1" x="3508"/>
        <item sd="0" m="1" x="7331"/>
        <item sd="0" m="1" x="3568"/>
        <item sd="0" m="1" x="4531"/>
        <item sd="0" m="1" x="5446"/>
        <item sd="0" m="1" x="7139"/>
        <item sd="0" m="1" x="7555"/>
        <item sd="0" m="1" x="7843"/>
        <item sd="0" m="1" x="3124"/>
        <item sd="0" m="1" x="4095"/>
        <item sd="0" m="1" x="5033"/>
        <item sd="0" m="1" x="399"/>
        <item sd="0" m="1" x="3708"/>
        <item sd="0" m="1" x="4665"/>
        <item sd="0" m="1" x="5566"/>
        <item sd="0" m="1" x="6331"/>
        <item sd="0" m="1" x="1280"/>
        <item sd="0" m="1" x="5619"/>
        <item sd="0" m="1" x="6401"/>
        <item sd="0" m="1" x="6994"/>
        <item sd="0" m="1" x="7445"/>
        <item sd="0" m="1" x="2879"/>
        <item sd="0" m="1" x="2523"/>
        <item sd="0" m="1" x="3460"/>
        <item sd="0" m="1" x="4405"/>
        <item sd="0" m="1" x="4473"/>
        <item sd="0" m="1" x="5399"/>
        <item sd="0" m="1" x="6208"/>
        <item sd="0" m="1" x="5373"/>
        <item sd="0" m="1" x="6180"/>
        <item sd="0" m="1" x="6830"/>
        <item sd="0" m="1" x="1174"/>
        <item sd="0" m="1" x="1801"/>
        <item sd="0" m="1" x="2614"/>
        <item sd="0" m="1" x="6883"/>
        <item sd="0" m="1" x="7366"/>
        <item sd="0" m="1" x="7723"/>
        <item sd="0" m="1" x="2687"/>
        <item sd="0" m="1" x="3612"/>
        <item sd="0" m="1" x="4566"/>
        <item sd="0" m="1" x="314"/>
        <item sd="0" m="1" x="557"/>
        <item sd="0" m="1" x="4193"/>
        <item sd="0" m="1" x="5129"/>
        <item sd="0" m="1" x="5987"/>
        <item sd="0" m="1" x="1040"/>
        <item sd="0" m="1" x="1586"/>
        <item sd="0" m="1" x="6043"/>
        <item sd="0" m="1" x="6728"/>
        <item sd="0" m="1" x="7237"/>
        <item sd="0" m="1" x="2456"/>
        <item sd="0" m="1" x="3328"/>
        <item sd="0" m="1" x="250"/>
        <item sd="0" m="1" x="2093"/>
        <item sd="0" m="1" x="2979"/>
        <item sd="0" m="1" x="3950"/>
        <item sd="0" m="1" x="4883"/>
        <item sd="0" m="1" x="885"/>
        <item sd="0" m="1" x="4000"/>
        <item sd="0" m="1" x="4948"/>
        <item sd="0" m="1" x="5843"/>
        <item sd="0" m="1" x="6549"/>
        <item sd="0" m="1" x="2224"/>
        <item sd="0" m="1" x="2042"/>
        <item sd="0" m="1" x="2880"/>
        <item sd="0" m="1" x="3821"/>
        <item sd="0" m="1" x="4775"/>
        <item sd="0" m="1" x="7508"/>
        <item sd="0" m="1" x="7807"/>
        <item sd="0" m="1" x="3883"/>
        <item sd="0" m="1" x="4836"/>
        <item sd="0" m="1" x="5720"/>
        <item sd="0" m="1" x="6470"/>
        <item sd="0" m="1" x="7703"/>
        <item sd="0" m="1" x="7926"/>
        <item sd="0" m="1" x="4390"/>
        <item sd="0" m="1" x="5314"/>
        <item sd="0" m="1" x="919"/>
        <item sd="0" m="1" x="4029"/>
        <item sd="0" m="1" x="4979"/>
        <item sd="0" m="1" x="5867"/>
        <item sd="0" m="1" x="6593"/>
        <item sd="0" m="1" x="2258"/>
        <item sd="0" m="1" x="5909"/>
        <item sd="0" m="1" x="6647"/>
        <item sd="0" m="1" x="7194"/>
        <item sd="0" m="1" x="7603"/>
        <item sd="0" m="1" x="4144"/>
        <item sd="0" m="1" x="2796"/>
        <item sd="0" m="1" x="3752"/>
        <item sd="0" m="1" x="4724"/>
        <item sd="0" m="1" x="5620"/>
        <item sd="0" m="1" x="4776"/>
        <item sd="0" m="1" x="5673"/>
        <item sd="0" m="1" x="6459"/>
        <item sd="0" m="1" x="7048"/>
        <item sd="0" m="1" x="6471"/>
        <item sd="0" m="1" x="1756"/>
        <item sd="0" m="1" x="2578"/>
        <item sd="0" m="1" x="3509"/>
        <item sd="0" m="1" x="7332"/>
        <item sd="0" m="1" x="3569"/>
        <item sd="0" m="1" x="4532"/>
        <item sd="0" m="1" x="5447"/>
        <item sd="0" m="1" x="7940"/>
        <item sd="0" m="1" x="5489"/>
        <item sd="0" m="1" x="6297"/>
        <item sd="0" m="1" x="582"/>
        <item sd="0" m="1" x="989"/>
        <item sd="0" m="1" x="1562"/>
        <item sd="0" m="1" x="2317"/>
        <item sd="0" m="1" x="6685"/>
        <item sd="0" m="1" x="7203"/>
        <item sd="0" m="1" x="1640"/>
        <item sd="0" m="1" x="2388"/>
        <item sd="0" m="1" x="3286"/>
        <item sd="0" m="1" x="4255"/>
        <item sd="0" m="1" x="7649"/>
        <item sd="0" m="1" x="7892"/>
        <item sd="0" m="1" x="3373"/>
        <item sd="0" m="1" x="4332"/>
        <item sd="0" m="1" x="5264"/>
        <item sd="0" m="1" x="6097"/>
        <item sd="0" m="1" x="486"/>
        <item sd="0" m="1" x="860"/>
        <item sd="0" m="1" x="1382"/>
        <item sd="0" m="1" x="4913"/>
        <item sd="0" m="1" x="5793"/>
        <item sd="0" m="1" x="6523"/>
        <item sd="0" m="1" x="7084"/>
        <item sd="0" m="1" x="1453"/>
        <item sd="0" m="1" x="2177"/>
        <item sd="0" m="1" x="3054"/>
        <item sd="0" m="1" x="6594"/>
        <item sd="0" m="1" x="711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x="29"/>
        <item sd="0" m="1" x="155"/>
        <item sd="0" m="1" x="30"/>
      </items>
    </pivotField>
    <pivotField showAll="0">
      <items count="11">
        <item x="0"/>
        <item h="1" x="1"/>
        <item h="1" x="2"/>
        <item h="1" x="3"/>
        <item h="1" m="1" x="9"/>
        <item h="1" m="1" x="4"/>
        <item h="1" m="1" x="5"/>
        <item h="1" m="1" x="6"/>
        <item h="1" m="1" x="7"/>
        <item h="1"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8"/>
    <field x="7"/>
  </rowFields>
  <rowItems count="34">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r="1">
      <x v="29"/>
    </i>
    <i r="1">
      <x v="30"/>
    </i>
    <i r="1">
      <x v="31"/>
    </i>
    <i t="grand">
      <x/>
    </i>
  </rowItems>
  <colFields count="1">
    <field x="-2"/>
  </colFields>
  <colItems count="3">
    <i>
      <x/>
    </i>
    <i i="1">
      <x v="1"/>
    </i>
    <i i="2">
      <x v="2"/>
    </i>
  </colItems>
  <dataFields count="3">
    <dataField name="Average of ACTUALBASE" fld="16" subtotal="average" baseField="8" baseItem="4000" numFmtId="164"/>
    <dataField name="Average of PREDICTEDBASE" fld="17" subtotal="average" baseField="8" baseItem="4000" numFmtId="164"/>
    <dataField name="Average of ERRORBASE" fld="18"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38"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6" firstHeaderRow="1" firstDataRow="2" firstDataCol="1"/>
  <pivotFields count="19">
    <pivotField compact="0" outline="0" showAll="0">
      <items count="189">
        <item m="1" x="181"/>
        <item m="1" x="161"/>
        <item m="1" x="75"/>
        <item m="1" x="19"/>
        <item m="1" x="62"/>
        <item m="1" x="182"/>
        <item m="1" x="7"/>
        <item m="1" x="158"/>
        <item m="1" x="46"/>
        <item m="1" x="134"/>
        <item m="1" x="79"/>
        <item m="1" x="179"/>
        <item m="1" x="68"/>
        <item m="1" x="11"/>
        <item m="1" x="135"/>
        <item m="1" x="82"/>
        <item m="1" x="88"/>
        <item m="1" x="115"/>
        <item m="1" x="140"/>
        <item m="1" x="34"/>
        <item m="1" x="50"/>
        <item m="1" x="183"/>
        <item m="1" x="8"/>
        <item m="1" x="176"/>
        <item m="1" x="51"/>
        <item m="1" x="83"/>
        <item m="1" x="58"/>
        <item m="1" x="91"/>
        <item m="1" x="95"/>
        <item m="1" x="69"/>
        <item m="1" x="23"/>
        <item m="1" x="153"/>
        <item m="1" x="32"/>
        <item m="1" x="35"/>
        <item m="1" x="144"/>
        <item m="1" x="99"/>
        <item m="1" x="63"/>
        <item m="1" x="184"/>
        <item m="1" x="145"/>
        <item m="1" x="100"/>
        <item m="1" x="165"/>
        <item m="1" x="44"/>
        <item m="1" x="12"/>
        <item m="1" x="20"/>
        <item m="1" x="127"/>
        <item m="1" x="109"/>
        <item m="1" x="111"/>
        <item m="1" x="80"/>
        <item m="1" x="92"/>
        <item m="1" x="89"/>
        <item m="1" x="66"/>
        <item m="1" x="177"/>
        <item m="1" x="4"/>
        <item m="1" x="185"/>
        <item m="1" x="116"/>
        <item m="1" x="5"/>
        <item m="1" x="84"/>
        <item m="1" x="150"/>
        <item m="1" x="148"/>
        <item m="1" x="21"/>
        <item m="1" x="93"/>
        <item m="1" x="67"/>
        <item m="1" x="141"/>
        <item m="1" x="40"/>
        <item m="1" x="159"/>
        <item m="1" x="170"/>
        <item m="1" x="24"/>
        <item m="1" x="119"/>
        <item m="1" x="137"/>
        <item m="1" x="166"/>
        <item m="1" x="157"/>
        <item m="1" x="104"/>
        <item m="1" x="130"/>
        <item m="1" x="162"/>
        <item m="1" x="52"/>
        <item m="1" x="36"/>
        <item m="1" x="70"/>
        <item m="1" x="105"/>
        <item m="1" x="101"/>
        <item m="1" x="41"/>
        <item m="1" x="147"/>
        <item m="1" x="37"/>
        <item m="1" x="149"/>
        <item m="1" x="72"/>
        <item m="1" x="64"/>
        <item m="1" x="171"/>
        <item m="1" x="186"/>
        <item m="1" x="1"/>
        <item m="1" x="167"/>
        <item m="1" x="187"/>
        <item m="1" x="131"/>
        <item m="1" x="138"/>
        <item m="1" x="27"/>
        <item m="1" x="154"/>
        <item m="1" x="133"/>
        <item m="1" x="47"/>
        <item m="1" x="73"/>
        <item x="0"/>
        <item m="1" x="128"/>
        <item m="1" x="90"/>
        <item m="1" x="76"/>
        <item m="1" x="48"/>
        <item m="1" x="14"/>
        <item m="1" x="117"/>
        <item m="1" x="59"/>
        <item m="1" x="155"/>
        <item m="1" x="85"/>
        <item m="1" x="56"/>
        <item m="1" x="28"/>
        <item m="1" x="60"/>
        <item m="1" x="2"/>
        <item m="1" x="33"/>
        <item m="1" x="22"/>
        <item m="1" x="6"/>
        <item m="1" x="123"/>
        <item m="1" x="86"/>
        <item m="1" x="49"/>
        <item m="1" x="30"/>
        <item m="1" x="38"/>
        <item m="1" x="129"/>
        <item m="1" x="160"/>
        <item m="1" x="29"/>
        <item m="1" x="124"/>
        <item m="1" x="13"/>
        <item m="1" x="42"/>
        <item m="1" x="17"/>
        <item m="1" x="102"/>
        <item m="1" x="74"/>
        <item m="1" x="77"/>
        <item m="1" x="16"/>
        <item m="1" x="172"/>
        <item m="1" x="173"/>
        <item m="1" x="110"/>
        <item m="1" x="142"/>
        <item m="1" x="53"/>
        <item m="1" x="25"/>
        <item m="1" x="106"/>
        <item m="1" x="146"/>
        <item m="1" x="120"/>
        <item m="1" x="39"/>
        <item m="1" x="174"/>
        <item m="1" x="112"/>
        <item m="1" x="9"/>
        <item m="1" x="163"/>
        <item m="1" x="18"/>
        <item m="1" x="45"/>
        <item m="1" x="96"/>
        <item m="1" x="71"/>
        <item m="1" x="125"/>
        <item m="1" x="156"/>
        <item m="1" x="103"/>
        <item m="1" x="113"/>
        <item m="1" x="54"/>
        <item m="1" x="15"/>
        <item m="1" x="43"/>
        <item m="1" x="55"/>
        <item m="1" x="107"/>
        <item m="1" x="121"/>
        <item m="1" x="132"/>
        <item m="1" x="126"/>
        <item m="1" x="78"/>
        <item m="1" x="94"/>
        <item m="1" x="26"/>
        <item m="1" x="57"/>
        <item m="1" x="164"/>
        <item m="1" x="97"/>
        <item m="1" x="3"/>
        <item m="1" x="143"/>
        <item m="1" x="180"/>
        <item m="1" x="65"/>
        <item m="1" x="118"/>
        <item m="1" x="136"/>
        <item m="1" x="81"/>
        <item m="1" x="98"/>
        <item m="1" x="114"/>
        <item m="1" x="122"/>
        <item m="1" x="168"/>
        <item m="1" x="10"/>
        <item m="1" x="139"/>
        <item m="1" x="175"/>
        <item m="1" x="178"/>
        <item m="1" x="31"/>
        <item m="1" x="61"/>
        <item m="1" x="151"/>
        <item m="1" x="169"/>
        <item m="1" x="152"/>
        <item m="1" x="87"/>
        <item m="1" x="108"/>
        <item t="default"/>
      </items>
    </pivotField>
    <pivotField compact="0" outline="0" showAll="0">
      <items count="417">
        <item m="1" x="15"/>
        <item m="1" x="383"/>
        <item m="1" x="94"/>
        <item m="1" x="307"/>
        <item m="1" x="273"/>
        <item m="1" x="320"/>
        <item m="1" x="314"/>
        <item m="1" x="284"/>
        <item m="1" x="375"/>
        <item m="1" x="128"/>
        <item m="1" x="51"/>
        <item m="1" x="315"/>
        <item m="1" x="203"/>
        <item m="1" x="258"/>
        <item m="1" x="39"/>
        <item m="1" x="366"/>
        <item m="1" x="274"/>
        <item m="1" x="204"/>
        <item m="1" x="321"/>
        <item m="1" x="332"/>
        <item m="1" x="211"/>
        <item m="1" x="40"/>
        <item m="1" x="229"/>
        <item m="1" x="65"/>
        <item m="1" x="16"/>
        <item m="1" x="298"/>
        <item m="1" x="182"/>
        <item m="1" x="347"/>
        <item m="1" x="32"/>
        <item m="1" x="245"/>
        <item m="1" x="118"/>
        <item m="1" x="7"/>
        <item m="1" x="384"/>
        <item m="1" x="72"/>
        <item m="1" x="164"/>
        <item m="1" x="22"/>
        <item m="1" x="398"/>
        <item m="1" x="275"/>
        <item m="1" x="205"/>
        <item m="1" x="149"/>
        <item m="1" x="354"/>
        <item m="1" x="373"/>
        <item m="1" x="190"/>
        <item m="1" x="399"/>
        <item m="1" x="23"/>
        <item m="1" x="333"/>
        <item m="1" x="276"/>
        <item m="1" x="112"/>
        <item m="1" x="109"/>
        <item m="1" x="367"/>
        <item m="1" x="360"/>
        <item m="1" x="119"/>
        <item m="1" x="230"/>
        <item m="1" x="10"/>
        <item m="1" x="361"/>
        <item m="1" x="390"/>
        <item m="1" x="165"/>
        <item m="1" x="328"/>
        <item m="1" x="24"/>
        <item m="1" x="80"/>
        <item m="1" x="246"/>
        <item m="1" x="124"/>
        <item m="1" x="11"/>
        <item m="1" x="299"/>
        <item m="1" x="238"/>
        <item m="1" x="101"/>
        <item m="1" x="266"/>
        <item m="1" x="197"/>
        <item m="1" x="348"/>
        <item m="1" x="285"/>
        <item m="1" x="33"/>
        <item m="1" x="87"/>
        <item m="1" x="135"/>
        <item m="1" x="300"/>
        <item m="1" x="206"/>
        <item m="1" x="17"/>
        <item m="1" x="34"/>
        <item m="1" x="88"/>
        <item m="1" x="150"/>
        <item m="1" x="247"/>
        <item m="1" x="376"/>
        <item m="1" x="166"/>
        <item m="1" x="385"/>
        <item m="1" x="325"/>
        <item m="1" x="198"/>
        <item m="1" x="212"/>
        <item m="1" x="391"/>
        <item m="1" x="102"/>
        <item m="1" x="267"/>
        <item m="1" x="25"/>
        <item m="1" x="405"/>
        <item m="1" x="349"/>
        <item m="1" x="277"/>
        <item m="1" x="167"/>
        <item m="1" x="26"/>
        <item m="1" x="151"/>
        <item m="1" x="248"/>
        <item m="1" x="406"/>
        <item m="1" x="113"/>
        <item m="1" x="173"/>
        <item m="1" x="278"/>
        <item m="1" x="183"/>
        <item m="1" x="268"/>
        <item m="1" x="59"/>
        <item m="1" x="159"/>
        <item m="1" x="368"/>
        <item m="1" x="400"/>
        <item m="1" x="177"/>
        <item m="1" x="219"/>
        <item m="1" x="308"/>
        <item m="1" x="377"/>
        <item m="1" x="254"/>
        <item m="1" x="362"/>
        <item m="1" x="184"/>
        <item m="1" x="45"/>
        <item m="1" x="392"/>
        <item m="1" x="129"/>
        <item m="1" x="280"/>
        <item m="1" x="220"/>
        <item m="1" x="160"/>
        <item m="1" x="73"/>
        <item m="1" x="125"/>
        <item m="1" x="41"/>
        <item m="1" x="322"/>
        <item m="1" x="89"/>
        <item m="1" x="329"/>
        <item m="1" x="27"/>
        <item m="1" x="234"/>
        <item m="1" x="95"/>
        <item m="1" x="259"/>
        <item m="1" x="199"/>
        <item m="1" x="126"/>
        <item m="1" x="90"/>
        <item m="1" x="289"/>
        <item m="1" x="114"/>
        <item m="1" x="161"/>
        <item m="1" x="193"/>
        <item m="1" x="301"/>
        <item m="1" x="66"/>
        <item m="1" x="226"/>
        <item m="1" x="52"/>
        <item m="1" x="67"/>
        <item m="1" x="152"/>
        <item m="1" x="174"/>
        <item m="1" x="110"/>
        <item m="1" x="60"/>
        <item m="1" x="178"/>
        <item m="1" x="326"/>
        <item m="1" x="185"/>
        <item m="1" x="18"/>
        <item m="1" x="141"/>
        <item m="1" x="1"/>
        <item m="1" x="103"/>
        <item m="1" x="53"/>
        <item m="1" x="231"/>
        <item m="1" x="337"/>
        <item m="1" x="221"/>
        <item m="1" x="241"/>
        <item m="1" x="28"/>
        <item m="1" x="286"/>
        <item m="1" x="249"/>
        <item m="1" x="290"/>
        <item m="1" x="378"/>
        <item m="1" x="407"/>
        <item m="1" x="260"/>
        <item m="1" x="120"/>
        <item m="1" x="369"/>
        <item m="1" x="153"/>
        <item m="1" x="316"/>
        <item m="1" x="130"/>
        <item m="1" x="61"/>
        <item m="1" x="194"/>
        <item m="1" x="261"/>
        <item m="1" x="121"/>
        <item m="1" x="46"/>
        <item m="1" x="379"/>
        <item m="1" x="74"/>
        <item x="0"/>
        <item m="1" x="291"/>
        <item m="1" x="42"/>
        <item m="1" x="186"/>
        <item m="1" x="281"/>
        <item m="1" x="142"/>
        <item m="1" x="269"/>
        <item m="1" x="8"/>
        <item m="1" x="111"/>
        <item m="1" x="156"/>
        <item m="1" x="323"/>
        <item m="1" x="338"/>
        <item m="1" x="413"/>
        <item m="1" x="168"/>
        <item m="1" x="2"/>
        <item m="1" x="350"/>
        <item m="1" x="287"/>
        <item m="1" x="62"/>
        <item m="1" x="235"/>
        <item m="1" x="408"/>
        <item m="1" x="179"/>
        <item m="1" x="43"/>
        <item m="1" x="187"/>
        <item m="1" x="262"/>
        <item m="1" x="342"/>
        <item m="1" x="200"/>
        <item m="1" x="282"/>
        <item m="1" x="270"/>
        <item m="1" x="29"/>
        <item m="1" x="207"/>
        <item m="1" x="54"/>
        <item m="1" x="317"/>
        <item m="1" x="401"/>
        <item m="1" x="334"/>
        <item m="1" x="91"/>
        <item m="1" x="180"/>
        <item m="1" x="255"/>
        <item m="1" x="414"/>
        <item m="1" x="96"/>
        <item m="1" x="188"/>
        <item m="1" x="47"/>
        <item m="1" x="393"/>
        <item m="1" x="271"/>
        <item m="1" x="154"/>
        <item m="1" x="250"/>
        <item m="1" x="131"/>
        <item m="1" x="195"/>
        <item m="1" x="343"/>
        <item m="1" x="143"/>
        <item m="1" x="75"/>
        <item m="1" x="374"/>
        <item m="1" x="355"/>
        <item m="1" x="380"/>
        <item m="1" x="256"/>
        <item m="1" x="12"/>
        <item m="1" x="115"/>
        <item m="1" x="97"/>
        <item m="1" x="189"/>
        <item m="1" x="370"/>
        <item m="1" x="48"/>
        <item m="1" x="76"/>
        <item m="1" x="242"/>
        <item m="1" x="3"/>
        <item m="1" x="55"/>
        <item m="1" x="81"/>
        <item m="1" x="213"/>
        <item m="1" x="292"/>
        <item m="1" x="302"/>
        <item m="1" x="98"/>
        <item m="1" x="263"/>
        <item m="1" x="122"/>
        <item m="1" x="144"/>
        <item m="1" x="77"/>
        <item m="1" x="169"/>
        <item m="1" x="330"/>
        <item m="1" x="351"/>
        <item m="1" x="56"/>
        <item m="1" x="35"/>
        <item m="1" x="132"/>
        <item m="1" x="293"/>
        <item m="1" x="381"/>
        <item m="1" x="63"/>
        <item m="1" x="181"/>
        <item m="1" x="363"/>
        <item m="1" x="68"/>
        <item m="1" x="99"/>
        <item m="1" x="19"/>
        <item m="1" x="309"/>
        <item m="1" x="78"/>
        <item m="1" x="318"/>
        <item m="1" x="402"/>
        <item m="1" x="82"/>
        <item m="1" x="294"/>
        <item m="1" x="324"/>
        <item m="1" x="116"/>
        <item m="1" x="136"/>
        <item m="1" x="222"/>
        <item m="1" x="344"/>
        <item m="1" x="371"/>
        <item m="1" x="49"/>
        <item m="1" x="394"/>
        <item m="1" x="4"/>
        <item m="1" x="191"/>
        <item m="1" x="352"/>
        <item m="1" x="57"/>
        <item m="1" x="83"/>
        <item m="1" x="335"/>
        <item m="1" x="356"/>
        <item m="1" x="214"/>
        <item m="1" x="295"/>
        <item m="1" x="409"/>
        <item m="1" x="364"/>
        <item m="1" x="303"/>
        <item m="1" x="415"/>
        <item m="1" x="201"/>
        <item m="1" x="145"/>
        <item m="1" x="227"/>
        <item m="1" x="310"/>
        <item m="1" x="30"/>
        <item m="1" x="58"/>
        <item m="1" x="133"/>
        <item m="1" x="215"/>
        <item m="1" x="296"/>
        <item m="1" x="339"/>
        <item m="1" x="386"/>
        <item m="1" x="69"/>
        <item m="1" x="239"/>
        <item m="1" x="20"/>
        <item m="1" x="123"/>
        <item m="1" x="283"/>
        <item m="1" x="79"/>
        <item m="1" x="104"/>
        <item m="1" x="192"/>
        <item m="1" x="208"/>
        <item m="1" x="232"/>
        <item m="1" x="403"/>
        <item m="1" x="251"/>
        <item m="1" x="357"/>
        <item m="1" x="36"/>
        <item m="1" x="410"/>
        <item m="1" x="223"/>
        <item m="1" x="264"/>
        <item m="1" x="50"/>
        <item m="1" x="311"/>
        <item m="1" x="395"/>
        <item m="1" x="105"/>
        <item m="1" x="84"/>
        <item m="1" x="175"/>
        <item m="1" x="336"/>
        <item m="1" x="358"/>
        <item m="1" x="157"/>
        <item m="1" x="411"/>
        <item m="1" x="345"/>
        <item m="1" x="146"/>
        <item m="1" x="228"/>
        <item m="1" x="312"/>
        <item m="1" x="155"/>
        <item m="1" x="85"/>
        <item m="1" x="176"/>
        <item m="1" x="134"/>
        <item m="1" x="412"/>
        <item m="1" x="92"/>
        <item m="1" x="117"/>
        <item m="1" x="387"/>
        <item m="1" x="327"/>
        <item m="1" x="100"/>
        <item m="1" x="147"/>
        <item m="1" x="396"/>
        <item m="1" x="170"/>
        <item m="1" x="233"/>
        <item m="1" x="319"/>
        <item m="1" x="9"/>
        <item m="1" x="279"/>
        <item m="1" x="216"/>
        <item m="1" x="382"/>
        <item m="1" x="137"/>
        <item m="1" x="171"/>
        <item m="1" x="243"/>
        <item m="1" x="106"/>
        <item m="1" x="31"/>
        <item m="1" x="209"/>
        <item m="1" x="86"/>
        <item m="1" x="359"/>
        <item m="1" x="37"/>
        <item m="1" x="217"/>
        <item m="1" x="236"/>
        <item m="1" x="257"/>
        <item m="1" x="138"/>
        <item m="1" x="224"/>
        <item m="1" x="304"/>
        <item m="1" x="388"/>
        <item m="1" x="346"/>
        <item m="1" x="21"/>
        <item m="1" x="148"/>
        <item m="1" x="397"/>
        <item m="1" x="107"/>
        <item m="1" x="252"/>
        <item m="1" x="158"/>
        <item m="1" x="44"/>
        <item m="1" x="70"/>
        <item m="1" x="372"/>
        <item m="1" x="244"/>
        <item m="1" x="5"/>
        <item m="1" x="272"/>
        <item m="1" x="288"/>
        <item m="1" x="253"/>
        <item m="1" x="218"/>
        <item m="1" x="365"/>
        <item m="1" x="331"/>
        <item m="1" x="6"/>
        <item m="1" x="353"/>
        <item m="1" x="127"/>
        <item m="1" x="38"/>
        <item m="1" x="64"/>
        <item m="1" x="196"/>
        <item m="1" x="139"/>
        <item m="1" x="305"/>
        <item m="1" x="162"/>
        <item m="1" x="265"/>
        <item m="1" x="108"/>
        <item m="1" x="340"/>
        <item m="1" x="13"/>
        <item m="1" x="140"/>
        <item m="1" x="163"/>
        <item m="1" x="240"/>
        <item m="1" x="210"/>
        <item m="1" x="93"/>
        <item m="1" x="341"/>
        <item m="1" x="389"/>
        <item m="1" x="202"/>
        <item m="1" x="172"/>
        <item m="1" x="297"/>
        <item m="1" x="237"/>
        <item m="1" x="14"/>
        <item m="1" x="225"/>
        <item m="1" x="306"/>
        <item m="1" x="71"/>
        <item m="1" x="404"/>
        <item m="1" x="313"/>
        <item t="default"/>
      </items>
    </pivotField>
    <pivotField compact="0" outline="0" showAll="0">
      <items count="126">
        <item m="1" x="1"/>
        <item m="1" x="119"/>
        <item m="1" x="109"/>
        <item m="1" x="8"/>
        <item m="1" x="120"/>
        <item m="1" x="4"/>
        <item m="1" x="27"/>
        <item m="1" x="91"/>
        <item m="1" x="48"/>
        <item m="1" x="117"/>
        <item m="1" x="40"/>
        <item m="1" x="6"/>
        <item m="1" x="92"/>
        <item m="1" x="51"/>
        <item m="1" x="56"/>
        <item m="1" x="19"/>
        <item m="1" x="121"/>
        <item m="1" x="5"/>
        <item m="1" x="115"/>
        <item m="1" x="52"/>
        <item m="1" x="59"/>
        <item m="1" x="63"/>
        <item m="1" x="41"/>
        <item m="1" x="10"/>
        <item m="1" x="104"/>
        <item m="1" x="97"/>
        <item m="1" x="66"/>
        <item m="1" x="122"/>
        <item m="1" x="67"/>
        <item m="1" x="112"/>
        <item m="1" x="86"/>
        <item m="1" x="74"/>
        <item m="1" x="76"/>
        <item m="1" x="49"/>
        <item m="1" x="60"/>
        <item m="1" x="57"/>
        <item m="1" x="38"/>
        <item m="1" x="116"/>
        <item m="1" x="123"/>
        <item m="1" x="79"/>
        <item m="1" x="101"/>
        <item m="1" x="100"/>
        <item m="1" x="9"/>
        <item m="1" x="61"/>
        <item m="1" x="39"/>
        <item m="1" x="95"/>
        <item m="1" x="23"/>
        <item m="1" x="108"/>
        <item m="1" x="11"/>
        <item m="1" x="81"/>
        <item m="1" x="93"/>
        <item m="1" x="113"/>
        <item m="1" x="89"/>
        <item m="1" x="20"/>
        <item m="1" x="71"/>
        <item m="1" x="68"/>
        <item m="1" x="24"/>
        <item m="1" x="99"/>
        <item m="1" x="21"/>
        <item m="1" x="42"/>
        <item m="1" x="36"/>
        <item m="1" x="124"/>
        <item m="1" x="2"/>
        <item m="1" x="94"/>
        <item m="1" x="14"/>
        <item m="1" x="105"/>
        <item m="1" x="43"/>
        <item m="1" x="87"/>
        <item m="1" x="58"/>
        <item m="1" x="45"/>
        <item m="1" x="28"/>
        <item m="1" x="33"/>
        <item m="1" x="106"/>
        <item m="1" x="53"/>
        <item m="1" x="31"/>
        <item m="1" x="15"/>
        <item m="1" x="34"/>
        <item m="1" x="3"/>
        <item m="1" x="83"/>
        <item m="1" x="54"/>
        <item m="1" x="17"/>
        <item m="1" x="22"/>
        <item m="1" x="88"/>
        <item m="1" x="16"/>
        <item m="1" x="84"/>
        <item m="1" x="25"/>
        <item m="1" x="69"/>
        <item m="1" x="44"/>
        <item m="1" x="46"/>
        <item m="1" x="75"/>
        <item m="1" x="96"/>
        <item m="1" x="29"/>
        <item m="1" x="12"/>
        <item m="1" x="98"/>
        <item m="1" x="82"/>
        <item m="1" x="114"/>
        <item m="1" x="77"/>
        <item m="1" x="110"/>
        <item m="1" x="7"/>
        <item m="1" x="26"/>
        <item m="1" x="64"/>
        <item x="0"/>
        <item m="1" x="85"/>
        <item m="1" x="107"/>
        <item m="1" x="70"/>
        <item m="1" x="78"/>
        <item m="1" x="30"/>
        <item m="1" x="72"/>
        <item m="1" x="90"/>
        <item m="1" x="47"/>
        <item m="1" x="62"/>
        <item m="1" x="13"/>
        <item m="1" x="32"/>
        <item m="1" x="111"/>
        <item m="1" x="118"/>
        <item m="1" x="37"/>
        <item m="1" x="80"/>
        <item m="1" x="50"/>
        <item m="1" x="65"/>
        <item m="1" x="18"/>
        <item m="1" x="35"/>
        <item m="1" x="102"/>
        <item m="1" x="103"/>
        <item m="1" x="55"/>
        <item m="1" x="73"/>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417">
        <item m="1" x="163"/>
        <item x="0"/>
        <item m="1" x="236"/>
        <item m="1" x="197"/>
        <item m="1" x="162"/>
        <item m="1" x="68"/>
        <item m="1" x="369"/>
        <item m="1" x="317"/>
        <item m="1" x="373"/>
        <item m="1" x="409"/>
        <item m="1" x="5"/>
        <item m="1" x="196"/>
        <item m="1" x="267"/>
        <item m="1" x="243"/>
        <item m="1" x="186"/>
        <item m="1" x="316"/>
        <item m="1" x="343"/>
        <item m="1" x="98"/>
        <item m="1" x="127"/>
        <item m="1" x="150"/>
        <item m="1" x="272"/>
        <item m="1" x="173"/>
        <item m="1" x="67"/>
        <item m="1" x="161"/>
        <item m="1" x="266"/>
        <item m="1" x="207"/>
        <item m="1" x="126"/>
        <item m="1" x="406"/>
        <item m="1" x="23"/>
        <item m="1" x="400"/>
        <item m="1" x="36"/>
        <item m="1" x="206"/>
        <item m="1" x="280"/>
        <item m="1" x="63"/>
        <item m="1" x="405"/>
        <item m="1" x="74"/>
        <item m="1" x="215"/>
        <item m="1" x="265"/>
        <item m="1" x="79"/>
        <item m="1" x="404"/>
        <item m="1" x="295"/>
        <item m="1" x="372"/>
        <item m="1" x="160"/>
        <item m="1" x="144"/>
        <item m="1" x="322"/>
        <item m="1" x="368"/>
        <item m="1" x="185"/>
        <item m="1" x="334"/>
        <item m="1" x="184"/>
        <item m="1" x="168"/>
        <item m="1" x="35"/>
        <item m="1" x="403"/>
        <item m="1" x="22"/>
        <item m="1" x="86"/>
        <item m="1" x="45"/>
        <item m="1" x="44"/>
        <item m="1" x="73"/>
        <item m="1" x="195"/>
        <item m="1" x="415"/>
        <item m="1" x="242"/>
        <item m="1" x="16"/>
        <item m="1" x="158"/>
        <item m="1" x="72"/>
        <item m="1" x="382"/>
        <item m="1" x="306"/>
        <item m="1" x="110"/>
        <item m="1" x="333"/>
        <item m="1" x="149"/>
        <item m="1" x="85"/>
        <item m="1" x="241"/>
        <item m="1" x="290"/>
        <item m="1" x="279"/>
        <item m="1" x="278"/>
        <item m="1" x="34"/>
        <item m="1" x="414"/>
        <item m="1" x="167"/>
        <item m="1" x="249"/>
        <item m="1" x="205"/>
        <item m="1" x="367"/>
        <item m="1" x="229"/>
        <item m="1" x="194"/>
        <item m="1" x="235"/>
        <item m="1" x="352"/>
        <item m="1" x="109"/>
        <item m="1" x="204"/>
        <item m="1" x="228"/>
        <item m="1" x="148"/>
        <item m="1" x="78"/>
        <item m="1" x="15"/>
        <item m="1" x="313"/>
        <item m="1" x="248"/>
        <item m="1" x="190"/>
        <item m="1" x="26"/>
        <item m="1" x="305"/>
        <item m="1" x="108"/>
        <item m="1" x="21"/>
        <item m="1" x="97"/>
        <item m="1" x="176"/>
        <item m="1" x="33"/>
        <item m="1" x="84"/>
        <item m="1" x="143"/>
        <item m="1" x="386"/>
        <item m="1" x="288"/>
        <item m="1" x="183"/>
        <item m="1" x="392"/>
        <item m="1" x="62"/>
        <item m="1" x="240"/>
        <item m="1" x="142"/>
        <item m="1" x="115"/>
        <item m="1" x="125"/>
        <item m="1" x="342"/>
        <item m="1" x="332"/>
        <item m="1" x="166"/>
        <item m="1" x="227"/>
        <item m="1" x="341"/>
        <item m="1" x="302"/>
        <item m="1" x="264"/>
        <item m="1" x="312"/>
        <item m="1" x="358"/>
        <item m="1" x="239"/>
        <item m="1" x="413"/>
        <item m="1" x="258"/>
        <item m="1" x="141"/>
        <item m="1" x="83"/>
        <item m="1" x="124"/>
        <item m="1" x="10"/>
        <item m="1" x="399"/>
        <item m="1" x="43"/>
        <item m="1" x="271"/>
        <item m="1" x="82"/>
        <item m="1" x="377"/>
        <item m="1" x="294"/>
        <item m="1" x="123"/>
        <item m="1" x="61"/>
        <item m="1" x="366"/>
        <item m="1" x="234"/>
        <item m="1" x="331"/>
        <item m="1" x="214"/>
        <item m="1" x="365"/>
        <item m="1" x="14"/>
        <item m="1" x="385"/>
        <item m="1" x="315"/>
        <item m="1" x="107"/>
        <item m="1" x="213"/>
        <item m="1" x="106"/>
        <item m="1" x="398"/>
        <item m="1" x="51"/>
        <item m="1" x="311"/>
        <item m="1" x="330"/>
        <item m="1" x="351"/>
        <item m="1" x="247"/>
        <item m="1" x="238"/>
        <item m="1" x="32"/>
        <item m="1" x="96"/>
        <item m="1" x="397"/>
        <item m="1" x="20"/>
        <item m="1" x="42"/>
        <item m="1" x="105"/>
        <item m="1" x="321"/>
        <item m="1" x="226"/>
        <item m="1" x="350"/>
        <item m="1" x="77"/>
        <item m="1" x="114"/>
        <item m="1" x="340"/>
        <item m="1" x="219"/>
        <item m="1" x="396"/>
        <item m="1" x="301"/>
        <item m="1" x="237"/>
        <item m="1" x="293"/>
        <item m="1" x="122"/>
        <item m="1" x="381"/>
        <item m="1" x="60"/>
        <item m="1" x="218"/>
        <item m="1" x="339"/>
        <item m="1" x="327"/>
        <item m="1" x="217"/>
        <item m="1" x="408"/>
        <item m="1" x="41"/>
        <item m="1" x="199"/>
        <item m="1" x="101"/>
        <item m="1" x="175"/>
        <item m="1" x="412"/>
        <item m="1" x="66"/>
        <item m="1" x="300"/>
        <item m="1" x="277"/>
        <item m="1" x="292"/>
        <item m="1" x="376"/>
        <item m="1" x="50"/>
        <item m="1" x="104"/>
        <item m="1" x="287"/>
        <item m="1" x="57"/>
        <item m="1" x="31"/>
        <item m="1" x="286"/>
        <item m="1" x="9"/>
        <item m="1" x="113"/>
        <item m="1" x="174"/>
        <item m="1" x="285"/>
        <item m="1" x="189"/>
        <item m="1" x="198"/>
        <item m="1" x="65"/>
        <item m="1" x="329"/>
        <item m="1" x="349"/>
        <item m="1" x="64"/>
        <item m="1" x="165"/>
        <item m="1" x="121"/>
        <item m="1" x="147"/>
        <item m="1" x="172"/>
        <item m="1" x="310"/>
        <item m="1" x="320"/>
        <item m="1" x="319"/>
        <item m="1" x="140"/>
        <item m="1" x="263"/>
        <item m="1" x="95"/>
        <item m="1" x="171"/>
        <item m="1" x="182"/>
        <item m="1" x="411"/>
        <item m="1" x="338"/>
        <item m="1" x="326"/>
        <item m="1" x="170"/>
        <item m="1" x="56"/>
        <item m="1" x="159"/>
        <item m="1" x="40"/>
        <item m="1" x="370"/>
        <item m="1" x="391"/>
        <item m="1" x="364"/>
        <item m="1" x="375"/>
        <item m="1" x="4"/>
        <item m="1" x="120"/>
        <item m="1" x="390"/>
        <item m="1" x="49"/>
        <item m="1" x="131"/>
        <item m="1" x="246"/>
        <item m="1" x="103"/>
        <item m="1" x="325"/>
        <item m="1" x="13"/>
        <item m="1" x="337"/>
        <item m="1" x="348"/>
        <item m="1" x="169"/>
        <item m="1" x="395"/>
        <item m="1" x="19"/>
        <item m="1" x="71"/>
        <item m="1" x="384"/>
        <item m="1" x="181"/>
        <item m="1" x="94"/>
        <item m="1" x="347"/>
        <item m="1" x="91"/>
        <item m="1" x="39"/>
        <item m="1" x="139"/>
        <item m="1" x="225"/>
        <item m="1" x="119"/>
        <item m="1" x="257"/>
        <item m="1" x="180"/>
        <item m="1" x="357"/>
        <item m="1" x="8"/>
        <item m="1" x="336"/>
        <item m="1" x="380"/>
        <item m="1" x="299"/>
        <item m="1" x="55"/>
        <item m="1" x="363"/>
        <item m="1" x="270"/>
        <item m="1" x="335"/>
        <item m="1" x="291"/>
        <item m="1" x="356"/>
        <item m="1" x="324"/>
        <item m="1" x="394"/>
        <item m="1" x="188"/>
        <item m="1" x="59"/>
        <item m="1" x="203"/>
        <item m="1" x="362"/>
        <item m="1" x="355"/>
        <item m="1" x="383"/>
        <item m="1" x="354"/>
        <item m="1" x="233"/>
        <item m="1" x="3"/>
        <item m="1" x="361"/>
        <item m="1" x="179"/>
        <item m="1" x="157"/>
        <item m="1" x="117"/>
        <item m="1" x="156"/>
        <item m="1" x="81"/>
        <item m="1" x="289"/>
        <item m="1" x="328"/>
        <item m="1" x="262"/>
        <item m="1" x="346"/>
        <item m="1" x="256"/>
        <item m="1" x="58"/>
        <item m="1" x="212"/>
        <item m="1" x="76"/>
        <item m="1" x="12"/>
        <item m="1" x="100"/>
        <item m="1" x="7"/>
        <item m="1" x="70"/>
        <item m="1" x="54"/>
        <item m="1" x="224"/>
        <item m="1" x="253"/>
        <item m="1" x="112"/>
        <item m="1" x="284"/>
        <item m="1" x="304"/>
        <item m="1" x="138"/>
        <item m="1" x="111"/>
        <item m="1" x="211"/>
        <item m="1" x="345"/>
        <item m="1" x="2"/>
        <item m="1" x="90"/>
        <item m="1" x="276"/>
        <item m="1" x="6"/>
        <item m="1" x="309"/>
        <item m="1" x="410"/>
        <item m="1" x="178"/>
        <item m="1" x="53"/>
        <item m="1" x="118"/>
        <item m="1" x="252"/>
        <item m="1" x="18"/>
        <item m="1" x="223"/>
        <item m="1" x="38"/>
        <item m="1" x="269"/>
        <item m="1" x="232"/>
        <item m="1" x="137"/>
        <item m="1" x="69"/>
        <item m="1" x="136"/>
        <item m="1" x="222"/>
        <item m="1" x="402"/>
        <item m="1" x="303"/>
        <item m="1" x="210"/>
        <item m="1" x="135"/>
        <item m="1" x="75"/>
        <item m="1" x="393"/>
        <item m="1" x="379"/>
        <item m="1" x="216"/>
        <item m="1" x="93"/>
        <item m="1" x="30"/>
        <item m="1" x="318"/>
        <item m="1" x="202"/>
        <item m="1" x="245"/>
        <item m="1" x="378"/>
        <item m="1" x="344"/>
        <item m="1" x="209"/>
        <item m="1" x="261"/>
        <item m="1" x="11"/>
        <item m="1" x="251"/>
        <item m="1" x="155"/>
        <item m="1" x="360"/>
        <item m="1" x="374"/>
        <item m="1" x="221"/>
        <item m="1" x="255"/>
        <item m="1" x="48"/>
        <item m="1" x="389"/>
        <item m="1" x="371"/>
        <item m="1" x="154"/>
        <item m="1" x="268"/>
        <item m="1" x="146"/>
        <item m="1" x="359"/>
        <item m="1" x="193"/>
        <item m="1" x="29"/>
        <item m="1" x="134"/>
        <item m="1" x="407"/>
        <item m="1" x="260"/>
        <item m="1" x="116"/>
        <item m="1" x="283"/>
        <item m="1" x="308"/>
        <item m="1" x="89"/>
        <item m="1" x="244"/>
        <item m="1" x="25"/>
        <item m="1" x="145"/>
        <item m="1" x="153"/>
        <item m="1" x="353"/>
        <item m="1" x="28"/>
        <item m="1" x="52"/>
        <item m="1" x="88"/>
        <item m="1" x="187"/>
        <item m="1" x="152"/>
        <item m="1" x="46"/>
        <item m="1" x="231"/>
        <item m="1" x="323"/>
        <item m="1" x="401"/>
        <item m="1" x="99"/>
        <item m="1" x="1"/>
        <item m="1" x="254"/>
        <item m="1" x="130"/>
        <item m="1" x="282"/>
        <item m="1" x="129"/>
        <item m="1" x="388"/>
        <item m="1" x="275"/>
        <item m="1" x="274"/>
        <item m="1" x="177"/>
        <item m="1" x="230"/>
        <item m="1" x="102"/>
        <item m="1" x="281"/>
        <item m="1" x="259"/>
        <item m="1" x="133"/>
        <item m="1" x="201"/>
        <item m="1" x="307"/>
        <item m="1" x="17"/>
        <item m="1" x="387"/>
        <item m="1" x="200"/>
        <item m="1" x="37"/>
        <item m="1" x="92"/>
        <item m="1" x="220"/>
        <item m="1" x="298"/>
        <item m="1" x="192"/>
        <item m="1" x="208"/>
        <item m="1" x="273"/>
        <item m="1" x="314"/>
        <item m="1" x="297"/>
        <item m="1" x="250"/>
        <item m="1" x="128"/>
        <item m="1" x="191"/>
        <item m="1" x="296"/>
        <item m="1" x="80"/>
        <item m="1" x="132"/>
        <item m="1" x="27"/>
        <item m="1" x="164"/>
        <item m="1" x="151"/>
        <item m="1" x="47"/>
        <item m="1" x="87"/>
        <item m="1" x="24"/>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6"/>
  </rowFields>
  <rowItems count="2">
    <i>
      <x v="1"/>
    </i>
    <i t="grand">
      <x/>
    </i>
  </rowItems>
  <colFields count="1">
    <field x="-2"/>
  </colFields>
  <colItems count="2">
    <i>
      <x/>
    </i>
    <i i="1">
      <x v="1"/>
    </i>
  </colItems>
  <dataFields count="2">
    <dataField name="Average of ERRORTRS" fld="12" subtotal="average" baseField="6" baseItem="94"/>
    <dataField name="Average of ERRORTR" fld="15"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3">
      <pivotArea dataOnly="0" fieldPosition="0">
        <references count="1">
          <reference field="4" count="1">
            <x v="1609"/>
          </reference>
        </references>
      </pivotArea>
    </format>
    <format dxfId="32">
      <pivotArea dataOnly="0" fieldPosition="0">
        <references count="1">
          <reference field="4" count="1">
            <x v="1310"/>
          </reference>
        </references>
      </pivotArea>
    </format>
    <format dxfId="31">
      <pivotArea outline="0" fieldPosition="0">
        <references count="1">
          <reference field="4294967294" count="1">
            <x v="1"/>
          </reference>
        </references>
      </pivotArea>
    </format>
    <format dxfId="30">
      <pivotArea outline="0" fieldPosition="0">
        <references count="1">
          <reference field="4294967294" count="1">
            <x v="0"/>
          </reference>
        </references>
      </pivotArea>
    </format>
    <format dxfId="29">
      <pivotArea outline="0" fieldPosition="0">
        <references count="1">
          <reference field="4294967294" count="1">
            <x v="2"/>
          </reference>
        </references>
      </pivotArea>
    </format>
    <format dxfId="28">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7">
      <pivotArea dataOnly="0" labelOnly="1" fieldPosition="0">
        <references count="1">
          <reference field="9" count="0"/>
        </references>
      </pivotArea>
    </format>
    <format dxfId="26">
      <pivotArea dataOnly="0" labelOnly="1" grandCol="1" outline="0" fieldPosition="0"/>
    </format>
    <format dxfId="25">
      <pivotArea collapsedLevelsAreSubtotals="1" fieldPosition="0">
        <references count="3">
          <reference field="4294967294" count="1" selected="0">
            <x v="0"/>
          </reference>
          <reference field="4" count="1">
            <x v="46"/>
          </reference>
          <reference field="9" count="0" selected="0"/>
        </references>
      </pivotArea>
    </format>
    <format dxfId="24">
      <pivotArea collapsedLevelsAreSubtotals="1" fieldPosition="0">
        <references count="3">
          <reference field="4294967294" count="1" selected="0">
            <x v="0"/>
          </reference>
          <reference field="4" count="1">
            <x v="48"/>
          </reference>
          <reference field="9" count="0" selected="0"/>
        </references>
      </pivotArea>
    </format>
    <format dxfId="23">
      <pivotArea collapsedLevelsAreSubtotals="1" fieldPosition="0">
        <references count="3">
          <reference field="4294967294" count="1" selected="0">
            <x v="0"/>
          </reference>
          <reference field="4" count="1">
            <x v="49"/>
          </reference>
          <reference field="9" count="0" selected="0"/>
        </references>
      </pivotArea>
    </format>
    <format dxfId="22">
      <pivotArea collapsedLevelsAreSubtotals="1" fieldPosition="0">
        <references count="3">
          <reference field="4294967294" count="1" selected="0">
            <x v="0"/>
          </reference>
          <reference field="4" count="1">
            <x v="131"/>
          </reference>
          <reference field="9" count="0" selected="0"/>
        </references>
      </pivotArea>
    </format>
    <format dxfId="21">
      <pivotArea collapsedLevelsAreSubtotals="1" fieldPosition="0">
        <references count="3">
          <reference field="4294967294" count="1" selected="0">
            <x v="0"/>
          </reference>
          <reference field="4" count="1">
            <x v="133"/>
          </reference>
          <reference field="9" count="0" selected="0"/>
        </references>
      </pivotArea>
    </format>
    <format dxfId="20">
      <pivotArea collapsedLevelsAreSubtotals="1" fieldPosition="0">
        <references count="3">
          <reference field="4294967294" count="1" selected="0">
            <x v="0"/>
          </reference>
          <reference field="4" count="1">
            <x v="137"/>
          </reference>
          <reference field="9" count="0" selected="0"/>
        </references>
      </pivotArea>
    </format>
    <format dxfId="19">
      <pivotArea collapsedLevelsAreSubtotals="1" fieldPosition="0">
        <references count="3">
          <reference field="4294967294" count="1" selected="0">
            <x v="0"/>
          </reference>
          <reference field="4" count="1">
            <x v="159"/>
          </reference>
          <reference field="9" count="0" selected="0"/>
        </references>
      </pivotArea>
    </format>
    <format dxfId="18">
      <pivotArea collapsedLevelsAreSubtotals="1" fieldPosition="0">
        <references count="3">
          <reference field="4294967294" count="1" selected="0">
            <x v="0"/>
          </reference>
          <reference field="4" count="1">
            <x v="162"/>
          </reference>
          <reference field="9" count="0" selected="0"/>
        </references>
      </pivotArea>
    </format>
    <format dxfId="17">
      <pivotArea collapsedLevelsAreSubtotals="1" fieldPosition="0">
        <references count="3">
          <reference field="4294967294" count="1" selected="0">
            <x v="0"/>
          </reference>
          <reference field="4" count="1">
            <x v="167"/>
          </reference>
          <reference field="9" count="0" selected="0"/>
        </references>
      </pivotArea>
    </format>
    <format dxfId="16">
      <pivotArea collapsedLevelsAreSubtotals="1" fieldPosition="0">
        <references count="3">
          <reference field="4294967294" count="1" selected="0">
            <x v="0"/>
          </reference>
          <reference field="4" count="1">
            <x v="171"/>
          </reference>
          <reference field="9" count="0" selected="0"/>
        </references>
      </pivotArea>
    </format>
    <format dxfId="15">
      <pivotArea collapsedLevelsAreSubtotals="1" fieldPosition="0">
        <references count="3">
          <reference field="4294967294" count="1" selected="0">
            <x v="0"/>
          </reference>
          <reference field="4" count="1">
            <x v="174"/>
          </reference>
          <reference field="9" count="0" selected="0"/>
        </references>
      </pivotArea>
    </format>
    <format dxfId="14">
      <pivotArea collapsedLevelsAreSubtotals="1" fieldPosition="0">
        <references count="3">
          <reference field="4294967294" count="1" selected="0">
            <x v="0"/>
          </reference>
          <reference field="4" count="1">
            <x v="178"/>
          </reference>
          <reference field="9" count="0" selected="0"/>
        </references>
      </pivotArea>
    </format>
    <format dxfId="13">
      <pivotArea collapsedLevelsAreSubtotals="1" fieldPosition="0">
        <references count="3">
          <reference field="4294967294" count="1" selected="0">
            <x v="0"/>
          </reference>
          <reference field="4" count="1">
            <x v="197"/>
          </reference>
          <reference field="9" count="0" selected="0"/>
        </references>
      </pivotArea>
    </format>
    <format dxfId="12">
      <pivotArea collapsedLevelsAreSubtotals="1" fieldPosition="0">
        <references count="3">
          <reference field="4294967294" count="1" selected="0">
            <x v="0"/>
          </reference>
          <reference field="4" count="1">
            <x v="199"/>
          </reference>
          <reference field="9" count="0" selected="0"/>
        </references>
      </pivotArea>
    </format>
    <format dxfId="11">
      <pivotArea collapsedLevelsAreSubtotals="1" fieldPosition="0">
        <references count="3">
          <reference field="4294967294" count="1" selected="0">
            <x v="0"/>
          </reference>
          <reference field="4" count="1">
            <x v="203"/>
          </reference>
          <reference field="9" count="0" selected="0"/>
        </references>
      </pivotArea>
    </format>
    <format dxfId="10">
      <pivotArea collapsedLevelsAreSubtotals="1" fieldPosition="0">
        <references count="3">
          <reference field="4294967294" count="1" selected="0">
            <x v="0"/>
          </reference>
          <reference field="4" count="1">
            <x v="212"/>
          </reference>
          <reference field="9" count="0" selected="0"/>
        </references>
      </pivotArea>
    </format>
    <format dxfId="9">
      <pivotArea collapsedLevelsAreSubtotals="1" fieldPosition="0">
        <references count="3">
          <reference field="4294967294" count="1" selected="0">
            <x v="0"/>
          </reference>
          <reference field="4" count="1">
            <x v="218"/>
          </reference>
          <reference field="9" count="0" selected="0"/>
        </references>
      </pivotArea>
    </format>
    <format dxfId="8">
      <pivotArea collapsedLevelsAreSubtotals="1" fieldPosition="0">
        <references count="3">
          <reference field="4294967294" count="1" selected="0">
            <x v="0"/>
          </reference>
          <reference field="4" count="1">
            <x v="224"/>
          </reference>
          <reference field="9" count="0" selected="0"/>
        </references>
      </pivotArea>
    </format>
    <format dxfId="7">
      <pivotArea dataOnly="0" labelOnly="1" fieldPosition="0">
        <references count="1">
          <reference field="4" count="0"/>
        </references>
      </pivotArea>
    </format>
    <format dxfId="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4">
    <queryTableFields count="9">
      <queryTableField id="13" name="SIMULATIONID" tableColumnId="5"/>
      <queryTableField id="1" name="PROCESSID" tableColumnId="1"/>
      <queryTableField id="29" name="NETPROCESSID" tableColumnId="12"/>
      <queryTableField id="2" name="CLIENTNAME" tableColumnId="2"/>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4"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89">
        <i x="18" s="1"/>
        <i x="326" s="1" nd="1"/>
        <i x="214" s="1" nd="1"/>
        <i x="395" s="1" nd="1"/>
        <i x="90" s="1" nd="1"/>
        <i x="215" s="1" nd="1"/>
        <i x="575" s="1" nd="1"/>
        <i x="521" s="1" nd="1"/>
        <i x="514" s="1" nd="1"/>
        <i x="171" s="1" nd="1"/>
        <i x="159" s="1" nd="1"/>
        <i x="200" s="1" nd="1"/>
        <i x="305" s="1" nd="1"/>
        <i x="344" s="1" nd="1"/>
        <i x="433" s="1" nd="1"/>
        <i x="192" s="1" nd="1"/>
        <i x="425" s="1" nd="1"/>
        <i x="242" s="1" nd="1"/>
        <i x="397" s="1" nd="1"/>
        <i x="387" s="1" nd="1"/>
        <i x="477" s="1" nd="1"/>
        <i x="166" s="1" nd="1"/>
        <i x="88" s="1" nd="1"/>
        <i x="134" s="1" nd="1"/>
        <i x="412" s="1" nd="1"/>
        <i x="534" s="1" nd="1"/>
        <i x="62" s="1" nd="1"/>
        <i x="206" s="1" nd="1"/>
        <i x="311" s="1" nd="1"/>
        <i x="0" s="1" nd="1"/>
        <i x="107" s="1" nd="1"/>
        <i x="421" s="1" nd="1"/>
        <i x="131" s="1" nd="1"/>
        <i x="175" s="1" nd="1"/>
        <i x="194" s="1" nd="1"/>
        <i x="216" s="1" nd="1"/>
        <i x="401" s="1" nd="1"/>
        <i x="475" s="1" nd="1"/>
        <i x="507" s="1" nd="1"/>
        <i x="57" s="1" nd="1"/>
        <i x="260" s="1" nd="1"/>
        <i x="391" s="1" nd="1"/>
        <i x="515" s="1" nd="1"/>
        <i x="70" s="1" nd="1"/>
        <i x="234" s="1" nd="1"/>
        <i x="298" s="1" nd="1"/>
        <i x="202" s="1" nd="1"/>
        <i x="224" s="1" nd="1"/>
        <i x="275" s="1" nd="1"/>
        <i x="376" s="1" nd="1"/>
        <i x="452" s="1" nd="1"/>
        <i x="573" s="1" nd="1"/>
        <i x="398" s="1" nd="1"/>
        <i x="461" s="1" nd="1"/>
        <i x="1" s="1" nd="1"/>
        <i x="52" s="1" nd="1"/>
        <i x="114" s="1" nd="1"/>
        <i x="137" s="1" nd="1"/>
        <i x="272" s="1" nd="1"/>
        <i x="416" s="1" nd="1"/>
        <i x="465" s="1" nd="1"/>
        <i x="531" s="1" nd="1"/>
        <i x="583" s="1" nd="1"/>
        <i x="51" s="1" nd="1"/>
        <i x="75" s="1" nd="1"/>
        <i x="127" s="1" nd="1"/>
        <i x="334" s="1" nd="1"/>
        <i x="380" s="1" nd="1"/>
        <i x="502" s="1" nd="1"/>
        <i x="73" s="1" nd="1"/>
        <i x="95" s="1" nd="1"/>
        <i x="146" s="1" nd="1"/>
        <i x="168" s="1" nd="1"/>
        <i x="229" s="1" nd="1"/>
        <i x="243" s="1" nd="1"/>
        <i x="354" s="1" nd="1"/>
        <i x="360" s="1" nd="1"/>
        <i x="423" s="1" nd="1"/>
        <i x="460" s="1" nd="1"/>
        <i x="529" s="1" nd="1"/>
        <i x="94" s="1" nd="1"/>
        <i x="562" s="1" nd="1"/>
        <i x="188" s="1" nd="1"/>
        <i x="462" s="1" nd="1"/>
        <i x="471" s="1" nd="1"/>
        <i x="501" s="1" nd="1"/>
        <i x="518" s="1" nd="1"/>
        <i x="83" s="1" nd="1"/>
        <i x="221" s="1" nd="1"/>
        <i x="373" s="1" nd="1"/>
        <i x="2" s="1" nd="1"/>
        <i x="408" s="1" nd="1"/>
        <i x="431" s="1" nd="1"/>
        <i x="457" s="1" nd="1"/>
        <i x="489" s="1" nd="1"/>
        <i x="3" s="1" nd="1"/>
        <i x="536" s="1" nd="1"/>
        <i x="179" s="1" nd="1"/>
        <i x="220" s="1" nd="1"/>
        <i x="264" s="1" nd="1"/>
        <i x="283" s="1" nd="1"/>
        <i x="312" s="1" nd="1"/>
        <i x="437" s="1" nd="1"/>
        <i x="528" s="1" nd="1"/>
        <i x="565" s="1" nd="1"/>
        <i x="93" s="1" nd="1"/>
        <i x="126" s="1" nd="1"/>
        <i x="145" s="1" nd="1"/>
        <i x="269" s="1" nd="1"/>
        <i x="291" s="1" nd="1"/>
        <i x="340" s="1" nd="1"/>
        <i x="372" s="1" nd="1"/>
        <i x="449" s="1" nd="1"/>
        <i x="571" s="1" nd="1"/>
        <i x="588" s="1" nd="1"/>
        <i x="49" s="1" nd="1"/>
        <i x="110" s="1" nd="1"/>
        <i x="144" s="1" nd="1"/>
        <i x="155" s="1" nd="1"/>
        <i x="177" s="1" nd="1"/>
        <i x="199" s="1" nd="1"/>
        <i x="257" s="1" nd="1"/>
        <i x="290" s="1" nd="1"/>
        <i x="324" s="1" nd="1"/>
        <i x="4" s="1" nd="1"/>
        <i x="365" s="1" nd="1"/>
        <i x="413" s="1" nd="1"/>
        <i x="476" s="1" nd="1"/>
        <i x="382" s="1" nd="1"/>
        <i x="65" s="1" nd="1"/>
        <i x="82" s="1" nd="1"/>
        <i x="89" s="1" nd="1"/>
        <i x="186" s="1" nd="1"/>
        <i x="227" s="1" nd="1"/>
        <i x="5" s="1" nd="1"/>
        <i x="301" s="1" nd="1"/>
        <i x="6" s="1" nd="1"/>
        <i x="386" s="1" nd="1"/>
        <i x="125" s="1" nd="1"/>
        <i x="422" s="1" nd="1"/>
        <i x="430" s="1" nd="1"/>
        <i x="154" s="1" nd="1"/>
        <i x="240" s="1" nd="1"/>
        <i x="527" s="1" nd="1"/>
        <i x="578" s="1" nd="1"/>
        <i x="64" s="1" nd="1"/>
        <i x="124" s="1" nd="1"/>
        <i x="196" s="1" nd="1"/>
        <i x="207" s="1" nd="1"/>
        <i x="63" s="1" nd="1"/>
        <i x="371" s="1" nd="1"/>
        <i x="72" s="1" nd="1"/>
        <i x="153" s="1" nd="1"/>
        <i x="447" s="1" nd="1"/>
        <i x="249" s="1" nd="1"/>
        <i x="287" s="1" nd="1"/>
        <i x="300" s="1" nd="1"/>
        <i x="577" s="1" nd="1"/>
        <i x="586" s="1" nd="1"/>
        <i x="81" s="1" nd="1"/>
        <i x="87" s="1" nd="1"/>
        <i x="108" s="1" nd="1"/>
        <i x="132" s="1" nd="1"/>
        <i x="53" s="1" nd="1"/>
        <i x="142" s="1" nd="1"/>
        <i x="468" s="1" nd="1"/>
        <i x="225" s="1" nd="1"/>
        <i x="486" s="1" nd="1"/>
        <i x="267" s="1" nd="1"/>
        <i x="552" s="1" nd="1"/>
        <i x="309" s="1" nd="1"/>
        <i x="559" s="1" nd="1"/>
        <i x="406" s="1" nd="1"/>
        <i x="141" s="1" nd="1"/>
        <i x="163" s="1" nd="1"/>
        <i x="445" s="1" nd="1"/>
        <i x="217" s="1" nd="1"/>
        <i x="255" s="1" nd="1"/>
        <i x="526" s="1" nd="1"/>
        <i x="308" s="1" nd="1"/>
        <i x="91" s="1" nd="1"/>
        <i x="330" s="1" nd="1"/>
        <i x="576" s="1" nd="1"/>
        <i x="349" s="1" nd="1"/>
        <i x="60" s="1" nd="1"/>
        <i x="370" s="1" nd="1"/>
        <i x="120" s="1" nd="1"/>
        <i x="496" s="1" nd="1"/>
        <i x="278" s="1" nd="1"/>
        <i x="329" s="1" nd="1"/>
        <i x="363" s="1" nd="1"/>
        <i x="369" s="1" nd="1"/>
        <i x="400" s="1" nd="1"/>
        <i x="105" s="1" nd="1"/>
        <i x="7" s="1" nd="1"/>
        <i x="77" s="1" nd="1"/>
        <i x="162" s="1" nd="1"/>
        <i x="184" s="1" nd="1"/>
        <i x="8" s="1" nd="1"/>
        <i x="204" s="1" nd="1"/>
        <i x="474" s="1" nd="1"/>
        <i x="481" s="1" nd="1"/>
        <i x="248" s="1" nd="1"/>
        <i x="261" s="1" nd="1"/>
        <i x="266" s="1" nd="1"/>
        <i x="285" s="1" nd="1"/>
        <i x="545" s="1" nd="1"/>
        <i x="549" s="1" nd="1"/>
        <i x="347" s="1" nd="1"/>
        <i x="71" s="1" nd="1"/>
        <i x="384" s="1" nd="1"/>
        <i x="392" s="1" nd="1"/>
        <i x="98" s="1" nd="1"/>
        <i x="118" s="1" nd="1"/>
        <i x="161" s="1" nd="1"/>
        <i x="235" s="1" nd="1"/>
        <i x="533" s="1" nd="1"/>
        <i x="299" s="1" nd="1"/>
        <i x="346" s="1" nd="1"/>
        <i x="9" s="1" nd="1"/>
        <i x="56" s="1" nd="1"/>
        <i x="368" s="1" nd="1"/>
        <i x="399" s="1" nd="1"/>
        <i x="173" s="1" nd="1"/>
        <i x="454" s="1" nd="1"/>
        <i x="480" s="1" nd="1"/>
        <i x="148" s="1" nd="1"/>
        <i x="247" s="1" nd="1"/>
        <i x="506" s="1" nd="1"/>
        <i x="284" s="1" nd="1"/>
        <i x="558" s="1" nd="1"/>
        <i x="328" s="1" nd="1"/>
        <i x="569" s="1" nd="1"/>
        <i x="295" s="1" nd="1"/>
        <i x="79" s="1" nd="1"/>
        <i x="390" s="1" nd="1"/>
        <i x="130" s="1" nd="1"/>
        <i x="50" s="1" nd="1"/>
        <i x="140" s="1" nd="1"/>
        <i x="435" s="1" nd="1"/>
        <i x="473" s="1" nd="1"/>
        <i x="213" s="1" nd="1"/>
        <i x="479" s="1" nd="1"/>
        <i x="485" s="1" nd="1"/>
        <i x="451" s="1" nd="1"/>
        <i x="276" s="1" nd="1"/>
        <i x="307" s="1" nd="1"/>
        <i x="557" s="1" nd="1"/>
        <i x="318" s="1" nd="1"/>
        <i x="510" s="1" nd="1"/>
        <i x="337" s="1" nd="1"/>
        <i x="55" s="1" nd="1"/>
        <i x="383" s="1" nd="1"/>
        <i x="117" s="1" nd="1"/>
        <i x="128" s="1" nd="1"/>
        <i x="152" s="1" nd="1"/>
        <i x="172" s="1" nd="1"/>
        <i x="453" s="1" nd="1"/>
        <i x="10" s="1" nd="1"/>
        <i x="203" s="1" nd="1"/>
        <i x="147" s="1" nd="1"/>
        <i x="233" s="1" nd="1"/>
        <i x="522" s="1" nd="1"/>
        <i x="265" s="1" nd="1"/>
        <i x="539" s="1" nd="1"/>
        <i x="296" s="1" nd="1"/>
        <i x="568" s="1" nd="1"/>
        <i x="336" s="1" nd="1"/>
        <i x="345" s="1" nd="1"/>
        <i x="54" s="1" nd="1"/>
        <i x="85" s="1" nd="1"/>
        <i x="103" s="1" nd="1"/>
        <i x="427" s="1" nd="1"/>
        <i x="201" s="1" nd="1"/>
        <i x="212" s="1" nd="1"/>
        <i x="232" s="1" nd="1"/>
        <i x="253" s="1" nd="1"/>
        <i x="11" s="1" nd="1"/>
        <i x="327" s="1" nd="1"/>
        <i x="574" s="1" nd="1"/>
        <i x="12" s="1" nd="1"/>
        <i x="78" s="1" nd="1"/>
        <i x="13" s="1" nd="1"/>
        <i x="102" s="1" nd="1"/>
        <i x="116" s="1" nd="1"/>
        <i x="411" s="1" nd="1"/>
        <i x="14" s="1" nd="1"/>
        <i x="419" s="1" nd="1"/>
        <i x="67" s="1" nd="1"/>
        <i x="151" s="1" nd="1"/>
        <i x="444" s="1" nd="1"/>
        <i x="193" s="1" nd="1"/>
        <i x="505" s="1" nd="1"/>
        <i x="252" s="1" nd="1"/>
        <i x="520" s="1" nd="1"/>
        <i x="222" s="1" nd="1"/>
        <i x="490" s="1" nd="1"/>
        <i x="567" s="1" nd="1"/>
        <i x="335" s="1" nd="1"/>
        <i x="357" s="1" nd="1"/>
        <i x="47" s="1" nd="1"/>
        <i x="15" s="1" nd="1"/>
        <i x="367" s="1" nd="1"/>
        <i x="97" s="1" nd="1"/>
        <i x="101" s="1" nd="1"/>
        <i x="115" s="1" nd="1"/>
        <i x="410" s="1" nd="1"/>
        <i x="418" s="1" nd="1"/>
        <i x="139" s="1" nd="1"/>
        <i x="181" s="1" nd="1"/>
        <i x="466" s="1" nd="1"/>
        <i x="494" s="1" nd="1"/>
        <i x="246" s="1" nd="1"/>
        <i x="504" s="1" nd="1"/>
        <i x="16" s="1" nd="1"/>
        <i x="519" s="1" nd="1"/>
        <i x="274" s="1" nd="1"/>
        <i x="281" s="1" nd="1"/>
        <i x="317" s="1" nd="1"/>
        <i x="584" s="1" nd="1"/>
        <i x="279" s="1" nd="1"/>
        <i x="389" s="1" nd="1"/>
        <i x="138" s="1" nd="1"/>
        <i x="434" s="1" nd="1"/>
        <i x="170" s="1" nd="1"/>
        <i x="223" s="1" nd="1"/>
        <i x="231" s="1" nd="1"/>
        <i x="245" s="1" nd="1"/>
        <i x="251" s="1" nd="1"/>
        <i x="513" s="1" nd="1"/>
        <i x="273" s="1" nd="1"/>
        <i x="532" s="1" nd="1"/>
        <i x="548" s="1" nd="1"/>
        <i x="556" s="1" nd="1"/>
        <i x="356" s="1" nd="1"/>
        <i x="381" s="1" nd="1"/>
        <i x="417" s="1" nd="1"/>
        <i x="150" s="1" nd="1"/>
        <i x="160" s="1" nd="1"/>
        <i x="493" s="1" nd="1"/>
        <i x="156" s="1" nd="1"/>
        <i x="503" s="1" nd="1"/>
        <i x="250" s="1" nd="1"/>
        <i x="512" s="1" nd="1"/>
        <i x="525" s="1" nd="1"/>
        <i x="271" s="1" nd="1"/>
        <i x="402" s="1" nd="1"/>
        <i x="547" s="1" nd="1"/>
        <i x="306" s="1" nd="1"/>
        <i x="555" s="1" nd="1"/>
        <i x="176" s="1" nd="1"/>
        <i x="17" s="1" nd="1"/>
        <i x="185" s="1" nd="1"/>
        <i x="219" s="1" nd="1"/>
        <i x="362" s="1" nd="1"/>
        <i x="482" s="1" nd="1"/>
        <i x="488" s="1" nd="1"/>
        <i x="76" s="1" nd="1"/>
        <i x="508" s="1" nd="1"/>
        <i x="256" s="1" nd="1"/>
        <i x="19" s="1" nd="1"/>
        <i x="263" s="1" nd="1"/>
        <i x="268" s="1" nd="1"/>
        <i x="535" s="1" nd="1"/>
        <i x="415" s="1" nd="1"/>
        <i x="289" s="1" nd="1"/>
        <i x="149" s="1" nd="1"/>
        <i x="443" s="1" nd="1"/>
        <i x="323" s="1" nd="1"/>
        <i x="564" s="1" nd="1"/>
        <i x="332" s="1" nd="1"/>
        <i x="339" s="1" nd="1"/>
        <i x="579" s="1" nd="1"/>
        <i x="351" s="1" nd="1"/>
        <i x="358" s="1" nd="1"/>
        <i x="364" s="1" nd="1"/>
        <i x="484" s="1" nd="1"/>
        <i x="492" s="1" nd="1"/>
        <i x="511" s="1" nd="1"/>
        <i x="258" s="1" nd="1"/>
        <i x="394" s="1" nd="1"/>
        <i x="133" s="1" nd="1"/>
        <i x="143" s="1" nd="1"/>
        <i x="316" s="1" nd="1"/>
        <i x="448" s="1" nd="1"/>
        <i x="197" s="1" nd="1"/>
        <i x="208" s="1" nd="1"/>
        <i x="46" s="1" nd="1"/>
        <i x="218" s="1" nd="1"/>
        <i x="375" s="1" nd="1"/>
        <i x="580" s="1" nd="1"/>
        <i x="74" s="1" nd="1"/>
        <i x="517" s="1" nd="1"/>
        <i x="96" s="1" nd="1"/>
        <i x="100" s="1" nd="1"/>
        <i x="113" s="1" nd="1"/>
        <i x="414" s="1" nd="1"/>
        <i x="546" s="1" nd="1"/>
        <i x="554" s="1" nd="1"/>
        <i x="158" s="1" nd="1"/>
        <i x="338" s="1" nd="1"/>
        <i x="464" s="1" nd="1"/>
        <i x="20" s="1" nd="1"/>
        <i x="441" s="1" nd="1"/>
        <i x="230" s="1" nd="1"/>
        <i x="244" s="1" nd="1"/>
        <i x="378" s="1" nd="1"/>
        <i x="58" s="1" nd="1"/>
        <i x="403" s="1" nd="1"/>
        <i x="524" s="1" nd="1"/>
        <i x="270" s="1" nd="1"/>
        <i x="123" s="1" nd="1"/>
        <i x="294" s="1" nd="1"/>
        <i x="21" s="1" nd="1"/>
        <i x="304" s="1" nd="1"/>
        <i x="165" s="1" nd="1"/>
        <i x="566" s="1" nd="1"/>
        <i x="343" s="1" nd="1"/>
        <i x="361" s="1" nd="1"/>
        <i x="226" s="1" nd="1"/>
        <i x="69" s="1" nd="1"/>
        <i x="239" s="1" nd="1"/>
        <i x="499" s="1" nd="1"/>
        <i x="112" s="1" nd="1"/>
        <i x="288" s="1" nd="1"/>
        <i x="426" s="1" nd="1"/>
        <i x="553" s="1" nd="1"/>
        <i x="169" s="1" nd="1"/>
        <i x="331" s="1" nd="1"/>
        <i x="191" s="1" nd="1"/>
        <i x="463" s="1" nd="1"/>
        <i x="22" s="1" nd="1"/>
        <i x="350" s="1" nd="1"/>
        <i x="587" s="1" nd="1"/>
        <i x="211" s="1" nd="1"/>
        <i x="61" s="1" nd="1"/>
        <i x="23" s="1" nd="1"/>
        <i x="377" s="1" nd="1"/>
        <i x="109" s="1" nd="1"/>
        <i x="122" s="1" nd="1"/>
        <i x="280" s="1" nd="1"/>
        <i x="538" s="1" nd="1"/>
        <i x="293" s="1" nd="1"/>
        <i x="303" s="1" nd="1"/>
        <i x="164" s="1" nd="1"/>
        <i x="315" s="1" nd="1"/>
        <i x="446" s="1" nd="1"/>
        <i x="333" s="1" nd="1"/>
        <i x="342" s="1" nd="1"/>
        <i x="469" s="1" nd="1"/>
        <i x="355" s="1" nd="1"/>
        <i x="487" s="1" nd="1"/>
        <i x="68" s="1" nd="1"/>
        <i x="238" s="1" nd="1"/>
        <i x="374" s="1" nd="1"/>
        <i x="498" s="1" nd="1"/>
        <i x="379" s="1" nd="1"/>
        <i x="523" s="1" nd="1"/>
        <i x="99" s="1" nd="1"/>
        <i x="409" s="1" nd="1"/>
        <i x="541" s="1" nd="1"/>
        <i x="136" s="1" nd="1"/>
        <i x="286" s="1" nd="1"/>
        <i x="424" s="1" nd="1"/>
        <i x="310" s="1" nd="1"/>
        <i x="560" s="1" nd="1"/>
        <i x="322" s="1" nd="1"/>
        <i x="190" s="1" nd="1"/>
        <i x="472" s="1" nd="1"/>
        <i x="478" s="1" nd="1"/>
        <i x="48" s="1" nd="1"/>
        <i x="483" s="1" nd="1"/>
        <i x="491" s="1" nd="1"/>
        <i x="80" s="1" nd="1"/>
        <i x="393" s="1" nd="1"/>
        <i x="106" s="1" nd="1"/>
        <i x="407" s="1" nd="1"/>
        <i x="530" s="1" nd="1"/>
        <i x="121" s="1" nd="1"/>
        <i x="420" s="1" nd="1"/>
        <i x="292" s="1" nd="1"/>
        <i x="314" s="1" nd="1"/>
        <i x="24" s="1" nd="1"/>
        <i x="25" s="1" nd="1"/>
        <i x="195" s="1" nd="1"/>
        <i x="436" s="1" nd="1"/>
        <i x="582" s="1" nd="1"/>
        <i x="205" s="1" nd="1"/>
        <i x="26" s="1" nd="1"/>
        <i x="497" s="1" nd="1"/>
        <i x="262" s="1" nd="1"/>
        <i x="282" s="1" nd="1"/>
        <i x="432" s="1" nd="1"/>
        <i x="442" s="1" nd="1"/>
        <i x="321" s="1" nd="1"/>
        <i x="563" s="1" nd="1"/>
        <i x="180" s="1" nd="1"/>
        <i x="459" s="1" nd="1"/>
        <i x="189" s="1" nd="1"/>
        <i x="228" s="1" nd="1"/>
        <i x="27" s="1" nd="1"/>
        <i x="429" s="1" nd="1"/>
        <i x="174" s="1" nd="1"/>
        <i x="581" s="1" nd="1"/>
        <i x="237" s="1" nd="1"/>
        <i x="28" s="1" nd="1"/>
        <i x="29" s="1" nd="1"/>
        <i x="84" s="1" nd="1"/>
        <i x="388" s="1" nd="1"/>
        <i x="516" s="1" nd="1"/>
        <i x="30" s="1" nd="1"/>
        <i x="551" s="1" nd="1"/>
        <i x="570" s="1" nd="1"/>
        <i x="348" s="1" nd="1"/>
        <i x="178" s="1" nd="1"/>
        <i x="59" s="1" nd="1"/>
        <i x="86" s="1" nd="1"/>
        <i x="405" s="1" nd="1"/>
        <i x="119" s="1" nd="1"/>
        <i x="353" s="1" nd="1"/>
        <i x="66" s="1" nd="1"/>
        <i x="495" s="1" nd="1"/>
        <i x="277" s="1" nd="1"/>
        <i x="550" s="1" nd="1"/>
        <i x="320" s="1" nd="1"/>
        <i x="458" s="1" nd="1"/>
        <i x="210" s="1" nd="1"/>
        <i x="31" s="1" nd="1"/>
        <i x="385" s="1" nd="1"/>
        <i x="509" s="1" nd="1"/>
        <i x="32" s="1" nd="1"/>
        <i x="537" s="1" nd="1"/>
        <i x="428" s="1" nd="1"/>
        <i x="313" s="1" nd="1"/>
        <i x="325" s="1" nd="1"/>
        <i x="455" s="1" nd="1"/>
        <i x="572" s="1" nd="1"/>
        <i x="33" s="1" nd="1"/>
        <i x="341" s="1" nd="1"/>
        <i x="236" s="1" nd="1"/>
        <i x="34" s="1" nd="1"/>
        <i x="540" s="1" nd="1"/>
        <i x="439" s="1" nd="1"/>
        <i x="167" s="1" nd="1"/>
        <i x="187" s="1" nd="1"/>
        <i x="470" s="1" nd="1"/>
        <i x="35" s="1" nd="1"/>
        <i x="183" s="1" nd="1"/>
        <i x="438" s="1" nd="1"/>
        <i x="585" s="1" nd="1"/>
        <i x="500" s="1" nd="1"/>
        <i x="104" s="1" nd="1"/>
        <i x="302" s="1" nd="1"/>
        <i x="182" s="1" nd="1"/>
        <i x="467" s="1" nd="1"/>
        <i x="254" s="1" nd="1"/>
        <i x="544" s="1" nd="1"/>
        <i x="297" s="1" nd="1"/>
        <i x="319" s="1" nd="1"/>
        <i x="456" s="1" nd="1"/>
        <i x="36" s="1" nd="1"/>
        <i x="209" s="1" nd="1"/>
        <i x="129" s="1" nd="1"/>
        <i x="37" s="1" nd="1"/>
        <i x="38" s="1" nd="1"/>
        <i x="39" s="1" nd="1"/>
        <i x="543" s="1" nd="1"/>
        <i x="40" s="1" nd="1"/>
        <i x="404" s="1" nd="1"/>
        <i x="41" s="1" nd="1"/>
        <i x="42" s="1" nd="1"/>
        <i x="366" s="1" nd="1"/>
        <i x="396" s="1" nd="1"/>
        <i x="43" s="1" nd="1"/>
        <i x="135" s="1" nd="1"/>
        <i x="450" s="1" nd="1"/>
        <i x="44" s="1" nd="1"/>
        <i x="45" s="1" nd="1"/>
        <i x="92" s="1" nd="1"/>
        <i x="111" s="1" nd="1"/>
        <i x="241" s="1" nd="1"/>
        <i x="542" s="1" nd="1"/>
        <i x="259" s="1" nd="1"/>
        <i x="198" s="1" nd="1"/>
        <i x="561" s="1" nd="1"/>
        <i x="359" s="1" nd="1"/>
        <i x="352" s="1" nd="1"/>
        <i x="157" s="1" nd="1"/>
        <i x="44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3">
        <i x="3"/>
        <i x="5"/>
        <i x="2"/>
        <i x="1"/>
        <i x="6"/>
        <i x="0"/>
        <i x="7"/>
        <i x="8"/>
        <i x="4" s="1"/>
        <i x="16" nd="1"/>
        <i x="18" nd="1"/>
        <i x="23" nd="1"/>
        <i x="30" nd="1"/>
        <i x="38" nd="1"/>
        <i x="25" nd="1"/>
        <i x="28" nd="1"/>
        <i x="41" nd="1"/>
        <i x="42" nd="1"/>
        <i x="12" nd="1"/>
        <i x="19" nd="1"/>
        <i x="36" nd="1"/>
        <i x="21" nd="1"/>
        <i x="39" nd="1"/>
        <i x="14" nd="1"/>
        <i x="27" nd="1"/>
        <i x="35" nd="1"/>
        <i x="29" nd="1"/>
        <i x="20" nd="1"/>
        <i x="11" nd="1"/>
        <i x="37" nd="1"/>
        <i x="31" nd="1"/>
        <i x="22" nd="1"/>
        <i x="13" nd="1"/>
        <i x="40" nd="1"/>
        <i x="32" nd="1"/>
        <i x="24" nd="1"/>
        <i x="15" nd="1"/>
        <i x="9" nd="1"/>
        <i x="33" nd="1"/>
        <i x="26" nd="1"/>
        <i x="17" nd="1"/>
        <i x="10" nd="1"/>
        <i x="3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188">
        <i x="0" s="1"/>
        <i x="181" s="1" nd="1"/>
        <i x="161" s="1" nd="1"/>
        <i x="75" s="1" nd="1"/>
        <i x="19" s="1" nd="1"/>
        <i x="62" s="1" nd="1"/>
        <i x="182" s="1" nd="1"/>
        <i x="7" s="1" nd="1"/>
        <i x="158" s="1" nd="1"/>
        <i x="46" s="1" nd="1"/>
        <i x="134" s="1" nd="1"/>
        <i x="79" s="1" nd="1"/>
        <i x="179" s="1" nd="1"/>
        <i x="68" s="1" nd="1"/>
        <i x="11" s="1" nd="1"/>
        <i x="135" s="1" nd="1"/>
        <i x="82" s="1" nd="1"/>
        <i x="88" s="1" nd="1"/>
        <i x="115" s="1" nd="1"/>
        <i x="140" s="1" nd="1"/>
        <i x="34" s="1" nd="1"/>
        <i x="50" s="1" nd="1"/>
        <i x="183" s="1" nd="1"/>
        <i x="8" s="1" nd="1"/>
        <i x="176" s="1" nd="1"/>
        <i x="51" s="1" nd="1"/>
        <i x="83" s="1" nd="1"/>
        <i x="58" s="1" nd="1"/>
        <i x="91" s="1" nd="1"/>
        <i x="95" s="1" nd="1"/>
        <i x="69" s="1" nd="1"/>
        <i x="23" s="1" nd="1"/>
        <i x="153" s="1" nd="1"/>
        <i x="32" s="1" nd="1"/>
        <i x="35" s="1" nd="1"/>
        <i x="144" s="1" nd="1"/>
        <i x="99" s="1" nd="1"/>
        <i x="63" s="1" nd="1"/>
        <i x="184" s="1" nd="1"/>
        <i x="145" s="1" nd="1"/>
        <i x="100" s="1" nd="1"/>
        <i x="165" s="1" nd="1"/>
        <i x="44" s="1" nd="1"/>
        <i x="12" s="1" nd="1"/>
        <i x="20" s="1" nd="1"/>
        <i x="127" s="1" nd="1"/>
        <i x="109" s="1" nd="1"/>
        <i x="111" s="1" nd="1"/>
        <i x="80" s="1" nd="1"/>
        <i x="92" s="1" nd="1"/>
        <i x="89" s="1" nd="1"/>
        <i x="66" s="1" nd="1"/>
        <i x="177" s="1" nd="1"/>
        <i x="4" s="1" nd="1"/>
        <i x="185" s="1" nd="1"/>
        <i x="116" s="1" nd="1"/>
        <i x="5" s="1" nd="1"/>
        <i x="84" s="1" nd="1"/>
        <i x="150" s="1" nd="1"/>
        <i x="148" s="1" nd="1"/>
        <i x="21" s="1" nd="1"/>
        <i x="93" s="1" nd="1"/>
        <i x="67" s="1" nd="1"/>
        <i x="141" s="1" nd="1"/>
        <i x="40" s="1" nd="1"/>
        <i x="159" s="1" nd="1"/>
        <i x="170" s="1" nd="1"/>
        <i x="24" s="1" nd="1"/>
        <i x="119" s="1" nd="1"/>
        <i x="137" s="1" nd="1"/>
        <i x="166" s="1" nd="1"/>
        <i x="157" s="1" nd="1"/>
        <i x="104" s="1" nd="1"/>
        <i x="130" s="1" nd="1"/>
        <i x="162" s="1" nd="1"/>
        <i x="52" s="1" nd="1"/>
        <i x="36" s="1" nd="1"/>
        <i x="70" s="1" nd="1"/>
        <i x="105" s="1" nd="1"/>
        <i x="101" s="1" nd="1"/>
        <i x="41" s="1" nd="1"/>
        <i x="147" s="1" nd="1"/>
        <i x="37" s="1" nd="1"/>
        <i x="149" s="1" nd="1"/>
        <i x="72" s="1" nd="1"/>
        <i x="64" s="1" nd="1"/>
        <i x="171" s="1" nd="1"/>
        <i x="186" s="1" nd="1"/>
        <i x="1" s="1" nd="1"/>
        <i x="167" s="1" nd="1"/>
        <i x="187" s="1" nd="1"/>
        <i x="131" s="1" nd="1"/>
        <i x="138" s="1" nd="1"/>
        <i x="27" s="1" nd="1"/>
        <i x="154" s="1" nd="1"/>
        <i x="133" s="1" nd="1"/>
        <i x="47" s="1" nd="1"/>
        <i x="73" s="1" nd="1"/>
        <i x="128" s="1" nd="1"/>
        <i x="90" s="1" nd="1"/>
        <i x="76" s="1" nd="1"/>
        <i x="48" s="1" nd="1"/>
        <i x="14" s="1" nd="1"/>
        <i x="117" s="1" nd="1"/>
        <i x="59" s="1" nd="1"/>
        <i x="155" s="1" nd="1"/>
        <i x="85" s="1" nd="1"/>
        <i x="56" s="1" nd="1"/>
        <i x="28" s="1" nd="1"/>
        <i x="60" s="1" nd="1"/>
        <i x="2" s="1" nd="1"/>
        <i x="33" s="1" nd="1"/>
        <i x="22" s="1" nd="1"/>
        <i x="6" s="1" nd="1"/>
        <i x="123" s="1" nd="1"/>
        <i x="86" s="1" nd="1"/>
        <i x="49" s="1" nd="1"/>
        <i x="30" s="1" nd="1"/>
        <i x="38" s="1" nd="1"/>
        <i x="129" s="1" nd="1"/>
        <i x="160" s="1" nd="1"/>
        <i x="29" s="1" nd="1"/>
        <i x="124" s="1" nd="1"/>
        <i x="13" s="1" nd="1"/>
        <i x="42" s="1" nd="1"/>
        <i x="17" s="1" nd="1"/>
        <i x="102" s="1" nd="1"/>
        <i x="74" s="1" nd="1"/>
        <i x="77" s="1" nd="1"/>
        <i x="16" s="1" nd="1"/>
        <i x="172" s="1" nd="1"/>
        <i x="173" s="1" nd="1"/>
        <i x="110" s="1" nd="1"/>
        <i x="142" s="1" nd="1"/>
        <i x="53" s="1" nd="1"/>
        <i x="25" s="1" nd="1"/>
        <i x="106" s="1" nd="1"/>
        <i x="146" s="1" nd="1"/>
        <i x="120" s="1" nd="1"/>
        <i x="39" s="1" nd="1"/>
        <i x="174" s="1" nd="1"/>
        <i x="112" s="1" nd="1"/>
        <i x="9" s="1" nd="1"/>
        <i x="163" s="1" nd="1"/>
        <i x="18" s="1" nd="1"/>
        <i x="45" s="1" nd="1"/>
        <i x="96" s="1" nd="1"/>
        <i x="71" s="1" nd="1"/>
        <i x="125" s="1" nd="1"/>
        <i x="156" s="1" nd="1"/>
        <i x="103" s="1" nd="1"/>
        <i x="113" s="1" nd="1"/>
        <i x="54" s="1" nd="1"/>
        <i x="15" s="1" nd="1"/>
        <i x="43" s="1" nd="1"/>
        <i x="55" s="1" nd="1"/>
        <i x="107" s="1" nd="1"/>
        <i x="121" s="1" nd="1"/>
        <i x="132" s="1" nd="1"/>
        <i x="126" s="1" nd="1"/>
        <i x="78" s="1" nd="1"/>
        <i x="94" s="1" nd="1"/>
        <i x="26" s="1" nd="1"/>
        <i x="57" s="1" nd="1"/>
        <i x="164" s="1" nd="1"/>
        <i x="97" s="1" nd="1"/>
        <i x="3" s="1" nd="1"/>
        <i x="143" s="1" nd="1"/>
        <i x="180" s="1" nd="1"/>
        <i x="65" s="1" nd="1"/>
        <i x="118" s="1" nd="1"/>
        <i x="136" s="1" nd="1"/>
        <i x="81" s="1" nd="1"/>
        <i x="98" s="1" nd="1"/>
        <i x="114" s="1" nd="1"/>
        <i x="122" s="1" nd="1"/>
        <i x="168" s="1" nd="1"/>
        <i x="10" s="1" nd="1"/>
        <i x="139" s="1" nd="1"/>
        <i x="175" s="1" nd="1"/>
        <i x="178" s="1" nd="1"/>
        <i x="31" s="1" nd="1"/>
        <i x="61" s="1" nd="1"/>
        <i x="151" s="1" nd="1"/>
        <i x="169" s="1" nd="1"/>
        <i x="152" s="1" nd="1"/>
        <i x="87" s="1" nd="1"/>
        <i x="108"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416">
        <i x="0" s="1"/>
        <i x="24" s="1" nd="1"/>
        <i x="87" s="1" nd="1"/>
        <i x="47" s="1" nd="1"/>
        <i x="151" s="1" nd="1"/>
        <i x="164" s="1" nd="1"/>
        <i x="27" s="1" nd="1"/>
        <i x="132" s="1" nd="1"/>
        <i x="80" s="1" nd="1"/>
        <i x="296" s="1" nd="1"/>
        <i x="191" s="1" nd="1"/>
        <i x="128" s="1" nd="1"/>
        <i x="250" s="1" nd="1"/>
        <i x="297" s="1" nd="1"/>
        <i x="314" s="1" nd="1"/>
        <i x="273" s="1" nd="1"/>
        <i x="208" s="1" nd="1"/>
        <i x="192" s="1" nd="1"/>
        <i x="298" s="1" nd="1"/>
        <i x="220" s="1" nd="1"/>
        <i x="92" s="1" nd="1"/>
        <i x="37" s="1" nd="1"/>
        <i x="200" s="1" nd="1"/>
        <i x="387" s="1" nd="1"/>
        <i x="17" s="1" nd="1"/>
        <i x="307" s="1" nd="1"/>
        <i x="201" s="1" nd="1"/>
        <i x="133" s="1" nd="1"/>
        <i x="259" s="1" nd="1"/>
        <i x="281" s="1" nd="1"/>
        <i x="102" s="1" nd="1"/>
        <i x="230" s="1" nd="1"/>
        <i x="177" s="1" nd="1"/>
        <i x="274" s="1" nd="1"/>
        <i x="275" s="1" nd="1"/>
        <i x="388" s="1" nd="1"/>
        <i x="129" s="1" nd="1"/>
        <i x="282" s="1" nd="1"/>
        <i x="130" s="1" nd="1"/>
        <i x="254" s="1" nd="1"/>
        <i x="1" s="1" nd="1"/>
        <i x="99" s="1" nd="1"/>
        <i x="401" s="1" nd="1"/>
        <i x="323" s="1" nd="1"/>
        <i x="231" s="1" nd="1"/>
        <i x="46" s="1" nd="1"/>
        <i x="152" s="1" nd="1"/>
        <i x="187" s="1" nd="1"/>
        <i x="88" s="1" nd="1"/>
        <i x="52" s="1" nd="1"/>
        <i x="28" s="1" nd="1"/>
        <i x="353" s="1" nd="1"/>
        <i x="153" s="1" nd="1"/>
        <i x="145" s="1" nd="1"/>
        <i x="25" s="1" nd="1"/>
        <i x="244" s="1" nd="1"/>
        <i x="89" s="1" nd="1"/>
        <i x="308" s="1" nd="1"/>
        <i x="283" s="1" nd="1"/>
        <i x="116" s="1" nd="1"/>
        <i x="260" s="1" nd="1"/>
        <i x="407" s="1" nd="1"/>
        <i x="134" s="1" nd="1"/>
        <i x="29" s="1" nd="1"/>
        <i x="193" s="1" nd="1"/>
        <i x="359" s="1" nd="1"/>
        <i x="146" s="1" nd="1"/>
        <i x="268" s="1" nd="1"/>
        <i x="154" s="1" nd="1"/>
        <i x="371" s="1" nd="1"/>
        <i x="389" s="1" nd="1"/>
        <i x="48" s="1" nd="1"/>
        <i x="255" s="1" nd="1"/>
        <i x="221" s="1" nd="1"/>
        <i x="374" s="1" nd="1"/>
        <i x="360" s="1" nd="1"/>
        <i x="155" s="1" nd="1"/>
        <i x="251" s="1" nd="1"/>
        <i x="11" s="1" nd="1"/>
        <i x="261" s="1" nd="1"/>
        <i x="209" s="1" nd="1"/>
        <i x="344" s="1" nd="1"/>
        <i x="378" s="1" nd="1"/>
        <i x="245" s="1" nd="1"/>
        <i x="202" s="1" nd="1"/>
        <i x="318" s="1" nd="1"/>
        <i x="30" s="1" nd="1"/>
        <i x="93" s="1" nd="1"/>
        <i x="216" s="1" nd="1"/>
        <i x="379" s="1" nd="1"/>
        <i x="393" s="1" nd="1"/>
        <i x="75" s="1" nd="1"/>
        <i x="135" s="1" nd="1"/>
        <i x="210" s="1" nd="1"/>
        <i x="303" s="1" nd="1"/>
        <i x="402" s="1" nd="1"/>
        <i x="222" s="1" nd="1"/>
        <i x="136" s="1" nd="1"/>
        <i x="69" s="1" nd="1"/>
        <i x="137" s="1" nd="1"/>
        <i x="232" s="1" nd="1"/>
        <i x="269" s="1" nd="1"/>
        <i x="38" s="1" nd="1"/>
        <i x="223" s="1" nd="1"/>
        <i x="18" s="1" nd="1"/>
        <i x="252" s="1" nd="1"/>
        <i x="118" s="1" nd="1"/>
        <i x="53" s="1" nd="1"/>
        <i x="178" s="1" nd="1"/>
        <i x="410" s="1" nd="1"/>
        <i x="309" s="1" nd="1"/>
        <i x="6" s="1" nd="1"/>
        <i x="276" s="1" nd="1"/>
        <i x="90" s="1" nd="1"/>
        <i x="2" s="1" nd="1"/>
        <i x="345" s="1" nd="1"/>
        <i x="211" s="1" nd="1"/>
        <i x="111" s="1" nd="1"/>
        <i x="138" s="1" nd="1"/>
        <i x="304" s="1" nd="1"/>
        <i x="284" s="1" nd="1"/>
        <i x="112" s="1" nd="1"/>
        <i x="253" s="1" nd="1"/>
        <i x="224" s="1" nd="1"/>
        <i x="54" s="1" nd="1"/>
        <i x="70" s="1" nd="1"/>
        <i x="7" s="1" nd="1"/>
        <i x="100" s="1" nd="1"/>
        <i x="12" s="1" nd="1"/>
        <i x="76" s="1" nd="1"/>
        <i x="212" s="1" nd="1"/>
        <i x="58" s="1" nd="1"/>
        <i x="256" s="1" nd="1"/>
        <i x="346" s="1" nd="1"/>
        <i x="262" s="1" nd="1"/>
        <i x="328" s="1" nd="1"/>
        <i x="289" s="1" nd="1"/>
        <i x="81" s="1" nd="1"/>
        <i x="156" s="1" nd="1"/>
        <i x="117" s="1" nd="1"/>
        <i x="157" s="1" nd="1"/>
        <i x="179" s="1" nd="1"/>
        <i x="361" s="1" nd="1"/>
        <i x="3" s="1" nd="1"/>
        <i x="233" s="1" nd="1"/>
        <i x="354" s="1" nd="1"/>
        <i x="383" s="1" nd="1"/>
        <i x="355" s="1" nd="1"/>
        <i x="362" s="1" nd="1"/>
        <i x="203" s="1" nd="1"/>
        <i x="59" s="1" nd="1"/>
        <i x="188" s="1" nd="1"/>
        <i x="394" s="1" nd="1"/>
        <i x="324" s="1" nd="1"/>
        <i x="356" s="1" nd="1"/>
        <i x="291" s="1" nd="1"/>
        <i x="335" s="1" nd="1"/>
        <i x="270" s="1" nd="1"/>
        <i x="363" s="1" nd="1"/>
        <i x="55" s="1" nd="1"/>
        <i x="299" s="1" nd="1"/>
        <i x="380" s="1" nd="1"/>
        <i x="336" s="1" nd="1"/>
        <i x="8" s="1" nd="1"/>
        <i x="357" s="1" nd="1"/>
        <i x="180" s="1" nd="1"/>
        <i x="257" s="1" nd="1"/>
        <i x="119" s="1" nd="1"/>
        <i x="225" s="1" nd="1"/>
        <i x="139" s="1" nd="1"/>
        <i x="39" s="1" nd="1"/>
        <i x="91" s="1" nd="1"/>
        <i x="347" s="1" nd="1"/>
        <i x="94" s="1" nd="1"/>
        <i x="181" s="1" nd="1"/>
        <i x="384" s="1" nd="1"/>
        <i x="71" s="1" nd="1"/>
        <i x="19" s="1" nd="1"/>
        <i x="395" s="1" nd="1"/>
        <i x="169" s="1" nd="1"/>
        <i x="348" s="1" nd="1"/>
        <i x="337" s="1" nd="1"/>
        <i x="13" s="1" nd="1"/>
        <i x="325" s="1" nd="1"/>
        <i x="103" s="1" nd="1"/>
        <i x="246" s="1" nd="1"/>
        <i x="131" s="1" nd="1"/>
        <i x="49" s="1" nd="1"/>
        <i x="390" s="1" nd="1"/>
        <i x="120" s="1" nd="1"/>
        <i x="4" s="1" nd="1"/>
        <i x="375" s="1" nd="1"/>
        <i x="364" s="1" nd="1"/>
        <i x="391" s="1" nd="1"/>
        <i x="370" s="1" nd="1"/>
        <i x="40" s="1" nd="1"/>
        <i x="159" s="1" nd="1"/>
        <i x="56" s="1" nd="1"/>
        <i x="170" s="1" nd="1"/>
        <i x="326" s="1" nd="1"/>
        <i x="338" s="1" nd="1"/>
        <i x="411" s="1" nd="1"/>
        <i x="182" s="1" nd="1"/>
        <i x="171" s="1" nd="1"/>
        <i x="95" s="1" nd="1"/>
        <i x="263" s="1" nd="1"/>
        <i x="140" s="1" nd="1"/>
        <i x="319" s="1" nd="1"/>
        <i x="320" s="1" nd="1"/>
        <i x="310" s="1" nd="1"/>
        <i x="172" s="1" nd="1"/>
        <i x="147" s="1" nd="1"/>
        <i x="121" s="1" nd="1"/>
        <i x="165" s="1" nd="1"/>
        <i x="64" s="1" nd="1"/>
        <i x="349" s="1" nd="1"/>
        <i x="329" s="1" nd="1"/>
        <i x="65" s="1" nd="1"/>
        <i x="198" s="1" nd="1"/>
        <i x="189" s="1" nd="1"/>
        <i x="285" s="1" nd="1"/>
        <i x="174" s="1" nd="1"/>
        <i x="113" s="1" nd="1"/>
        <i x="9" s="1" nd="1"/>
        <i x="286" s="1" nd="1"/>
        <i x="31" s="1" nd="1"/>
        <i x="57" s="1" nd="1"/>
        <i x="287" s="1" nd="1"/>
        <i x="104" s="1" nd="1"/>
        <i x="50" s="1" nd="1"/>
        <i x="376" s="1" nd="1"/>
        <i x="292" s="1" nd="1"/>
        <i x="277" s="1" nd="1"/>
        <i x="300" s="1" nd="1"/>
        <i x="66" s="1" nd="1"/>
        <i x="412" s="1" nd="1"/>
        <i x="175" s="1" nd="1"/>
        <i x="101" s="1" nd="1"/>
        <i x="199" s="1" nd="1"/>
        <i x="41" s="1" nd="1"/>
        <i x="408" s="1" nd="1"/>
        <i x="217" s="1" nd="1"/>
        <i x="327" s="1" nd="1"/>
        <i x="339" s="1" nd="1"/>
        <i x="218" s="1" nd="1"/>
        <i x="60" s="1" nd="1"/>
        <i x="381" s="1" nd="1"/>
        <i x="122" s="1" nd="1"/>
        <i x="293" s="1" nd="1"/>
        <i x="237" s="1" nd="1"/>
        <i x="301" s="1" nd="1"/>
        <i x="396" s="1" nd="1"/>
        <i x="219" s="1" nd="1"/>
        <i x="340" s="1" nd="1"/>
        <i x="114" s="1" nd="1"/>
        <i x="77" s="1" nd="1"/>
        <i x="350" s="1" nd="1"/>
        <i x="226" s="1" nd="1"/>
        <i x="321" s="1" nd="1"/>
        <i x="105" s="1" nd="1"/>
        <i x="42" s="1" nd="1"/>
        <i x="20" s="1" nd="1"/>
        <i x="397" s="1" nd="1"/>
        <i x="96" s="1" nd="1"/>
        <i x="32" s="1" nd="1"/>
        <i x="238" s="1" nd="1"/>
        <i x="247" s="1" nd="1"/>
        <i x="351" s="1" nd="1"/>
        <i x="330" s="1" nd="1"/>
        <i x="311" s="1" nd="1"/>
        <i x="51" s="1" nd="1"/>
        <i x="398" s="1" nd="1"/>
        <i x="106" s="1" nd="1"/>
        <i x="213" s="1" nd="1"/>
        <i x="107" s="1" nd="1"/>
        <i x="315" s="1" nd="1"/>
        <i x="385" s="1" nd="1"/>
        <i x="14" s="1" nd="1"/>
        <i x="365" s="1" nd="1"/>
        <i x="214" s="1" nd="1"/>
        <i x="331" s="1" nd="1"/>
        <i x="234" s="1" nd="1"/>
        <i x="366" s="1" nd="1"/>
        <i x="61" s="1" nd="1"/>
        <i x="123" s="1" nd="1"/>
        <i x="294" s="1" nd="1"/>
        <i x="377" s="1" nd="1"/>
        <i x="82" s="1" nd="1"/>
        <i x="271" s="1" nd="1"/>
        <i x="43" s="1" nd="1"/>
        <i x="399" s="1" nd="1"/>
        <i x="10" s="1" nd="1"/>
        <i x="124" s="1" nd="1"/>
        <i x="83" s="1" nd="1"/>
        <i x="141" s="1" nd="1"/>
        <i x="258" s="1" nd="1"/>
        <i x="413" s="1" nd="1"/>
        <i x="239" s="1" nd="1"/>
        <i x="358" s="1" nd="1"/>
        <i x="312" s="1" nd="1"/>
        <i x="264" s="1" nd="1"/>
        <i x="302" s="1" nd="1"/>
        <i x="341" s="1" nd="1"/>
        <i x="227" s="1" nd="1"/>
        <i x="166" s="1" nd="1"/>
        <i x="332" s="1" nd="1"/>
        <i x="342" s="1" nd="1"/>
        <i x="125" s="1" nd="1"/>
        <i x="115" s="1" nd="1"/>
        <i x="142" s="1" nd="1"/>
        <i x="240" s="1" nd="1"/>
        <i x="62" s="1" nd="1"/>
        <i x="392" s="1" nd="1"/>
        <i x="183" s="1" nd="1"/>
        <i x="288" s="1" nd="1"/>
        <i x="386" s="1" nd="1"/>
        <i x="143" s="1" nd="1"/>
        <i x="84" s="1" nd="1"/>
        <i x="33" s="1" nd="1"/>
        <i x="176" s="1" nd="1"/>
        <i x="97" s="1" nd="1"/>
        <i x="21" s="1" nd="1"/>
        <i x="108" s="1" nd="1"/>
        <i x="305" s="1" nd="1"/>
        <i x="26" s="1" nd="1"/>
        <i x="190" s="1" nd="1"/>
        <i x="248" s="1" nd="1"/>
        <i x="313" s="1" nd="1"/>
        <i x="15" s="1" nd="1"/>
        <i x="78" s="1" nd="1"/>
        <i x="148" s="1" nd="1"/>
        <i x="228" s="1" nd="1"/>
        <i x="204" s="1" nd="1"/>
        <i x="109" s="1" nd="1"/>
        <i x="352" s="1" nd="1"/>
        <i x="235" s="1" nd="1"/>
        <i x="194" s="1" nd="1"/>
        <i x="229" s="1" nd="1"/>
        <i x="367" s="1" nd="1"/>
        <i x="205" s="1" nd="1"/>
        <i x="249" s="1" nd="1"/>
        <i x="167" s="1" nd="1"/>
        <i x="414" s="1" nd="1"/>
        <i x="34" s="1" nd="1"/>
        <i x="278" s="1" nd="1"/>
        <i x="279" s="1" nd="1"/>
        <i x="290" s="1" nd="1"/>
        <i x="241" s="1" nd="1"/>
        <i x="85" s="1" nd="1"/>
        <i x="149" s="1" nd="1"/>
        <i x="333" s="1" nd="1"/>
        <i x="110" s="1" nd="1"/>
        <i x="306" s="1" nd="1"/>
        <i x="382" s="1" nd="1"/>
        <i x="72" s="1" nd="1"/>
        <i x="158" s="1" nd="1"/>
        <i x="16" s="1" nd="1"/>
        <i x="242" s="1" nd="1"/>
        <i x="415" s="1" nd="1"/>
        <i x="195" s="1" nd="1"/>
        <i x="73" s="1" nd="1"/>
        <i x="44" s="1" nd="1"/>
        <i x="45" s="1" nd="1"/>
        <i x="86" s="1" nd="1"/>
        <i x="22" s="1" nd="1"/>
        <i x="403" s="1" nd="1"/>
        <i x="35" s="1" nd="1"/>
        <i x="168" s="1" nd="1"/>
        <i x="184" s="1" nd="1"/>
        <i x="334" s="1" nd="1"/>
        <i x="185" s="1" nd="1"/>
        <i x="368" s="1" nd="1"/>
        <i x="322" s="1" nd="1"/>
        <i x="144" s="1" nd="1"/>
        <i x="160" s="1" nd="1"/>
        <i x="372" s="1" nd="1"/>
        <i x="295" s="1" nd="1"/>
        <i x="404" s="1" nd="1"/>
        <i x="79" s="1" nd="1"/>
        <i x="265" s="1" nd="1"/>
        <i x="215" s="1" nd="1"/>
        <i x="74" s="1" nd="1"/>
        <i x="405" s="1" nd="1"/>
        <i x="63" s="1" nd="1"/>
        <i x="280" s="1" nd="1"/>
        <i x="206" s="1" nd="1"/>
        <i x="36" s="1" nd="1"/>
        <i x="400" s="1" nd="1"/>
        <i x="23" s="1" nd="1"/>
        <i x="406" s="1" nd="1"/>
        <i x="126" s="1" nd="1"/>
        <i x="207" s="1" nd="1"/>
        <i x="266" s="1" nd="1"/>
        <i x="161" s="1" nd="1"/>
        <i x="67" s="1" nd="1"/>
        <i x="173" s="1" nd="1"/>
        <i x="272" s="1" nd="1"/>
        <i x="150" s="1" nd="1"/>
        <i x="127" s="1" nd="1"/>
        <i x="98" s="1" nd="1"/>
        <i x="343" s="1" nd="1"/>
        <i x="316" s="1" nd="1"/>
        <i x="186" s="1" nd="1"/>
        <i x="243" s="1" nd="1"/>
        <i x="267" s="1" nd="1"/>
        <i x="196" s="1" nd="1"/>
        <i x="5" s="1" nd="1"/>
        <i x="409" s="1" nd="1"/>
        <i x="373" s="1" nd="1"/>
        <i x="317" s="1" nd="1"/>
        <i x="369" s="1" nd="1"/>
        <i x="68" s="1" nd="1"/>
        <i x="162" s="1" nd="1"/>
        <i x="197" s="1" nd="1"/>
        <i x="236" s="1" nd="1"/>
        <i x="16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416">
        <i x="0" s="1"/>
        <i x="15" s="1" nd="1"/>
        <i x="383" s="1" nd="1"/>
        <i x="94" s="1" nd="1"/>
        <i x="307" s="1" nd="1"/>
        <i x="273" s="1" nd="1"/>
        <i x="320" s="1" nd="1"/>
        <i x="314" s="1" nd="1"/>
        <i x="284" s="1" nd="1"/>
        <i x="375" s="1" nd="1"/>
        <i x="128" s="1" nd="1"/>
        <i x="51" s="1" nd="1"/>
        <i x="315" s="1" nd="1"/>
        <i x="203" s="1" nd="1"/>
        <i x="258" s="1" nd="1"/>
        <i x="39" s="1" nd="1"/>
        <i x="366" s="1" nd="1"/>
        <i x="274" s="1" nd="1"/>
        <i x="204" s="1" nd="1"/>
        <i x="321" s="1" nd="1"/>
        <i x="332" s="1" nd="1"/>
        <i x="211" s="1" nd="1"/>
        <i x="40" s="1" nd="1"/>
        <i x="229" s="1" nd="1"/>
        <i x="65" s="1" nd="1"/>
        <i x="16" s="1" nd="1"/>
        <i x="298" s="1" nd="1"/>
        <i x="182" s="1" nd="1"/>
        <i x="347" s="1" nd="1"/>
        <i x="32" s="1" nd="1"/>
        <i x="245" s="1" nd="1"/>
        <i x="118" s="1" nd="1"/>
        <i x="7" s="1" nd="1"/>
        <i x="384" s="1" nd="1"/>
        <i x="72" s="1" nd="1"/>
        <i x="164" s="1" nd="1"/>
        <i x="22" s="1" nd="1"/>
        <i x="398" s="1" nd="1"/>
        <i x="275" s="1" nd="1"/>
        <i x="205" s="1" nd="1"/>
        <i x="149" s="1" nd="1"/>
        <i x="354" s="1" nd="1"/>
        <i x="373" s="1" nd="1"/>
        <i x="190" s="1" nd="1"/>
        <i x="399" s="1" nd="1"/>
        <i x="23" s="1" nd="1"/>
        <i x="333" s="1" nd="1"/>
        <i x="276" s="1" nd="1"/>
        <i x="112" s="1" nd="1"/>
        <i x="109" s="1" nd="1"/>
        <i x="367" s="1" nd="1"/>
        <i x="360" s="1" nd="1"/>
        <i x="119" s="1" nd="1"/>
        <i x="230" s="1" nd="1"/>
        <i x="10" s="1" nd="1"/>
        <i x="361" s="1" nd="1"/>
        <i x="390" s="1" nd="1"/>
        <i x="165" s="1" nd="1"/>
        <i x="328" s="1" nd="1"/>
        <i x="24" s="1" nd="1"/>
        <i x="80" s="1" nd="1"/>
        <i x="246" s="1" nd="1"/>
        <i x="124" s="1" nd="1"/>
        <i x="11" s="1" nd="1"/>
        <i x="299" s="1" nd="1"/>
        <i x="238" s="1" nd="1"/>
        <i x="101" s="1" nd="1"/>
        <i x="266" s="1" nd="1"/>
        <i x="197" s="1" nd="1"/>
        <i x="348" s="1" nd="1"/>
        <i x="285" s="1" nd="1"/>
        <i x="33" s="1" nd="1"/>
        <i x="87" s="1" nd="1"/>
        <i x="135" s="1" nd="1"/>
        <i x="300" s="1" nd="1"/>
        <i x="206" s="1" nd="1"/>
        <i x="17" s="1" nd="1"/>
        <i x="34" s="1" nd="1"/>
        <i x="88" s="1" nd="1"/>
        <i x="150" s="1" nd="1"/>
        <i x="247" s="1" nd="1"/>
        <i x="376" s="1" nd="1"/>
        <i x="166" s="1" nd="1"/>
        <i x="385" s="1" nd="1"/>
        <i x="325" s="1" nd="1"/>
        <i x="198" s="1" nd="1"/>
        <i x="212" s="1" nd="1"/>
        <i x="391" s="1" nd="1"/>
        <i x="102" s="1" nd="1"/>
        <i x="267" s="1" nd="1"/>
        <i x="25" s="1" nd="1"/>
        <i x="405" s="1" nd="1"/>
        <i x="349" s="1" nd="1"/>
        <i x="277" s="1" nd="1"/>
        <i x="167" s="1" nd="1"/>
        <i x="26" s="1" nd="1"/>
        <i x="151" s="1" nd="1"/>
        <i x="248" s="1" nd="1"/>
        <i x="406" s="1" nd="1"/>
        <i x="113" s="1" nd="1"/>
        <i x="173" s="1" nd="1"/>
        <i x="278" s="1" nd="1"/>
        <i x="183" s="1" nd="1"/>
        <i x="268" s="1" nd="1"/>
        <i x="59" s="1" nd="1"/>
        <i x="159" s="1" nd="1"/>
        <i x="368" s="1" nd="1"/>
        <i x="400" s="1" nd="1"/>
        <i x="177" s="1" nd="1"/>
        <i x="219" s="1" nd="1"/>
        <i x="308" s="1" nd="1"/>
        <i x="377" s="1" nd="1"/>
        <i x="254" s="1" nd="1"/>
        <i x="362" s="1" nd="1"/>
        <i x="184" s="1" nd="1"/>
        <i x="45" s="1" nd="1"/>
        <i x="392" s="1" nd="1"/>
        <i x="129" s="1" nd="1"/>
        <i x="280" s="1" nd="1"/>
        <i x="220" s="1" nd="1"/>
        <i x="160" s="1" nd="1"/>
        <i x="73" s="1" nd="1"/>
        <i x="125" s="1" nd="1"/>
        <i x="41" s="1" nd="1"/>
        <i x="322" s="1" nd="1"/>
        <i x="89" s="1" nd="1"/>
        <i x="329" s="1" nd="1"/>
        <i x="27" s="1" nd="1"/>
        <i x="234" s="1" nd="1"/>
        <i x="95" s="1" nd="1"/>
        <i x="259" s="1" nd="1"/>
        <i x="199" s="1" nd="1"/>
        <i x="126" s="1" nd="1"/>
        <i x="90" s="1" nd="1"/>
        <i x="289" s="1" nd="1"/>
        <i x="114" s="1" nd="1"/>
        <i x="161" s="1" nd="1"/>
        <i x="193" s="1" nd="1"/>
        <i x="301" s="1" nd="1"/>
        <i x="66" s="1" nd="1"/>
        <i x="226" s="1" nd="1"/>
        <i x="52" s="1" nd="1"/>
        <i x="67" s="1" nd="1"/>
        <i x="152" s="1" nd="1"/>
        <i x="174" s="1" nd="1"/>
        <i x="110" s="1" nd="1"/>
        <i x="60" s="1" nd="1"/>
        <i x="178" s="1" nd="1"/>
        <i x="326" s="1" nd="1"/>
        <i x="185" s="1" nd="1"/>
        <i x="18" s="1" nd="1"/>
        <i x="141" s="1" nd="1"/>
        <i x="1" s="1" nd="1"/>
        <i x="103" s="1" nd="1"/>
        <i x="53" s="1" nd="1"/>
        <i x="231" s="1" nd="1"/>
        <i x="337" s="1" nd="1"/>
        <i x="221" s="1" nd="1"/>
        <i x="241" s="1" nd="1"/>
        <i x="28" s="1" nd="1"/>
        <i x="286" s="1" nd="1"/>
        <i x="249" s="1" nd="1"/>
        <i x="290" s="1" nd="1"/>
        <i x="378" s="1" nd="1"/>
        <i x="407" s="1" nd="1"/>
        <i x="260" s="1" nd="1"/>
        <i x="120" s="1" nd="1"/>
        <i x="369" s="1" nd="1"/>
        <i x="153" s="1" nd="1"/>
        <i x="316" s="1" nd="1"/>
        <i x="130" s="1" nd="1"/>
        <i x="61" s="1" nd="1"/>
        <i x="194" s="1" nd="1"/>
        <i x="261" s="1" nd="1"/>
        <i x="121" s="1" nd="1"/>
        <i x="46" s="1" nd="1"/>
        <i x="379" s="1" nd="1"/>
        <i x="74" s="1" nd="1"/>
        <i x="291" s="1" nd="1"/>
        <i x="42" s="1" nd="1"/>
        <i x="186" s="1" nd="1"/>
        <i x="281" s="1" nd="1"/>
        <i x="142" s="1" nd="1"/>
        <i x="269" s="1" nd="1"/>
        <i x="8" s="1" nd="1"/>
        <i x="111" s="1" nd="1"/>
        <i x="156" s="1" nd="1"/>
        <i x="323" s="1" nd="1"/>
        <i x="338" s="1" nd="1"/>
        <i x="413" s="1" nd="1"/>
        <i x="168" s="1" nd="1"/>
        <i x="2" s="1" nd="1"/>
        <i x="350" s="1" nd="1"/>
        <i x="287" s="1" nd="1"/>
        <i x="62" s="1" nd="1"/>
        <i x="235" s="1" nd="1"/>
        <i x="408" s="1" nd="1"/>
        <i x="179" s="1" nd="1"/>
        <i x="43" s="1" nd="1"/>
        <i x="187" s="1" nd="1"/>
        <i x="262" s="1" nd="1"/>
        <i x="342" s="1" nd="1"/>
        <i x="200" s="1" nd="1"/>
        <i x="282" s="1" nd="1"/>
        <i x="270" s="1" nd="1"/>
        <i x="29" s="1" nd="1"/>
        <i x="207" s="1" nd="1"/>
        <i x="54" s="1" nd="1"/>
        <i x="317" s="1" nd="1"/>
        <i x="401" s="1" nd="1"/>
        <i x="334" s="1" nd="1"/>
        <i x="91" s="1" nd="1"/>
        <i x="180" s="1" nd="1"/>
        <i x="255" s="1" nd="1"/>
        <i x="414" s="1" nd="1"/>
        <i x="96" s="1" nd="1"/>
        <i x="188" s="1" nd="1"/>
        <i x="47" s="1" nd="1"/>
        <i x="393" s="1" nd="1"/>
        <i x="271" s="1" nd="1"/>
        <i x="154" s="1" nd="1"/>
        <i x="250" s="1" nd="1"/>
        <i x="131" s="1" nd="1"/>
        <i x="195" s="1" nd="1"/>
        <i x="343" s="1" nd="1"/>
        <i x="143" s="1" nd="1"/>
        <i x="75" s="1" nd="1"/>
        <i x="374" s="1" nd="1"/>
        <i x="355" s="1" nd="1"/>
        <i x="380" s="1" nd="1"/>
        <i x="256" s="1" nd="1"/>
        <i x="12" s="1" nd="1"/>
        <i x="115" s="1" nd="1"/>
        <i x="97" s="1" nd="1"/>
        <i x="189" s="1" nd="1"/>
        <i x="370" s="1" nd="1"/>
        <i x="48" s="1" nd="1"/>
        <i x="76" s="1" nd="1"/>
        <i x="242" s="1" nd="1"/>
        <i x="3" s="1" nd="1"/>
        <i x="55" s="1" nd="1"/>
        <i x="81" s="1" nd="1"/>
        <i x="213" s="1" nd="1"/>
        <i x="292" s="1" nd="1"/>
        <i x="302" s="1" nd="1"/>
        <i x="98" s="1" nd="1"/>
        <i x="263" s="1" nd="1"/>
        <i x="122" s="1" nd="1"/>
        <i x="144" s="1" nd="1"/>
        <i x="77" s="1" nd="1"/>
        <i x="169" s="1" nd="1"/>
        <i x="330" s="1" nd="1"/>
        <i x="351" s="1" nd="1"/>
        <i x="56" s="1" nd="1"/>
        <i x="35" s="1" nd="1"/>
        <i x="132" s="1" nd="1"/>
        <i x="293" s="1" nd="1"/>
        <i x="381" s="1" nd="1"/>
        <i x="63" s="1" nd="1"/>
        <i x="181" s="1" nd="1"/>
        <i x="363" s="1" nd="1"/>
        <i x="68" s="1" nd="1"/>
        <i x="99" s="1" nd="1"/>
        <i x="19" s="1" nd="1"/>
        <i x="309" s="1" nd="1"/>
        <i x="78" s="1" nd="1"/>
        <i x="318" s="1" nd="1"/>
        <i x="402" s="1" nd="1"/>
        <i x="82" s="1" nd="1"/>
        <i x="294" s="1" nd="1"/>
        <i x="324" s="1" nd="1"/>
        <i x="116" s="1" nd="1"/>
        <i x="136" s="1" nd="1"/>
        <i x="222" s="1" nd="1"/>
        <i x="344" s="1" nd="1"/>
        <i x="371" s="1" nd="1"/>
        <i x="49" s="1" nd="1"/>
        <i x="394" s="1" nd="1"/>
        <i x="4" s="1" nd="1"/>
        <i x="191" s="1" nd="1"/>
        <i x="352" s="1" nd="1"/>
        <i x="57" s="1" nd="1"/>
        <i x="83" s="1" nd="1"/>
        <i x="335" s="1" nd="1"/>
        <i x="356" s="1" nd="1"/>
        <i x="214" s="1" nd="1"/>
        <i x="295" s="1" nd="1"/>
        <i x="409" s="1" nd="1"/>
        <i x="364" s="1" nd="1"/>
        <i x="303" s="1" nd="1"/>
        <i x="415" s="1" nd="1"/>
        <i x="201" s="1" nd="1"/>
        <i x="145" s="1" nd="1"/>
        <i x="227" s="1" nd="1"/>
        <i x="310" s="1" nd="1"/>
        <i x="30" s="1" nd="1"/>
        <i x="58" s="1" nd="1"/>
        <i x="133" s="1" nd="1"/>
        <i x="215" s="1" nd="1"/>
        <i x="296" s="1" nd="1"/>
        <i x="339" s="1" nd="1"/>
        <i x="386" s="1" nd="1"/>
        <i x="69" s="1" nd="1"/>
        <i x="239" s="1" nd="1"/>
        <i x="20" s="1" nd="1"/>
        <i x="123" s="1" nd="1"/>
        <i x="283" s="1" nd="1"/>
        <i x="79" s="1" nd="1"/>
        <i x="104" s="1" nd="1"/>
        <i x="192" s="1" nd="1"/>
        <i x="208" s="1" nd="1"/>
        <i x="232" s="1" nd="1"/>
        <i x="403" s="1" nd="1"/>
        <i x="251" s="1" nd="1"/>
        <i x="357" s="1" nd="1"/>
        <i x="36" s="1" nd="1"/>
        <i x="410" s="1" nd="1"/>
        <i x="223" s="1" nd="1"/>
        <i x="264" s="1" nd="1"/>
        <i x="50" s="1" nd="1"/>
        <i x="311" s="1" nd="1"/>
        <i x="395" s="1" nd="1"/>
        <i x="105" s="1" nd="1"/>
        <i x="84" s="1" nd="1"/>
        <i x="175" s="1" nd="1"/>
        <i x="336" s="1" nd="1"/>
        <i x="358" s="1" nd="1"/>
        <i x="157" s="1" nd="1"/>
        <i x="411" s="1" nd="1"/>
        <i x="345" s="1" nd="1"/>
        <i x="146" s="1" nd="1"/>
        <i x="228" s="1" nd="1"/>
        <i x="312" s="1" nd="1"/>
        <i x="155" s="1" nd="1"/>
        <i x="85" s="1" nd="1"/>
        <i x="176" s="1" nd="1"/>
        <i x="134" s="1" nd="1"/>
        <i x="412" s="1" nd="1"/>
        <i x="92" s="1" nd="1"/>
        <i x="117" s="1" nd="1"/>
        <i x="387" s="1" nd="1"/>
        <i x="327" s="1" nd="1"/>
        <i x="100" s="1" nd="1"/>
        <i x="147" s="1" nd="1"/>
        <i x="396" s="1" nd="1"/>
        <i x="170" s="1" nd="1"/>
        <i x="233" s="1" nd="1"/>
        <i x="319" s="1" nd="1"/>
        <i x="9" s="1" nd="1"/>
        <i x="279" s="1" nd="1"/>
        <i x="216" s="1" nd="1"/>
        <i x="382" s="1" nd="1"/>
        <i x="137" s="1" nd="1"/>
        <i x="171" s="1" nd="1"/>
        <i x="243" s="1" nd="1"/>
        <i x="106" s="1" nd="1"/>
        <i x="31" s="1" nd="1"/>
        <i x="209" s="1" nd="1"/>
        <i x="86" s="1" nd="1"/>
        <i x="359" s="1" nd="1"/>
        <i x="37" s="1" nd="1"/>
        <i x="217" s="1" nd="1"/>
        <i x="236" s="1" nd="1"/>
        <i x="257" s="1" nd="1"/>
        <i x="138" s="1" nd="1"/>
        <i x="224" s="1" nd="1"/>
        <i x="304" s="1" nd="1"/>
        <i x="388" s="1" nd="1"/>
        <i x="346" s="1" nd="1"/>
        <i x="21" s="1" nd="1"/>
        <i x="148" s="1" nd="1"/>
        <i x="397" s="1" nd="1"/>
        <i x="107" s="1" nd="1"/>
        <i x="252" s="1" nd="1"/>
        <i x="158" s="1" nd="1"/>
        <i x="44" s="1" nd="1"/>
        <i x="70" s="1" nd="1"/>
        <i x="372" s="1" nd="1"/>
        <i x="244" s="1" nd="1"/>
        <i x="5" s="1" nd="1"/>
        <i x="272" s="1" nd="1"/>
        <i x="288" s="1" nd="1"/>
        <i x="253" s="1" nd="1"/>
        <i x="218" s="1" nd="1"/>
        <i x="365" s="1" nd="1"/>
        <i x="331" s="1" nd="1"/>
        <i x="6" s="1" nd="1"/>
        <i x="353" s="1" nd="1"/>
        <i x="127" s="1" nd="1"/>
        <i x="38" s="1" nd="1"/>
        <i x="64" s="1" nd="1"/>
        <i x="196" s="1" nd="1"/>
        <i x="139" s="1" nd="1"/>
        <i x="305" s="1" nd="1"/>
        <i x="162" s="1" nd="1"/>
        <i x="265" s="1" nd="1"/>
        <i x="108" s="1" nd="1"/>
        <i x="340" s="1" nd="1"/>
        <i x="13" s="1" nd="1"/>
        <i x="140" s="1" nd="1"/>
        <i x="163" s="1" nd="1"/>
        <i x="240" s="1" nd="1"/>
        <i x="210" s="1" nd="1"/>
        <i x="93" s="1" nd="1"/>
        <i x="341" s="1" nd="1"/>
        <i x="389" s="1" nd="1"/>
        <i x="202" s="1" nd="1"/>
        <i x="172" s="1" nd="1"/>
        <i x="297" s="1" nd="1"/>
        <i x="237" s="1" nd="1"/>
        <i x="14" s="1" nd="1"/>
        <i x="225" s="1" nd="1"/>
        <i x="306" s="1" nd="1"/>
        <i x="71" s="1" nd="1"/>
        <i x="404" s="1" nd="1"/>
        <i x="313"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25">
        <i x="0" s="1"/>
        <i x="1" s="1" nd="1"/>
        <i x="119" s="1" nd="1"/>
        <i x="109" s="1" nd="1"/>
        <i x="8" s="1" nd="1"/>
        <i x="120" s="1" nd="1"/>
        <i x="4" s="1" nd="1"/>
        <i x="27" s="1" nd="1"/>
        <i x="91" s="1" nd="1"/>
        <i x="48" s="1" nd="1"/>
        <i x="117" s="1" nd="1"/>
        <i x="40" s="1" nd="1"/>
        <i x="6" s="1" nd="1"/>
        <i x="92" s="1" nd="1"/>
        <i x="51" s="1" nd="1"/>
        <i x="56" s="1" nd="1"/>
        <i x="19" s="1" nd="1"/>
        <i x="121" s="1" nd="1"/>
        <i x="5" s="1" nd="1"/>
        <i x="115" s="1" nd="1"/>
        <i x="52" s="1" nd="1"/>
        <i x="59" s="1" nd="1"/>
        <i x="63" s="1" nd="1"/>
        <i x="41" s="1" nd="1"/>
        <i x="10" s="1" nd="1"/>
        <i x="104" s="1" nd="1"/>
        <i x="97" s="1" nd="1"/>
        <i x="66" s="1" nd="1"/>
        <i x="122" s="1" nd="1"/>
        <i x="67" s="1" nd="1"/>
        <i x="112" s="1" nd="1"/>
        <i x="86" s="1" nd="1"/>
        <i x="74" s="1" nd="1"/>
        <i x="76" s="1" nd="1"/>
        <i x="49" s="1" nd="1"/>
        <i x="60" s="1" nd="1"/>
        <i x="57" s="1" nd="1"/>
        <i x="38" s="1" nd="1"/>
        <i x="116" s="1" nd="1"/>
        <i x="123" s="1" nd="1"/>
        <i x="79" s="1" nd="1"/>
        <i x="101" s="1" nd="1"/>
        <i x="100" s="1" nd="1"/>
        <i x="9" s="1" nd="1"/>
        <i x="61" s="1" nd="1"/>
        <i x="39" s="1" nd="1"/>
        <i x="95" s="1" nd="1"/>
        <i x="23" s="1" nd="1"/>
        <i x="108" s="1" nd="1"/>
        <i x="11" s="1" nd="1"/>
        <i x="81" s="1" nd="1"/>
        <i x="93" s="1" nd="1"/>
        <i x="113" s="1" nd="1"/>
        <i x="89" s="1" nd="1"/>
        <i x="20" s="1" nd="1"/>
        <i x="71" s="1" nd="1"/>
        <i x="68" s="1" nd="1"/>
        <i x="24" s="1" nd="1"/>
        <i x="99" s="1" nd="1"/>
        <i x="21" s="1" nd="1"/>
        <i x="42" s="1" nd="1"/>
        <i x="36" s="1" nd="1"/>
        <i x="124" s="1" nd="1"/>
        <i x="2" s="1" nd="1"/>
        <i x="94" s="1" nd="1"/>
        <i x="14" s="1" nd="1"/>
        <i x="105" s="1" nd="1"/>
        <i x="43" s="1" nd="1"/>
        <i x="87" s="1" nd="1"/>
        <i x="58" s="1" nd="1"/>
        <i x="45" s="1" nd="1"/>
        <i x="28" s="1" nd="1"/>
        <i x="33" s="1" nd="1"/>
        <i x="106" s="1" nd="1"/>
        <i x="53" s="1" nd="1"/>
        <i x="31" s="1" nd="1"/>
        <i x="15" s="1" nd="1"/>
        <i x="34" s="1" nd="1"/>
        <i x="3" s="1" nd="1"/>
        <i x="83" s="1" nd="1"/>
        <i x="54" s="1" nd="1"/>
        <i x="17" s="1" nd="1"/>
        <i x="22" s="1" nd="1"/>
        <i x="88" s="1" nd="1"/>
        <i x="16" s="1" nd="1"/>
        <i x="84" s="1" nd="1"/>
        <i x="25" s="1" nd="1"/>
        <i x="69" s="1" nd="1"/>
        <i x="44" s="1" nd="1"/>
        <i x="46" s="1" nd="1"/>
        <i x="75" s="1" nd="1"/>
        <i x="96" s="1" nd="1"/>
        <i x="29" s="1" nd="1"/>
        <i x="12" s="1" nd="1"/>
        <i x="98" s="1" nd="1"/>
        <i x="82" s="1" nd="1"/>
        <i x="114" s="1" nd="1"/>
        <i x="77" s="1" nd="1"/>
        <i x="110" s="1" nd="1"/>
        <i x="7" s="1" nd="1"/>
        <i x="26" s="1" nd="1"/>
        <i x="64" s="1" nd="1"/>
        <i x="85" s="1" nd="1"/>
        <i x="107" s="1" nd="1"/>
        <i x="70" s="1" nd="1"/>
        <i x="78" s="1" nd="1"/>
        <i x="30" s="1" nd="1"/>
        <i x="72" s="1" nd="1"/>
        <i x="90" s="1" nd="1"/>
        <i x="47" s="1" nd="1"/>
        <i x="62" s="1" nd="1"/>
        <i x="13" s="1" nd="1"/>
        <i x="32" s="1" nd="1"/>
        <i x="111" s="1" nd="1"/>
        <i x="118" s="1" nd="1"/>
        <i x="37" s="1" nd="1"/>
        <i x="80" s="1" nd="1"/>
        <i x="50" s="1" nd="1"/>
        <i x="65" s="1" nd="1"/>
        <i x="18" s="1" nd="1"/>
        <i x="35" s="1" nd="1"/>
        <i x="102" s="1" nd="1"/>
        <i x="103" s="1" nd="1"/>
        <i x="55" s="1" nd="1"/>
        <i x="73"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188">
        <i x="0" s="1"/>
        <i x="181" s="1" nd="1"/>
        <i x="161" s="1" nd="1"/>
        <i x="75" s="1" nd="1"/>
        <i x="19" s="1" nd="1"/>
        <i x="62" s="1" nd="1"/>
        <i x="182" s="1" nd="1"/>
        <i x="7" s="1" nd="1"/>
        <i x="158" s="1" nd="1"/>
        <i x="46" s="1" nd="1"/>
        <i x="134" s="1" nd="1"/>
        <i x="79" s="1" nd="1"/>
        <i x="179" s="1" nd="1"/>
        <i x="68" s="1" nd="1"/>
        <i x="11" s="1" nd="1"/>
        <i x="135" s="1" nd="1"/>
        <i x="82" s="1" nd="1"/>
        <i x="88" s="1" nd="1"/>
        <i x="115" s="1" nd="1"/>
        <i x="140" s="1" nd="1"/>
        <i x="34" s="1" nd="1"/>
        <i x="50" s="1" nd="1"/>
        <i x="183" s="1" nd="1"/>
        <i x="8" s="1" nd="1"/>
        <i x="176" s="1" nd="1"/>
        <i x="51" s="1" nd="1"/>
        <i x="83" s="1" nd="1"/>
        <i x="58" s="1" nd="1"/>
        <i x="91" s="1" nd="1"/>
        <i x="95" s="1" nd="1"/>
        <i x="69" s="1" nd="1"/>
        <i x="23" s="1" nd="1"/>
        <i x="153" s="1" nd="1"/>
        <i x="32" s="1" nd="1"/>
        <i x="35" s="1" nd="1"/>
        <i x="144" s="1" nd="1"/>
        <i x="99" s="1" nd="1"/>
        <i x="63" s="1" nd="1"/>
        <i x="184" s="1" nd="1"/>
        <i x="145" s="1" nd="1"/>
        <i x="100" s="1" nd="1"/>
        <i x="165" s="1" nd="1"/>
        <i x="44" s="1" nd="1"/>
        <i x="12" s="1" nd="1"/>
        <i x="20" s="1" nd="1"/>
        <i x="127" s="1" nd="1"/>
        <i x="109" s="1" nd="1"/>
        <i x="111" s="1" nd="1"/>
        <i x="80" s="1" nd="1"/>
        <i x="92" s="1" nd="1"/>
        <i x="89" s="1" nd="1"/>
        <i x="66" s="1" nd="1"/>
        <i x="177" s="1" nd="1"/>
        <i x="4" s="1" nd="1"/>
        <i x="185" s="1" nd="1"/>
        <i x="116" s="1" nd="1"/>
        <i x="5" s="1" nd="1"/>
        <i x="84" s="1" nd="1"/>
        <i x="150" s="1" nd="1"/>
        <i x="148" s="1" nd="1"/>
        <i x="21" s="1" nd="1"/>
        <i x="93" s="1" nd="1"/>
        <i x="67" s="1" nd="1"/>
        <i x="141" s="1" nd="1"/>
        <i x="40" s="1" nd="1"/>
        <i x="159" s="1" nd="1"/>
        <i x="170" s="1" nd="1"/>
        <i x="24" s="1" nd="1"/>
        <i x="119" s="1" nd="1"/>
        <i x="137" s="1" nd="1"/>
        <i x="166" s="1" nd="1"/>
        <i x="157" s="1" nd="1"/>
        <i x="104" s="1" nd="1"/>
        <i x="130" s="1" nd="1"/>
        <i x="162" s="1" nd="1"/>
        <i x="52" s="1" nd="1"/>
        <i x="36" s="1" nd="1"/>
        <i x="70" s="1" nd="1"/>
        <i x="105" s="1" nd="1"/>
        <i x="101" s="1" nd="1"/>
        <i x="41" s="1" nd="1"/>
        <i x="147" s="1" nd="1"/>
        <i x="37" s="1" nd="1"/>
        <i x="149" s="1" nd="1"/>
        <i x="72" s="1" nd="1"/>
        <i x="64" s="1" nd="1"/>
        <i x="171" s="1" nd="1"/>
        <i x="186" s="1" nd="1"/>
        <i x="1" s="1" nd="1"/>
        <i x="167" s="1" nd="1"/>
        <i x="187" s="1" nd="1"/>
        <i x="131" s="1" nd="1"/>
        <i x="138" s="1" nd="1"/>
        <i x="27" s="1" nd="1"/>
        <i x="154" s="1" nd="1"/>
        <i x="133" s="1" nd="1"/>
        <i x="47" s="1" nd="1"/>
        <i x="73" s="1" nd="1"/>
        <i x="128" s="1" nd="1"/>
        <i x="90" s="1" nd="1"/>
        <i x="76" s="1" nd="1"/>
        <i x="48" s="1" nd="1"/>
        <i x="14" s="1" nd="1"/>
        <i x="117" s="1" nd="1"/>
        <i x="59" s="1" nd="1"/>
        <i x="155" s="1" nd="1"/>
        <i x="85" s="1" nd="1"/>
        <i x="56" s="1" nd="1"/>
        <i x="28" s="1" nd="1"/>
        <i x="60" s="1" nd="1"/>
        <i x="2" s="1" nd="1"/>
        <i x="33" s="1" nd="1"/>
        <i x="22" s="1" nd="1"/>
        <i x="6" s="1" nd="1"/>
        <i x="123" s="1" nd="1"/>
        <i x="86" s="1" nd="1"/>
        <i x="49" s="1" nd="1"/>
        <i x="30" s="1" nd="1"/>
        <i x="38" s="1" nd="1"/>
        <i x="129" s="1" nd="1"/>
        <i x="160" s="1" nd="1"/>
        <i x="29" s="1" nd="1"/>
        <i x="124" s="1" nd="1"/>
        <i x="13" s="1" nd="1"/>
        <i x="42" s="1" nd="1"/>
        <i x="17" s="1" nd="1"/>
        <i x="102" s="1" nd="1"/>
        <i x="74" s="1" nd="1"/>
        <i x="77" s="1" nd="1"/>
        <i x="16" s="1" nd="1"/>
        <i x="172" s="1" nd="1"/>
        <i x="173" s="1" nd="1"/>
        <i x="110" s="1" nd="1"/>
        <i x="142" s="1" nd="1"/>
        <i x="53" s="1" nd="1"/>
        <i x="25" s="1" nd="1"/>
        <i x="106" s="1" nd="1"/>
        <i x="146" s="1" nd="1"/>
        <i x="120" s="1" nd="1"/>
        <i x="39" s="1" nd="1"/>
        <i x="174" s="1" nd="1"/>
        <i x="112" s="1" nd="1"/>
        <i x="9" s="1" nd="1"/>
        <i x="163" s="1" nd="1"/>
        <i x="18" s="1" nd="1"/>
        <i x="45" s="1" nd="1"/>
        <i x="96" s="1" nd="1"/>
        <i x="71" s="1" nd="1"/>
        <i x="125" s="1" nd="1"/>
        <i x="156" s="1" nd="1"/>
        <i x="103" s="1" nd="1"/>
        <i x="113" s="1" nd="1"/>
        <i x="54" s="1" nd="1"/>
        <i x="15" s="1" nd="1"/>
        <i x="43" s="1" nd="1"/>
        <i x="55" s="1" nd="1"/>
        <i x="107" s="1" nd="1"/>
        <i x="121" s="1" nd="1"/>
        <i x="132" s="1" nd="1"/>
        <i x="126" s="1" nd="1"/>
        <i x="78" s="1" nd="1"/>
        <i x="94" s="1" nd="1"/>
        <i x="26" s="1" nd="1"/>
        <i x="57" s="1" nd="1"/>
        <i x="164" s="1" nd="1"/>
        <i x="97" s="1" nd="1"/>
        <i x="3" s="1" nd="1"/>
        <i x="143" s="1" nd="1"/>
        <i x="180" s="1" nd="1"/>
        <i x="65" s="1" nd="1"/>
        <i x="118" s="1" nd="1"/>
        <i x="136" s="1" nd="1"/>
        <i x="81" s="1" nd="1"/>
        <i x="98" s="1" nd="1"/>
        <i x="114" s="1" nd="1"/>
        <i x="122" s="1" nd="1"/>
        <i x="168" s="1" nd="1"/>
        <i x="10" s="1" nd="1"/>
        <i x="139" s="1" nd="1"/>
        <i x="175" s="1" nd="1"/>
        <i x="178" s="1" nd="1"/>
        <i x="31" s="1" nd="1"/>
        <i x="61" s="1" nd="1"/>
        <i x="151" s="1" nd="1"/>
        <i x="169" s="1" nd="1"/>
        <i x="152" s="1" nd="1"/>
        <i x="87" s="1" nd="1"/>
        <i x="108"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s="1"/>
        <i x="2" s="1"/>
        <i x="3" s="1"/>
        <i x="9" s="1" nd="1"/>
        <i x="4" s="1" nd="1"/>
        <i x="5" s="1" nd="1"/>
        <i x="6" s="1" nd="1"/>
        <i x="7" s="1" nd="1"/>
        <i x="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416">
        <i x="0" s="1"/>
        <i x="24" s="1" nd="1"/>
        <i x="87" s="1" nd="1"/>
        <i x="47" s="1" nd="1"/>
        <i x="151" s="1" nd="1"/>
        <i x="164" s="1" nd="1"/>
        <i x="27" s="1" nd="1"/>
        <i x="132" s="1" nd="1"/>
        <i x="80" s="1" nd="1"/>
        <i x="296" s="1" nd="1"/>
        <i x="191" s="1" nd="1"/>
        <i x="128" s="1" nd="1"/>
        <i x="250" s="1" nd="1"/>
        <i x="297" s="1" nd="1"/>
        <i x="314" s="1" nd="1"/>
        <i x="273" s="1" nd="1"/>
        <i x="208" s="1" nd="1"/>
        <i x="192" s="1" nd="1"/>
        <i x="298" s="1" nd="1"/>
        <i x="220" s="1" nd="1"/>
        <i x="92" s="1" nd="1"/>
        <i x="37" s="1" nd="1"/>
        <i x="200" s="1" nd="1"/>
        <i x="387" s="1" nd="1"/>
        <i x="17" s="1" nd="1"/>
        <i x="307" s="1" nd="1"/>
        <i x="201" s="1" nd="1"/>
        <i x="133" s="1" nd="1"/>
        <i x="259" s="1" nd="1"/>
        <i x="281" s="1" nd="1"/>
        <i x="102" s="1" nd="1"/>
        <i x="230" s="1" nd="1"/>
        <i x="177" s="1" nd="1"/>
        <i x="274" s="1" nd="1"/>
        <i x="275" s="1" nd="1"/>
        <i x="388" s="1" nd="1"/>
        <i x="129" s="1" nd="1"/>
        <i x="282" s="1" nd="1"/>
        <i x="130" s="1" nd="1"/>
        <i x="254" s="1" nd="1"/>
        <i x="1" s="1" nd="1"/>
        <i x="99" s="1" nd="1"/>
        <i x="401" s="1" nd="1"/>
        <i x="323" s="1" nd="1"/>
        <i x="231" s="1" nd="1"/>
        <i x="46" s="1" nd="1"/>
        <i x="152" s="1" nd="1"/>
        <i x="187" s="1" nd="1"/>
        <i x="88" s="1" nd="1"/>
        <i x="52" s="1" nd="1"/>
        <i x="28" s="1" nd="1"/>
        <i x="353" s="1" nd="1"/>
        <i x="153" s="1" nd="1"/>
        <i x="145" s="1" nd="1"/>
        <i x="25" s="1" nd="1"/>
        <i x="244" s="1" nd="1"/>
        <i x="89" s="1" nd="1"/>
        <i x="308" s="1" nd="1"/>
        <i x="283" s="1" nd="1"/>
        <i x="116" s="1" nd="1"/>
        <i x="260" s="1" nd="1"/>
        <i x="407" s="1" nd="1"/>
        <i x="134" s="1" nd="1"/>
        <i x="29" s="1" nd="1"/>
        <i x="193" s="1" nd="1"/>
        <i x="359" s="1" nd="1"/>
        <i x="146" s="1" nd="1"/>
        <i x="268" s="1" nd="1"/>
        <i x="154" s="1" nd="1"/>
        <i x="371" s="1" nd="1"/>
        <i x="389" s="1" nd="1"/>
        <i x="48" s="1" nd="1"/>
        <i x="255" s="1" nd="1"/>
        <i x="221" s="1" nd="1"/>
        <i x="374" s="1" nd="1"/>
        <i x="360" s="1" nd="1"/>
        <i x="155" s="1" nd="1"/>
        <i x="251" s="1" nd="1"/>
        <i x="11" s="1" nd="1"/>
        <i x="261" s="1" nd="1"/>
        <i x="209" s="1" nd="1"/>
        <i x="344" s="1" nd="1"/>
        <i x="378" s="1" nd="1"/>
        <i x="245" s="1" nd="1"/>
        <i x="202" s="1" nd="1"/>
        <i x="318" s="1" nd="1"/>
        <i x="30" s="1" nd="1"/>
        <i x="93" s="1" nd="1"/>
        <i x="216" s="1" nd="1"/>
        <i x="379" s="1" nd="1"/>
        <i x="393" s="1" nd="1"/>
        <i x="75" s="1" nd="1"/>
        <i x="135" s="1" nd="1"/>
        <i x="210" s="1" nd="1"/>
        <i x="303" s="1" nd="1"/>
        <i x="402" s="1" nd="1"/>
        <i x="222" s="1" nd="1"/>
        <i x="136" s="1" nd="1"/>
        <i x="69" s="1" nd="1"/>
        <i x="137" s="1" nd="1"/>
        <i x="232" s="1" nd="1"/>
        <i x="269" s="1" nd="1"/>
        <i x="38" s="1" nd="1"/>
        <i x="223" s="1" nd="1"/>
        <i x="18" s="1" nd="1"/>
        <i x="252" s="1" nd="1"/>
        <i x="118" s="1" nd="1"/>
        <i x="53" s="1" nd="1"/>
        <i x="178" s="1" nd="1"/>
        <i x="410" s="1" nd="1"/>
        <i x="309" s="1" nd="1"/>
        <i x="6" s="1" nd="1"/>
        <i x="276" s="1" nd="1"/>
        <i x="90" s="1" nd="1"/>
        <i x="2" s="1" nd="1"/>
        <i x="345" s="1" nd="1"/>
        <i x="211" s="1" nd="1"/>
        <i x="111" s="1" nd="1"/>
        <i x="138" s="1" nd="1"/>
        <i x="304" s="1" nd="1"/>
        <i x="284" s="1" nd="1"/>
        <i x="112" s="1" nd="1"/>
        <i x="253" s="1" nd="1"/>
        <i x="224" s="1" nd="1"/>
        <i x="54" s="1" nd="1"/>
        <i x="70" s="1" nd="1"/>
        <i x="7" s="1" nd="1"/>
        <i x="100" s="1" nd="1"/>
        <i x="12" s="1" nd="1"/>
        <i x="76" s="1" nd="1"/>
        <i x="212" s="1" nd="1"/>
        <i x="58" s="1" nd="1"/>
        <i x="256" s="1" nd="1"/>
        <i x="346" s="1" nd="1"/>
        <i x="262" s="1" nd="1"/>
        <i x="328" s="1" nd="1"/>
        <i x="289" s="1" nd="1"/>
        <i x="81" s="1" nd="1"/>
        <i x="156" s="1" nd="1"/>
        <i x="117" s="1" nd="1"/>
        <i x="157" s="1" nd="1"/>
        <i x="179" s="1" nd="1"/>
        <i x="361" s="1" nd="1"/>
        <i x="3" s="1" nd="1"/>
        <i x="233" s="1" nd="1"/>
        <i x="354" s="1" nd="1"/>
        <i x="383" s="1" nd="1"/>
        <i x="355" s="1" nd="1"/>
        <i x="362" s="1" nd="1"/>
        <i x="203" s="1" nd="1"/>
        <i x="59" s="1" nd="1"/>
        <i x="188" s="1" nd="1"/>
        <i x="394" s="1" nd="1"/>
        <i x="324" s="1" nd="1"/>
        <i x="356" s="1" nd="1"/>
        <i x="291" s="1" nd="1"/>
        <i x="335" s="1" nd="1"/>
        <i x="270" s="1" nd="1"/>
        <i x="363" s="1" nd="1"/>
        <i x="55" s="1" nd="1"/>
        <i x="299" s="1" nd="1"/>
        <i x="380" s="1" nd="1"/>
        <i x="336" s="1" nd="1"/>
        <i x="8" s="1" nd="1"/>
        <i x="357" s="1" nd="1"/>
        <i x="180" s="1" nd="1"/>
        <i x="257" s="1" nd="1"/>
        <i x="119" s="1" nd="1"/>
        <i x="225" s="1" nd="1"/>
        <i x="139" s="1" nd="1"/>
        <i x="39" s="1" nd="1"/>
        <i x="91" s="1" nd="1"/>
        <i x="347" s="1" nd="1"/>
        <i x="94" s="1" nd="1"/>
        <i x="181" s="1" nd="1"/>
        <i x="384" s="1" nd="1"/>
        <i x="71" s="1" nd="1"/>
        <i x="19" s="1" nd="1"/>
        <i x="395" s="1" nd="1"/>
        <i x="169" s="1" nd="1"/>
        <i x="348" s="1" nd="1"/>
        <i x="337" s="1" nd="1"/>
        <i x="13" s="1" nd="1"/>
        <i x="325" s="1" nd="1"/>
        <i x="103" s="1" nd="1"/>
        <i x="246" s="1" nd="1"/>
        <i x="131" s="1" nd="1"/>
        <i x="49" s="1" nd="1"/>
        <i x="390" s="1" nd="1"/>
        <i x="120" s="1" nd="1"/>
        <i x="4" s="1" nd="1"/>
        <i x="375" s="1" nd="1"/>
        <i x="364" s="1" nd="1"/>
        <i x="391" s="1" nd="1"/>
        <i x="370" s="1" nd="1"/>
        <i x="40" s="1" nd="1"/>
        <i x="159" s="1" nd="1"/>
        <i x="56" s="1" nd="1"/>
        <i x="170" s="1" nd="1"/>
        <i x="326" s="1" nd="1"/>
        <i x="338" s="1" nd="1"/>
        <i x="411" s="1" nd="1"/>
        <i x="182" s="1" nd="1"/>
        <i x="171" s="1" nd="1"/>
        <i x="95" s="1" nd="1"/>
        <i x="263" s="1" nd="1"/>
        <i x="140" s="1" nd="1"/>
        <i x="319" s="1" nd="1"/>
        <i x="320" s="1" nd="1"/>
        <i x="310" s="1" nd="1"/>
        <i x="172" s="1" nd="1"/>
        <i x="147" s="1" nd="1"/>
        <i x="121" s="1" nd="1"/>
        <i x="165" s="1" nd="1"/>
        <i x="64" s="1" nd="1"/>
        <i x="349" s="1" nd="1"/>
        <i x="329" s="1" nd="1"/>
        <i x="65" s="1" nd="1"/>
        <i x="198" s="1" nd="1"/>
        <i x="189" s="1" nd="1"/>
        <i x="285" s="1" nd="1"/>
        <i x="174" s="1" nd="1"/>
        <i x="113" s="1" nd="1"/>
        <i x="9" s="1" nd="1"/>
        <i x="286" s="1" nd="1"/>
        <i x="31" s="1" nd="1"/>
        <i x="57" s="1" nd="1"/>
        <i x="287" s="1" nd="1"/>
        <i x="104" s="1" nd="1"/>
        <i x="50" s="1" nd="1"/>
        <i x="376" s="1" nd="1"/>
        <i x="292" s="1" nd="1"/>
        <i x="277" s="1" nd="1"/>
        <i x="300" s="1" nd="1"/>
        <i x="66" s="1" nd="1"/>
        <i x="412" s="1" nd="1"/>
        <i x="175" s="1" nd="1"/>
        <i x="101" s="1" nd="1"/>
        <i x="199" s="1" nd="1"/>
        <i x="41" s="1" nd="1"/>
        <i x="408" s="1" nd="1"/>
        <i x="217" s="1" nd="1"/>
        <i x="327" s="1" nd="1"/>
        <i x="339" s="1" nd="1"/>
        <i x="218" s="1" nd="1"/>
        <i x="60" s="1" nd="1"/>
        <i x="381" s="1" nd="1"/>
        <i x="122" s="1" nd="1"/>
        <i x="293" s="1" nd="1"/>
        <i x="237" s="1" nd="1"/>
        <i x="301" s="1" nd="1"/>
        <i x="396" s="1" nd="1"/>
        <i x="219" s="1" nd="1"/>
        <i x="340" s="1" nd="1"/>
        <i x="114" s="1" nd="1"/>
        <i x="77" s="1" nd="1"/>
        <i x="350" s="1" nd="1"/>
        <i x="226" s="1" nd="1"/>
        <i x="321" s="1" nd="1"/>
        <i x="105" s="1" nd="1"/>
        <i x="42" s="1" nd="1"/>
        <i x="20" s="1" nd="1"/>
        <i x="397" s="1" nd="1"/>
        <i x="96" s="1" nd="1"/>
        <i x="32" s="1" nd="1"/>
        <i x="238" s="1" nd="1"/>
        <i x="247" s="1" nd="1"/>
        <i x="351" s="1" nd="1"/>
        <i x="330" s="1" nd="1"/>
        <i x="311" s="1" nd="1"/>
        <i x="51" s="1" nd="1"/>
        <i x="398" s="1" nd="1"/>
        <i x="106" s="1" nd="1"/>
        <i x="213" s="1" nd="1"/>
        <i x="107" s="1" nd="1"/>
        <i x="315" s="1" nd="1"/>
        <i x="385" s="1" nd="1"/>
        <i x="14" s="1" nd="1"/>
        <i x="365" s="1" nd="1"/>
        <i x="214" s="1" nd="1"/>
        <i x="331" s="1" nd="1"/>
        <i x="234" s="1" nd="1"/>
        <i x="366" s="1" nd="1"/>
        <i x="61" s="1" nd="1"/>
        <i x="123" s="1" nd="1"/>
        <i x="294" s="1" nd="1"/>
        <i x="377" s="1" nd="1"/>
        <i x="82" s="1" nd="1"/>
        <i x="271" s="1" nd="1"/>
        <i x="43" s="1" nd="1"/>
        <i x="399" s="1" nd="1"/>
        <i x="10" s="1" nd="1"/>
        <i x="124" s="1" nd="1"/>
        <i x="83" s="1" nd="1"/>
        <i x="141" s="1" nd="1"/>
        <i x="258" s="1" nd="1"/>
        <i x="413" s="1" nd="1"/>
        <i x="239" s="1" nd="1"/>
        <i x="358" s="1" nd="1"/>
        <i x="312" s="1" nd="1"/>
        <i x="264" s="1" nd="1"/>
        <i x="302" s="1" nd="1"/>
        <i x="341" s="1" nd="1"/>
        <i x="227" s="1" nd="1"/>
        <i x="166" s="1" nd="1"/>
        <i x="332" s="1" nd="1"/>
        <i x="342" s="1" nd="1"/>
        <i x="125" s="1" nd="1"/>
        <i x="115" s="1" nd="1"/>
        <i x="142" s="1" nd="1"/>
        <i x="240" s="1" nd="1"/>
        <i x="62" s="1" nd="1"/>
        <i x="392" s="1" nd="1"/>
        <i x="183" s="1" nd="1"/>
        <i x="288" s="1" nd="1"/>
        <i x="386" s="1" nd="1"/>
        <i x="143" s="1" nd="1"/>
        <i x="84" s="1" nd="1"/>
        <i x="33" s="1" nd="1"/>
        <i x="176" s="1" nd="1"/>
        <i x="97" s="1" nd="1"/>
        <i x="21" s="1" nd="1"/>
        <i x="108" s="1" nd="1"/>
        <i x="305" s="1" nd="1"/>
        <i x="26" s="1" nd="1"/>
        <i x="190" s="1" nd="1"/>
        <i x="248" s="1" nd="1"/>
        <i x="313" s="1" nd="1"/>
        <i x="15" s="1" nd="1"/>
        <i x="78" s="1" nd="1"/>
        <i x="148" s="1" nd="1"/>
        <i x="228" s="1" nd="1"/>
        <i x="204" s="1" nd="1"/>
        <i x="109" s="1" nd="1"/>
        <i x="352" s="1" nd="1"/>
        <i x="235" s="1" nd="1"/>
        <i x="194" s="1" nd="1"/>
        <i x="229" s="1" nd="1"/>
        <i x="367" s="1" nd="1"/>
        <i x="205" s="1" nd="1"/>
        <i x="249" s="1" nd="1"/>
        <i x="167" s="1" nd="1"/>
        <i x="414" s="1" nd="1"/>
        <i x="34" s="1" nd="1"/>
        <i x="278" s="1" nd="1"/>
        <i x="279" s="1" nd="1"/>
        <i x="290" s="1" nd="1"/>
        <i x="241" s="1" nd="1"/>
        <i x="85" s="1" nd="1"/>
        <i x="149" s="1" nd="1"/>
        <i x="333" s="1" nd="1"/>
        <i x="110" s="1" nd="1"/>
        <i x="306" s="1" nd="1"/>
        <i x="382" s="1" nd="1"/>
        <i x="72" s="1" nd="1"/>
        <i x="158" s="1" nd="1"/>
        <i x="16" s="1" nd="1"/>
        <i x="242" s="1" nd="1"/>
        <i x="415" s="1" nd="1"/>
        <i x="195" s="1" nd="1"/>
        <i x="73" s="1" nd="1"/>
        <i x="44" s="1" nd="1"/>
        <i x="45" s="1" nd="1"/>
        <i x="86" s="1" nd="1"/>
        <i x="22" s="1" nd="1"/>
        <i x="403" s="1" nd="1"/>
        <i x="35" s="1" nd="1"/>
        <i x="168" s="1" nd="1"/>
        <i x="184" s="1" nd="1"/>
        <i x="334" s="1" nd="1"/>
        <i x="185" s="1" nd="1"/>
        <i x="368" s="1" nd="1"/>
        <i x="322" s="1" nd="1"/>
        <i x="144" s="1" nd="1"/>
        <i x="160" s="1" nd="1"/>
        <i x="372" s="1" nd="1"/>
        <i x="295" s="1" nd="1"/>
        <i x="404" s="1" nd="1"/>
        <i x="79" s="1" nd="1"/>
        <i x="265" s="1" nd="1"/>
        <i x="215" s="1" nd="1"/>
        <i x="74" s="1" nd="1"/>
        <i x="405" s="1" nd="1"/>
        <i x="63" s="1" nd="1"/>
        <i x="280" s="1" nd="1"/>
        <i x="206" s="1" nd="1"/>
        <i x="36" s="1" nd="1"/>
        <i x="400" s="1" nd="1"/>
        <i x="23" s="1" nd="1"/>
        <i x="406" s="1" nd="1"/>
        <i x="126" s="1" nd="1"/>
        <i x="207" s="1" nd="1"/>
        <i x="266" s="1" nd="1"/>
        <i x="161" s="1" nd="1"/>
        <i x="67" s="1" nd="1"/>
        <i x="173" s="1" nd="1"/>
        <i x="272" s="1" nd="1"/>
        <i x="150" s="1" nd="1"/>
        <i x="127" s="1" nd="1"/>
        <i x="98" s="1" nd="1"/>
        <i x="343" s="1" nd="1"/>
        <i x="316" s="1" nd="1"/>
        <i x="186" s="1" nd="1"/>
        <i x="243" s="1" nd="1"/>
        <i x="267" s="1" nd="1"/>
        <i x="196" s="1" nd="1"/>
        <i x="5" s="1" nd="1"/>
        <i x="409" s="1" nd="1"/>
        <i x="373" s="1" nd="1"/>
        <i x="317" s="1" nd="1"/>
        <i x="369" s="1" nd="1"/>
        <i x="68" s="1" nd="1"/>
        <i x="162" s="1" nd="1"/>
        <i x="197" s="1" nd="1"/>
        <i x="236" s="1" nd="1"/>
        <i x="163"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416">
        <i x="0" s="1"/>
        <i x="15" s="1" nd="1"/>
        <i x="383" s="1" nd="1"/>
        <i x="94" s="1" nd="1"/>
        <i x="307" s="1" nd="1"/>
        <i x="273" s="1" nd="1"/>
        <i x="320" s="1" nd="1"/>
        <i x="314" s="1" nd="1"/>
        <i x="284" s="1" nd="1"/>
        <i x="375" s="1" nd="1"/>
        <i x="128" s="1" nd="1"/>
        <i x="51" s="1" nd="1"/>
        <i x="315" s="1" nd="1"/>
        <i x="203" s="1" nd="1"/>
        <i x="258" s="1" nd="1"/>
        <i x="39" s="1" nd="1"/>
        <i x="366" s="1" nd="1"/>
        <i x="274" s="1" nd="1"/>
        <i x="204" s="1" nd="1"/>
        <i x="321" s="1" nd="1"/>
        <i x="332" s="1" nd="1"/>
        <i x="211" s="1" nd="1"/>
        <i x="40" s="1" nd="1"/>
        <i x="229" s="1" nd="1"/>
        <i x="65" s="1" nd="1"/>
        <i x="16" s="1" nd="1"/>
        <i x="298" s="1" nd="1"/>
        <i x="182" s="1" nd="1"/>
        <i x="347" s="1" nd="1"/>
        <i x="32" s="1" nd="1"/>
        <i x="245" s="1" nd="1"/>
        <i x="118" s="1" nd="1"/>
        <i x="7" s="1" nd="1"/>
        <i x="384" s="1" nd="1"/>
        <i x="72" s="1" nd="1"/>
        <i x="164" s="1" nd="1"/>
        <i x="22" s="1" nd="1"/>
        <i x="398" s="1" nd="1"/>
        <i x="275" s="1" nd="1"/>
        <i x="205" s="1" nd="1"/>
        <i x="149" s="1" nd="1"/>
        <i x="354" s="1" nd="1"/>
        <i x="373" s="1" nd="1"/>
        <i x="190" s="1" nd="1"/>
        <i x="399" s="1" nd="1"/>
        <i x="23" s="1" nd="1"/>
        <i x="333" s="1" nd="1"/>
        <i x="276" s="1" nd="1"/>
        <i x="112" s="1" nd="1"/>
        <i x="109" s="1" nd="1"/>
        <i x="367" s="1" nd="1"/>
        <i x="360" s="1" nd="1"/>
        <i x="119" s="1" nd="1"/>
        <i x="230" s="1" nd="1"/>
        <i x="10" s="1" nd="1"/>
        <i x="361" s="1" nd="1"/>
        <i x="390" s="1" nd="1"/>
        <i x="165" s="1" nd="1"/>
        <i x="328" s="1" nd="1"/>
        <i x="24" s="1" nd="1"/>
        <i x="80" s="1" nd="1"/>
        <i x="246" s="1" nd="1"/>
        <i x="124" s="1" nd="1"/>
        <i x="11" s="1" nd="1"/>
        <i x="299" s="1" nd="1"/>
        <i x="238" s="1" nd="1"/>
        <i x="101" s="1" nd="1"/>
        <i x="266" s="1" nd="1"/>
        <i x="197" s="1" nd="1"/>
        <i x="348" s="1" nd="1"/>
        <i x="285" s="1" nd="1"/>
        <i x="33" s="1" nd="1"/>
        <i x="87" s="1" nd="1"/>
        <i x="135" s="1" nd="1"/>
        <i x="300" s="1" nd="1"/>
        <i x="206" s="1" nd="1"/>
        <i x="17" s="1" nd="1"/>
        <i x="34" s="1" nd="1"/>
        <i x="88" s="1" nd="1"/>
        <i x="150" s="1" nd="1"/>
        <i x="247" s="1" nd="1"/>
        <i x="376" s="1" nd="1"/>
        <i x="166" s="1" nd="1"/>
        <i x="385" s="1" nd="1"/>
        <i x="325" s="1" nd="1"/>
        <i x="198" s="1" nd="1"/>
        <i x="212" s="1" nd="1"/>
        <i x="391" s="1" nd="1"/>
        <i x="102" s="1" nd="1"/>
        <i x="267" s="1" nd="1"/>
        <i x="25" s="1" nd="1"/>
        <i x="405" s="1" nd="1"/>
        <i x="349" s="1" nd="1"/>
        <i x="277" s="1" nd="1"/>
        <i x="167" s="1" nd="1"/>
        <i x="26" s="1" nd="1"/>
        <i x="151" s="1" nd="1"/>
        <i x="248" s="1" nd="1"/>
        <i x="406" s="1" nd="1"/>
        <i x="113" s="1" nd="1"/>
        <i x="173" s="1" nd="1"/>
        <i x="278" s="1" nd="1"/>
        <i x="183" s="1" nd="1"/>
        <i x="268" s="1" nd="1"/>
        <i x="59" s="1" nd="1"/>
        <i x="159" s="1" nd="1"/>
        <i x="368" s="1" nd="1"/>
        <i x="400" s="1" nd="1"/>
        <i x="177" s="1" nd="1"/>
        <i x="219" s="1" nd="1"/>
        <i x="308" s="1" nd="1"/>
        <i x="377" s="1" nd="1"/>
        <i x="254" s="1" nd="1"/>
        <i x="362" s="1" nd="1"/>
        <i x="184" s="1" nd="1"/>
        <i x="45" s="1" nd="1"/>
        <i x="392" s="1" nd="1"/>
        <i x="129" s="1" nd="1"/>
        <i x="280" s="1" nd="1"/>
        <i x="220" s="1" nd="1"/>
        <i x="160" s="1" nd="1"/>
        <i x="73" s="1" nd="1"/>
        <i x="125" s="1" nd="1"/>
        <i x="41" s="1" nd="1"/>
        <i x="322" s="1" nd="1"/>
        <i x="89" s="1" nd="1"/>
        <i x="329" s="1" nd="1"/>
        <i x="27" s="1" nd="1"/>
        <i x="234" s="1" nd="1"/>
        <i x="95" s="1" nd="1"/>
        <i x="259" s="1" nd="1"/>
        <i x="199" s="1" nd="1"/>
        <i x="126" s="1" nd="1"/>
        <i x="90" s="1" nd="1"/>
        <i x="289" s="1" nd="1"/>
        <i x="114" s="1" nd="1"/>
        <i x="161" s="1" nd="1"/>
        <i x="193" s="1" nd="1"/>
        <i x="301" s="1" nd="1"/>
        <i x="66" s="1" nd="1"/>
        <i x="226" s="1" nd="1"/>
        <i x="52" s="1" nd="1"/>
        <i x="67" s="1" nd="1"/>
        <i x="152" s="1" nd="1"/>
        <i x="174" s="1" nd="1"/>
        <i x="110" s="1" nd="1"/>
        <i x="60" s="1" nd="1"/>
        <i x="178" s="1" nd="1"/>
        <i x="326" s="1" nd="1"/>
        <i x="185" s="1" nd="1"/>
        <i x="18" s="1" nd="1"/>
        <i x="141" s="1" nd="1"/>
        <i x="1" s="1" nd="1"/>
        <i x="103" s="1" nd="1"/>
        <i x="53" s="1" nd="1"/>
        <i x="231" s="1" nd="1"/>
        <i x="337" s="1" nd="1"/>
        <i x="221" s="1" nd="1"/>
        <i x="241" s="1" nd="1"/>
        <i x="28" s="1" nd="1"/>
        <i x="286" s="1" nd="1"/>
        <i x="249" s="1" nd="1"/>
        <i x="290" s="1" nd="1"/>
        <i x="378" s="1" nd="1"/>
        <i x="407" s="1" nd="1"/>
        <i x="260" s="1" nd="1"/>
        <i x="120" s="1" nd="1"/>
        <i x="369" s="1" nd="1"/>
        <i x="153" s="1" nd="1"/>
        <i x="316" s="1" nd="1"/>
        <i x="130" s="1" nd="1"/>
        <i x="61" s="1" nd="1"/>
        <i x="194" s="1" nd="1"/>
        <i x="261" s="1" nd="1"/>
        <i x="121" s="1" nd="1"/>
        <i x="46" s="1" nd="1"/>
        <i x="379" s="1" nd="1"/>
        <i x="74" s="1" nd="1"/>
        <i x="291" s="1" nd="1"/>
        <i x="42" s="1" nd="1"/>
        <i x="186" s="1" nd="1"/>
        <i x="281" s="1" nd="1"/>
        <i x="142" s="1" nd="1"/>
        <i x="269" s="1" nd="1"/>
        <i x="8" s="1" nd="1"/>
        <i x="111" s="1" nd="1"/>
        <i x="156" s="1" nd="1"/>
        <i x="323" s="1" nd="1"/>
        <i x="338" s="1" nd="1"/>
        <i x="413" s="1" nd="1"/>
        <i x="168" s="1" nd="1"/>
        <i x="2" s="1" nd="1"/>
        <i x="350" s="1" nd="1"/>
        <i x="287" s="1" nd="1"/>
        <i x="62" s="1" nd="1"/>
        <i x="235" s="1" nd="1"/>
        <i x="408" s="1" nd="1"/>
        <i x="179" s="1" nd="1"/>
        <i x="43" s="1" nd="1"/>
        <i x="187" s="1" nd="1"/>
        <i x="262" s="1" nd="1"/>
        <i x="342" s="1" nd="1"/>
        <i x="200" s="1" nd="1"/>
        <i x="282" s="1" nd="1"/>
        <i x="270" s="1" nd="1"/>
        <i x="29" s="1" nd="1"/>
        <i x="207" s="1" nd="1"/>
        <i x="54" s="1" nd="1"/>
        <i x="317" s="1" nd="1"/>
        <i x="401" s="1" nd="1"/>
        <i x="334" s="1" nd="1"/>
        <i x="91" s="1" nd="1"/>
        <i x="180" s="1" nd="1"/>
        <i x="255" s="1" nd="1"/>
        <i x="414" s="1" nd="1"/>
        <i x="96" s="1" nd="1"/>
        <i x="188" s="1" nd="1"/>
        <i x="47" s="1" nd="1"/>
        <i x="393" s="1" nd="1"/>
        <i x="271" s="1" nd="1"/>
        <i x="154" s="1" nd="1"/>
        <i x="250" s="1" nd="1"/>
        <i x="131" s="1" nd="1"/>
        <i x="195" s="1" nd="1"/>
        <i x="343" s="1" nd="1"/>
        <i x="143" s="1" nd="1"/>
        <i x="75" s="1" nd="1"/>
        <i x="374" s="1" nd="1"/>
        <i x="355" s="1" nd="1"/>
        <i x="380" s="1" nd="1"/>
        <i x="256" s="1" nd="1"/>
        <i x="12" s="1" nd="1"/>
        <i x="115" s="1" nd="1"/>
        <i x="97" s="1" nd="1"/>
        <i x="189" s="1" nd="1"/>
        <i x="370" s="1" nd="1"/>
        <i x="48" s="1" nd="1"/>
        <i x="76" s="1" nd="1"/>
        <i x="242" s="1" nd="1"/>
        <i x="3" s="1" nd="1"/>
        <i x="55" s="1" nd="1"/>
        <i x="81" s="1" nd="1"/>
        <i x="213" s="1" nd="1"/>
        <i x="292" s="1" nd="1"/>
        <i x="302" s="1" nd="1"/>
        <i x="98" s="1" nd="1"/>
        <i x="263" s="1" nd="1"/>
        <i x="122" s="1" nd="1"/>
        <i x="144" s="1" nd="1"/>
        <i x="77" s="1" nd="1"/>
        <i x="169" s="1" nd="1"/>
        <i x="330" s="1" nd="1"/>
        <i x="351" s="1" nd="1"/>
        <i x="56" s="1" nd="1"/>
        <i x="35" s="1" nd="1"/>
        <i x="132" s="1" nd="1"/>
        <i x="293" s="1" nd="1"/>
        <i x="381" s="1" nd="1"/>
        <i x="63" s="1" nd="1"/>
        <i x="181" s="1" nd="1"/>
        <i x="363" s="1" nd="1"/>
        <i x="68" s="1" nd="1"/>
        <i x="99" s="1" nd="1"/>
        <i x="19" s="1" nd="1"/>
        <i x="309" s="1" nd="1"/>
        <i x="78" s="1" nd="1"/>
        <i x="318" s="1" nd="1"/>
        <i x="402" s="1" nd="1"/>
        <i x="82" s="1" nd="1"/>
        <i x="294" s="1" nd="1"/>
        <i x="324" s="1" nd="1"/>
        <i x="116" s="1" nd="1"/>
        <i x="136" s="1" nd="1"/>
        <i x="222" s="1" nd="1"/>
        <i x="344" s="1" nd="1"/>
        <i x="371" s="1" nd="1"/>
        <i x="49" s="1" nd="1"/>
        <i x="394" s="1" nd="1"/>
        <i x="4" s="1" nd="1"/>
        <i x="191" s="1" nd="1"/>
        <i x="352" s="1" nd="1"/>
        <i x="57" s="1" nd="1"/>
        <i x="83" s="1" nd="1"/>
        <i x="335" s="1" nd="1"/>
        <i x="356" s="1" nd="1"/>
        <i x="214" s="1" nd="1"/>
        <i x="295" s="1" nd="1"/>
        <i x="409" s="1" nd="1"/>
        <i x="364" s="1" nd="1"/>
        <i x="303" s="1" nd="1"/>
        <i x="415" s="1" nd="1"/>
        <i x="201" s="1" nd="1"/>
        <i x="145" s="1" nd="1"/>
        <i x="227" s="1" nd="1"/>
        <i x="310" s="1" nd="1"/>
        <i x="30" s="1" nd="1"/>
        <i x="58" s="1" nd="1"/>
        <i x="133" s="1" nd="1"/>
        <i x="215" s="1" nd="1"/>
        <i x="296" s="1" nd="1"/>
        <i x="339" s="1" nd="1"/>
        <i x="386" s="1" nd="1"/>
        <i x="69" s="1" nd="1"/>
        <i x="239" s="1" nd="1"/>
        <i x="20" s="1" nd="1"/>
        <i x="123" s="1" nd="1"/>
        <i x="283" s="1" nd="1"/>
        <i x="79" s="1" nd="1"/>
        <i x="104" s="1" nd="1"/>
        <i x="192" s="1" nd="1"/>
        <i x="208" s="1" nd="1"/>
        <i x="232" s="1" nd="1"/>
        <i x="403" s="1" nd="1"/>
        <i x="251" s="1" nd="1"/>
        <i x="357" s="1" nd="1"/>
        <i x="36" s="1" nd="1"/>
        <i x="410" s="1" nd="1"/>
        <i x="223" s="1" nd="1"/>
        <i x="264" s="1" nd="1"/>
        <i x="50" s="1" nd="1"/>
        <i x="311" s="1" nd="1"/>
        <i x="395" s="1" nd="1"/>
        <i x="105" s="1" nd="1"/>
        <i x="84" s="1" nd="1"/>
        <i x="175" s="1" nd="1"/>
        <i x="336" s="1" nd="1"/>
        <i x="358" s="1" nd="1"/>
        <i x="157" s="1" nd="1"/>
        <i x="411" s="1" nd="1"/>
        <i x="345" s="1" nd="1"/>
        <i x="146" s="1" nd="1"/>
        <i x="228" s="1" nd="1"/>
        <i x="312" s="1" nd="1"/>
        <i x="155" s="1" nd="1"/>
        <i x="85" s="1" nd="1"/>
        <i x="176" s="1" nd="1"/>
        <i x="134" s="1" nd="1"/>
        <i x="412" s="1" nd="1"/>
        <i x="92" s="1" nd="1"/>
        <i x="117" s="1" nd="1"/>
        <i x="387" s="1" nd="1"/>
        <i x="327" s="1" nd="1"/>
        <i x="100" s="1" nd="1"/>
        <i x="147" s="1" nd="1"/>
        <i x="396" s="1" nd="1"/>
        <i x="170" s="1" nd="1"/>
        <i x="233" s="1" nd="1"/>
        <i x="319" s="1" nd="1"/>
        <i x="9" s="1" nd="1"/>
        <i x="279" s="1" nd="1"/>
        <i x="216" s="1" nd="1"/>
        <i x="382" s="1" nd="1"/>
        <i x="137" s="1" nd="1"/>
        <i x="171" s="1" nd="1"/>
        <i x="243" s="1" nd="1"/>
        <i x="106" s="1" nd="1"/>
        <i x="31" s="1" nd="1"/>
        <i x="209" s="1" nd="1"/>
        <i x="86" s="1" nd="1"/>
        <i x="359" s="1" nd="1"/>
        <i x="37" s="1" nd="1"/>
        <i x="217" s="1" nd="1"/>
        <i x="236" s="1" nd="1"/>
        <i x="257" s="1" nd="1"/>
        <i x="138" s="1" nd="1"/>
        <i x="224" s="1" nd="1"/>
        <i x="304" s="1" nd="1"/>
        <i x="388" s="1" nd="1"/>
        <i x="346" s="1" nd="1"/>
        <i x="21" s="1" nd="1"/>
        <i x="148" s="1" nd="1"/>
        <i x="397" s="1" nd="1"/>
        <i x="107" s="1" nd="1"/>
        <i x="252" s="1" nd="1"/>
        <i x="158" s="1" nd="1"/>
        <i x="44" s="1" nd="1"/>
        <i x="70" s="1" nd="1"/>
        <i x="372" s="1" nd="1"/>
        <i x="244" s="1" nd="1"/>
        <i x="5" s="1" nd="1"/>
        <i x="272" s="1" nd="1"/>
        <i x="288" s="1" nd="1"/>
        <i x="253" s="1" nd="1"/>
        <i x="218" s="1" nd="1"/>
        <i x="365" s="1" nd="1"/>
        <i x="331" s="1" nd="1"/>
        <i x="6" s="1" nd="1"/>
        <i x="353" s="1" nd="1"/>
        <i x="127" s="1" nd="1"/>
        <i x="38" s="1" nd="1"/>
        <i x="64" s="1" nd="1"/>
        <i x="196" s="1" nd="1"/>
        <i x="139" s="1" nd="1"/>
        <i x="305" s="1" nd="1"/>
        <i x="162" s="1" nd="1"/>
        <i x="265" s="1" nd="1"/>
        <i x="108" s="1" nd="1"/>
        <i x="340" s="1" nd="1"/>
        <i x="13" s="1" nd="1"/>
        <i x="140" s="1" nd="1"/>
        <i x="163" s="1" nd="1"/>
        <i x="240" s="1" nd="1"/>
        <i x="210" s="1" nd="1"/>
        <i x="93" s="1" nd="1"/>
        <i x="341" s="1" nd="1"/>
        <i x="389" s="1" nd="1"/>
        <i x="202" s="1" nd="1"/>
        <i x="172" s="1" nd="1"/>
        <i x="297" s="1" nd="1"/>
        <i x="237" s="1" nd="1"/>
        <i x="14" s="1" nd="1"/>
        <i x="225" s="1" nd="1"/>
        <i x="306" s="1" nd="1"/>
        <i x="71" s="1" nd="1"/>
        <i x="404" s="1" nd="1"/>
        <i x="313"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188">
        <i x="0" s="1"/>
        <i x="181" s="1" nd="1"/>
        <i x="161" s="1" nd="1"/>
        <i x="75" s="1" nd="1"/>
        <i x="19" s="1" nd="1"/>
        <i x="62" s="1" nd="1"/>
        <i x="182" s="1" nd="1"/>
        <i x="7" s="1" nd="1"/>
        <i x="158" s="1" nd="1"/>
        <i x="46" s="1" nd="1"/>
        <i x="134" s="1" nd="1"/>
        <i x="79" s="1" nd="1"/>
        <i x="179" s="1" nd="1"/>
        <i x="68" s="1" nd="1"/>
        <i x="11" s="1" nd="1"/>
        <i x="135" s="1" nd="1"/>
        <i x="82" s="1" nd="1"/>
        <i x="88" s="1" nd="1"/>
        <i x="115" s="1" nd="1"/>
        <i x="140" s="1" nd="1"/>
        <i x="34" s="1" nd="1"/>
        <i x="50" s="1" nd="1"/>
        <i x="183" s="1" nd="1"/>
        <i x="8" s="1" nd="1"/>
        <i x="176" s="1" nd="1"/>
        <i x="51" s="1" nd="1"/>
        <i x="83" s="1" nd="1"/>
        <i x="58" s="1" nd="1"/>
        <i x="91" s="1" nd="1"/>
        <i x="95" s="1" nd="1"/>
        <i x="69" s="1" nd="1"/>
        <i x="23" s="1" nd="1"/>
        <i x="153" s="1" nd="1"/>
        <i x="32" s="1" nd="1"/>
        <i x="35" s="1" nd="1"/>
        <i x="144" s="1" nd="1"/>
        <i x="99" s="1" nd="1"/>
        <i x="63" s="1" nd="1"/>
        <i x="184" s="1" nd="1"/>
        <i x="145" s="1" nd="1"/>
        <i x="100" s="1" nd="1"/>
        <i x="165" s="1" nd="1"/>
        <i x="44" s="1" nd="1"/>
        <i x="12" s="1" nd="1"/>
        <i x="20" s="1" nd="1"/>
        <i x="127" s="1" nd="1"/>
        <i x="109" s="1" nd="1"/>
        <i x="111" s="1" nd="1"/>
        <i x="80" s="1" nd="1"/>
        <i x="92" s="1" nd="1"/>
        <i x="89" s="1" nd="1"/>
        <i x="66" s="1" nd="1"/>
        <i x="177" s="1" nd="1"/>
        <i x="4" s="1" nd="1"/>
        <i x="185" s="1" nd="1"/>
        <i x="116" s="1" nd="1"/>
        <i x="5" s="1" nd="1"/>
        <i x="84" s="1" nd="1"/>
        <i x="150" s="1" nd="1"/>
        <i x="148" s="1" nd="1"/>
        <i x="21" s="1" nd="1"/>
        <i x="93" s="1" nd="1"/>
        <i x="67" s="1" nd="1"/>
        <i x="141" s="1" nd="1"/>
        <i x="40" s="1" nd="1"/>
        <i x="159" s="1" nd="1"/>
        <i x="170" s="1" nd="1"/>
        <i x="24" s="1" nd="1"/>
        <i x="119" s="1" nd="1"/>
        <i x="137" s="1" nd="1"/>
        <i x="166" s="1" nd="1"/>
        <i x="157" s="1" nd="1"/>
        <i x="104" s="1" nd="1"/>
        <i x="130" s="1" nd="1"/>
        <i x="162" s="1" nd="1"/>
        <i x="52" s="1" nd="1"/>
        <i x="36" s="1" nd="1"/>
        <i x="70" s="1" nd="1"/>
        <i x="105" s="1" nd="1"/>
        <i x="101" s="1" nd="1"/>
        <i x="41" s="1" nd="1"/>
        <i x="147" s="1" nd="1"/>
        <i x="37" s="1" nd="1"/>
        <i x="149" s="1" nd="1"/>
        <i x="72" s="1" nd="1"/>
        <i x="64" s="1" nd="1"/>
        <i x="171" s="1" nd="1"/>
        <i x="186" s="1" nd="1"/>
        <i x="1" s="1" nd="1"/>
        <i x="167" s="1" nd="1"/>
        <i x="187" s="1" nd="1"/>
        <i x="131" s="1" nd="1"/>
        <i x="138" s="1" nd="1"/>
        <i x="27" s="1" nd="1"/>
        <i x="154" s="1" nd="1"/>
        <i x="133" s="1" nd="1"/>
        <i x="47" s="1" nd="1"/>
        <i x="73" s="1" nd="1"/>
        <i x="128" s="1" nd="1"/>
        <i x="90" s="1" nd="1"/>
        <i x="76" s="1" nd="1"/>
        <i x="48" s="1" nd="1"/>
        <i x="14" s="1" nd="1"/>
        <i x="117" s="1" nd="1"/>
        <i x="59" s="1" nd="1"/>
        <i x="155" s="1" nd="1"/>
        <i x="85" s="1" nd="1"/>
        <i x="56" s="1" nd="1"/>
        <i x="28" s="1" nd="1"/>
        <i x="60" s="1" nd="1"/>
        <i x="2" s="1" nd="1"/>
        <i x="33" s="1" nd="1"/>
        <i x="22" s="1" nd="1"/>
        <i x="6" s="1" nd="1"/>
        <i x="123" s="1" nd="1"/>
        <i x="86" s="1" nd="1"/>
        <i x="49" s="1" nd="1"/>
        <i x="30" s="1" nd="1"/>
        <i x="38" s="1" nd="1"/>
        <i x="129" s="1" nd="1"/>
        <i x="160" s="1" nd="1"/>
        <i x="29" s="1" nd="1"/>
        <i x="124" s="1" nd="1"/>
        <i x="13" s="1" nd="1"/>
        <i x="42" s="1" nd="1"/>
        <i x="17" s="1" nd="1"/>
        <i x="102" s="1" nd="1"/>
        <i x="74" s="1" nd="1"/>
        <i x="77" s="1" nd="1"/>
        <i x="16" s="1" nd="1"/>
        <i x="172" s="1" nd="1"/>
        <i x="173" s="1" nd="1"/>
        <i x="110" s="1" nd="1"/>
        <i x="142" s="1" nd="1"/>
        <i x="53" s="1" nd="1"/>
        <i x="25" s="1" nd="1"/>
        <i x="106" s="1" nd="1"/>
        <i x="146" s="1" nd="1"/>
        <i x="120" s="1" nd="1"/>
        <i x="39" s="1" nd="1"/>
        <i x="174" s="1" nd="1"/>
        <i x="112" s="1" nd="1"/>
        <i x="9" s="1" nd="1"/>
        <i x="163" s="1" nd="1"/>
        <i x="18" s="1" nd="1"/>
        <i x="45" s="1" nd="1"/>
        <i x="96" s="1" nd="1"/>
        <i x="71" s="1" nd="1"/>
        <i x="125" s="1" nd="1"/>
        <i x="156" s="1" nd="1"/>
        <i x="103" s="1" nd="1"/>
        <i x="113" s="1" nd="1"/>
        <i x="54" s="1" nd="1"/>
        <i x="15" s="1" nd="1"/>
        <i x="43" s="1" nd="1"/>
        <i x="55" s="1" nd="1"/>
        <i x="107" s="1" nd="1"/>
        <i x="121" s="1" nd="1"/>
        <i x="132" s="1" nd="1"/>
        <i x="126" s="1" nd="1"/>
        <i x="78" s="1" nd="1"/>
        <i x="94" s="1" nd="1"/>
        <i x="26" s="1" nd="1"/>
        <i x="57" s="1" nd="1"/>
        <i x="164" s="1" nd="1"/>
        <i x="97" s="1" nd="1"/>
        <i x="3" s="1" nd="1"/>
        <i x="143" s="1" nd="1"/>
        <i x="180" s="1" nd="1"/>
        <i x="65" s="1" nd="1"/>
        <i x="118" s="1" nd="1"/>
        <i x="136" s="1" nd="1"/>
        <i x="81" s="1" nd="1"/>
        <i x="98" s="1" nd="1"/>
        <i x="114" s="1" nd="1"/>
        <i x="122" s="1" nd="1"/>
        <i x="168" s="1" nd="1"/>
        <i x="10" s="1" nd="1"/>
        <i x="139" s="1" nd="1"/>
        <i x="175" s="1" nd="1"/>
        <i x="178" s="1" nd="1"/>
        <i x="31" s="1" nd="1"/>
        <i x="61" s="1" nd="1"/>
        <i x="151" s="1" nd="1"/>
        <i x="169" s="1" nd="1"/>
        <i x="152" s="1" nd="1"/>
        <i x="87" s="1" nd="1"/>
        <i x="10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i x="2"/>
        <i x="3"/>
        <i x="9" nd="1"/>
        <i x="4" nd="1"/>
        <i x="5" nd="1"/>
        <i x="6" nd="1"/>
        <i x="7" nd="1"/>
        <i x="8"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416">
        <i x="0" s="1"/>
        <i x="24" s="1" nd="1"/>
        <i x="87" s="1" nd="1"/>
        <i x="47" s="1" nd="1"/>
        <i x="151" s="1" nd="1"/>
        <i x="164" s="1" nd="1"/>
        <i x="27" s="1" nd="1"/>
        <i x="132" s="1" nd="1"/>
        <i x="80" s="1" nd="1"/>
        <i x="296" s="1" nd="1"/>
        <i x="191" s="1" nd="1"/>
        <i x="128" s="1" nd="1"/>
        <i x="250" s="1" nd="1"/>
        <i x="297" s="1" nd="1"/>
        <i x="314" s="1" nd="1"/>
        <i x="273" s="1" nd="1"/>
        <i x="208" s="1" nd="1"/>
        <i x="192" s="1" nd="1"/>
        <i x="298" s="1" nd="1"/>
        <i x="220" s="1" nd="1"/>
        <i x="92" s="1" nd="1"/>
        <i x="37" s="1" nd="1"/>
        <i x="200" s="1" nd="1"/>
        <i x="387" s="1" nd="1"/>
        <i x="17" s="1" nd="1"/>
        <i x="307" s="1" nd="1"/>
        <i x="201" s="1" nd="1"/>
        <i x="133" s="1" nd="1"/>
        <i x="259" s="1" nd="1"/>
        <i x="281" s="1" nd="1"/>
        <i x="102" s="1" nd="1"/>
        <i x="230" s="1" nd="1"/>
        <i x="177" s="1" nd="1"/>
        <i x="274" s="1" nd="1"/>
        <i x="275" s="1" nd="1"/>
        <i x="388" s="1" nd="1"/>
        <i x="129" s="1" nd="1"/>
        <i x="282" s="1" nd="1"/>
        <i x="130" s="1" nd="1"/>
        <i x="254" s="1" nd="1"/>
        <i x="1" s="1" nd="1"/>
        <i x="99" s="1" nd="1"/>
        <i x="401" s="1" nd="1"/>
        <i x="323" s="1" nd="1"/>
        <i x="231" s="1" nd="1"/>
        <i x="46" s="1" nd="1"/>
        <i x="152" s="1" nd="1"/>
        <i x="187" s="1" nd="1"/>
        <i x="88" s="1" nd="1"/>
        <i x="52" s="1" nd="1"/>
        <i x="28" s="1" nd="1"/>
        <i x="353" s="1" nd="1"/>
        <i x="153" s="1" nd="1"/>
        <i x="145" s="1" nd="1"/>
        <i x="25" s="1" nd="1"/>
        <i x="244" s="1" nd="1"/>
        <i x="89" s="1" nd="1"/>
        <i x="308" s="1" nd="1"/>
        <i x="283" s="1" nd="1"/>
        <i x="116" s="1" nd="1"/>
        <i x="260" s="1" nd="1"/>
        <i x="407" s="1" nd="1"/>
        <i x="134" s="1" nd="1"/>
        <i x="29" s="1" nd="1"/>
        <i x="193" s="1" nd="1"/>
        <i x="359" s="1" nd="1"/>
        <i x="146" s="1" nd="1"/>
        <i x="268" s="1" nd="1"/>
        <i x="154" s="1" nd="1"/>
        <i x="371" s="1" nd="1"/>
        <i x="389" s="1" nd="1"/>
        <i x="48" s="1" nd="1"/>
        <i x="255" s="1" nd="1"/>
        <i x="221" s="1" nd="1"/>
        <i x="374" s="1" nd="1"/>
        <i x="360" s="1" nd="1"/>
        <i x="155" s="1" nd="1"/>
        <i x="251" s="1" nd="1"/>
        <i x="11" s="1" nd="1"/>
        <i x="261" s="1" nd="1"/>
        <i x="209" s="1" nd="1"/>
        <i x="344" s="1" nd="1"/>
        <i x="378" s="1" nd="1"/>
        <i x="245" s="1" nd="1"/>
        <i x="202" s="1" nd="1"/>
        <i x="318" s="1" nd="1"/>
        <i x="30" s="1" nd="1"/>
        <i x="93" s="1" nd="1"/>
        <i x="216" s="1" nd="1"/>
        <i x="379" s="1" nd="1"/>
        <i x="393" s="1" nd="1"/>
        <i x="75" s="1" nd="1"/>
        <i x="135" s="1" nd="1"/>
        <i x="210" s="1" nd="1"/>
        <i x="303" s="1" nd="1"/>
        <i x="402" s="1" nd="1"/>
        <i x="222" s="1" nd="1"/>
        <i x="136" s="1" nd="1"/>
        <i x="69" s="1" nd="1"/>
        <i x="137" s="1" nd="1"/>
        <i x="232" s="1" nd="1"/>
        <i x="269" s="1" nd="1"/>
        <i x="38" s="1" nd="1"/>
        <i x="223" s="1" nd="1"/>
        <i x="18" s="1" nd="1"/>
        <i x="252" s="1" nd="1"/>
        <i x="118" s="1" nd="1"/>
        <i x="53" s="1" nd="1"/>
        <i x="178" s="1" nd="1"/>
        <i x="410" s="1" nd="1"/>
        <i x="309" s="1" nd="1"/>
        <i x="6" s="1" nd="1"/>
        <i x="276" s="1" nd="1"/>
        <i x="90" s="1" nd="1"/>
        <i x="2" s="1" nd="1"/>
        <i x="345" s="1" nd="1"/>
        <i x="211" s="1" nd="1"/>
        <i x="111" s="1" nd="1"/>
        <i x="138" s="1" nd="1"/>
        <i x="304" s="1" nd="1"/>
        <i x="284" s="1" nd="1"/>
        <i x="112" s="1" nd="1"/>
        <i x="253" s="1" nd="1"/>
        <i x="224" s="1" nd="1"/>
        <i x="54" s="1" nd="1"/>
        <i x="70" s="1" nd="1"/>
        <i x="7" s="1" nd="1"/>
        <i x="100" s="1" nd="1"/>
        <i x="12" s="1" nd="1"/>
        <i x="76" s="1" nd="1"/>
        <i x="212" s="1" nd="1"/>
        <i x="58" s="1" nd="1"/>
        <i x="256" s="1" nd="1"/>
        <i x="346" s="1" nd="1"/>
        <i x="262" s="1" nd="1"/>
        <i x="328" s="1" nd="1"/>
        <i x="289" s="1" nd="1"/>
        <i x="81" s="1" nd="1"/>
        <i x="156" s="1" nd="1"/>
        <i x="117" s="1" nd="1"/>
        <i x="157" s="1" nd="1"/>
        <i x="179" s="1" nd="1"/>
        <i x="361" s="1" nd="1"/>
        <i x="3" s="1" nd="1"/>
        <i x="233" s="1" nd="1"/>
        <i x="354" s="1" nd="1"/>
        <i x="383" s="1" nd="1"/>
        <i x="355" s="1" nd="1"/>
        <i x="362" s="1" nd="1"/>
        <i x="203" s="1" nd="1"/>
        <i x="59" s="1" nd="1"/>
        <i x="188" s="1" nd="1"/>
        <i x="394" s="1" nd="1"/>
        <i x="324" s="1" nd="1"/>
        <i x="356" s="1" nd="1"/>
        <i x="291" s="1" nd="1"/>
        <i x="335" s="1" nd="1"/>
        <i x="270" s="1" nd="1"/>
        <i x="363" s="1" nd="1"/>
        <i x="55" s="1" nd="1"/>
        <i x="299" s="1" nd="1"/>
        <i x="380" s="1" nd="1"/>
        <i x="336" s="1" nd="1"/>
        <i x="8" s="1" nd="1"/>
        <i x="357" s="1" nd="1"/>
        <i x="180" s="1" nd="1"/>
        <i x="257" s="1" nd="1"/>
        <i x="119" s="1" nd="1"/>
        <i x="225" s="1" nd="1"/>
        <i x="139" s="1" nd="1"/>
        <i x="39" s="1" nd="1"/>
        <i x="91" s="1" nd="1"/>
        <i x="347" s="1" nd="1"/>
        <i x="94" s="1" nd="1"/>
        <i x="181" s="1" nd="1"/>
        <i x="384" s="1" nd="1"/>
        <i x="71" s="1" nd="1"/>
        <i x="19" s="1" nd="1"/>
        <i x="395" s="1" nd="1"/>
        <i x="169" s="1" nd="1"/>
        <i x="348" s="1" nd="1"/>
        <i x="337" s="1" nd="1"/>
        <i x="13" s="1" nd="1"/>
        <i x="325" s="1" nd="1"/>
        <i x="103" s="1" nd="1"/>
        <i x="246" s="1" nd="1"/>
        <i x="131" s="1" nd="1"/>
        <i x="49" s="1" nd="1"/>
        <i x="390" s="1" nd="1"/>
        <i x="120" s="1" nd="1"/>
        <i x="4" s="1" nd="1"/>
        <i x="375" s="1" nd="1"/>
        <i x="364" s="1" nd="1"/>
        <i x="391" s="1" nd="1"/>
        <i x="370" s="1" nd="1"/>
        <i x="40" s="1" nd="1"/>
        <i x="159" s="1" nd="1"/>
        <i x="56" s="1" nd="1"/>
        <i x="170" s="1" nd="1"/>
        <i x="326" s="1" nd="1"/>
        <i x="338" s="1" nd="1"/>
        <i x="411" s="1" nd="1"/>
        <i x="182" s="1" nd="1"/>
        <i x="171" s="1" nd="1"/>
        <i x="95" s="1" nd="1"/>
        <i x="263" s="1" nd="1"/>
        <i x="140" s="1" nd="1"/>
        <i x="319" s="1" nd="1"/>
        <i x="320" s="1" nd="1"/>
        <i x="310" s="1" nd="1"/>
        <i x="172" s="1" nd="1"/>
        <i x="147" s="1" nd="1"/>
        <i x="121" s="1" nd="1"/>
        <i x="165" s="1" nd="1"/>
        <i x="64" s="1" nd="1"/>
        <i x="349" s="1" nd="1"/>
        <i x="329" s="1" nd="1"/>
        <i x="65" s="1" nd="1"/>
        <i x="198" s="1" nd="1"/>
        <i x="189" s="1" nd="1"/>
        <i x="285" s="1" nd="1"/>
        <i x="174" s="1" nd="1"/>
        <i x="113" s="1" nd="1"/>
        <i x="9" s="1" nd="1"/>
        <i x="286" s="1" nd="1"/>
        <i x="31" s="1" nd="1"/>
        <i x="57" s="1" nd="1"/>
        <i x="287" s="1" nd="1"/>
        <i x="104" s="1" nd="1"/>
        <i x="50" s="1" nd="1"/>
        <i x="376" s="1" nd="1"/>
        <i x="292" s="1" nd="1"/>
        <i x="277" s="1" nd="1"/>
        <i x="300" s="1" nd="1"/>
        <i x="66" s="1" nd="1"/>
        <i x="412" s="1" nd="1"/>
        <i x="175" s="1" nd="1"/>
        <i x="101" s="1" nd="1"/>
        <i x="199" s="1" nd="1"/>
        <i x="41" s="1" nd="1"/>
        <i x="408" s="1" nd="1"/>
        <i x="217" s="1" nd="1"/>
        <i x="327" s="1" nd="1"/>
        <i x="339" s="1" nd="1"/>
        <i x="218" s="1" nd="1"/>
        <i x="60" s="1" nd="1"/>
        <i x="381" s="1" nd="1"/>
        <i x="122" s="1" nd="1"/>
        <i x="293" s="1" nd="1"/>
        <i x="237" s="1" nd="1"/>
        <i x="301" s="1" nd="1"/>
        <i x="396" s="1" nd="1"/>
        <i x="219" s="1" nd="1"/>
        <i x="340" s="1" nd="1"/>
        <i x="114" s="1" nd="1"/>
        <i x="77" s="1" nd="1"/>
        <i x="350" s="1" nd="1"/>
        <i x="226" s="1" nd="1"/>
        <i x="321" s="1" nd="1"/>
        <i x="105" s="1" nd="1"/>
        <i x="42" s="1" nd="1"/>
        <i x="20" s="1" nd="1"/>
        <i x="397" s="1" nd="1"/>
        <i x="96" s="1" nd="1"/>
        <i x="32" s="1" nd="1"/>
        <i x="238" s="1" nd="1"/>
        <i x="247" s="1" nd="1"/>
        <i x="351" s="1" nd="1"/>
        <i x="330" s="1" nd="1"/>
        <i x="311" s="1" nd="1"/>
        <i x="51" s="1" nd="1"/>
        <i x="398" s="1" nd="1"/>
        <i x="106" s="1" nd="1"/>
        <i x="213" s="1" nd="1"/>
        <i x="107" s="1" nd="1"/>
        <i x="315" s="1" nd="1"/>
        <i x="385" s="1" nd="1"/>
        <i x="14" s="1" nd="1"/>
        <i x="365" s="1" nd="1"/>
        <i x="214" s="1" nd="1"/>
        <i x="331" s="1" nd="1"/>
        <i x="234" s="1" nd="1"/>
        <i x="366" s="1" nd="1"/>
        <i x="61" s="1" nd="1"/>
        <i x="123" s="1" nd="1"/>
        <i x="294" s="1" nd="1"/>
        <i x="377" s="1" nd="1"/>
        <i x="82" s="1" nd="1"/>
        <i x="271" s="1" nd="1"/>
        <i x="43" s="1" nd="1"/>
        <i x="399" s="1" nd="1"/>
        <i x="10" s="1" nd="1"/>
        <i x="124" s="1" nd="1"/>
        <i x="83" s="1" nd="1"/>
        <i x="141" s="1" nd="1"/>
        <i x="258" s="1" nd="1"/>
        <i x="413" s="1" nd="1"/>
        <i x="239" s="1" nd="1"/>
        <i x="358" s="1" nd="1"/>
        <i x="312" s="1" nd="1"/>
        <i x="264" s="1" nd="1"/>
        <i x="302" s="1" nd="1"/>
        <i x="341" s="1" nd="1"/>
        <i x="227" s="1" nd="1"/>
        <i x="166" s="1" nd="1"/>
        <i x="332" s="1" nd="1"/>
        <i x="342" s="1" nd="1"/>
        <i x="125" s="1" nd="1"/>
        <i x="115" s="1" nd="1"/>
        <i x="142" s="1" nd="1"/>
        <i x="240" s="1" nd="1"/>
        <i x="62" s="1" nd="1"/>
        <i x="392" s="1" nd="1"/>
        <i x="183" s="1" nd="1"/>
        <i x="288" s="1" nd="1"/>
        <i x="386" s="1" nd="1"/>
        <i x="143" s="1" nd="1"/>
        <i x="84" s="1" nd="1"/>
        <i x="33" s="1" nd="1"/>
        <i x="176" s="1" nd="1"/>
        <i x="97" s="1" nd="1"/>
        <i x="21" s="1" nd="1"/>
        <i x="108" s="1" nd="1"/>
        <i x="305" s="1" nd="1"/>
        <i x="26" s="1" nd="1"/>
        <i x="190" s="1" nd="1"/>
        <i x="248" s="1" nd="1"/>
        <i x="313" s="1" nd="1"/>
        <i x="15" s="1" nd="1"/>
        <i x="78" s="1" nd="1"/>
        <i x="148" s="1" nd="1"/>
        <i x="228" s="1" nd="1"/>
        <i x="204" s="1" nd="1"/>
        <i x="109" s="1" nd="1"/>
        <i x="352" s="1" nd="1"/>
        <i x="235" s="1" nd="1"/>
        <i x="194" s="1" nd="1"/>
        <i x="229" s="1" nd="1"/>
        <i x="367" s="1" nd="1"/>
        <i x="205" s="1" nd="1"/>
        <i x="249" s="1" nd="1"/>
        <i x="167" s="1" nd="1"/>
        <i x="414" s="1" nd="1"/>
        <i x="34" s="1" nd="1"/>
        <i x="278" s="1" nd="1"/>
        <i x="279" s="1" nd="1"/>
        <i x="290" s="1" nd="1"/>
        <i x="241" s="1" nd="1"/>
        <i x="85" s="1" nd="1"/>
        <i x="149" s="1" nd="1"/>
        <i x="333" s="1" nd="1"/>
        <i x="110" s="1" nd="1"/>
        <i x="306" s="1" nd="1"/>
        <i x="382" s="1" nd="1"/>
        <i x="72" s="1" nd="1"/>
        <i x="158" s="1" nd="1"/>
        <i x="16" s="1" nd="1"/>
        <i x="242" s="1" nd="1"/>
        <i x="415" s="1" nd="1"/>
        <i x="195" s="1" nd="1"/>
        <i x="73" s="1" nd="1"/>
        <i x="44" s="1" nd="1"/>
        <i x="45" s="1" nd="1"/>
        <i x="86" s="1" nd="1"/>
        <i x="22" s="1" nd="1"/>
        <i x="403" s="1" nd="1"/>
        <i x="35" s="1" nd="1"/>
        <i x="168" s="1" nd="1"/>
        <i x="184" s="1" nd="1"/>
        <i x="334" s="1" nd="1"/>
        <i x="185" s="1" nd="1"/>
        <i x="368" s="1" nd="1"/>
        <i x="322" s="1" nd="1"/>
        <i x="144" s="1" nd="1"/>
        <i x="160" s="1" nd="1"/>
        <i x="372" s="1" nd="1"/>
        <i x="295" s="1" nd="1"/>
        <i x="404" s="1" nd="1"/>
        <i x="79" s="1" nd="1"/>
        <i x="265" s="1" nd="1"/>
        <i x="215" s="1" nd="1"/>
        <i x="74" s="1" nd="1"/>
        <i x="405" s="1" nd="1"/>
        <i x="63" s="1" nd="1"/>
        <i x="280" s="1" nd="1"/>
        <i x="206" s="1" nd="1"/>
        <i x="36" s="1" nd="1"/>
        <i x="400" s="1" nd="1"/>
        <i x="23" s="1" nd="1"/>
        <i x="406" s="1" nd="1"/>
        <i x="126" s="1" nd="1"/>
        <i x="207" s="1" nd="1"/>
        <i x="266" s="1" nd="1"/>
        <i x="161" s="1" nd="1"/>
        <i x="67" s="1" nd="1"/>
        <i x="173" s="1" nd="1"/>
        <i x="272" s="1" nd="1"/>
        <i x="150" s="1" nd="1"/>
        <i x="127" s="1" nd="1"/>
        <i x="98" s="1" nd="1"/>
        <i x="343" s="1" nd="1"/>
        <i x="316" s="1" nd="1"/>
        <i x="186" s="1" nd="1"/>
        <i x="243" s="1" nd="1"/>
        <i x="267" s="1" nd="1"/>
        <i x="196" s="1" nd="1"/>
        <i x="5" s="1" nd="1"/>
        <i x="409" s="1" nd="1"/>
        <i x="373" s="1" nd="1"/>
        <i x="317" s="1" nd="1"/>
        <i x="369" s="1" nd="1"/>
        <i x="68" s="1" nd="1"/>
        <i x="162" s="1" nd="1"/>
        <i x="197" s="1" nd="1"/>
        <i x="236" s="1" nd="1"/>
        <i x="163"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416">
        <i x="0" s="1"/>
        <i x="15" s="1" nd="1"/>
        <i x="383" s="1" nd="1"/>
        <i x="94" s="1" nd="1"/>
        <i x="307" s="1" nd="1"/>
        <i x="273" s="1" nd="1"/>
        <i x="320" s="1" nd="1"/>
        <i x="314" s="1" nd="1"/>
        <i x="284" s="1" nd="1"/>
        <i x="375" s="1" nd="1"/>
        <i x="128" s="1" nd="1"/>
        <i x="51" s="1" nd="1"/>
        <i x="315" s="1" nd="1"/>
        <i x="203" s="1" nd="1"/>
        <i x="258" s="1" nd="1"/>
        <i x="39" s="1" nd="1"/>
        <i x="366" s="1" nd="1"/>
        <i x="274" s="1" nd="1"/>
        <i x="204" s="1" nd="1"/>
        <i x="321" s="1" nd="1"/>
        <i x="332" s="1" nd="1"/>
        <i x="211" s="1" nd="1"/>
        <i x="40" s="1" nd="1"/>
        <i x="229" s="1" nd="1"/>
        <i x="65" s="1" nd="1"/>
        <i x="16" s="1" nd="1"/>
        <i x="298" s="1" nd="1"/>
        <i x="182" s="1" nd="1"/>
        <i x="347" s="1" nd="1"/>
        <i x="32" s="1" nd="1"/>
        <i x="245" s="1" nd="1"/>
        <i x="118" s="1" nd="1"/>
        <i x="7" s="1" nd="1"/>
        <i x="384" s="1" nd="1"/>
        <i x="72" s="1" nd="1"/>
        <i x="164" s="1" nd="1"/>
        <i x="22" s="1" nd="1"/>
        <i x="398" s="1" nd="1"/>
        <i x="275" s="1" nd="1"/>
        <i x="205" s="1" nd="1"/>
        <i x="149" s="1" nd="1"/>
        <i x="354" s="1" nd="1"/>
        <i x="373" s="1" nd="1"/>
        <i x="190" s="1" nd="1"/>
        <i x="399" s="1" nd="1"/>
        <i x="23" s="1" nd="1"/>
        <i x="333" s="1" nd="1"/>
        <i x="276" s="1" nd="1"/>
        <i x="112" s="1" nd="1"/>
        <i x="109" s="1" nd="1"/>
        <i x="367" s="1" nd="1"/>
        <i x="360" s="1" nd="1"/>
        <i x="119" s="1" nd="1"/>
        <i x="230" s="1" nd="1"/>
        <i x="10" s="1" nd="1"/>
        <i x="361" s="1" nd="1"/>
        <i x="390" s="1" nd="1"/>
        <i x="165" s="1" nd="1"/>
        <i x="328" s="1" nd="1"/>
        <i x="24" s="1" nd="1"/>
        <i x="80" s="1" nd="1"/>
        <i x="246" s="1" nd="1"/>
        <i x="124" s="1" nd="1"/>
        <i x="11" s="1" nd="1"/>
        <i x="299" s="1" nd="1"/>
        <i x="238" s="1" nd="1"/>
        <i x="101" s="1" nd="1"/>
        <i x="266" s="1" nd="1"/>
        <i x="197" s="1" nd="1"/>
        <i x="348" s="1" nd="1"/>
        <i x="285" s="1" nd="1"/>
        <i x="33" s="1" nd="1"/>
        <i x="87" s="1" nd="1"/>
        <i x="135" s="1" nd="1"/>
        <i x="300" s="1" nd="1"/>
        <i x="206" s="1" nd="1"/>
        <i x="17" s="1" nd="1"/>
        <i x="34" s="1" nd="1"/>
        <i x="88" s="1" nd="1"/>
        <i x="150" s="1" nd="1"/>
        <i x="247" s="1" nd="1"/>
        <i x="376" s="1" nd="1"/>
        <i x="166" s="1" nd="1"/>
        <i x="385" s="1" nd="1"/>
        <i x="325" s="1" nd="1"/>
        <i x="198" s="1" nd="1"/>
        <i x="212" s="1" nd="1"/>
        <i x="391" s="1" nd="1"/>
        <i x="102" s="1" nd="1"/>
        <i x="267" s="1" nd="1"/>
        <i x="25" s="1" nd="1"/>
        <i x="405" s="1" nd="1"/>
        <i x="349" s="1" nd="1"/>
        <i x="277" s="1" nd="1"/>
        <i x="167" s="1" nd="1"/>
        <i x="26" s="1" nd="1"/>
        <i x="151" s="1" nd="1"/>
        <i x="248" s="1" nd="1"/>
        <i x="406" s="1" nd="1"/>
        <i x="113" s="1" nd="1"/>
        <i x="173" s="1" nd="1"/>
        <i x="278" s="1" nd="1"/>
        <i x="183" s="1" nd="1"/>
        <i x="268" s="1" nd="1"/>
        <i x="59" s="1" nd="1"/>
        <i x="159" s="1" nd="1"/>
        <i x="368" s="1" nd="1"/>
        <i x="400" s="1" nd="1"/>
        <i x="177" s="1" nd="1"/>
        <i x="219" s="1" nd="1"/>
        <i x="308" s="1" nd="1"/>
        <i x="377" s="1" nd="1"/>
        <i x="254" s="1" nd="1"/>
        <i x="362" s="1" nd="1"/>
        <i x="184" s="1" nd="1"/>
        <i x="45" s="1" nd="1"/>
        <i x="392" s="1" nd="1"/>
        <i x="129" s="1" nd="1"/>
        <i x="280" s="1" nd="1"/>
        <i x="220" s="1" nd="1"/>
        <i x="160" s="1" nd="1"/>
        <i x="73" s="1" nd="1"/>
        <i x="125" s="1" nd="1"/>
        <i x="41" s="1" nd="1"/>
        <i x="322" s="1" nd="1"/>
        <i x="89" s="1" nd="1"/>
        <i x="329" s="1" nd="1"/>
        <i x="27" s="1" nd="1"/>
        <i x="234" s="1" nd="1"/>
        <i x="95" s="1" nd="1"/>
        <i x="259" s="1" nd="1"/>
        <i x="199" s="1" nd="1"/>
        <i x="126" s="1" nd="1"/>
        <i x="90" s="1" nd="1"/>
        <i x="289" s="1" nd="1"/>
        <i x="114" s="1" nd="1"/>
        <i x="161" s="1" nd="1"/>
        <i x="193" s="1" nd="1"/>
        <i x="301" s="1" nd="1"/>
        <i x="66" s="1" nd="1"/>
        <i x="226" s="1" nd="1"/>
        <i x="52" s="1" nd="1"/>
        <i x="67" s="1" nd="1"/>
        <i x="152" s="1" nd="1"/>
        <i x="174" s="1" nd="1"/>
        <i x="110" s="1" nd="1"/>
        <i x="60" s="1" nd="1"/>
        <i x="178" s="1" nd="1"/>
        <i x="326" s="1" nd="1"/>
        <i x="185" s="1" nd="1"/>
        <i x="18" s="1" nd="1"/>
        <i x="141" s="1" nd="1"/>
        <i x="1" s="1" nd="1"/>
        <i x="103" s="1" nd="1"/>
        <i x="53" s="1" nd="1"/>
        <i x="231" s="1" nd="1"/>
        <i x="337" s="1" nd="1"/>
        <i x="221" s="1" nd="1"/>
        <i x="241" s="1" nd="1"/>
        <i x="28" s="1" nd="1"/>
        <i x="286" s="1" nd="1"/>
        <i x="249" s="1" nd="1"/>
        <i x="290" s="1" nd="1"/>
        <i x="378" s="1" nd="1"/>
        <i x="407" s="1" nd="1"/>
        <i x="260" s="1" nd="1"/>
        <i x="120" s="1" nd="1"/>
        <i x="369" s="1" nd="1"/>
        <i x="153" s="1" nd="1"/>
        <i x="316" s="1" nd="1"/>
        <i x="130" s="1" nd="1"/>
        <i x="61" s="1" nd="1"/>
        <i x="194" s="1" nd="1"/>
        <i x="261" s="1" nd="1"/>
        <i x="121" s="1" nd="1"/>
        <i x="46" s="1" nd="1"/>
        <i x="379" s="1" nd="1"/>
        <i x="74" s="1" nd="1"/>
        <i x="291" s="1" nd="1"/>
        <i x="42" s="1" nd="1"/>
        <i x="186" s="1" nd="1"/>
        <i x="281" s="1" nd="1"/>
        <i x="142" s="1" nd="1"/>
        <i x="269" s="1" nd="1"/>
        <i x="8" s="1" nd="1"/>
        <i x="111" s="1" nd="1"/>
        <i x="156" s="1" nd="1"/>
        <i x="323" s="1" nd="1"/>
        <i x="338" s="1" nd="1"/>
        <i x="413" s="1" nd="1"/>
        <i x="168" s="1" nd="1"/>
        <i x="2" s="1" nd="1"/>
        <i x="350" s="1" nd="1"/>
        <i x="287" s="1" nd="1"/>
        <i x="62" s="1" nd="1"/>
        <i x="235" s="1" nd="1"/>
        <i x="408" s="1" nd="1"/>
        <i x="179" s="1" nd="1"/>
        <i x="43" s="1" nd="1"/>
        <i x="187" s="1" nd="1"/>
        <i x="262" s="1" nd="1"/>
        <i x="342" s="1" nd="1"/>
        <i x="200" s="1" nd="1"/>
        <i x="282" s="1" nd="1"/>
        <i x="270" s="1" nd="1"/>
        <i x="29" s="1" nd="1"/>
        <i x="207" s="1" nd="1"/>
        <i x="54" s="1" nd="1"/>
        <i x="317" s="1" nd="1"/>
        <i x="401" s="1" nd="1"/>
        <i x="334" s="1" nd="1"/>
        <i x="91" s="1" nd="1"/>
        <i x="180" s="1" nd="1"/>
        <i x="255" s="1" nd="1"/>
        <i x="414" s="1" nd="1"/>
        <i x="96" s="1" nd="1"/>
        <i x="188" s="1" nd="1"/>
        <i x="47" s="1" nd="1"/>
        <i x="393" s="1" nd="1"/>
        <i x="271" s="1" nd="1"/>
        <i x="154" s="1" nd="1"/>
        <i x="250" s="1" nd="1"/>
        <i x="131" s="1" nd="1"/>
        <i x="195" s="1" nd="1"/>
        <i x="343" s="1" nd="1"/>
        <i x="143" s="1" nd="1"/>
        <i x="75" s="1" nd="1"/>
        <i x="374" s="1" nd="1"/>
        <i x="355" s="1" nd="1"/>
        <i x="380" s="1" nd="1"/>
        <i x="256" s="1" nd="1"/>
        <i x="12" s="1" nd="1"/>
        <i x="115" s="1" nd="1"/>
        <i x="97" s="1" nd="1"/>
        <i x="189" s="1" nd="1"/>
        <i x="370" s="1" nd="1"/>
        <i x="48" s="1" nd="1"/>
        <i x="76" s="1" nd="1"/>
        <i x="242" s="1" nd="1"/>
        <i x="3" s="1" nd="1"/>
        <i x="55" s="1" nd="1"/>
        <i x="81" s="1" nd="1"/>
        <i x="213" s="1" nd="1"/>
        <i x="292" s="1" nd="1"/>
        <i x="302" s="1" nd="1"/>
        <i x="98" s="1" nd="1"/>
        <i x="263" s="1" nd="1"/>
        <i x="122" s="1" nd="1"/>
        <i x="144" s="1" nd="1"/>
        <i x="77" s="1" nd="1"/>
        <i x="169" s="1" nd="1"/>
        <i x="330" s="1" nd="1"/>
        <i x="351" s="1" nd="1"/>
        <i x="56" s="1" nd="1"/>
        <i x="35" s="1" nd="1"/>
        <i x="132" s="1" nd="1"/>
        <i x="293" s="1" nd="1"/>
        <i x="381" s="1" nd="1"/>
        <i x="63" s="1" nd="1"/>
        <i x="181" s="1" nd="1"/>
        <i x="363" s="1" nd="1"/>
        <i x="68" s="1" nd="1"/>
        <i x="99" s="1" nd="1"/>
        <i x="19" s="1" nd="1"/>
        <i x="309" s="1" nd="1"/>
        <i x="78" s="1" nd="1"/>
        <i x="318" s="1" nd="1"/>
        <i x="402" s="1" nd="1"/>
        <i x="82" s="1" nd="1"/>
        <i x="294" s="1" nd="1"/>
        <i x="324" s="1" nd="1"/>
        <i x="116" s="1" nd="1"/>
        <i x="136" s="1" nd="1"/>
        <i x="222" s="1" nd="1"/>
        <i x="344" s="1" nd="1"/>
        <i x="371" s="1" nd="1"/>
        <i x="49" s="1" nd="1"/>
        <i x="394" s="1" nd="1"/>
        <i x="4" s="1" nd="1"/>
        <i x="191" s="1" nd="1"/>
        <i x="352" s="1" nd="1"/>
        <i x="57" s="1" nd="1"/>
        <i x="83" s="1" nd="1"/>
        <i x="335" s="1" nd="1"/>
        <i x="356" s="1" nd="1"/>
        <i x="214" s="1" nd="1"/>
        <i x="295" s="1" nd="1"/>
        <i x="409" s="1" nd="1"/>
        <i x="364" s="1" nd="1"/>
        <i x="303" s="1" nd="1"/>
        <i x="415" s="1" nd="1"/>
        <i x="201" s="1" nd="1"/>
        <i x="145" s="1" nd="1"/>
        <i x="227" s="1" nd="1"/>
        <i x="310" s="1" nd="1"/>
        <i x="30" s="1" nd="1"/>
        <i x="58" s="1" nd="1"/>
        <i x="133" s="1" nd="1"/>
        <i x="215" s="1" nd="1"/>
        <i x="296" s="1" nd="1"/>
        <i x="339" s="1" nd="1"/>
        <i x="386" s="1" nd="1"/>
        <i x="69" s="1" nd="1"/>
        <i x="239" s="1" nd="1"/>
        <i x="20" s="1" nd="1"/>
        <i x="123" s="1" nd="1"/>
        <i x="283" s="1" nd="1"/>
        <i x="79" s="1" nd="1"/>
        <i x="104" s="1" nd="1"/>
        <i x="192" s="1" nd="1"/>
        <i x="208" s="1" nd="1"/>
        <i x="232" s="1" nd="1"/>
        <i x="403" s="1" nd="1"/>
        <i x="251" s="1" nd="1"/>
        <i x="357" s="1" nd="1"/>
        <i x="36" s="1" nd="1"/>
        <i x="410" s="1" nd="1"/>
        <i x="223" s="1" nd="1"/>
        <i x="264" s="1" nd="1"/>
        <i x="50" s="1" nd="1"/>
        <i x="311" s="1" nd="1"/>
        <i x="395" s="1" nd="1"/>
        <i x="105" s="1" nd="1"/>
        <i x="84" s="1" nd="1"/>
        <i x="175" s="1" nd="1"/>
        <i x="336" s="1" nd="1"/>
        <i x="358" s="1" nd="1"/>
        <i x="157" s="1" nd="1"/>
        <i x="411" s="1" nd="1"/>
        <i x="345" s="1" nd="1"/>
        <i x="146" s="1" nd="1"/>
        <i x="228" s="1" nd="1"/>
        <i x="312" s="1" nd="1"/>
        <i x="155" s="1" nd="1"/>
        <i x="85" s="1" nd="1"/>
        <i x="176" s="1" nd="1"/>
        <i x="134" s="1" nd="1"/>
        <i x="412" s="1" nd="1"/>
        <i x="92" s="1" nd="1"/>
        <i x="117" s="1" nd="1"/>
        <i x="387" s="1" nd="1"/>
        <i x="327" s="1" nd="1"/>
        <i x="100" s="1" nd="1"/>
        <i x="147" s="1" nd="1"/>
        <i x="396" s="1" nd="1"/>
        <i x="170" s="1" nd="1"/>
        <i x="233" s="1" nd="1"/>
        <i x="319" s="1" nd="1"/>
        <i x="9" s="1" nd="1"/>
        <i x="279" s="1" nd="1"/>
        <i x="216" s="1" nd="1"/>
        <i x="382" s="1" nd="1"/>
        <i x="137" s="1" nd="1"/>
        <i x="171" s="1" nd="1"/>
        <i x="243" s="1" nd="1"/>
        <i x="106" s="1" nd="1"/>
        <i x="31" s="1" nd="1"/>
        <i x="209" s="1" nd="1"/>
        <i x="86" s="1" nd="1"/>
        <i x="359" s="1" nd="1"/>
        <i x="37" s="1" nd="1"/>
        <i x="217" s="1" nd="1"/>
        <i x="236" s="1" nd="1"/>
        <i x="257" s="1" nd="1"/>
        <i x="138" s="1" nd="1"/>
        <i x="224" s="1" nd="1"/>
        <i x="304" s="1" nd="1"/>
        <i x="388" s="1" nd="1"/>
        <i x="346" s="1" nd="1"/>
        <i x="21" s="1" nd="1"/>
        <i x="148" s="1" nd="1"/>
        <i x="397" s="1" nd="1"/>
        <i x="107" s="1" nd="1"/>
        <i x="252" s="1" nd="1"/>
        <i x="158" s="1" nd="1"/>
        <i x="44" s="1" nd="1"/>
        <i x="70" s="1" nd="1"/>
        <i x="372" s="1" nd="1"/>
        <i x="244" s="1" nd="1"/>
        <i x="5" s="1" nd="1"/>
        <i x="272" s="1" nd="1"/>
        <i x="288" s="1" nd="1"/>
        <i x="253" s="1" nd="1"/>
        <i x="218" s="1" nd="1"/>
        <i x="365" s="1" nd="1"/>
        <i x="331" s="1" nd="1"/>
        <i x="6" s="1" nd="1"/>
        <i x="353" s="1" nd="1"/>
        <i x="127" s="1" nd="1"/>
        <i x="38" s="1" nd="1"/>
        <i x="64" s="1" nd="1"/>
        <i x="196" s="1" nd="1"/>
        <i x="139" s="1" nd="1"/>
        <i x="305" s="1" nd="1"/>
        <i x="162" s="1" nd="1"/>
        <i x="265" s="1" nd="1"/>
        <i x="108" s="1" nd="1"/>
        <i x="340" s="1" nd="1"/>
        <i x="13" s="1" nd="1"/>
        <i x="140" s="1" nd="1"/>
        <i x="163" s="1" nd="1"/>
        <i x="240" s="1" nd="1"/>
        <i x="210" s="1" nd="1"/>
        <i x="93" s="1" nd="1"/>
        <i x="341" s="1" nd="1"/>
        <i x="389" s="1" nd="1"/>
        <i x="202" s="1" nd="1"/>
        <i x="172" s="1" nd="1"/>
        <i x="297" s="1" nd="1"/>
        <i x="237" s="1" nd="1"/>
        <i x="14" s="1" nd="1"/>
        <i x="225" s="1" nd="1"/>
        <i x="306" s="1" nd="1"/>
        <i x="71" s="1" nd="1"/>
        <i x="404" s="1" nd="1"/>
        <i x="31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188">
        <i x="0" s="1"/>
        <i x="181" s="1" nd="1"/>
        <i x="161" s="1" nd="1"/>
        <i x="75" s="1" nd="1"/>
        <i x="19" s="1" nd="1"/>
        <i x="62" s="1" nd="1"/>
        <i x="182" s="1" nd="1"/>
        <i x="7" s="1" nd="1"/>
        <i x="158" s="1" nd="1"/>
        <i x="46" s="1" nd="1"/>
        <i x="134" s="1" nd="1"/>
        <i x="79" s="1" nd="1"/>
        <i x="179" s="1" nd="1"/>
        <i x="68" s="1" nd="1"/>
        <i x="11" s="1" nd="1"/>
        <i x="135" s="1" nd="1"/>
        <i x="82" s="1" nd="1"/>
        <i x="88" s="1" nd="1"/>
        <i x="115" s="1" nd="1"/>
        <i x="140" s="1" nd="1"/>
        <i x="34" s="1" nd="1"/>
        <i x="50" s="1" nd="1"/>
        <i x="183" s="1" nd="1"/>
        <i x="8" s="1" nd="1"/>
        <i x="176" s="1" nd="1"/>
        <i x="51" s="1" nd="1"/>
        <i x="83" s="1" nd="1"/>
        <i x="58" s="1" nd="1"/>
        <i x="91" s="1" nd="1"/>
        <i x="95" s="1" nd="1"/>
        <i x="69" s="1" nd="1"/>
        <i x="23" s="1" nd="1"/>
        <i x="153" s="1" nd="1"/>
        <i x="32" s="1" nd="1"/>
        <i x="35" s="1" nd="1"/>
        <i x="144" s="1" nd="1"/>
        <i x="99" s="1" nd="1"/>
        <i x="63" s="1" nd="1"/>
        <i x="184" s="1" nd="1"/>
        <i x="145" s="1" nd="1"/>
        <i x="100" s="1" nd="1"/>
        <i x="165" s="1" nd="1"/>
        <i x="44" s="1" nd="1"/>
        <i x="12" s="1" nd="1"/>
        <i x="20" s="1" nd="1"/>
        <i x="127" s="1" nd="1"/>
        <i x="109" s="1" nd="1"/>
        <i x="111" s="1" nd="1"/>
        <i x="80" s="1" nd="1"/>
        <i x="92" s="1" nd="1"/>
        <i x="89" s="1" nd="1"/>
        <i x="66" s="1" nd="1"/>
        <i x="177" s="1" nd="1"/>
        <i x="4" s="1" nd="1"/>
        <i x="185" s="1" nd="1"/>
        <i x="116" s="1" nd="1"/>
        <i x="5" s="1" nd="1"/>
        <i x="84" s="1" nd="1"/>
        <i x="150" s="1" nd="1"/>
        <i x="148" s="1" nd="1"/>
        <i x="21" s="1" nd="1"/>
        <i x="93" s="1" nd="1"/>
        <i x="67" s="1" nd="1"/>
        <i x="141" s="1" nd="1"/>
        <i x="40" s="1" nd="1"/>
        <i x="159" s="1" nd="1"/>
        <i x="170" s="1" nd="1"/>
        <i x="24" s="1" nd="1"/>
        <i x="119" s="1" nd="1"/>
        <i x="137" s="1" nd="1"/>
        <i x="166" s="1" nd="1"/>
        <i x="157" s="1" nd="1"/>
        <i x="104" s="1" nd="1"/>
        <i x="130" s="1" nd="1"/>
        <i x="162" s="1" nd="1"/>
        <i x="52" s="1" nd="1"/>
        <i x="36" s="1" nd="1"/>
        <i x="70" s="1" nd="1"/>
        <i x="105" s="1" nd="1"/>
        <i x="101" s="1" nd="1"/>
        <i x="41" s="1" nd="1"/>
        <i x="147" s="1" nd="1"/>
        <i x="37" s="1" nd="1"/>
        <i x="149" s="1" nd="1"/>
        <i x="72" s="1" nd="1"/>
        <i x="64" s="1" nd="1"/>
        <i x="171" s="1" nd="1"/>
        <i x="186" s="1" nd="1"/>
        <i x="1" s="1" nd="1"/>
        <i x="167" s="1" nd="1"/>
        <i x="187" s="1" nd="1"/>
        <i x="131" s="1" nd="1"/>
        <i x="138" s="1" nd="1"/>
        <i x="27" s="1" nd="1"/>
        <i x="154" s="1" nd="1"/>
        <i x="133" s="1" nd="1"/>
        <i x="47" s="1" nd="1"/>
        <i x="73" s="1" nd="1"/>
        <i x="128" s="1" nd="1"/>
        <i x="90" s="1" nd="1"/>
        <i x="76" s="1" nd="1"/>
        <i x="48" s="1" nd="1"/>
        <i x="14" s="1" nd="1"/>
        <i x="117" s="1" nd="1"/>
        <i x="59" s="1" nd="1"/>
        <i x="155" s="1" nd="1"/>
        <i x="85" s="1" nd="1"/>
        <i x="56" s="1" nd="1"/>
        <i x="28" s="1" nd="1"/>
        <i x="60" s="1" nd="1"/>
        <i x="2" s="1" nd="1"/>
        <i x="33" s="1" nd="1"/>
        <i x="22" s="1" nd="1"/>
        <i x="6" s="1" nd="1"/>
        <i x="123" s="1" nd="1"/>
        <i x="86" s="1" nd="1"/>
        <i x="49" s="1" nd="1"/>
        <i x="30" s="1" nd="1"/>
        <i x="38" s="1" nd="1"/>
        <i x="129" s="1" nd="1"/>
        <i x="160" s="1" nd="1"/>
        <i x="29" s="1" nd="1"/>
        <i x="124" s="1" nd="1"/>
        <i x="13" s="1" nd="1"/>
        <i x="42" s="1" nd="1"/>
        <i x="17" s="1" nd="1"/>
        <i x="102" s="1" nd="1"/>
        <i x="74" s="1" nd="1"/>
        <i x="77" s="1" nd="1"/>
        <i x="16" s="1" nd="1"/>
        <i x="172" s="1" nd="1"/>
        <i x="173" s="1" nd="1"/>
        <i x="110" s="1" nd="1"/>
        <i x="142" s="1" nd="1"/>
        <i x="53" s="1" nd="1"/>
        <i x="25" s="1" nd="1"/>
        <i x="106" s="1" nd="1"/>
        <i x="146" s="1" nd="1"/>
        <i x="120" s="1" nd="1"/>
        <i x="39" s="1" nd="1"/>
        <i x="174" s="1" nd="1"/>
        <i x="112" s="1" nd="1"/>
        <i x="9" s="1" nd="1"/>
        <i x="163" s="1" nd="1"/>
        <i x="18" s="1" nd="1"/>
        <i x="45" s="1" nd="1"/>
        <i x="96" s="1" nd="1"/>
        <i x="71" s="1" nd="1"/>
        <i x="125" s="1" nd="1"/>
        <i x="156" s="1" nd="1"/>
        <i x="103" s="1" nd="1"/>
        <i x="113" s="1" nd="1"/>
        <i x="54" s="1" nd="1"/>
        <i x="15" s="1" nd="1"/>
        <i x="43" s="1" nd="1"/>
        <i x="55" s="1" nd="1"/>
        <i x="107" s="1" nd="1"/>
        <i x="121" s="1" nd="1"/>
        <i x="132" s="1" nd="1"/>
        <i x="126" s="1" nd="1"/>
        <i x="78" s="1" nd="1"/>
        <i x="94" s="1" nd="1"/>
        <i x="26" s="1" nd="1"/>
        <i x="57" s="1" nd="1"/>
        <i x="164" s="1" nd="1"/>
        <i x="97" s="1" nd="1"/>
        <i x="3" s="1" nd="1"/>
        <i x="143" s="1" nd="1"/>
        <i x="180" s="1" nd="1"/>
        <i x="65" s="1" nd="1"/>
        <i x="118" s="1" nd="1"/>
        <i x="136" s="1" nd="1"/>
        <i x="81" s="1" nd="1"/>
        <i x="98" s="1" nd="1"/>
        <i x="114" s="1" nd="1"/>
        <i x="122" s="1" nd="1"/>
        <i x="168" s="1" nd="1"/>
        <i x="10" s="1" nd="1"/>
        <i x="139" s="1" nd="1"/>
        <i x="175" s="1" nd="1"/>
        <i x="178" s="1" nd="1"/>
        <i x="31" s="1" nd="1"/>
        <i x="61" s="1" nd="1"/>
        <i x="151" s="1" nd="1"/>
        <i x="169" s="1" nd="1"/>
        <i x="152" s="1" nd="1"/>
        <i x="87" s="1" nd="1"/>
        <i x="10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416">
        <i x="0" s="1"/>
        <i x="24" s="1" nd="1"/>
        <i x="87" s="1" nd="1"/>
        <i x="47" s="1" nd="1"/>
        <i x="151" s="1" nd="1"/>
        <i x="164" s="1" nd="1"/>
        <i x="27" s="1" nd="1"/>
        <i x="132" s="1" nd="1"/>
        <i x="80" s="1" nd="1"/>
        <i x="296" s="1" nd="1"/>
        <i x="191" s="1" nd="1"/>
        <i x="128" s="1" nd="1"/>
        <i x="250" s="1" nd="1"/>
        <i x="297" s="1" nd="1"/>
        <i x="314" s="1" nd="1"/>
        <i x="273" s="1" nd="1"/>
        <i x="208" s="1" nd="1"/>
        <i x="192" s="1" nd="1"/>
        <i x="298" s="1" nd="1"/>
        <i x="220" s="1" nd="1"/>
        <i x="92" s="1" nd="1"/>
        <i x="37" s="1" nd="1"/>
        <i x="200" s="1" nd="1"/>
        <i x="387" s="1" nd="1"/>
        <i x="17" s="1" nd="1"/>
        <i x="307" s="1" nd="1"/>
        <i x="201" s="1" nd="1"/>
        <i x="133" s="1" nd="1"/>
        <i x="259" s="1" nd="1"/>
        <i x="281" s="1" nd="1"/>
        <i x="102" s="1" nd="1"/>
        <i x="230" s="1" nd="1"/>
        <i x="177" s="1" nd="1"/>
        <i x="274" s="1" nd="1"/>
        <i x="275" s="1" nd="1"/>
        <i x="388" s="1" nd="1"/>
        <i x="129" s="1" nd="1"/>
        <i x="282" s="1" nd="1"/>
        <i x="130" s="1" nd="1"/>
        <i x="254" s="1" nd="1"/>
        <i x="1" s="1" nd="1"/>
        <i x="99" s="1" nd="1"/>
        <i x="401" s="1" nd="1"/>
        <i x="323" s="1" nd="1"/>
        <i x="231" s="1" nd="1"/>
        <i x="46" s="1" nd="1"/>
        <i x="152" s="1" nd="1"/>
        <i x="187" s="1" nd="1"/>
        <i x="88" s="1" nd="1"/>
        <i x="52" s="1" nd="1"/>
        <i x="28" s="1" nd="1"/>
        <i x="353" s="1" nd="1"/>
        <i x="153" s="1" nd="1"/>
        <i x="145" s="1" nd="1"/>
        <i x="25" s="1" nd="1"/>
        <i x="244" s="1" nd="1"/>
        <i x="89" s="1" nd="1"/>
        <i x="308" s="1" nd="1"/>
        <i x="283" s="1" nd="1"/>
        <i x="116" s="1" nd="1"/>
        <i x="260" s="1" nd="1"/>
        <i x="407" s="1" nd="1"/>
        <i x="134" s="1" nd="1"/>
        <i x="29" s="1" nd="1"/>
        <i x="193" s="1" nd="1"/>
        <i x="359" s="1" nd="1"/>
        <i x="146" s="1" nd="1"/>
        <i x="268" s="1" nd="1"/>
        <i x="154" s="1" nd="1"/>
        <i x="371" s="1" nd="1"/>
        <i x="389" s="1" nd="1"/>
        <i x="48" s="1" nd="1"/>
        <i x="255" s="1" nd="1"/>
        <i x="221" s="1" nd="1"/>
        <i x="374" s="1" nd="1"/>
        <i x="360" s="1" nd="1"/>
        <i x="155" s="1" nd="1"/>
        <i x="251" s="1" nd="1"/>
        <i x="11" s="1" nd="1"/>
        <i x="261" s="1" nd="1"/>
        <i x="209" s="1" nd="1"/>
        <i x="344" s="1" nd="1"/>
        <i x="378" s="1" nd="1"/>
        <i x="245" s="1" nd="1"/>
        <i x="202" s="1" nd="1"/>
        <i x="318" s="1" nd="1"/>
        <i x="30" s="1" nd="1"/>
        <i x="93" s="1" nd="1"/>
        <i x="216" s="1" nd="1"/>
        <i x="379" s="1" nd="1"/>
        <i x="393" s="1" nd="1"/>
        <i x="75" s="1" nd="1"/>
        <i x="135" s="1" nd="1"/>
        <i x="210" s="1" nd="1"/>
        <i x="303" s="1" nd="1"/>
        <i x="402" s="1" nd="1"/>
        <i x="222" s="1" nd="1"/>
        <i x="136" s="1" nd="1"/>
        <i x="69" s="1" nd="1"/>
        <i x="137" s="1" nd="1"/>
        <i x="232" s="1" nd="1"/>
        <i x="269" s="1" nd="1"/>
        <i x="38" s="1" nd="1"/>
        <i x="223" s="1" nd="1"/>
        <i x="18" s="1" nd="1"/>
        <i x="252" s="1" nd="1"/>
        <i x="118" s="1" nd="1"/>
        <i x="53" s="1" nd="1"/>
        <i x="178" s="1" nd="1"/>
        <i x="410" s="1" nd="1"/>
        <i x="309" s="1" nd="1"/>
        <i x="6" s="1" nd="1"/>
        <i x="276" s="1" nd="1"/>
        <i x="90" s="1" nd="1"/>
        <i x="2" s="1" nd="1"/>
        <i x="345" s="1" nd="1"/>
        <i x="211" s="1" nd="1"/>
        <i x="111" s="1" nd="1"/>
        <i x="138" s="1" nd="1"/>
        <i x="304" s="1" nd="1"/>
        <i x="284" s="1" nd="1"/>
        <i x="112" s="1" nd="1"/>
        <i x="253" s="1" nd="1"/>
        <i x="224" s="1" nd="1"/>
        <i x="54" s="1" nd="1"/>
        <i x="70" s="1" nd="1"/>
        <i x="7" s="1" nd="1"/>
        <i x="100" s="1" nd="1"/>
        <i x="12" s="1" nd="1"/>
        <i x="76" s="1" nd="1"/>
        <i x="212" s="1" nd="1"/>
        <i x="58" s="1" nd="1"/>
        <i x="256" s="1" nd="1"/>
        <i x="346" s="1" nd="1"/>
        <i x="262" s="1" nd="1"/>
        <i x="328" s="1" nd="1"/>
        <i x="289" s="1" nd="1"/>
        <i x="81" s="1" nd="1"/>
        <i x="156" s="1" nd="1"/>
        <i x="117" s="1" nd="1"/>
        <i x="157" s="1" nd="1"/>
        <i x="179" s="1" nd="1"/>
        <i x="361" s="1" nd="1"/>
        <i x="3" s="1" nd="1"/>
        <i x="233" s="1" nd="1"/>
        <i x="354" s="1" nd="1"/>
        <i x="383" s="1" nd="1"/>
        <i x="355" s="1" nd="1"/>
        <i x="362" s="1" nd="1"/>
        <i x="203" s="1" nd="1"/>
        <i x="59" s="1" nd="1"/>
        <i x="188" s="1" nd="1"/>
        <i x="394" s="1" nd="1"/>
        <i x="324" s="1" nd="1"/>
        <i x="356" s="1" nd="1"/>
        <i x="291" s="1" nd="1"/>
        <i x="335" s="1" nd="1"/>
        <i x="270" s="1" nd="1"/>
        <i x="363" s="1" nd="1"/>
        <i x="55" s="1" nd="1"/>
        <i x="299" s="1" nd="1"/>
        <i x="380" s="1" nd="1"/>
        <i x="336" s="1" nd="1"/>
        <i x="8" s="1" nd="1"/>
        <i x="357" s="1" nd="1"/>
        <i x="180" s="1" nd="1"/>
        <i x="257" s="1" nd="1"/>
        <i x="119" s="1" nd="1"/>
        <i x="225" s="1" nd="1"/>
        <i x="139" s="1" nd="1"/>
        <i x="39" s="1" nd="1"/>
        <i x="91" s="1" nd="1"/>
        <i x="347" s="1" nd="1"/>
        <i x="94" s="1" nd="1"/>
        <i x="181" s="1" nd="1"/>
        <i x="384" s="1" nd="1"/>
        <i x="71" s="1" nd="1"/>
        <i x="19" s="1" nd="1"/>
        <i x="395" s="1" nd="1"/>
        <i x="169" s="1" nd="1"/>
        <i x="348" s="1" nd="1"/>
        <i x="337" s="1" nd="1"/>
        <i x="13" s="1" nd="1"/>
        <i x="325" s="1" nd="1"/>
        <i x="103" s="1" nd="1"/>
        <i x="246" s="1" nd="1"/>
        <i x="131" s="1" nd="1"/>
        <i x="49" s="1" nd="1"/>
        <i x="390" s="1" nd="1"/>
        <i x="120" s="1" nd="1"/>
        <i x="4" s="1" nd="1"/>
        <i x="375" s="1" nd="1"/>
        <i x="364" s="1" nd="1"/>
        <i x="391" s="1" nd="1"/>
        <i x="370" s="1" nd="1"/>
        <i x="40" s="1" nd="1"/>
        <i x="159" s="1" nd="1"/>
        <i x="56" s="1" nd="1"/>
        <i x="170" s="1" nd="1"/>
        <i x="326" s="1" nd="1"/>
        <i x="338" s="1" nd="1"/>
        <i x="411" s="1" nd="1"/>
        <i x="182" s="1" nd="1"/>
        <i x="171" s="1" nd="1"/>
        <i x="95" s="1" nd="1"/>
        <i x="263" s="1" nd="1"/>
        <i x="140" s="1" nd="1"/>
        <i x="319" s="1" nd="1"/>
        <i x="320" s="1" nd="1"/>
        <i x="310" s="1" nd="1"/>
        <i x="172" s="1" nd="1"/>
        <i x="147" s="1" nd="1"/>
        <i x="121" s="1" nd="1"/>
        <i x="165" s="1" nd="1"/>
        <i x="64" s="1" nd="1"/>
        <i x="349" s="1" nd="1"/>
        <i x="329" s="1" nd="1"/>
        <i x="65" s="1" nd="1"/>
        <i x="198" s="1" nd="1"/>
        <i x="189" s="1" nd="1"/>
        <i x="285" s="1" nd="1"/>
        <i x="174" s="1" nd="1"/>
        <i x="113" s="1" nd="1"/>
        <i x="9" s="1" nd="1"/>
        <i x="286" s="1" nd="1"/>
        <i x="31" s="1" nd="1"/>
        <i x="57" s="1" nd="1"/>
        <i x="287" s="1" nd="1"/>
        <i x="104" s="1" nd="1"/>
        <i x="50" s="1" nd="1"/>
        <i x="376" s="1" nd="1"/>
        <i x="292" s="1" nd="1"/>
        <i x="277" s="1" nd="1"/>
        <i x="300" s="1" nd="1"/>
        <i x="66" s="1" nd="1"/>
        <i x="412" s="1" nd="1"/>
        <i x="175" s="1" nd="1"/>
        <i x="101" s="1" nd="1"/>
        <i x="199" s="1" nd="1"/>
        <i x="41" s="1" nd="1"/>
        <i x="408" s="1" nd="1"/>
        <i x="217" s="1" nd="1"/>
        <i x="327" s="1" nd="1"/>
        <i x="339" s="1" nd="1"/>
        <i x="218" s="1" nd="1"/>
        <i x="60" s="1" nd="1"/>
        <i x="381" s="1" nd="1"/>
        <i x="122" s="1" nd="1"/>
        <i x="293" s="1" nd="1"/>
        <i x="237" s="1" nd="1"/>
        <i x="301" s="1" nd="1"/>
        <i x="396" s="1" nd="1"/>
        <i x="219" s="1" nd="1"/>
        <i x="340" s="1" nd="1"/>
        <i x="114" s="1" nd="1"/>
        <i x="77" s="1" nd="1"/>
        <i x="350" s="1" nd="1"/>
        <i x="226" s="1" nd="1"/>
        <i x="321" s="1" nd="1"/>
        <i x="105" s="1" nd="1"/>
        <i x="42" s="1" nd="1"/>
        <i x="20" s="1" nd="1"/>
        <i x="397" s="1" nd="1"/>
        <i x="96" s="1" nd="1"/>
        <i x="32" s="1" nd="1"/>
        <i x="238" s="1" nd="1"/>
        <i x="247" s="1" nd="1"/>
        <i x="351" s="1" nd="1"/>
        <i x="330" s="1" nd="1"/>
        <i x="311" s="1" nd="1"/>
        <i x="51" s="1" nd="1"/>
        <i x="398" s="1" nd="1"/>
        <i x="106" s="1" nd="1"/>
        <i x="213" s="1" nd="1"/>
        <i x="107" s="1" nd="1"/>
        <i x="315" s="1" nd="1"/>
        <i x="385" s="1" nd="1"/>
        <i x="14" s="1" nd="1"/>
        <i x="365" s="1" nd="1"/>
        <i x="214" s="1" nd="1"/>
        <i x="331" s="1" nd="1"/>
        <i x="234" s="1" nd="1"/>
        <i x="366" s="1" nd="1"/>
        <i x="61" s="1" nd="1"/>
        <i x="123" s="1" nd="1"/>
        <i x="294" s="1" nd="1"/>
        <i x="377" s="1" nd="1"/>
        <i x="82" s="1" nd="1"/>
        <i x="271" s="1" nd="1"/>
        <i x="43" s="1" nd="1"/>
        <i x="399" s="1" nd="1"/>
        <i x="10" s="1" nd="1"/>
        <i x="124" s="1" nd="1"/>
        <i x="83" s="1" nd="1"/>
        <i x="141" s="1" nd="1"/>
        <i x="258" s="1" nd="1"/>
        <i x="413" s="1" nd="1"/>
        <i x="239" s="1" nd="1"/>
        <i x="358" s="1" nd="1"/>
        <i x="312" s="1" nd="1"/>
        <i x="264" s="1" nd="1"/>
        <i x="302" s="1" nd="1"/>
        <i x="341" s="1" nd="1"/>
        <i x="227" s="1" nd="1"/>
        <i x="166" s="1" nd="1"/>
        <i x="332" s="1" nd="1"/>
        <i x="342" s="1" nd="1"/>
        <i x="125" s="1" nd="1"/>
        <i x="115" s="1" nd="1"/>
        <i x="142" s="1" nd="1"/>
        <i x="240" s="1" nd="1"/>
        <i x="62" s="1" nd="1"/>
        <i x="392" s="1" nd="1"/>
        <i x="183" s="1" nd="1"/>
        <i x="288" s="1" nd="1"/>
        <i x="386" s="1" nd="1"/>
        <i x="143" s="1" nd="1"/>
        <i x="84" s="1" nd="1"/>
        <i x="33" s="1" nd="1"/>
        <i x="176" s="1" nd="1"/>
        <i x="97" s="1" nd="1"/>
        <i x="21" s="1" nd="1"/>
        <i x="108" s="1" nd="1"/>
        <i x="305" s="1" nd="1"/>
        <i x="26" s="1" nd="1"/>
        <i x="190" s="1" nd="1"/>
        <i x="248" s="1" nd="1"/>
        <i x="313" s="1" nd="1"/>
        <i x="15" s="1" nd="1"/>
        <i x="78" s="1" nd="1"/>
        <i x="148" s="1" nd="1"/>
        <i x="228" s="1" nd="1"/>
        <i x="204" s="1" nd="1"/>
        <i x="109" s="1" nd="1"/>
        <i x="352" s="1" nd="1"/>
        <i x="235" s="1" nd="1"/>
        <i x="194" s="1" nd="1"/>
        <i x="229" s="1" nd="1"/>
        <i x="367" s="1" nd="1"/>
        <i x="205" s="1" nd="1"/>
        <i x="249" s="1" nd="1"/>
        <i x="167" s="1" nd="1"/>
        <i x="414" s="1" nd="1"/>
        <i x="34" s="1" nd="1"/>
        <i x="278" s="1" nd="1"/>
        <i x="279" s="1" nd="1"/>
        <i x="290" s="1" nd="1"/>
        <i x="241" s="1" nd="1"/>
        <i x="85" s="1" nd="1"/>
        <i x="149" s="1" nd="1"/>
        <i x="333" s="1" nd="1"/>
        <i x="110" s="1" nd="1"/>
        <i x="306" s="1" nd="1"/>
        <i x="382" s="1" nd="1"/>
        <i x="72" s="1" nd="1"/>
        <i x="158" s="1" nd="1"/>
        <i x="16" s="1" nd="1"/>
        <i x="242" s="1" nd="1"/>
        <i x="415" s="1" nd="1"/>
        <i x="195" s="1" nd="1"/>
        <i x="73" s="1" nd="1"/>
        <i x="44" s="1" nd="1"/>
        <i x="45" s="1" nd="1"/>
        <i x="86" s="1" nd="1"/>
        <i x="22" s="1" nd="1"/>
        <i x="403" s="1" nd="1"/>
        <i x="35" s="1" nd="1"/>
        <i x="168" s="1" nd="1"/>
        <i x="184" s="1" nd="1"/>
        <i x="334" s="1" nd="1"/>
        <i x="185" s="1" nd="1"/>
        <i x="368" s="1" nd="1"/>
        <i x="322" s="1" nd="1"/>
        <i x="144" s="1" nd="1"/>
        <i x="160" s="1" nd="1"/>
        <i x="372" s="1" nd="1"/>
        <i x="295" s="1" nd="1"/>
        <i x="404" s="1" nd="1"/>
        <i x="79" s="1" nd="1"/>
        <i x="265" s="1" nd="1"/>
        <i x="215" s="1" nd="1"/>
        <i x="74" s="1" nd="1"/>
        <i x="405" s="1" nd="1"/>
        <i x="63" s="1" nd="1"/>
        <i x="280" s="1" nd="1"/>
        <i x="206" s="1" nd="1"/>
        <i x="36" s="1" nd="1"/>
        <i x="400" s="1" nd="1"/>
        <i x="23" s="1" nd="1"/>
        <i x="406" s="1" nd="1"/>
        <i x="126" s="1" nd="1"/>
        <i x="207" s="1" nd="1"/>
        <i x="266" s="1" nd="1"/>
        <i x="161" s="1" nd="1"/>
        <i x="67" s="1" nd="1"/>
        <i x="173" s="1" nd="1"/>
        <i x="272" s="1" nd="1"/>
        <i x="150" s="1" nd="1"/>
        <i x="127" s="1" nd="1"/>
        <i x="98" s="1" nd="1"/>
        <i x="343" s="1" nd="1"/>
        <i x="316" s="1" nd="1"/>
        <i x="186" s="1" nd="1"/>
        <i x="243" s="1" nd="1"/>
        <i x="267" s="1" nd="1"/>
        <i x="196" s="1" nd="1"/>
        <i x="5" s="1" nd="1"/>
        <i x="409" s="1" nd="1"/>
        <i x="373" s="1" nd="1"/>
        <i x="317" s="1" nd="1"/>
        <i x="369" s="1" nd="1"/>
        <i x="68" s="1" nd="1"/>
        <i x="162" s="1" nd="1"/>
        <i x="197" s="1" nd="1"/>
        <i x="236" s="1" nd="1"/>
        <i x="16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416">
        <i x="0" s="1"/>
        <i x="15" s="1" nd="1"/>
        <i x="383" s="1" nd="1"/>
        <i x="94" s="1" nd="1"/>
        <i x="307" s="1" nd="1"/>
        <i x="273" s="1" nd="1"/>
        <i x="320" s="1" nd="1"/>
        <i x="314" s="1" nd="1"/>
        <i x="284" s="1" nd="1"/>
        <i x="375" s="1" nd="1"/>
        <i x="128" s="1" nd="1"/>
        <i x="51" s="1" nd="1"/>
        <i x="315" s="1" nd="1"/>
        <i x="203" s="1" nd="1"/>
        <i x="258" s="1" nd="1"/>
        <i x="39" s="1" nd="1"/>
        <i x="366" s="1" nd="1"/>
        <i x="274" s="1" nd="1"/>
        <i x="204" s="1" nd="1"/>
        <i x="321" s="1" nd="1"/>
        <i x="332" s="1" nd="1"/>
        <i x="211" s="1" nd="1"/>
        <i x="40" s="1" nd="1"/>
        <i x="229" s="1" nd="1"/>
        <i x="65" s="1" nd="1"/>
        <i x="16" s="1" nd="1"/>
        <i x="298" s="1" nd="1"/>
        <i x="182" s="1" nd="1"/>
        <i x="347" s="1" nd="1"/>
        <i x="32" s="1" nd="1"/>
        <i x="245" s="1" nd="1"/>
        <i x="118" s="1" nd="1"/>
        <i x="7" s="1" nd="1"/>
        <i x="384" s="1" nd="1"/>
        <i x="72" s="1" nd="1"/>
        <i x="164" s="1" nd="1"/>
        <i x="22" s="1" nd="1"/>
        <i x="398" s="1" nd="1"/>
        <i x="275" s="1" nd="1"/>
        <i x="205" s="1" nd="1"/>
        <i x="149" s="1" nd="1"/>
        <i x="354" s="1" nd="1"/>
        <i x="373" s="1" nd="1"/>
        <i x="190" s="1" nd="1"/>
        <i x="399" s="1" nd="1"/>
        <i x="23" s="1" nd="1"/>
        <i x="333" s="1" nd="1"/>
        <i x="276" s="1" nd="1"/>
        <i x="112" s="1" nd="1"/>
        <i x="109" s="1" nd="1"/>
        <i x="367" s="1" nd="1"/>
        <i x="360" s="1" nd="1"/>
        <i x="119" s="1" nd="1"/>
        <i x="230" s="1" nd="1"/>
        <i x="10" s="1" nd="1"/>
        <i x="361" s="1" nd="1"/>
        <i x="390" s="1" nd="1"/>
        <i x="165" s="1" nd="1"/>
        <i x="328" s="1" nd="1"/>
        <i x="24" s="1" nd="1"/>
        <i x="80" s="1" nd="1"/>
        <i x="246" s="1" nd="1"/>
        <i x="124" s="1" nd="1"/>
        <i x="11" s="1" nd="1"/>
        <i x="299" s="1" nd="1"/>
        <i x="238" s="1" nd="1"/>
        <i x="101" s="1" nd="1"/>
        <i x="266" s="1" nd="1"/>
        <i x="197" s="1" nd="1"/>
        <i x="348" s="1" nd="1"/>
        <i x="285" s="1" nd="1"/>
        <i x="33" s="1" nd="1"/>
        <i x="87" s="1" nd="1"/>
        <i x="135" s="1" nd="1"/>
        <i x="300" s="1" nd="1"/>
        <i x="206" s="1" nd="1"/>
        <i x="17" s="1" nd="1"/>
        <i x="34" s="1" nd="1"/>
        <i x="88" s="1" nd="1"/>
        <i x="150" s="1" nd="1"/>
        <i x="247" s="1" nd="1"/>
        <i x="376" s="1" nd="1"/>
        <i x="166" s="1" nd="1"/>
        <i x="385" s="1" nd="1"/>
        <i x="325" s="1" nd="1"/>
        <i x="198" s="1" nd="1"/>
        <i x="212" s="1" nd="1"/>
        <i x="391" s="1" nd="1"/>
        <i x="102" s="1" nd="1"/>
        <i x="267" s="1" nd="1"/>
        <i x="25" s="1" nd="1"/>
        <i x="405" s="1" nd="1"/>
        <i x="349" s="1" nd="1"/>
        <i x="277" s="1" nd="1"/>
        <i x="167" s="1" nd="1"/>
        <i x="26" s="1" nd="1"/>
        <i x="151" s="1" nd="1"/>
        <i x="248" s="1" nd="1"/>
        <i x="406" s="1" nd="1"/>
        <i x="113" s="1" nd="1"/>
        <i x="173" s="1" nd="1"/>
        <i x="278" s="1" nd="1"/>
        <i x="183" s="1" nd="1"/>
        <i x="268" s="1" nd="1"/>
        <i x="59" s="1" nd="1"/>
        <i x="159" s="1" nd="1"/>
        <i x="368" s="1" nd="1"/>
        <i x="400" s="1" nd="1"/>
        <i x="177" s="1" nd="1"/>
        <i x="219" s="1" nd="1"/>
        <i x="308" s="1" nd="1"/>
        <i x="377" s="1" nd="1"/>
        <i x="254" s="1" nd="1"/>
        <i x="362" s="1" nd="1"/>
        <i x="184" s="1" nd="1"/>
        <i x="45" s="1" nd="1"/>
        <i x="392" s="1" nd="1"/>
        <i x="129" s="1" nd="1"/>
        <i x="280" s="1" nd="1"/>
        <i x="220" s="1" nd="1"/>
        <i x="160" s="1" nd="1"/>
        <i x="73" s="1" nd="1"/>
        <i x="125" s="1" nd="1"/>
        <i x="41" s="1" nd="1"/>
        <i x="322" s="1" nd="1"/>
        <i x="89" s="1" nd="1"/>
        <i x="329" s="1" nd="1"/>
        <i x="27" s="1" nd="1"/>
        <i x="234" s="1" nd="1"/>
        <i x="95" s="1" nd="1"/>
        <i x="259" s="1" nd="1"/>
        <i x="199" s="1" nd="1"/>
        <i x="126" s="1" nd="1"/>
        <i x="90" s="1" nd="1"/>
        <i x="289" s="1" nd="1"/>
        <i x="114" s="1" nd="1"/>
        <i x="161" s="1" nd="1"/>
        <i x="193" s="1" nd="1"/>
        <i x="301" s="1" nd="1"/>
        <i x="66" s="1" nd="1"/>
        <i x="226" s="1" nd="1"/>
        <i x="52" s="1" nd="1"/>
        <i x="67" s="1" nd="1"/>
        <i x="152" s="1" nd="1"/>
        <i x="174" s="1" nd="1"/>
        <i x="110" s="1" nd="1"/>
        <i x="60" s="1" nd="1"/>
        <i x="178" s="1" nd="1"/>
        <i x="326" s="1" nd="1"/>
        <i x="185" s="1" nd="1"/>
        <i x="18" s="1" nd="1"/>
        <i x="141" s="1" nd="1"/>
        <i x="1" s="1" nd="1"/>
        <i x="103" s="1" nd="1"/>
        <i x="53" s="1" nd="1"/>
        <i x="231" s="1" nd="1"/>
        <i x="337" s="1" nd="1"/>
        <i x="221" s="1" nd="1"/>
        <i x="241" s="1" nd="1"/>
        <i x="28" s="1" nd="1"/>
        <i x="286" s="1" nd="1"/>
        <i x="249" s="1" nd="1"/>
        <i x="290" s="1" nd="1"/>
        <i x="378" s="1" nd="1"/>
        <i x="407" s="1" nd="1"/>
        <i x="260" s="1" nd="1"/>
        <i x="120" s="1" nd="1"/>
        <i x="369" s="1" nd="1"/>
        <i x="153" s="1" nd="1"/>
        <i x="316" s="1" nd="1"/>
        <i x="130" s="1" nd="1"/>
        <i x="61" s="1" nd="1"/>
        <i x="194" s="1" nd="1"/>
        <i x="261" s="1" nd="1"/>
        <i x="121" s="1" nd="1"/>
        <i x="46" s="1" nd="1"/>
        <i x="379" s="1" nd="1"/>
        <i x="74" s="1" nd="1"/>
        <i x="291" s="1" nd="1"/>
        <i x="42" s="1" nd="1"/>
        <i x="186" s="1" nd="1"/>
        <i x="281" s="1" nd="1"/>
        <i x="142" s="1" nd="1"/>
        <i x="269" s="1" nd="1"/>
        <i x="8" s="1" nd="1"/>
        <i x="111" s="1" nd="1"/>
        <i x="156" s="1" nd="1"/>
        <i x="323" s="1" nd="1"/>
        <i x="338" s="1" nd="1"/>
        <i x="413" s="1" nd="1"/>
        <i x="168" s="1" nd="1"/>
        <i x="2" s="1" nd="1"/>
        <i x="350" s="1" nd="1"/>
        <i x="287" s="1" nd="1"/>
        <i x="62" s="1" nd="1"/>
        <i x="235" s="1" nd="1"/>
        <i x="408" s="1" nd="1"/>
        <i x="179" s="1" nd="1"/>
        <i x="43" s="1" nd="1"/>
        <i x="187" s="1" nd="1"/>
        <i x="262" s="1" nd="1"/>
        <i x="342" s="1" nd="1"/>
        <i x="200" s="1" nd="1"/>
        <i x="282" s="1" nd="1"/>
        <i x="270" s="1" nd="1"/>
        <i x="29" s="1" nd="1"/>
        <i x="207" s="1" nd="1"/>
        <i x="54" s="1" nd="1"/>
        <i x="317" s="1" nd="1"/>
        <i x="401" s="1" nd="1"/>
        <i x="334" s="1" nd="1"/>
        <i x="91" s="1" nd="1"/>
        <i x="180" s="1" nd="1"/>
        <i x="255" s="1" nd="1"/>
        <i x="414" s="1" nd="1"/>
        <i x="96" s="1" nd="1"/>
        <i x="188" s="1" nd="1"/>
        <i x="47" s="1" nd="1"/>
        <i x="393" s="1" nd="1"/>
        <i x="271" s="1" nd="1"/>
        <i x="154" s="1" nd="1"/>
        <i x="250" s="1" nd="1"/>
        <i x="131" s="1" nd="1"/>
        <i x="195" s="1" nd="1"/>
        <i x="343" s="1" nd="1"/>
        <i x="143" s="1" nd="1"/>
        <i x="75" s="1" nd="1"/>
        <i x="374" s="1" nd="1"/>
        <i x="355" s="1" nd="1"/>
        <i x="380" s="1" nd="1"/>
        <i x="256" s="1" nd="1"/>
        <i x="12" s="1" nd="1"/>
        <i x="115" s="1" nd="1"/>
        <i x="97" s="1" nd="1"/>
        <i x="189" s="1" nd="1"/>
        <i x="370" s="1" nd="1"/>
        <i x="48" s="1" nd="1"/>
        <i x="76" s="1" nd="1"/>
        <i x="242" s="1" nd="1"/>
        <i x="3" s="1" nd="1"/>
        <i x="55" s="1" nd="1"/>
        <i x="81" s="1" nd="1"/>
        <i x="213" s="1" nd="1"/>
        <i x="292" s="1" nd="1"/>
        <i x="302" s="1" nd="1"/>
        <i x="98" s="1" nd="1"/>
        <i x="263" s="1" nd="1"/>
        <i x="122" s="1" nd="1"/>
        <i x="144" s="1" nd="1"/>
        <i x="77" s="1" nd="1"/>
        <i x="169" s="1" nd="1"/>
        <i x="330" s="1" nd="1"/>
        <i x="351" s="1" nd="1"/>
        <i x="56" s="1" nd="1"/>
        <i x="35" s="1" nd="1"/>
        <i x="132" s="1" nd="1"/>
        <i x="293" s="1" nd="1"/>
        <i x="381" s="1" nd="1"/>
        <i x="63" s="1" nd="1"/>
        <i x="181" s="1" nd="1"/>
        <i x="363" s="1" nd="1"/>
        <i x="68" s="1" nd="1"/>
        <i x="99" s="1" nd="1"/>
        <i x="19" s="1" nd="1"/>
        <i x="309" s="1" nd="1"/>
        <i x="78" s="1" nd="1"/>
        <i x="318" s="1" nd="1"/>
        <i x="402" s="1" nd="1"/>
        <i x="82" s="1" nd="1"/>
        <i x="294" s="1" nd="1"/>
        <i x="324" s="1" nd="1"/>
        <i x="116" s="1" nd="1"/>
        <i x="136" s="1" nd="1"/>
        <i x="222" s="1" nd="1"/>
        <i x="344" s="1" nd="1"/>
        <i x="371" s="1" nd="1"/>
        <i x="49" s="1" nd="1"/>
        <i x="394" s="1" nd="1"/>
        <i x="4" s="1" nd="1"/>
        <i x="191" s="1" nd="1"/>
        <i x="352" s="1" nd="1"/>
        <i x="57" s="1" nd="1"/>
        <i x="83" s="1" nd="1"/>
        <i x="335" s="1" nd="1"/>
        <i x="356" s="1" nd="1"/>
        <i x="214" s="1" nd="1"/>
        <i x="295" s="1" nd="1"/>
        <i x="409" s="1" nd="1"/>
        <i x="364" s="1" nd="1"/>
        <i x="303" s="1" nd="1"/>
        <i x="415" s="1" nd="1"/>
        <i x="201" s="1" nd="1"/>
        <i x="145" s="1" nd="1"/>
        <i x="227" s="1" nd="1"/>
        <i x="310" s="1" nd="1"/>
        <i x="30" s="1" nd="1"/>
        <i x="58" s="1" nd="1"/>
        <i x="133" s="1" nd="1"/>
        <i x="215" s="1" nd="1"/>
        <i x="296" s="1" nd="1"/>
        <i x="339" s="1" nd="1"/>
        <i x="386" s="1" nd="1"/>
        <i x="69" s="1" nd="1"/>
        <i x="239" s="1" nd="1"/>
        <i x="20" s="1" nd="1"/>
        <i x="123" s="1" nd="1"/>
        <i x="283" s="1" nd="1"/>
        <i x="79" s="1" nd="1"/>
        <i x="104" s="1" nd="1"/>
        <i x="192" s="1" nd="1"/>
        <i x="208" s="1" nd="1"/>
        <i x="232" s="1" nd="1"/>
        <i x="403" s="1" nd="1"/>
        <i x="251" s="1" nd="1"/>
        <i x="357" s="1" nd="1"/>
        <i x="36" s="1" nd="1"/>
        <i x="410" s="1" nd="1"/>
        <i x="223" s="1" nd="1"/>
        <i x="264" s="1" nd="1"/>
        <i x="50" s="1" nd="1"/>
        <i x="311" s="1" nd="1"/>
        <i x="395" s="1" nd="1"/>
        <i x="105" s="1" nd="1"/>
        <i x="84" s="1" nd="1"/>
        <i x="175" s="1" nd="1"/>
        <i x="336" s="1" nd="1"/>
        <i x="358" s="1" nd="1"/>
        <i x="157" s="1" nd="1"/>
        <i x="411" s="1" nd="1"/>
        <i x="345" s="1" nd="1"/>
        <i x="146" s="1" nd="1"/>
        <i x="228" s="1" nd="1"/>
        <i x="312" s="1" nd="1"/>
        <i x="155" s="1" nd="1"/>
        <i x="85" s="1" nd="1"/>
        <i x="176" s="1" nd="1"/>
        <i x="134" s="1" nd="1"/>
        <i x="412" s="1" nd="1"/>
        <i x="92" s="1" nd="1"/>
        <i x="117" s="1" nd="1"/>
        <i x="387" s="1" nd="1"/>
        <i x="327" s="1" nd="1"/>
        <i x="100" s="1" nd="1"/>
        <i x="147" s="1" nd="1"/>
        <i x="396" s="1" nd="1"/>
        <i x="170" s="1" nd="1"/>
        <i x="233" s="1" nd="1"/>
        <i x="319" s="1" nd="1"/>
        <i x="9" s="1" nd="1"/>
        <i x="279" s="1" nd="1"/>
        <i x="216" s="1" nd="1"/>
        <i x="382" s="1" nd="1"/>
        <i x="137" s="1" nd="1"/>
        <i x="171" s="1" nd="1"/>
        <i x="243" s="1" nd="1"/>
        <i x="106" s="1" nd="1"/>
        <i x="31" s="1" nd="1"/>
        <i x="209" s="1" nd="1"/>
        <i x="86" s="1" nd="1"/>
        <i x="359" s="1" nd="1"/>
        <i x="37" s="1" nd="1"/>
        <i x="217" s="1" nd="1"/>
        <i x="236" s="1" nd="1"/>
        <i x="257" s="1" nd="1"/>
        <i x="138" s="1" nd="1"/>
        <i x="224" s="1" nd="1"/>
        <i x="304" s="1" nd="1"/>
        <i x="388" s="1" nd="1"/>
        <i x="346" s="1" nd="1"/>
        <i x="21" s="1" nd="1"/>
        <i x="148" s="1" nd="1"/>
        <i x="397" s="1" nd="1"/>
        <i x="107" s="1" nd="1"/>
        <i x="252" s="1" nd="1"/>
        <i x="158" s="1" nd="1"/>
        <i x="44" s="1" nd="1"/>
        <i x="70" s="1" nd="1"/>
        <i x="372" s="1" nd="1"/>
        <i x="244" s="1" nd="1"/>
        <i x="5" s="1" nd="1"/>
        <i x="272" s="1" nd="1"/>
        <i x="288" s="1" nd="1"/>
        <i x="253" s="1" nd="1"/>
        <i x="218" s="1" nd="1"/>
        <i x="365" s="1" nd="1"/>
        <i x="331" s="1" nd="1"/>
        <i x="6" s="1" nd="1"/>
        <i x="353" s="1" nd="1"/>
        <i x="127" s="1" nd="1"/>
        <i x="38" s="1" nd="1"/>
        <i x="64" s="1" nd="1"/>
        <i x="196" s="1" nd="1"/>
        <i x="139" s="1" nd="1"/>
        <i x="305" s="1" nd="1"/>
        <i x="162" s="1" nd="1"/>
        <i x="265" s="1" nd="1"/>
        <i x="108" s="1" nd="1"/>
        <i x="340" s="1" nd="1"/>
        <i x="13" s="1" nd="1"/>
        <i x="140" s="1" nd="1"/>
        <i x="163" s="1" nd="1"/>
        <i x="240" s="1" nd="1"/>
        <i x="210" s="1" nd="1"/>
        <i x="93" s="1" nd="1"/>
        <i x="341" s="1" nd="1"/>
        <i x="389" s="1" nd="1"/>
        <i x="202" s="1" nd="1"/>
        <i x="172" s="1" nd="1"/>
        <i x="297" s="1" nd="1"/>
        <i x="237" s="1" nd="1"/>
        <i x="14" s="1" nd="1"/>
        <i x="225" s="1" nd="1"/>
        <i x="306" s="1" nd="1"/>
        <i x="71" s="1" nd="1"/>
        <i x="404" s="1" nd="1"/>
        <i x="313"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25">
        <i x="0" s="1"/>
        <i x="1" s="1" nd="1"/>
        <i x="119" s="1" nd="1"/>
        <i x="109" s="1" nd="1"/>
        <i x="8" s="1" nd="1"/>
        <i x="120" s="1" nd="1"/>
        <i x="4" s="1" nd="1"/>
        <i x="27" s="1" nd="1"/>
        <i x="91" s="1" nd="1"/>
        <i x="48" s="1" nd="1"/>
        <i x="117" s="1" nd="1"/>
        <i x="40" s="1" nd="1"/>
        <i x="6" s="1" nd="1"/>
        <i x="92" s="1" nd="1"/>
        <i x="51" s="1" nd="1"/>
        <i x="56" s="1" nd="1"/>
        <i x="19" s="1" nd="1"/>
        <i x="121" s="1" nd="1"/>
        <i x="5" s="1" nd="1"/>
        <i x="115" s="1" nd="1"/>
        <i x="52" s="1" nd="1"/>
        <i x="59" s="1" nd="1"/>
        <i x="63" s="1" nd="1"/>
        <i x="41" s="1" nd="1"/>
        <i x="10" s="1" nd="1"/>
        <i x="104" s="1" nd="1"/>
        <i x="97" s="1" nd="1"/>
        <i x="66" s="1" nd="1"/>
        <i x="122" s="1" nd="1"/>
        <i x="67" s="1" nd="1"/>
        <i x="112" s="1" nd="1"/>
        <i x="86" s="1" nd="1"/>
        <i x="74" s="1" nd="1"/>
        <i x="76" s="1" nd="1"/>
        <i x="49" s="1" nd="1"/>
        <i x="60" s="1" nd="1"/>
        <i x="57" s="1" nd="1"/>
        <i x="38" s="1" nd="1"/>
        <i x="116" s="1" nd="1"/>
        <i x="123" s="1" nd="1"/>
        <i x="79" s="1" nd="1"/>
        <i x="101" s="1" nd="1"/>
        <i x="100" s="1" nd="1"/>
        <i x="9" s="1" nd="1"/>
        <i x="61" s="1" nd="1"/>
        <i x="39" s="1" nd="1"/>
        <i x="95" s="1" nd="1"/>
        <i x="23" s="1" nd="1"/>
        <i x="108" s="1" nd="1"/>
        <i x="11" s="1" nd="1"/>
        <i x="81" s="1" nd="1"/>
        <i x="93" s="1" nd="1"/>
        <i x="113" s="1" nd="1"/>
        <i x="89" s="1" nd="1"/>
        <i x="20" s="1" nd="1"/>
        <i x="71" s="1" nd="1"/>
        <i x="68" s="1" nd="1"/>
        <i x="24" s="1" nd="1"/>
        <i x="99" s="1" nd="1"/>
        <i x="21" s="1" nd="1"/>
        <i x="42" s="1" nd="1"/>
        <i x="36" s="1" nd="1"/>
        <i x="124" s="1" nd="1"/>
        <i x="2" s="1" nd="1"/>
        <i x="94" s="1" nd="1"/>
        <i x="14" s="1" nd="1"/>
        <i x="105" s="1" nd="1"/>
        <i x="43" s="1" nd="1"/>
        <i x="87" s="1" nd="1"/>
        <i x="58" s="1" nd="1"/>
        <i x="45" s="1" nd="1"/>
        <i x="28" s="1" nd="1"/>
        <i x="33" s="1" nd="1"/>
        <i x="106" s="1" nd="1"/>
        <i x="53" s="1" nd="1"/>
        <i x="31" s="1" nd="1"/>
        <i x="15" s="1" nd="1"/>
        <i x="34" s="1" nd="1"/>
        <i x="3" s="1" nd="1"/>
        <i x="83" s="1" nd="1"/>
        <i x="54" s="1" nd="1"/>
        <i x="17" s="1" nd="1"/>
        <i x="22" s="1" nd="1"/>
        <i x="88" s="1" nd="1"/>
        <i x="16" s="1" nd="1"/>
        <i x="84" s="1" nd="1"/>
        <i x="25" s="1" nd="1"/>
        <i x="69" s="1" nd="1"/>
        <i x="44" s="1" nd="1"/>
        <i x="46" s="1" nd="1"/>
        <i x="75" s="1" nd="1"/>
        <i x="96" s="1" nd="1"/>
        <i x="29" s="1" nd="1"/>
        <i x="12" s="1" nd="1"/>
        <i x="98" s="1" nd="1"/>
        <i x="82" s="1" nd="1"/>
        <i x="114" s="1" nd="1"/>
        <i x="77" s="1" nd="1"/>
        <i x="110" s="1" nd="1"/>
        <i x="7" s="1" nd="1"/>
        <i x="26" s="1" nd="1"/>
        <i x="64" s="1" nd="1"/>
        <i x="85" s="1" nd="1"/>
        <i x="107" s="1" nd="1"/>
        <i x="70" s="1" nd="1"/>
        <i x="78" s="1" nd="1"/>
        <i x="30" s="1" nd="1"/>
        <i x="72" s="1" nd="1"/>
        <i x="90" s="1" nd="1"/>
        <i x="47" s="1" nd="1"/>
        <i x="62" s="1" nd="1"/>
        <i x="13" s="1" nd="1"/>
        <i x="32" s="1" nd="1"/>
        <i x="111" s="1" nd="1"/>
        <i x="118" s="1" nd="1"/>
        <i x="37" s="1" nd="1"/>
        <i x="80" s="1" nd="1"/>
        <i x="50" s="1" nd="1"/>
        <i x="65" s="1" nd="1"/>
        <i x="18" s="1" nd="1"/>
        <i x="35" s="1" nd="1"/>
        <i x="102" s="1" nd="1"/>
        <i x="103" s="1" nd="1"/>
        <i x="55" s="1" nd="1"/>
        <i x="73"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2:I98" tableType="queryTable" totalsRowShown="0">
  <autoFilter ref="A2:I98"/>
  <sortState ref="A3:I98">
    <sortCondition descending="1" ref="E1:E4"/>
  </sortState>
  <tableColumns count="9">
    <tableColumn id="5" uniqueName="5" name="SIMULATIONID" queryTableFieldId="13" dataDxfId="5"/>
    <tableColumn id="1" uniqueName="1" name="PROCESSID" queryTableFieldId="1"/>
    <tableColumn id="12" uniqueName="12" name="NETPROCESSID" queryTableFieldId="29" dataDxfId="4"/>
    <tableColumn id="2" uniqueName="2" name="CLIENTNAME" queryTableFieldId="2"/>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41" tableType="queryTable" totalsRowShown="0">
  <autoFilter ref="A1:O41">
    <filterColumn colId="0">
      <filters>
        <filter val="7232"/>
        <filter val="13568"/>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317</v>
      </c>
      <c r="B1" s="35">
        <v>10</v>
      </c>
    </row>
    <row r="2" spans="1:8" x14ac:dyDescent="0.3">
      <c r="A2" t="s">
        <v>316</v>
      </c>
      <c r="B2" s="35">
        <v>3</v>
      </c>
    </row>
    <row r="3" spans="1:8" x14ac:dyDescent="0.3">
      <c r="A3" t="s">
        <v>315</v>
      </c>
      <c r="B3" s="35">
        <v>4</v>
      </c>
    </row>
    <row r="4" spans="1:8" x14ac:dyDescent="0.3">
      <c r="A4" t="s">
        <v>314</v>
      </c>
      <c r="B4" s="35">
        <v>20</v>
      </c>
    </row>
    <row r="5" spans="1:8" x14ac:dyDescent="0.3">
      <c r="A5" t="s">
        <v>313</v>
      </c>
      <c r="B5" s="35" t="b">
        <v>1</v>
      </c>
    </row>
    <row r="6" spans="1:8" x14ac:dyDescent="0.3">
      <c r="A6" t="s">
        <v>312</v>
      </c>
      <c r="B6" s="35" t="b">
        <v>1</v>
      </c>
      <c r="F6" s="5" t="s">
        <v>311</v>
      </c>
      <c r="G6" s="36">
        <f>SUM(G8:G15)</f>
        <v>3123</v>
      </c>
      <c r="H6" s="36">
        <f>SUM(H8:H15)</f>
        <v>2167362</v>
      </c>
    </row>
    <row r="7" spans="1:8" x14ac:dyDescent="0.3">
      <c r="C7" t="s">
        <v>310</v>
      </c>
      <c r="E7" t="s">
        <v>309</v>
      </c>
      <c r="F7" t="s">
        <v>308</v>
      </c>
      <c r="G7" s="36" t="s">
        <v>307</v>
      </c>
      <c r="H7" s="36" t="s">
        <v>306</v>
      </c>
    </row>
    <row r="8" spans="1:8" x14ac:dyDescent="0.3">
      <c r="A8" t="s">
        <v>305</v>
      </c>
      <c r="B8">
        <f>COUNT(C8:C24)+2</f>
        <v>3</v>
      </c>
      <c r="C8" s="35">
        <v>1</v>
      </c>
      <c r="E8">
        <v>0</v>
      </c>
      <c r="F8">
        <f>+B1*B3*B4+IF(B6,1,0)</f>
        <v>801</v>
      </c>
      <c r="G8" s="34">
        <f t="shared" ref="G8:G14" si="0">F8+IF($B$5,G9,0)</f>
        <v>1842</v>
      </c>
      <c r="H8" s="34"/>
    </row>
    <row r="9" spans="1:8" x14ac:dyDescent="0.3">
      <c r="A9" t="s">
        <v>304</v>
      </c>
      <c r="B9">
        <f>B2*B3*B4</f>
        <v>240</v>
      </c>
      <c r="C9" s="35"/>
      <c r="E9">
        <v>1</v>
      </c>
      <c r="F9">
        <f t="shared" ref="F9:F15" si="1">IF(E9&gt;($B$8-1),0,IF(C8&gt;0,F8*C8,$B$9))</f>
        <v>801</v>
      </c>
      <c r="G9" s="34">
        <f t="shared" si="0"/>
        <v>1041</v>
      </c>
      <c r="H9" s="34">
        <f t="shared" ref="H9:H15" si="2">+G9*G8</f>
        <v>1917522</v>
      </c>
    </row>
    <row r="10" spans="1:8" x14ac:dyDescent="0.3">
      <c r="C10" s="35"/>
      <c r="E10">
        <v>2</v>
      </c>
      <c r="F10">
        <f t="shared" si="1"/>
        <v>240</v>
      </c>
      <c r="G10" s="34">
        <f t="shared" si="0"/>
        <v>240</v>
      </c>
      <c r="H10" s="34">
        <f t="shared" si="2"/>
        <v>249840</v>
      </c>
    </row>
    <row r="11" spans="1:8" x14ac:dyDescent="0.3">
      <c r="C11" s="35"/>
      <c r="E11">
        <v>3</v>
      </c>
      <c r="F11">
        <f t="shared" si="1"/>
        <v>0</v>
      </c>
      <c r="G11" s="34">
        <f t="shared" si="0"/>
        <v>0</v>
      </c>
      <c r="H11" s="34">
        <f t="shared" si="2"/>
        <v>0</v>
      </c>
    </row>
    <row r="12" spans="1:8" x14ac:dyDescent="0.3">
      <c r="C12" s="35"/>
      <c r="E12">
        <v>4</v>
      </c>
      <c r="F12">
        <f t="shared" si="1"/>
        <v>0</v>
      </c>
      <c r="G12" s="34">
        <f t="shared" si="0"/>
        <v>0</v>
      </c>
      <c r="H12" s="34">
        <f t="shared" si="2"/>
        <v>0</v>
      </c>
    </row>
    <row r="13" spans="1:8" x14ac:dyDescent="0.3">
      <c r="C13" s="35"/>
      <c r="E13">
        <v>5</v>
      </c>
      <c r="F13">
        <f t="shared" si="1"/>
        <v>0</v>
      </c>
      <c r="G13" s="34">
        <f t="shared" si="0"/>
        <v>0</v>
      </c>
      <c r="H13" s="34">
        <f t="shared" si="2"/>
        <v>0</v>
      </c>
    </row>
    <row r="14" spans="1:8" x14ac:dyDescent="0.3">
      <c r="E14">
        <v>6</v>
      </c>
      <c r="F14">
        <f t="shared" si="1"/>
        <v>0</v>
      </c>
      <c r="G14" s="34">
        <f t="shared" si="0"/>
        <v>0</v>
      </c>
      <c r="H14" s="34">
        <f t="shared" si="2"/>
        <v>0</v>
      </c>
    </row>
    <row r="15" spans="1:8" x14ac:dyDescent="0.3">
      <c r="E15">
        <v>7</v>
      </c>
      <c r="F15">
        <f t="shared" si="1"/>
        <v>0</v>
      </c>
      <c r="G15" s="34">
        <f>F15+IF($B$5,G17,0)</f>
        <v>0</v>
      </c>
      <c r="H15" s="34">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4"/>
  <sheetViews>
    <sheetView zoomScale="85" zoomScaleNormal="85" workbookViewId="0">
      <selection activeCell="C7" sqref="C7"/>
    </sheetView>
  </sheetViews>
  <sheetFormatPr defaultRowHeight="14.4" x14ac:dyDescent="0.3"/>
  <cols>
    <col min="1" max="1" width="13.44140625" bestFit="1" customWidth="1"/>
    <col min="2" max="2" width="8.21875" customWidth="1"/>
    <col min="3" max="3" width="20.88671875" bestFit="1" customWidth="1"/>
    <col min="5" max="5" width="18.33203125" bestFit="1" customWidth="1"/>
    <col min="6" max="6" width="12.33203125" bestFit="1" customWidth="1"/>
  </cols>
  <sheetData>
    <row r="1" spans="1:6" ht="18" x14ac:dyDescent="0.35">
      <c r="A1" s="1" t="s">
        <v>0</v>
      </c>
      <c r="B1" t="s">
        <v>2</v>
      </c>
      <c r="C1" t="s">
        <v>117</v>
      </c>
      <c r="E1" s="5" t="s">
        <v>11</v>
      </c>
      <c r="F1" s="33">
        <f>VLOOKUP(COUNT($B:$B)-2,$A:$B,2,FALSE)</f>
        <v>2.3797225730959299E-4</v>
      </c>
    </row>
    <row r="2" spans="1:6" x14ac:dyDescent="0.3">
      <c r="A2" s="2">
        <v>0</v>
      </c>
      <c r="B2" s="3">
        <v>1.7526923911646E-3</v>
      </c>
      <c r="C2" s="4">
        <v>10629</v>
      </c>
      <c r="E2" s="5" t="s">
        <v>118</v>
      </c>
      <c r="F2" s="4">
        <f>GETPIVOTDATA("Average of DURATION",$A$1)</f>
        <v>10705.318181818182</v>
      </c>
    </row>
    <row r="3" spans="1:6" x14ac:dyDescent="0.3">
      <c r="A3" s="2">
        <v>1</v>
      </c>
      <c r="B3" s="3">
        <v>1.2076594866812201E-3</v>
      </c>
      <c r="C3" s="4">
        <v>10640</v>
      </c>
    </row>
    <row r="4" spans="1:6" x14ac:dyDescent="0.3">
      <c r="A4" s="2">
        <v>2</v>
      </c>
      <c r="B4" s="3">
        <v>9.3854742590338003E-4</v>
      </c>
      <c r="C4" s="4">
        <v>10645</v>
      </c>
    </row>
    <row r="5" spans="1:6" x14ac:dyDescent="0.3">
      <c r="A5" s="2">
        <v>3</v>
      </c>
      <c r="B5" s="3">
        <v>7.7149580465629697E-4</v>
      </c>
      <c r="C5" s="4">
        <v>10683</v>
      </c>
    </row>
    <row r="6" spans="1:6" x14ac:dyDescent="0.3">
      <c r="A6" s="2">
        <v>4</v>
      </c>
      <c r="B6" s="3">
        <v>6.6001620143651995E-4</v>
      </c>
      <c r="C6" s="4">
        <v>10689</v>
      </c>
    </row>
    <row r="7" spans="1:6" x14ac:dyDescent="0.3">
      <c r="A7" s="2">
        <v>5</v>
      </c>
      <c r="B7" s="3">
        <v>5.80693653319031E-4</v>
      </c>
      <c r="C7" s="4">
        <v>10682</v>
      </c>
    </row>
    <row r="8" spans="1:6" x14ac:dyDescent="0.3">
      <c r="A8" s="2">
        <v>6</v>
      </c>
      <c r="B8" s="3">
        <v>5.2116008009761604E-4</v>
      </c>
      <c r="C8" s="4">
        <v>10699</v>
      </c>
    </row>
    <row r="9" spans="1:6" x14ac:dyDescent="0.3">
      <c r="A9" s="2">
        <v>7</v>
      </c>
      <c r="B9" s="3">
        <v>4.7453781007789102E-4</v>
      </c>
      <c r="C9" s="4">
        <v>10692</v>
      </c>
    </row>
    <row r="10" spans="1:6" x14ac:dyDescent="0.3">
      <c r="A10" s="2">
        <v>8</v>
      </c>
      <c r="B10" s="3">
        <v>4.3682078830897803E-4</v>
      </c>
      <c r="C10" s="4">
        <v>10685</v>
      </c>
    </row>
    <row r="11" spans="1:6" x14ac:dyDescent="0.3">
      <c r="A11" s="2">
        <v>9</v>
      </c>
      <c r="B11" s="3">
        <v>4.0557520696893302E-4</v>
      </c>
      <c r="C11" s="4">
        <v>10686</v>
      </c>
    </row>
    <row r="12" spans="1:6" x14ac:dyDescent="0.3">
      <c r="A12" s="2">
        <v>10</v>
      </c>
      <c r="B12" s="3">
        <v>3.7924878415651598E-4</v>
      </c>
      <c r="C12" s="4">
        <v>10686</v>
      </c>
    </row>
    <row r="13" spans="1:6" x14ac:dyDescent="0.3">
      <c r="A13" s="2">
        <v>11</v>
      </c>
      <c r="B13" s="3">
        <v>3.5678903805091999E-4</v>
      </c>
      <c r="C13" s="4">
        <v>10687</v>
      </c>
    </row>
    <row r="14" spans="1:6" x14ac:dyDescent="0.3">
      <c r="A14" s="2">
        <v>12</v>
      </c>
      <c r="B14" s="3">
        <v>3.3743688254617198E-4</v>
      </c>
      <c r="C14" s="4">
        <v>10695</v>
      </c>
    </row>
    <row r="15" spans="1:6" x14ac:dyDescent="0.3">
      <c r="A15" s="2">
        <v>13</v>
      </c>
      <c r="B15" s="3">
        <v>3.20616672979668E-4</v>
      </c>
      <c r="C15" s="4">
        <v>10696</v>
      </c>
    </row>
    <row r="16" spans="1:6" x14ac:dyDescent="0.3">
      <c r="A16" s="2">
        <v>14</v>
      </c>
      <c r="B16" s="3">
        <v>3.0587715446017699E-4</v>
      </c>
      <c r="C16" s="4">
        <v>10762</v>
      </c>
    </row>
    <row r="17" spans="1:3" x14ac:dyDescent="0.3">
      <c r="A17" s="2">
        <v>15</v>
      </c>
      <c r="B17" s="3">
        <v>2.9285805067047498E-4</v>
      </c>
      <c r="C17" s="4">
        <v>10753</v>
      </c>
    </row>
    <row r="18" spans="1:3" x14ac:dyDescent="0.3">
      <c r="A18" s="2">
        <v>16</v>
      </c>
      <c r="B18" s="3">
        <v>2.81268876278773E-4</v>
      </c>
      <c r="C18" s="4">
        <v>10755</v>
      </c>
    </row>
    <row r="19" spans="1:3" x14ac:dyDescent="0.3">
      <c r="A19" s="2">
        <v>17</v>
      </c>
      <c r="B19" s="3">
        <v>2.70875578280538E-4</v>
      </c>
      <c r="C19" s="4">
        <v>10756</v>
      </c>
    </row>
    <row r="20" spans="1:3" x14ac:dyDescent="0.3">
      <c r="A20" s="2">
        <v>18</v>
      </c>
      <c r="B20" s="3">
        <v>2.6148819597437999E-4</v>
      </c>
      <c r="C20" s="4">
        <v>10752</v>
      </c>
    </row>
    <row r="21" spans="1:3" x14ac:dyDescent="0.3">
      <c r="A21" s="2">
        <v>19</v>
      </c>
      <c r="B21" s="3">
        <v>2.5295355590060402E-4</v>
      </c>
      <c r="C21" s="4">
        <v>10748</v>
      </c>
    </row>
    <row r="22" spans="1:3" x14ac:dyDescent="0.3">
      <c r="A22" s="2">
        <v>20</v>
      </c>
      <c r="B22" s="3">
        <v>2.45148286921903E-4</v>
      </c>
      <c r="C22" s="4">
        <v>10748</v>
      </c>
    </row>
    <row r="23" spans="1:3" x14ac:dyDescent="0.3">
      <c r="A23" s="2">
        <v>21</v>
      </c>
      <c r="B23" s="3">
        <v>2.3797225730959299E-4</v>
      </c>
      <c r="C23" s="4">
        <v>10749</v>
      </c>
    </row>
    <row r="24" spans="1:3" x14ac:dyDescent="0.3">
      <c r="A24" s="2" t="s">
        <v>1</v>
      </c>
      <c r="B24" s="3">
        <v>5.1326055373382656E-4</v>
      </c>
      <c r="C24" s="4">
        <v>10705.318181818182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6"/>
  <sheetViews>
    <sheetView topLeftCell="B1" zoomScale="85" zoomScaleNormal="85" workbookViewId="0">
      <selection activeCell="A3" sqref="A3"/>
    </sheetView>
  </sheetViews>
  <sheetFormatPr defaultRowHeight="14.4" x14ac:dyDescent="0.3"/>
  <cols>
    <col min="1" max="1" width="13.44140625" customWidth="1"/>
    <col min="2" max="2" width="21.5546875" bestFit="1" customWidth="1"/>
    <col min="3" max="3" width="24.44140625" customWidth="1"/>
    <col min="4" max="4" width="20.6640625" customWidth="1"/>
  </cols>
  <sheetData>
    <row r="1" spans="1:8" x14ac:dyDescent="0.3">
      <c r="A1" t="s">
        <v>141</v>
      </c>
      <c r="B1">
        <f>MIN(B4:B5025)</f>
        <v>-7.4524916708469308E-2</v>
      </c>
      <c r="C1">
        <f>MIN(C4:C5025)</f>
        <v>-9.8643573699519121E-2</v>
      </c>
    </row>
    <row r="2" spans="1:8" x14ac:dyDescent="0.3">
      <c r="A2" t="s">
        <v>142</v>
      </c>
      <c r="B2">
        <f>MAX(B4:B5025)</f>
        <v>0.29228759184479697</v>
      </c>
      <c r="C2">
        <f>MAX(C4:C5025)</f>
        <v>0.28065959736704826</v>
      </c>
      <c r="D2">
        <f>GETPIVOTDATA("Average of ERRORTRS",$A$3)</f>
        <v>1.685286885568581E-2</v>
      </c>
    </row>
    <row r="3" spans="1:8" x14ac:dyDescent="0.3">
      <c r="A3" s="1" t="s">
        <v>0</v>
      </c>
      <c r="B3" t="s">
        <v>20</v>
      </c>
      <c r="C3" t="s">
        <v>21</v>
      </c>
      <c r="D3" t="s">
        <v>151</v>
      </c>
      <c r="H3" s="5"/>
    </row>
    <row r="4" spans="1:8" x14ac:dyDescent="0.3">
      <c r="A4" s="2">
        <v>0</v>
      </c>
      <c r="B4" s="22">
        <v>0.11484438553452495</v>
      </c>
      <c r="C4" s="22"/>
      <c r="D4" s="22"/>
    </row>
    <row r="5" spans="1:8" x14ac:dyDescent="0.3">
      <c r="A5" s="2">
        <v>1</v>
      </c>
      <c r="B5" s="22">
        <v>0.13446725346148017</v>
      </c>
      <c r="C5" s="22"/>
      <c r="D5" s="22"/>
    </row>
    <row r="6" spans="1:8" x14ac:dyDescent="0.3">
      <c r="A6" s="2">
        <v>2</v>
      </c>
      <c r="B6" s="22">
        <v>0.15662874653935444</v>
      </c>
      <c r="C6" s="22"/>
      <c r="D6" s="22"/>
    </row>
    <row r="7" spans="1:8" x14ac:dyDescent="0.3">
      <c r="A7" s="2">
        <v>3</v>
      </c>
      <c r="B7" s="22">
        <v>0.21626472100615499</v>
      </c>
      <c r="C7" s="22"/>
      <c r="D7" s="22"/>
    </row>
    <row r="8" spans="1:8" x14ac:dyDescent="0.3">
      <c r="A8" s="2">
        <v>4</v>
      </c>
      <c r="B8" s="22">
        <v>0.21685910224914576</v>
      </c>
      <c r="C8" s="22"/>
      <c r="D8" s="22"/>
    </row>
    <row r="9" spans="1:8" x14ac:dyDescent="0.3">
      <c r="A9" s="2">
        <v>5</v>
      </c>
      <c r="B9" s="22">
        <v>0.21555018424987799</v>
      </c>
      <c r="C9" s="22"/>
      <c r="D9" s="22"/>
    </row>
    <row r="10" spans="1:8" x14ac:dyDescent="0.3">
      <c r="A10" s="2">
        <v>6</v>
      </c>
      <c r="B10" s="22">
        <v>0.20055839046835899</v>
      </c>
      <c r="C10" s="22"/>
      <c r="D10" s="22"/>
    </row>
    <row r="11" spans="1:8" x14ac:dyDescent="0.3">
      <c r="A11" s="2">
        <v>7</v>
      </c>
      <c r="B11" s="22">
        <v>0.19874364882707574</v>
      </c>
      <c r="C11" s="22"/>
      <c r="D11" s="22"/>
    </row>
    <row r="12" spans="1:8" x14ac:dyDescent="0.3">
      <c r="A12" s="2">
        <v>8</v>
      </c>
      <c r="B12" s="22">
        <v>0.21111601218581175</v>
      </c>
      <c r="C12" s="22"/>
      <c r="D12" s="22"/>
    </row>
    <row r="13" spans="1:8" x14ac:dyDescent="0.3">
      <c r="A13" s="2">
        <v>9</v>
      </c>
      <c r="B13" s="22">
        <v>0.17255850695073566</v>
      </c>
      <c r="C13" s="22"/>
      <c r="D13" s="22"/>
    </row>
    <row r="14" spans="1:8" x14ac:dyDescent="0.3">
      <c r="A14" s="2">
        <v>10</v>
      </c>
      <c r="B14" s="22">
        <v>0.15041932836174973</v>
      </c>
      <c r="C14" s="22">
        <v>0.1520348545163871</v>
      </c>
      <c r="D14" s="22">
        <v>1.8235849216580377E-2</v>
      </c>
    </row>
    <row r="15" spans="1:8" x14ac:dyDescent="0.3">
      <c r="A15" s="2">
        <v>11</v>
      </c>
      <c r="B15" s="22">
        <v>0.15009975247085089</v>
      </c>
      <c r="C15" s="22">
        <v>0.14855868555605423</v>
      </c>
      <c r="D15" s="22">
        <v>5.0377026200293246E-3</v>
      </c>
    </row>
    <row r="16" spans="1:8" x14ac:dyDescent="0.3">
      <c r="A16" s="2">
        <v>12</v>
      </c>
      <c r="B16" s="22">
        <v>0.17693120986223226</v>
      </c>
      <c r="C16" s="22">
        <v>0.17316292040050016</v>
      </c>
      <c r="D16" s="22">
        <v>7.3573049157858754E-3</v>
      </c>
    </row>
    <row r="17" spans="1:4" x14ac:dyDescent="0.3">
      <c r="A17" s="2">
        <v>13</v>
      </c>
      <c r="B17" s="22">
        <v>0.20158056169748301</v>
      </c>
      <c r="C17" s="22">
        <v>0.20357025787234326</v>
      </c>
      <c r="D17" s="22">
        <v>1.4620531350374251E-2</v>
      </c>
    </row>
    <row r="18" spans="1:4" x14ac:dyDescent="0.3">
      <c r="A18" s="2">
        <v>14</v>
      </c>
      <c r="B18" s="22">
        <v>0.21969088912010173</v>
      </c>
      <c r="C18" s="22">
        <v>0.21870745532214625</v>
      </c>
      <c r="D18" s="22">
        <v>1.4721797779202499E-2</v>
      </c>
    </row>
    <row r="19" spans="1:4" x14ac:dyDescent="0.3">
      <c r="A19" s="2">
        <v>15</v>
      </c>
      <c r="B19" s="22">
        <v>0.16163655929267415</v>
      </c>
      <c r="C19" s="22">
        <v>0.160994785837829</v>
      </c>
      <c r="D19" s="22">
        <v>7.8305499628188498E-3</v>
      </c>
    </row>
    <row r="20" spans="1:4" x14ac:dyDescent="0.3">
      <c r="A20" s="2">
        <v>16</v>
      </c>
      <c r="B20" s="22">
        <v>0.14333021640777585</v>
      </c>
      <c r="C20" s="22">
        <v>0.13607094809412956</v>
      </c>
      <c r="D20" s="22">
        <v>1.4067444950342199E-2</v>
      </c>
    </row>
    <row r="21" spans="1:4" x14ac:dyDescent="0.3">
      <c r="A21" s="2">
        <v>17</v>
      </c>
      <c r="B21" s="22">
        <v>0.21056218072772026</v>
      </c>
      <c r="C21" s="22">
        <v>0.20189984142780298</v>
      </c>
      <c r="D21" s="22">
        <v>1.6105536371469251E-2</v>
      </c>
    </row>
    <row r="22" spans="1:4" x14ac:dyDescent="0.3">
      <c r="A22" s="2">
        <v>18</v>
      </c>
      <c r="B22" s="22">
        <v>0.21466692164540302</v>
      </c>
      <c r="C22" s="22">
        <v>0.210445776581764</v>
      </c>
      <c r="D22" s="22">
        <v>1.1122222989798002E-2</v>
      </c>
    </row>
    <row r="23" spans="1:4" x14ac:dyDescent="0.3">
      <c r="A23" s="2">
        <v>19</v>
      </c>
      <c r="B23" s="22">
        <v>0.20279714092612278</v>
      </c>
      <c r="C23" s="22">
        <v>0.21158676967024825</v>
      </c>
      <c r="D23" s="22">
        <v>1.1172965168952999E-2</v>
      </c>
    </row>
    <row r="24" spans="1:4" x14ac:dyDescent="0.3">
      <c r="A24" s="2">
        <v>20</v>
      </c>
      <c r="B24" s="22">
        <v>0.16964052617549902</v>
      </c>
      <c r="C24" s="22">
        <v>0.16073101945221438</v>
      </c>
      <c r="D24" s="22">
        <v>8.9095067232846503E-3</v>
      </c>
    </row>
    <row r="25" spans="1:4" x14ac:dyDescent="0.3">
      <c r="A25" s="2">
        <v>21</v>
      </c>
      <c r="B25" s="22">
        <v>0.19012554362416248</v>
      </c>
      <c r="C25" s="22">
        <v>0.18508945591747777</v>
      </c>
      <c r="D25" s="22">
        <v>1.0617619380354826E-2</v>
      </c>
    </row>
    <row r="26" spans="1:4" x14ac:dyDescent="0.3">
      <c r="A26" s="2">
        <v>22</v>
      </c>
      <c r="B26" s="22">
        <v>0.24315617606043799</v>
      </c>
      <c r="C26" s="22">
        <v>0.24002142623066924</v>
      </c>
      <c r="D26" s="22">
        <v>2.1318100392818749E-2</v>
      </c>
    </row>
    <row r="27" spans="1:4" x14ac:dyDescent="0.3">
      <c r="A27" s="2">
        <v>23</v>
      </c>
      <c r="B27" s="22">
        <v>7.0267185568809565E-2</v>
      </c>
      <c r="C27" s="22">
        <v>7.9281874001026043E-2</v>
      </c>
      <c r="D27" s="22">
        <v>3.2167956233024472E-2</v>
      </c>
    </row>
    <row r="28" spans="1:4" x14ac:dyDescent="0.3">
      <c r="A28" s="2">
        <v>24</v>
      </c>
      <c r="B28" s="22">
        <v>-7.4524916708469308E-2</v>
      </c>
      <c r="C28" s="22">
        <v>-9.8643573699519121E-2</v>
      </c>
      <c r="D28" s="22">
        <v>2.4118656991049817E-2</v>
      </c>
    </row>
    <row r="29" spans="1:4" x14ac:dyDescent="0.3">
      <c r="A29" s="2">
        <v>25</v>
      </c>
      <c r="B29" s="22">
        <v>9.119277819991109E-2</v>
      </c>
      <c r="C29" s="22">
        <v>9.2715689912438309E-2</v>
      </c>
      <c r="D29" s="22">
        <v>1.8504930660128701E-2</v>
      </c>
    </row>
    <row r="30" spans="1:4" x14ac:dyDescent="0.3">
      <c r="A30" s="2">
        <v>26</v>
      </c>
      <c r="B30" s="22">
        <v>9.1413045302033286E-2</v>
      </c>
      <c r="C30" s="22">
        <v>9.4761542975902724E-2</v>
      </c>
      <c r="D30" s="22">
        <v>2.200753428041945E-2</v>
      </c>
    </row>
    <row r="31" spans="1:4" x14ac:dyDescent="0.3">
      <c r="A31" s="2">
        <v>27</v>
      </c>
      <c r="B31" s="22">
        <v>0.16811613366007788</v>
      </c>
      <c r="C31" s="22">
        <v>0.16012548375874752</v>
      </c>
      <c r="D31" s="22">
        <v>3.3285795710980851E-2</v>
      </c>
    </row>
    <row r="32" spans="1:4" x14ac:dyDescent="0.3">
      <c r="A32" s="2">
        <v>28</v>
      </c>
      <c r="B32" s="22">
        <v>0.29228759184479697</v>
      </c>
      <c r="C32" s="22">
        <v>0.28065959736704826</v>
      </c>
      <c r="D32" s="22">
        <v>2.9002502560615248E-2</v>
      </c>
    </row>
    <row r="33" spans="1:4" x14ac:dyDescent="0.3">
      <c r="A33" s="2">
        <v>29</v>
      </c>
      <c r="B33" s="22"/>
      <c r="C33" s="22">
        <v>0.19721504300832762</v>
      </c>
      <c r="D33" s="22"/>
    </row>
    <row r="34" spans="1:4" x14ac:dyDescent="0.3">
      <c r="A34" s="2">
        <v>30</v>
      </c>
      <c r="B34" s="22"/>
      <c r="C34" s="22">
        <v>0.15526579413563024</v>
      </c>
      <c r="D34" s="22"/>
    </row>
    <row r="35" spans="1:4" x14ac:dyDescent="0.3">
      <c r="A35" s="2">
        <v>31</v>
      </c>
      <c r="B35" s="22"/>
      <c r="C35" s="22">
        <v>0.18490184471011165</v>
      </c>
      <c r="D35" s="22"/>
    </row>
    <row r="36" spans="1:4" x14ac:dyDescent="0.3">
      <c r="A36" s="2" t="s">
        <v>1</v>
      </c>
      <c r="B36" s="22">
        <v>0.16934413019696187</v>
      </c>
      <c r="C36" s="22">
        <v>0.16132534059314904</v>
      </c>
      <c r="D36" s="22">
        <v>1.685286885568581E-2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4"/>
  <sheetViews>
    <sheetView zoomScale="85" zoomScaleNormal="85" workbookViewId="0">
      <selection activeCell="B23" sqref="B23:B30"/>
    </sheetView>
  </sheetViews>
  <sheetFormatPr defaultRowHeight="14.4" x14ac:dyDescent="0.3"/>
  <cols>
    <col min="1" max="1" width="13.44140625" bestFit="1" customWidth="1"/>
    <col min="2" max="2" width="20.5546875" bestFit="1" customWidth="1"/>
    <col min="3" max="3" width="23.33203125" bestFit="1" customWidth="1"/>
    <col min="4" max="4" width="19.5546875" bestFit="1" customWidth="1"/>
  </cols>
  <sheetData>
    <row r="1" spans="1:8" x14ac:dyDescent="0.3">
      <c r="A1" s="1" t="s">
        <v>0</v>
      </c>
      <c r="B1" t="s">
        <v>132</v>
      </c>
      <c r="C1" t="s">
        <v>133</v>
      </c>
      <c r="D1" t="s">
        <v>134</v>
      </c>
      <c r="G1" t="s">
        <v>150</v>
      </c>
      <c r="H1" s="5">
        <f>GETPIVOTDATA("Average of ERRORTR",$A$1)</f>
        <v>1.797020921924887E-4</v>
      </c>
    </row>
    <row r="2" spans="1:8" x14ac:dyDescent="0.3">
      <c r="A2" s="2">
        <v>0</v>
      </c>
      <c r="B2" s="22">
        <v>-8.9001654123421639E-4</v>
      </c>
      <c r="C2" s="22"/>
      <c r="D2" s="22"/>
    </row>
    <row r="3" spans="1:8" x14ac:dyDescent="0.3">
      <c r="A3" s="2">
        <v>1</v>
      </c>
      <c r="B3" s="22">
        <v>-6.6998602414969355E-4</v>
      </c>
      <c r="C3" s="22"/>
      <c r="D3" s="22"/>
    </row>
    <row r="4" spans="1:8" x14ac:dyDescent="0.3">
      <c r="A4" s="2">
        <v>2</v>
      </c>
      <c r="B4" s="22">
        <v>-4.3249133159406478E-4</v>
      </c>
      <c r="C4" s="22"/>
      <c r="D4" s="22"/>
    </row>
    <row r="5" spans="1:8" x14ac:dyDescent="0.3">
      <c r="A5" s="2">
        <v>3</v>
      </c>
      <c r="B5" s="22">
        <v>2.0000340646220133E-4</v>
      </c>
      <c r="C5" s="22"/>
      <c r="D5" s="22"/>
    </row>
    <row r="6" spans="1:8" x14ac:dyDescent="0.3">
      <c r="A6" s="2">
        <v>4</v>
      </c>
      <c r="B6" s="22">
        <v>2.1001693130528998E-4</v>
      </c>
      <c r="C6" s="22"/>
      <c r="D6" s="22"/>
    </row>
    <row r="7" spans="1:8" x14ac:dyDescent="0.3">
      <c r="A7" s="2">
        <v>5</v>
      </c>
      <c r="B7" s="22">
        <v>1.9249323850090155E-4</v>
      </c>
      <c r="C7" s="22"/>
      <c r="D7" s="22"/>
    </row>
    <row r="8" spans="1:8" x14ac:dyDescent="0.3">
      <c r="A8" s="2">
        <v>6</v>
      </c>
      <c r="B8" s="22">
        <v>3.4987951949006123E-5</v>
      </c>
      <c r="C8" s="22"/>
      <c r="D8" s="22"/>
    </row>
    <row r="9" spans="1:8" x14ac:dyDescent="0.3">
      <c r="A9" s="2">
        <v>7</v>
      </c>
      <c r="B9" s="22">
        <v>1.4990576346463051E-5</v>
      </c>
      <c r="C9" s="22"/>
      <c r="D9" s="22"/>
    </row>
    <row r="10" spans="1:8" x14ac:dyDescent="0.3">
      <c r="A10" s="2">
        <v>8</v>
      </c>
      <c r="B10" s="22">
        <v>1.4749174079042851E-4</v>
      </c>
      <c r="C10" s="22"/>
      <c r="D10" s="22"/>
    </row>
    <row r="11" spans="1:8" x14ac:dyDescent="0.3">
      <c r="A11" s="2">
        <v>9</v>
      </c>
      <c r="B11" s="22">
        <v>-2.6252865609421866E-4</v>
      </c>
      <c r="C11" s="22"/>
      <c r="D11" s="22"/>
    </row>
    <row r="12" spans="1:8" x14ac:dyDescent="0.3">
      <c r="A12" s="2">
        <v>10</v>
      </c>
      <c r="B12" s="22">
        <v>-4.9996375310001895E-4</v>
      </c>
      <c r="C12" s="22">
        <v>-4.8112479271367198E-4</v>
      </c>
      <c r="D12" s="22">
        <v>1.9426647486397948E-4</v>
      </c>
    </row>
    <row r="13" spans="1:8" x14ac:dyDescent="0.3">
      <c r="A13" s="2">
        <v>11</v>
      </c>
      <c r="B13" s="22">
        <v>-5.024969650548885E-4</v>
      </c>
      <c r="C13" s="22">
        <v>-5.1959549455204979E-4</v>
      </c>
      <c r="D13" s="22">
        <v>5.4179618018679253E-5</v>
      </c>
    </row>
    <row r="14" spans="1:8" x14ac:dyDescent="0.3">
      <c r="A14" s="2">
        <v>12</v>
      </c>
      <c r="B14" s="22">
        <v>-2.1749738471044133E-4</v>
      </c>
      <c r="C14" s="22">
        <v>-2.5812424428295355E-4</v>
      </c>
      <c r="D14" s="22">
        <v>7.8690420650673671E-5</v>
      </c>
    </row>
    <row r="15" spans="1:8" x14ac:dyDescent="0.3">
      <c r="A15" s="2">
        <v>13</v>
      </c>
      <c r="B15" s="22">
        <v>4.5031271838524756E-5</v>
      </c>
      <c r="C15" s="22">
        <v>6.4329606288993213E-5</v>
      </c>
      <c r="D15" s="22">
        <v>1.5607468310463481E-4</v>
      </c>
    </row>
    <row r="16" spans="1:8" x14ac:dyDescent="0.3">
      <c r="A16" s="2">
        <v>14</v>
      </c>
      <c r="B16" s="22">
        <v>2.3999811855901525E-4</v>
      </c>
      <c r="C16" s="22">
        <v>2.2852926849736827E-4</v>
      </c>
      <c r="D16" s="22">
        <v>1.57244385263766E-4</v>
      </c>
    </row>
    <row r="17" spans="1:4" x14ac:dyDescent="0.3">
      <c r="A17" s="2">
        <v>15</v>
      </c>
      <c r="B17" s="22">
        <v>-3.7750602859887273E-4</v>
      </c>
      <c r="C17" s="22">
        <v>-3.8518954511346237E-4</v>
      </c>
      <c r="D17" s="22">
        <v>8.4243994706411626E-5</v>
      </c>
    </row>
    <row r="18" spans="1:4" x14ac:dyDescent="0.3">
      <c r="A18" s="2">
        <v>16</v>
      </c>
      <c r="B18" s="22">
        <v>-5.7750944006329768E-4</v>
      </c>
      <c r="C18" s="22">
        <v>-6.5367247225367497E-4</v>
      </c>
      <c r="D18" s="22">
        <v>1.4977540877225885E-4</v>
      </c>
    </row>
    <row r="19" spans="1:4" x14ac:dyDescent="0.3">
      <c r="A19" s="2">
        <v>17</v>
      </c>
      <c r="B19" s="22">
        <v>1.4248489196688744E-4</v>
      </c>
      <c r="C19" s="22">
        <v>5.0235749768034824E-5</v>
      </c>
      <c r="D19" s="22">
        <v>1.714075146992399E-4</v>
      </c>
    </row>
    <row r="20" spans="1:4" x14ac:dyDescent="0.3">
      <c r="A20" s="2">
        <v>18</v>
      </c>
      <c r="B20" s="22">
        <v>1.85012831934728E-4</v>
      </c>
      <c r="C20" s="22">
        <v>1.39999448947492E-4</v>
      </c>
      <c r="D20" s="22">
        <v>1.1792327313742151E-4</v>
      </c>
    </row>
    <row r="21" spans="1:4" x14ac:dyDescent="0.3">
      <c r="A21" s="2">
        <v>19</v>
      </c>
      <c r="B21" s="22">
        <v>5.7488687161821696E-5</v>
      </c>
      <c r="C21" s="22">
        <v>1.5270261792466039E-4</v>
      </c>
      <c r="D21" s="22">
        <v>1.2046843039570383E-4</v>
      </c>
    </row>
    <row r="22" spans="1:4" x14ac:dyDescent="0.3">
      <c r="A22" s="2">
        <v>20</v>
      </c>
      <c r="B22" s="22">
        <v>-2.9501320477720588E-4</v>
      </c>
      <c r="C22" s="22">
        <v>-3.9008991916489316E-4</v>
      </c>
      <c r="D22" s="22">
        <v>9.507671438768728E-5</v>
      </c>
    </row>
    <row r="23" spans="1:4" x14ac:dyDescent="0.3">
      <c r="A23" s="2">
        <v>21</v>
      </c>
      <c r="B23" s="22">
        <v>-7.5012467732449268E-5</v>
      </c>
      <c r="C23" s="22">
        <v>-1.2979605162399824E-4</v>
      </c>
      <c r="D23" s="22">
        <v>1.1378350927770947E-4</v>
      </c>
    </row>
    <row r="24" spans="1:4" x14ac:dyDescent="0.3">
      <c r="A24" s="2">
        <v>22</v>
      </c>
      <c r="B24" s="22">
        <v>4.9000972649082552E-4</v>
      </c>
      <c r="C24" s="22">
        <v>4.532931470748735E-4</v>
      </c>
      <c r="D24" s="22">
        <v>2.2871911824040548E-4</v>
      </c>
    </row>
    <row r="25" spans="1:4" x14ac:dyDescent="0.3">
      <c r="A25" s="2">
        <v>23</v>
      </c>
      <c r="B25" s="22">
        <v>-1.3475120122166109E-3</v>
      </c>
      <c r="C25" s="22">
        <v>-1.254521877854132E-3</v>
      </c>
      <c r="D25" s="22">
        <v>3.433428737480411E-4</v>
      </c>
    </row>
    <row r="26" spans="1:4" x14ac:dyDescent="0.3">
      <c r="A26" s="2">
        <v>24</v>
      </c>
      <c r="B26" s="22">
        <v>-2.8999447240494174E-3</v>
      </c>
      <c r="C26" s="22">
        <v>-3.1553253647871298E-3</v>
      </c>
      <c r="D26" s="22">
        <v>2.5538064073771249E-4</v>
      </c>
    </row>
    <row r="27" spans="1:4" x14ac:dyDescent="0.3">
      <c r="A27" s="2">
        <v>25</v>
      </c>
      <c r="B27" s="22">
        <v>-1.1350214294907357E-3</v>
      </c>
      <c r="C27" s="22">
        <v>-1.117349132982779E-3</v>
      </c>
      <c r="D27" s="22">
        <v>1.9691749957928884E-4</v>
      </c>
    </row>
    <row r="28" spans="1:4" x14ac:dyDescent="0.3">
      <c r="A28" s="2">
        <v>26</v>
      </c>
      <c r="B28" s="22">
        <v>-1.1250078387092803E-3</v>
      </c>
      <c r="C28" s="22">
        <v>-1.0884305302170114E-3</v>
      </c>
      <c r="D28" s="22">
        <v>2.3465585400117651E-4</v>
      </c>
    </row>
    <row r="29" spans="1:4" x14ac:dyDescent="0.3">
      <c r="A29" s="2">
        <v>27</v>
      </c>
      <c r="B29" s="22">
        <v>-3.1247737933881494E-4</v>
      </c>
      <c r="C29" s="22">
        <v>-3.9525257034256264E-4</v>
      </c>
      <c r="D29" s="22">
        <v>3.5300317995279307E-4</v>
      </c>
    </row>
    <row r="30" spans="1:4" x14ac:dyDescent="0.3">
      <c r="A30" s="2">
        <v>28</v>
      </c>
      <c r="B30" s="22">
        <v>1.0149479494430133E-3</v>
      </c>
      <c r="C30" s="22">
        <v>8.8932346261572006E-4</v>
      </c>
      <c r="D30" s="22">
        <v>3.0918615811970296E-4</v>
      </c>
    </row>
    <row r="31" spans="1:4" x14ac:dyDescent="0.3">
      <c r="A31" s="2">
        <v>29</v>
      </c>
      <c r="B31" s="22"/>
      <c r="C31" s="22">
        <v>-2.0808993212995933E-6</v>
      </c>
      <c r="D31" s="22"/>
    </row>
    <row r="32" spans="1:4" x14ac:dyDescent="0.3">
      <c r="A32" s="2">
        <v>30</v>
      </c>
      <c r="B32" s="22"/>
      <c r="C32" s="22">
        <v>-4.4884197995997982E-4</v>
      </c>
      <c r="D32" s="22"/>
    </row>
    <row r="33" spans="1:4" x14ac:dyDescent="0.3">
      <c r="A33" s="2">
        <v>31</v>
      </c>
      <c r="B33" s="22"/>
      <c r="C33" s="22">
        <v>-1.3241733176982956E-4</v>
      </c>
      <c r="D33" s="22"/>
    </row>
    <row r="34" spans="1:4" x14ac:dyDescent="0.3">
      <c r="A34" s="2" t="s">
        <v>1</v>
      </c>
      <c r="B34" s="22">
        <v>-2.981044089022455E-4</v>
      </c>
      <c r="C34" s="22">
        <v>-3.8333631390101306E-4</v>
      </c>
      <c r="D34" s="22">
        <v>1.797020921924887E-4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5"/>
  <sheetViews>
    <sheetView tabSelected="1" topLeftCell="E1" zoomScale="85" zoomScaleNormal="85" workbookViewId="0">
      <selection activeCell="C20" sqref="C20"/>
    </sheetView>
  </sheetViews>
  <sheetFormatPr defaultRowHeight="14.4" x14ac:dyDescent="0.3"/>
  <cols>
    <col min="1" max="1" width="17.6640625" customWidth="1"/>
    <col min="2" max="2" width="23" bestFit="1" customWidth="1"/>
    <col min="3" max="3" width="25.77734375" customWidth="1"/>
    <col min="4" max="4" width="21.88671875" bestFit="1" customWidth="1"/>
  </cols>
  <sheetData>
    <row r="1" spans="1:8" x14ac:dyDescent="0.3">
      <c r="A1" s="1" t="s">
        <v>0</v>
      </c>
      <c r="B1" t="s">
        <v>135</v>
      </c>
      <c r="C1" t="s">
        <v>136</v>
      </c>
      <c r="D1" t="s">
        <v>137</v>
      </c>
      <c r="G1" t="s">
        <v>131</v>
      </c>
      <c r="H1" s="32">
        <f>GETPIVOTDATA("Average of ERRORBASE",$A$1)</f>
        <v>1.0499201322736842E-4</v>
      </c>
    </row>
    <row r="2" spans="1:8" x14ac:dyDescent="0.3">
      <c r="A2" s="2" t="s">
        <v>367</v>
      </c>
      <c r="B2" s="3">
        <v>1.1066299676895099</v>
      </c>
      <c r="C2" s="3"/>
      <c r="D2" s="3"/>
    </row>
    <row r="3" spans="1:8" x14ac:dyDescent="0.3">
      <c r="A3" s="2" t="s">
        <v>368</v>
      </c>
      <c r="B3" s="3">
        <v>1.1057599782943699</v>
      </c>
      <c r="C3" s="3"/>
      <c r="D3" s="3"/>
    </row>
    <row r="4" spans="1:8" x14ac:dyDescent="0.3">
      <c r="A4" s="2" t="s">
        <v>369</v>
      </c>
      <c r="B4" s="3">
        <v>1.10521996021271</v>
      </c>
      <c r="C4" s="3"/>
      <c r="D4" s="3"/>
    </row>
    <row r="5" spans="1:8" x14ac:dyDescent="0.3">
      <c r="A5" s="2" t="s">
        <v>370</v>
      </c>
      <c r="B5" s="3">
        <v>1.10528004169464</v>
      </c>
      <c r="C5" s="3"/>
      <c r="D5" s="3"/>
    </row>
    <row r="6" spans="1:8" x14ac:dyDescent="0.3">
      <c r="A6" s="2" t="s">
        <v>371</v>
      </c>
      <c r="B6" s="3">
        <v>1.1051100492477399</v>
      </c>
      <c r="C6" s="3"/>
      <c r="D6" s="3"/>
    </row>
    <row r="7" spans="1:8" x14ac:dyDescent="0.3">
      <c r="A7" s="2" t="s">
        <v>372</v>
      </c>
      <c r="B7" s="3">
        <v>1.10569000244141</v>
      </c>
      <c r="C7" s="3"/>
      <c r="D7" s="3"/>
    </row>
    <row r="8" spans="1:8" x14ac:dyDescent="0.3">
      <c r="A8" s="2" t="s">
        <v>373</v>
      </c>
      <c r="B8" s="3">
        <v>1.1055699586868299</v>
      </c>
      <c r="C8" s="3"/>
      <c r="D8" s="3"/>
    </row>
    <row r="9" spans="1:8" x14ac:dyDescent="0.3">
      <c r="A9" s="2" t="s">
        <v>374</v>
      </c>
      <c r="B9" s="3">
        <v>1.1056499481201201</v>
      </c>
      <c r="C9" s="3"/>
      <c r="D9" s="3"/>
    </row>
    <row r="10" spans="1:8" x14ac:dyDescent="0.3">
      <c r="A10" s="2" t="s">
        <v>375</v>
      </c>
      <c r="B10" s="3">
        <v>1.1057499647140501</v>
      </c>
      <c r="C10" s="3"/>
      <c r="D10" s="3"/>
    </row>
    <row r="11" spans="1:8" x14ac:dyDescent="0.3">
      <c r="A11" s="2" t="s">
        <v>393</v>
      </c>
      <c r="B11" s="3">
        <v>1.10582995414734</v>
      </c>
      <c r="C11" s="3"/>
      <c r="D11" s="3"/>
    </row>
    <row r="12" spans="1:8" x14ac:dyDescent="0.3">
      <c r="A12" s="2" t="s">
        <v>394</v>
      </c>
      <c r="B12" s="3">
        <v>1.10531997680664</v>
      </c>
      <c r="C12" s="3">
        <v>1.10533571243286</v>
      </c>
      <c r="D12" s="3">
        <v>1.573562622E-5</v>
      </c>
    </row>
    <row r="13" spans="1:8" x14ac:dyDescent="0.3">
      <c r="A13" s="2" t="s">
        <v>395</v>
      </c>
      <c r="B13" s="3">
        <v>1.10483002662659</v>
      </c>
      <c r="C13" s="3">
        <v>1.10482025146484</v>
      </c>
      <c r="D13" s="3">
        <v>9.7751617499999995E-6</v>
      </c>
    </row>
    <row r="14" spans="1:8" x14ac:dyDescent="0.3">
      <c r="A14" s="2" t="s">
        <v>376</v>
      </c>
      <c r="B14" s="3">
        <v>1.1042499542236299</v>
      </c>
      <c r="C14" s="3">
        <v>1.1042895317077599</v>
      </c>
      <c r="D14" s="3">
        <v>3.9577484130000002E-5</v>
      </c>
    </row>
    <row r="15" spans="1:8" x14ac:dyDescent="0.3">
      <c r="A15" s="2" t="s">
        <v>377</v>
      </c>
      <c r="B15" s="3">
        <v>1.1043499708175699</v>
      </c>
      <c r="C15" s="3">
        <v>1.10446000099182</v>
      </c>
      <c r="D15" s="3">
        <v>1.1003017425E-4</v>
      </c>
    </row>
    <row r="16" spans="1:8" x14ac:dyDescent="0.3">
      <c r="A16" s="2" t="s">
        <v>378</v>
      </c>
      <c r="B16" s="3">
        <v>1.1044000387191799</v>
      </c>
      <c r="C16" s="3">
        <v>1.10427129268646</v>
      </c>
      <c r="D16" s="3">
        <v>1.2874603272E-4</v>
      </c>
    </row>
    <row r="17" spans="1:4" x14ac:dyDescent="0.3">
      <c r="A17" s="2" t="s">
        <v>379</v>
      </c>
      <c r="B17" s="3">
        <v>1.10471999645233</v>
      </c>
      <c r="C17" s="3">
        <v>1.10471904277802</v>
      </c>
      <c r="D17" s="3">
        <v>9.5367430999999995E-7</v>
      </c>
    </row>
    <row r="18" spans="1:4" x14ac:dyDescent="0.3">
      <c r="A18" s="2" t="s">
        <v>380</v>
      </c>
      <c r="B18" s="3">
        <v>1.1036800146102901</v>
      </c>
      <c r="C18" s="3">
        <v>1.1037012338638299</v>
      </c>
      <c r="D18" s="3">
        <v>2.1219253540000001E-5</v>
      </c>
    </row>
    <row r="19" spans="1:4" x14ac:dyDescent="0.3">
      <c r="A19" s="2" t="s">
        <v>381</v>
      </c>
      <c r="B19" s="3">
        <v>1.1037000417709399</v>
      </c>
      <c r="C19" s="3">
        <v>1.1037278175353999</v>
      </c>
      <c r="D19" s="3">
        <v>2.777576446E-5</v>
      </c>
    </row>
    <row r="20" spans="1:4" x14ac:dyDescent="0.3">
      <c r="A20" s="2" t="s">
        <v>382</v>
      </c>
      <c r="B20" s="3">
        <v>1.1038099527359</v>
      </c>
      <c r="C20" s="3">
        <v>1.1039557456970199</v>
      </c>
      <c r="D20" s="3">
        <v>1.4579296112E-4</v>
      </c>
    </row>
    <row r="21" spans="1:4" x14ac:dyDescent="0.3">
      <c r="A21" s="2" t="s">
        <v>383</v>
      </c>
      <c r="B21" s="3">
        <v>1.1039500236511199</v>
      </c>
      <c r="C21" s="3">
        <v>1.1040236949920701</v>
      </c>
      <c r="D21" s="3">
        <v>7.3671340949999997E-5</v>
      </c>
    </row>
    <row r="22" spans="1:4" x14ac:dyDescent="0.3">
      <c r="A22" s="2" t="s">
        <v>384</v>
      </c>
      <c r="B22" s="3">
        <v>1.1039999723434399</v>
      </c>
      <c r="C22" s="3">
        <v>1.1038632392883301</v>
      </c>
      <c r="D22" s="3">
        <v>1.3673305511E-4</v>
      </c>
    </row>
    <row r="23" spans="1:4" x14ac:dyDescent="0.3">
      <c r="A23" s="2" t="s">
        <v>385</v>
      </c>
      <c r="B23" s="3">
        <v>1.10344994068146</v>
      </c>
      <c r="C23" s="3">
        <v>1.10356020927429</v>
      </c>
      <c r="D23" s="3">
        <v>1.1026859283E-4</v>
      </c>
    </row>
    <row r="24" spans="1:4" x14ac:dyDescent="0.3">
      <c r="A24" s="2" t="s">
        <v>386</v>
      </c>
      <c r="B24" s="3">
        <v>1.1037299633026101</v>
      </c>
      <c r="C24" s="3">
        <v>1.1037904024124101</v>
      </c>
      <c r="D24" s="3">
        <v>6.04391098E-5</v>
      </c>
    </row>
    <row r="25" spans="1:4" x14ac:dyDescent="0.3">
      <c r="A25" s="2" t="s">
        <v>387</v>
      </c>
      <c r="B25" s="3">
        <v>1.1043299436569201</v>
      </c>
      <c r="C25" s="3">
        <v>1.10425877571106</v>
      </c>
      <c r="D25" s="3">
        <v>7.1167945860000002E-5</v>
      </c>
    </row>
    <row r="26" spans="1:4" x14ac:dyDescent="0.3">
      <c r="A26" s="2" t="s">
        <v>388</v>
      </c>
      <c r="B26" s="3">
        <v>1.1011500358581501</v>
      </c>
      <c r="C26" s="3">
        <v>1.10105299949646</v>
      </c>
      <c r="D26" s="3">
        <v>9.7036361689999996E-5</v>
      </c>
    </row>
    <row r="27" spans="1:4" x14ac:dyDescent="0.3">
      <c r="A27" s="2" t="s">
        <v>389</v>
      </c>
      <c r="B27" s="3">
        <v>1.09880995750427</v>
      </c>
      <c r="C27" s="3">
        <v>1.0990066528320299</v>
      </c>
      <c r="D27" s="3">
        <v>1.9669532776000001E-4</v>
      </c>
    </row>
    <row r="28" spans="1:4" x14ac:dyDescent="0.3">
      <c r="A28" s="2" t="s">
        <v>390</v>
      </c>
      <c r="B28" s="3">
        <v>1.0986499786377</v>
      </c>
      <c r="C28" s="3">
        <v>1.0984908342361499</v>
      </c>
      <c r="D28" s="3">
        <v>1.5914440154999999E-4</v>
      </c>
    </row>
    <row r="29" spans="1:4" x14ac:dyDescent="0.3">
      <c r="A29" s="2" t="s">
        <v>391</v>
      </c>
      <c r="B29" s="3">
        <v>1.0970200300216699</v>
      </c>
      <c r="C29" s="3">
        <v>1.09679710865021</v>
      </c>
      <c r="D29" s="3">
        <v>2.2292137146E-4</v>
      </c>
    </row>
    <row r="30" spans="1:4" x14ac:dyDescent="0.3">
      <c r="A30" s="2" t="s">
        <v>396</v>
      </c>
      <c r="B30" s="3">
        <v>1.0975699424743699</v>
      </c>
      <c r="C30" s="3">
        <v>1.0979371070861801</v>
      </c>
      <c r="D30" s="3">
        <v>3.6716461181000002E-4</v>
      </c>
    </row>
    <row r="31" spans="1:4" x14ac:dyDescent="0.3">
      <c r="A31" s="2" t="s">
        <v>392</v>
      </c>
      <c r="B31" s="3"/>
      <c r="C31" s="3"/>
      <c r="D31" s="3"/>
    </row>
    <row r="32" spans="1:4" x14ac:dyDescent="0.3">
      <c r="A32" s="37">
        <v>29</v>
      </c>
      <c r="B32" s="3"/>
      <c r="C32" s="3">
        <v>1.09847295284271</v>
      </c>
      <c r="D32" s="3"/>
    </row>
    <row r="33" spans="1:4" x14ac:dyDescent="0.3">
      <c r="A33" s="37">
        <v>30</v>
      </c>
      <c r="B33" s="3"/>
      <c r="C33" s="3">
        <v>1.0975255966186499</v>
      </c>
      <c r="D33" s="3"/>
    </row>
    <row r="34" spans="1:4" x14ac:dyDescent="0.3">
      <c r="A34" s="37">
        <v>31</v>
      </c>
      <c r="B34" s="3"/>
      <c r="C34" s="3">
        <v>1.09767365455627</v>
      </c>
      <c r="D34" s="3"/>
    </row>
    <row r="35" spans="1:4" x14ac:dyDescent="0.3">
      <c r="A35" s="2" t="s">
        <v>1</v>
      </c>
      <c r="B35" s="3">
        <v>1.1037313650394314</v>
      </c>
      <c r="C35" s="3">
        <v>1.1020788116888558</v>
      </c>
      <c r="D35" s="3">
        <v>1.0499201322736842E-4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6"/>
  <sheetViews>
    <sheetView topLeftCell="E7" zoomScale="85" zoomScaleNormal="85" workbookViewId="0">
      <selection activeCell="I4" sqref="I4"/>
    </sheetView>
  </sheetViews>
  <sheetFormatPr defaultRowHeight="14.4" x14ac:dyDescent="0.3"/>
  <cols>
    <col min="1" max="1" width="11.44140625" customWidth="1"/>
    <col min="2" max="2" width="20.6640625" customWidth="1"/>
    <col min="3" max="3" width="19.5546875" customWidth="1"/>
    <col min="4" max="4" width="20.6640625" customWidth="1"/>
  </cols>
  <sheetData>
    <row r="3" spans="1:8" x14ac:dyDescent="0.3">
      <c r="B3" s="1" t="s">
        <v>154</v>
      </c>
      <c r="H3" s="5"/>
    </row>
    <row r="4" spans="1:8" x14ac:dyDescent="0.3">
      <c r="A4" s="1" t="s">
        <v>152</v>
      </c>
      <c r="B4" t="s">
        <v>151</v>
      </c>
      <c r="C4" t="s">
        <v>134</v>
      </c>
    </row>
    <row r="5" spans="1:8" x14ac:dyDescent="0.3">
      <c r="A5">
        <v>3332788.5</v>
      </c>
      <c r="B5" s="22">
        <v>1.685286885568581E-2</v>
      </c>
      <c r="C5" s="22">
        <v>1.797020921924887E-4</v>
      </c>
    </row>
    <row r="6" spans="1:8" x14ac:dyDescent="0.3">
      <c r="A6" t="s">
        <v>1</v>
      </c>
      <c r="B6" s="22">
        <v>1.685286885568581E-2</v>
      </c>
      <c r="C6" s="22">
        <v>1.797020921924887E-4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4.4" x14ac:dyDescent="0.3"/>
  <cols>
    <col min="1" max="1" width="15.44140625" bestFit="1" customWidth="1"/>
    <col min="2" max="3" width="9.5546875" customWidth="1"/>
    <col min="4" max="4" width="15.33203125" customWidth="1"/>
    <col min="5" max="5" width="15" customWidth="1"/>
    <col min="6" max="6" width="20.109375" bestFit="1" customWidth="1"/>
    <col min="7" max="9" width="7.44140625" customWidth="1"/>
  </cols>
  <sheetData>
    <row r="1" spans="1:5" x14ac:dyDescent="0.3">
      <c r="B1" s="30">
        <f>GETPIVOTDATA("errorH",$A$3)</f>
        <v>6.1394328358208949E-4</v>
      </c>
      <c r="C1" s="30">
        <f>GETPIVOTDATA("errorL",$A$3)</f>
        <v>5.6651044776119422E-4</v>
      </c>
      <c r="D1" s="31">
        <f>GETPIVOTDATA("Average of errHp",$A$3)</f>
        <v>0.42488741065157232</v>
      </c>
      <c r="E1" s="31">
        <f>GETPIVOTDATA("Average of errLp",$A$3)</f>
        <v>0.3920609015411316</v>
      </c>
    </row>
    <row r="3" spans="1:5" x14ac:dyDescent="0.3">
      <c r="A3" s="1" t="s">
        <v>0</v>
      </c>
      <c r="B3" t="s">
        <v>101</v>
      </c>
      <c r="C3" t="s">
        <v>102</v>
      </c>
      <c r="D3" t="s">
        <v>122</v>
      </c>
      <c r="E3" t="s">
        <v>123</v>
      </c>
    </row>
    <row r="4" spans="1:5" x14ac:dyDescent="0.3">
      <c r="A4" s="23">
        <v>43287.958333333336</v>
      </c>
      <c r="B4" s="15">
        <v>6.2199999999999998E-3</v>
      </c>
      <c r="C4" s="15">
        <v>6.058E-3</v>
      </c>
      <c r="D4" s="28">
        <v>7.4939759036144578</v>
      </c>
      <c r="E4" s="28">
        <v>7.2987951807228919</v>
      </c>
    </row>
    <row r="5" spans="1:5" x14ac:dyDescent="0.3">
      <c r="A5" s="23">
        <v>43290</v>
      </c>
      <c r="B5" s="15">
        <v>1.1202999999999999E-2</v>
      </c>
      <c r="C5" s="15">
        <v>1.0441000000000001E-2</v>
      </c>
      <c r="D5" s="28">
        <v>8.4871212121212114</v>
      </c>
      <c r="E5" s="28">
        <v>7.9098484848484851</v>
      </c>
    </row>
    <row r="6" spans="1:5" x14ac:dyDescent="0.3">
      <c r="A6" s="23">
        <v>43290.041666666664</v>
      </c>
      <c r="B6" s="15">
        <v>2.8899999999999998E-4</v>
      </c>
      <c r="C6" s="15">
        <v>4.3000000000000002E-5</v>
      </c>
      <c r="D6" s="28">
        <v>0.31413043478260866</v>
      </c>
      <c r="E6" s="28">
        <v>4.6739130434782609E-2</v>
      </c>
    </row>
    <row r="7" spans="1:5" x14ac:dyDescent="0.3">
      <c r="A7" s="23">
        <v>43290.083333333336</v>
      </c>
      <c r="B7" s="15">
        <v>3.5599999999999998E-4</v>
      </c>
      <c r="C7" s="15">
        <v>2.5700000000000001E-4</v>
      </c>
      <c r="D7" s="28">
        <v>0.39555555555555555</v>
      </c>
      <c r="E7" s="28">
        <v>0.28555555555555556</v>
      </c>
    </row>
    <row r="8" spans="1:5" x14ac:dyDescent="0.3">
      <c r="A8" s="23">
        <v>43290.125</v>
      </c>
      <c r="B8" s="15">
        <v>3.68E-4</v>
      </c>
      <c r="C8" s="15">
        <v>4.7800000000000002E-4</v>
      </c>
      <c r="D8" s="28">
        <v>0.39148936170212767</v>
      </c>
      <c r="E8" s="28">
        <v>0.50851063829787235</v>
      </c>
    </row>
    <row r="9" spans="1:5" x14ac:dyDescent="0.3">
      <c r="A9" s="23">
        <v>43290.166666666664</v>
      </c>
      <c r="B9" s="15">
        <v>7.0699999999999995E-4</v>
      </c>
      <c r="C9" s="15">
        <v>1.36E-4</v>
      </c>
      <c r="D9" s="28">
        <v>0.41588235294117648</v>
      </c>
      <c r="E9" s="28">
        <v>0.08</v>
      </c>
    </row>
    <row r="10" spans="1:5" x14ac:dyDescent="0.3">
      <c r="A10" s="23">
        <v>43290.208333333336</v>
      </c>
      <c r="B10" s="15">
        <v>4.3600000000000003E-4</v>
      </c>
      <c r="C10" s="15">
        <v>6.2000000000000003E-5</v>
      </c>
      <c r="D10" s="28">
        <v>0.55189873417721524</v>
      </c>
      <c r="E10" s="28">
        <v>7.848101265822785E-2</v>
      </c>
    </row>
    <row r="11" spans="1:5" x14ac:dyDescent="0.3">
      <c r="A11" s="23">
        <v>43290.25</v>
      </c>
      <c r="B11" s="15">
        <v>3.0299999999999999E-4</v>
      </c>
      <c r="C11" s="15">
        <v>3.77E-4</v>
      </c>
      <c r="D11" s="28">
        <v>0.3443181818181818</v>
      </c>
      <c r="E11" s="28">
        <v>0.42840909090909091</v>
      </c>
    </row>
    <row r="12" spans="1:5" x14ac:dyDescent="0.3">
      <c r="A12" s="23">
        <v>43290.291666666664</v>
      </c>
      <c r="B12" s="15">
        <v>4.64E-4</v>
      </c>
      <c r="C12" s="15">
        <v>3.2699999999999998E-4</v>
      </c>
      <c r="D12" s="28">
        <v>0.92799999999999994</v>
      </c>
      <c r="E12" s="28">
        <v>0.65399999999999991</v>
      </c>
    </row>
    <row r="13" spans="1:5" x14ac:dyDescent="0.3">
      <c r="A13" s="23">
        <v>43290.333333333336</v>
      </c>
      <c r="B13" s="15">
        <v>4.66E-4</v>
      </c>
      <c r="C13" s="15">
        <v>8.6000000000000003E-5</v>
      </c>
      <c r="D13" s="28">
        <v>0.34776119402985073</v>
      </c>
      <c r="E13" s="28">
        <v>6.4179104477611937E-2</v>
      </c>
    </row>
    <row r="14" spans="1:5" x14ac:dyDescent="0.3">
      <c r="A14" s="23">
        <v>43290.375</v>
      </c>
      <c r="B14" s="15">
        <v>4.9100000000000001E-4</v>
      </c>
      <c r="C14" s="15">
        <v>1.7899999999999999E-4</v>
      </c>
      <c r="D14" s="28">
        <v>0.28057142857142858</v>
      </c>
      <c r="E14" s="28">
        <v>0.10228571428571427</v>
      </c>
    </row>
    <row r="15" spans="1:5" x14ac:dyDescent="0.3">
      <c r="A15" s="23">
        <v>43290.416666666664</v>
      </c>
      <c r="B15" s="15">
        <v>4.0200000000000001E-4</v>
      </c>
      <c r="C15" s="15">
        <v>9.7900000000000005E-4</v>
      </c>
      <c r="D15" s="28">
        <v>0.18190045248868777</v>
      </c>
      <c r="E15" s="28">
        <v>0.4429864253393665</v>
      </c>
    </row>
    <row r="16" spans="1:5" x14ac:dyDescent="0.3">
      <c r="A16" s="23">
        <v>43290.458333333336</v>
      </c>
      <c r="B16" s="15">
        <v>7.3399999999999995E-4</v>
      </c>
      <c r="C16" s="15">
        <v>7.9799999999999999E-4</v>
      </c>
      <c r="D16" s="28">
        <v>0.46751592356687893</v>
      </c>
      <c r="E16" s="28">
        <v>0.50828025477707006</v>
      </c>
    </row>
    <row r="17" spans="1:5" x14ac:dyDescent="0.3">
      <c r="A17" s="23">
        <v>43290.5</v>
      </c>
      <c r="B17" s="15">
        <v>3.2200000000000002E-4</v>
      </c>
      <c r="C17" s="15">
        <v>1.06E-4</v>
      </c>
      <c r="D17" s="28">
        <v>0.2576</v>
      </c>
      <c r="E17" s="28">
        <v>8.48E-2</v>
      </c>
    </row>
    <row r="18" spans="1:5" x14ac:dyDescent="0.3">
      <c r="A18" s="23">
        <v>43290.541666666664</v>
      </c>
      <c r="B18" s="15">
        <v>1.5E-5</v>
      </c>
      <c r="C18" s="15">
        <v>1.7000000000000001E-4</v>
      </c>
      <c r="D18" s="28">
        <v>1.282051282051282E-2</v>
      </c>
      <c r="E18" s="28">
        <v>0.14529914529914531</v>
      </c>
    </row>
    <row r="19" spans="1:5" x14ac:dyDescent="0.3">
      <c r="A19" s="23">
        <v>43290.583333333336</v>
      </c>
      <c r="B19" s="15">
        <v>1.0269999999999999E-3</v>
      </c>
      <c r="C19" s="15">
        <v>7.6199999999999998E-4</v>
      </c>
      <c r="D19" s="28">
        <v>0.54338624338624331</v>
      </c>
      <c r="E19" s="28">
        <v>0.40317460317460319</v>
      </c>
    </row>
    <row r="20" spans="1:5" x14ac:dyDescent="0.3">
      <c r="A20" s="23">
        <v>43290.625</v>
      </c>
      <c r="B20" s="15">
        <v>2.99E-4</v>
      </c>
      <c r="C20" s="15">
        <v>2.2599999999999999E-4</v>
      </c>
      <c r="D20" s="28">
        <v>0.20620689655172417</v>
      </c>
      <c r="E20" s="28">
        <v>0.15586206896551724</v>
      </c>
    </row>
    <row r="21" spans="1:5" x14ac:dyDescent="0.3">
      <c r="A21" s="23">
        <v>43290.666666666664</v>
      </c>
      <c r="B21" s="15">
        <v>3.8299999999999999E-4</v>
      </c>
      <c r="C21" s="15">
        <v>1.472E-3</v>
      </c>
      <c r="D21" s="28">
        <v>0.14132841328413281</v>
      </c>
      <c r="E21" s="28">
        <v>0.54317343173431731</v>
      </c>
    </row>
    <row r="22" spans="1:5" x14ac:dyDescent="0.3">
      <c r="A22" s="23">
        <v>43290.708333333336</v>
      </c>
      <c r="B22" s="15">
        <v>6.8499999999999995E-4</v>
      </c>
      <c r="C22" s="15">
        <v>5.8600000000000004E-4</v>
      </c>
      <c r="D22" s="28">
        <v>0.36631016042780745</v>
      </c>
      <c r="E22" s="28">
        <v>0.31336898395721929</v>
      </c>
    </row>
    <row r="23" spans="1:5" x14ac:dyDescent="0.3">
      <c r="A23" s="23">
        <v>43290.75</v>
      </c>
      <c r="B23" s="15">
        <v>4.4099999999999999E-4</v>
      </c>
      <c r="C23" s="15">
        <v>8.1099999999999998E-4</v>
      </c>
      <c r="D23" s="28">
        <v>0.20900473933649288</v>
      </c>
      <c r="E23" s="28">
        <v>0.38436018957345974</v>
      </c>
    </row>
    <row r="24" spans="1:5" x14ac:dyDescent="0.3">
      <c r="A24" s="23">
        <v>43290.791666666664</v>
      </c>
      <c r="B24" s="15">
        <v>2.13E-4</v>
      </c>
      <c r="C24" s="15">
        <v>6.7599999999999995E-4</v>
      </c>
      <c r="D24" s="28">
        <v>0.23666666666666666</v>
      </c>
      <c r="E24" s="28">
        <v>0.75111111111111106</v>
      </c>
    </row>
    <row r="25" spans="1:5" x14ac:dyDescent="0.3">
      <c r="A25" s="23">
        <v>43290.833333333336</v>
      </c>
      <c r="B25" s="15">
        <v>4.6900000000000002E-4</v>
      </c>
      <c r="C25" s="15">
        <v>7.0399999999999998E-4</v>
      </c>
      <c r="D25" s="28">
        <v>0.2605555555555556</v>
      </c>
      <c r="E25" s="28">
        <v>0.39111111111111113</v>
      </c>
    </row>
    <row r="26" spans="1:5" x14ac:dyDescent="0.3">
      <c r="A26" s="23">
        <v>43290.875</v>
      </c>
      <c r="B26" s="15">
        <v>9.0000000000000006E-5</v>
      </c>
      <c r="C26" s="15">
        <v>1.0970000000000001E-3</v>
      </c>
      <c r="D26" s="28">
        <v>0.1475409836065574</v>
      </c>
      <c r="E26" s="28">
        <v>1.7983606557377052</v>
      </c>
    </row>
    <row r="27" spans="1:5" x14ac:dyDescent="0.3">
      <c r="A27" s="23">
        <v>43290.916666666664</v>
      </c>
      <c r="B27" s="15">
        <v>1.54E-4</v>
      </c>
      <c r="C27" s="15">
        <v>2.5799999999999998E-4</v>
      </c>
      <c r="D27" s="28">
        <v>0.11159420289855074</v>
      </c>
      <c r="E27" s="28">
        <v>0.18695652173913044</v>
      </c>
    </row>
    <row r="28" spans="1:5" x14ac:dyDescent="0.3">
      <c r="A28" s="23">
        <v>43290.958333333336</v>
      </c>
      <c r="B28" s="15">
        <v>6.7999999999999999E-5</v>
      </c>
      <c r="C28" s="15">
        <v>2.5900000000000001E-4</v>
      </c>
      <c r="D28" s="28">
        <v>9.9999999999999992E-2</v>
      </c>
      <c r="E28" s="28">
        <v>0.38088235294117645</v>
      </c>
    </row>
    <row r="29" spans="1:5" x14ac:dyDescent="0.3">
      <c r="A29" s="23">
        <v>43291</v>
      </c>
      <c r="B29" s="15">
        <v>1.8599999999999999E-4</v>
      </c>
      <c r="C29" s="15">
        <v>1.7E-5</v>
      </c>
      <c r="D29" s="28">
        <v>0.21627906976744185</v>
      </c>
      <c r="E29" s="28">
        <v>1.9767441860465116E-2</v>
      </c>
    </row>
    <row r="30" spans="1:5" x14ac:dyDescent="0.3">
      <c r="A30" s="23">
        <v>43291.041666666664</v>
      </c>
      <c r="B30" s="15">
        <v>1.4100000000000001E-4</v>
      </c>
      <c r="C30" s="15">
        <v>1.12E-4</v>
      </c>
      <c r="D30" s="28">
        <v>0.28200000000000003</v>
      </c>
      <c r="E30" s="28">
        <v>0.224</v>
      </c>
    </row>
    <row r="31" spans="1:5" x14ac:dyDescent="0.3">
      <c r="A31" s="23">
        <v>43291.083333333336</v>
      </c>
      <c r="B31" s="15">
        <v>1.75E-4</v>
      </c>
      <c r="C31" s="15">
        <v>7.2000000000000002E-5</v>
      </c>
      <c r="D31" s="28">
        <v>0.20833333333333331</v>
      </c>
      <c r="E31" s="28">
        <v>8.5714285714285715E-2</v>
      </c>
    </row>
    <row r="32" spans="1:5" x14ac:dyDescent="0.3">
      <c r="A32" s="23">
        <v>43291.125</v>
      </c>
      <c r="B32" s="15">
        <v>1.6699999999999999E-4</v>
      </c>
      <c r="C32" s="15">
        <v>1.73E-4</v>
      </c>
      <c r="D32" s="28">
        <v>0.23194444444444443</v>
      </c>
      <c r="E32" s="28">
        <v>0.24027777777777776</v>
      </c>
    </row>
    <row r="33" spans="1:5" x14ac:dyDescent="0.3">
      <c r="A33" s="23">
        <v>43291.166666666664</v>
      </c>
      <c r="B33" s="15">
        <v>2.1699999999999999E-4</v>
      </c>
      <c r="C33" s="15">
        <v>7.9199999999999995E-4</v>
      </c>
      <c r="D33" s="28">
        <v>0.15069444444444444</v>
      </c>
      <c r="E33" s="28">
        <v>0.54999999999999993</v>
      </c>
    </row>
    <row r="34" spans="1:5" x14ac:dyDescent="0.3">
      <c r="A34" s="23">
        <v>43291.208333333336</v>
      </c>
      <c r="B34" s="15">
        <v>1.12E-4</v>
      </c>
      <c r="C34" s="15">
        <v>1.18E-4</v>
      </c>
      <c r="D34" s="28">
        <v>0.12584269662921349</v>
      </c>
      <c r="E34" s="28">
        <v>0.13258426966292136</v>
      </c>
    </row>
    <row r="35" spans="1:5" x14ac:dyDescent="0.3">
      <c r="A35" s="23">
        <v>43291.25</v>
      </c>
      <c r="B35" s="15">
        <v>3.1500000000000001E-4</v>
      </c>
      <c r="C35" s="15">
        <v>1.9000000000000001E-4</v>
      </c>
      <c r="D35" s="28">
        <v>0.33510638297872342</v>
      </c>
      <c r="E35" s="28">
        <v>0.2021276595744681</v>
      </c>
    </row>
    <row r="36" spans="1:5" x14ac:dyDescent="0.3">
      <c r="A36" s="23">
        <v>43291.291666666664</v>
      </c>
      <c r="B36" s="15">
        <v>4.28E-4</v>
      </c>
      <c r="C36" s="15">
        <v>1.7699999999999999E-4</v>
      </c>
      <c r="D36" s="28">
        <v>0.54177215189873418</v>
      </c>
      <c r="E36" s="28">
        <v>0.22405063291139241</v>
      </c>
    </row>
    <row r="37" spans="1:5" x14ac:dyDescent="0.3">
      <c r="A37" s="23">
        <v>43291.333333333336</v>
      </c>
      <c r="B37" s="15">
        <v>2.1000000000000001E-4</v>
      </c>
      <c r="C37" s="15">
        <v>1.2400000000000001E-4</v>
      </c>
      <c r="D37" s="28">
        <v>0.3</v>
      </c>
      <c r="E37" s="28">
        <v>0.17714285714285716</v>
      </c>
    </row>
    <row r="38" spans="1:5" x14ac:dyDescent="0.3">
      <c r="A38" s="23">
        <v>43291.375</v>
      </c>
      <c r="B38" s="15">
        <v>2.99E-4</v>
      </c>
      <c r="C38" s="15">
        <v>4.2999999999999999E-4</v>
      </c>
      <c r="D38" s="28">
        <v>0.17183908045977012</v>
      </c>
      <c r="E38" s="28">
        <v>0.2471264367816092</v>
      </c>
    </row>
    <row r="39" spans="1:5" x14ac:dyDescent="0.3">
      <c r="A39" s="23">
        <v>43291.416666666664</v>
      </c>
      <c r="B39" s="15">
        <v>2.5000000000000001E-4</v>
      </c>
      <c r="C39" s="15">
        <v>1.75E-4</v>
      </c>
      <c r="D39" s="28">
        <v>0.16233766233766234</v>
      </c>
      <c r="E39" s="28">
        <v>0.11363636363636365</v>
      </c>
    </row>
    <row r="40" spans="1:5" x14ac:dyDescent="0.3">
      <c r="A40" s="23">
        <v>43291.458333333336</v>
      </c>
      <c r="B40" s="15">
        <v>2.13E-4</v>
      </c>
      <c r="C40" s="15">
        <v>1.663E-3</v>
      </c>
      <c r="D40" s="28">
        <v>7.8308823529411764E-2</v>
      </c>
      <c r="E40" s="28">
        <v>0.61139705882352935</v>
      </c>
    </row>
    <row r="41" spans="1:5" x14ac:dyDescent="0.3">
      <c r="A41" s="23">
        <v>43291.5</v>
      </c>
      <c r="B41" s="15">
        <v>9.1399999999999999E-4</v>
      </c>
      <c r="C41" s="15">
        <v>3.4999999999999997E-5</v>
      </c>
      <c r="D41" s="28">
        <v>0.75537190082644634</v>
      </c>
      <c r="E41" s="28">
        <v>2.8925619834710745E-2</v>
      </c>
    </row>
    <row r="42" spans="1:5" x14ac:dyDescent="0.3">
      <c r="A42" s="23">
        <v>43291.541666666664</v>
      </c>
      <c r="B42" s="15">
        <v>1.2E-4</v>
      </c>
      <c r="C42" s="15">
        <v>8.2100000000000001E-4</v>
      </c>
      <c r="D42" s="28">
        <v>5.1724137931034482E-2</v>
      </c>
      <c r="E42" s="28">
        <v>0.35387931034482761</v>
      </c>
    </row>
    <row r="43" spans="1:5" x14ac:dyDescent="0.3">
      <c r="A43" s="23">
        <v>43291.583333333336</v>
      </c>
      <c r="B43" s="15">
        <v>4.3600000000000003E-4</v>
      </c>
      <c r="C43" s="15">
        <v>2.1800000000000001E-4</v>
      </c>
      <c r="D43" s="28">
        <v>0.21909547738693469</v>
      </c>
      <c r="E43" s="28">
        <v>0.10954773869346734</v>
      </c>
    </row>
    <row r="44" spans="1:5" x14ac:dyDescent="0.3">
      <c r="A44" s="23">
        <v>43291.625</v>
      </c>
      <c r="B44" s="15">
        <v>6.1799999999999995E-4</v>
      </c>
      <c r="C44" s="15">
        <v>7.0100000000000002E-4</v>
      </c>
      <c r="D44" s="28">
        <v>0.268695652173913</v>
      </c>
      <c r="E44" s="28">
        <v>0.30478260869565221</v>
      </c>
    </row>
    <row r="45" spans="1:5" x14ac:dyDescent="0.3">
      <c r="A45" s="23">
        <v>43291.666666666664</v>
      </c>
      <c r="B45" s="15">
        <v>1.1900000000000001E-4</v>
      </c>
      <c r="C45" s="15">
        <v>5.04E-4</v>
      </c>
      <c r="D45" s="28">
        <v>8.2638888888888887E-2</v>
      </c>
      <c r="E45" s="28">
        <v>0.35</v>
      </c>
    </row>
    <row r="46" spans="1:5" x14ac:dyDescent="0.3">
      <c r="A46" s="23">
        <v>43291.708333333336</v>
      </c>
      <c r="B46" s="15">
        <v>4.7800000000000002E-4</v>
      </c>
      <c r="C46" s="15">
        <v>9.2E-5</v>
      </c>
      <c r="D46" s="28">
        <v>0.24020100502512565</v>
      </c>
      <c r="E46" s="28">
        <v>4.6231155778894473E-2</v>
      </c>
    </row>
    <row r="47" spans="1:5" x14ac:dyDescent="0.3">
      <c r="A47" s="23">
        <v>43291.75</v>
      </c>
      <c r="B47" s="15">
        <v>1.2780000000000001E-3</v>
      </c>
      <c r="C47" s="15">
        <v>7.4899999999999999E-4</v>
      </c>
      <c r="D47" s="28">
        <v>0.63582089552238807</v>
      </c>
      <c r="E47" s="28">
        <v>0.37263681592039799</v>
      </c>
    </row>
    <row r="48" spans="1:5" x14ac:dyDescent="0.3">
      <c r="A48" s="23">
        <v>43291.791666666664</v>
      </c>
      <c r="B48" s="15">
        <v>5.0500000000000002E-4</v>
      </c>
      <c r="C48" s="15">
        <v>2.7799999999999998E-4</v>
      </c>
      <c r="D48" s="28">
        <v>0.31761006289308175</v>
      </c>
      <c r="E48" s="28">
        <v>0.17484276729559747</v>
      </c>
    </row>
    <row r="49" spans="1:5" x14ac:dyDescent="0.3">
      <c r="A49" s="23">
        <v>43291.833333333336</v>
      </c>
      <c r="B49" s="15">
        <v>6.3000000000000003E-4</v>
      </c>
      <c r="C49" s="15">
        <v>6.78E-4</v>
      </c>
      <c r="D49" s="28">
        <v>0.42</v>
      </c>
      <c r="E49" s="28">
        <v>0.45200000000000001</v>
      </c>
    </row>
    <row r="50" spans="1:5" x14ac:dyDescent="0.3">
      <c r="A50" s="23">
        <v>43291.875</v>
      </c>
      <c r="B50" s="15">
        <v>3.4900000000000003E-4</v>
      </c>
      <c r="C50" s="15">
        <v>3.3799999999999998E-4</v>
      </c>
      <c r="D50" s="28">
        <v>0.42560975609756102</v>
      </c>
      <c r="E50" s="28">
        <v>0.41219512195121949</v>
      </c>
    </row>
    <row r="51" spans="1:5" x14ac:dyDescent="0.3">
      <c r="A51" s="23">
        <v>43291.916666666664</v>
      </c>
      <c r="B51" s="15">
        <v>2.2699999999999999E-4</v>
      </c>
      <c r="C51" s="15">
        <v>3.6000000000000002E-4</v>
      </c>
      <c r="D51" s="28">
        <v>0.46326530612244898</v>
      </c>
      <c r="E51" s="28">
        <v>0.73469387755102045</v>
      </c>
    </row>
    <row r="52" spans="1:5" x14ac:dyDescent="0.3">
      <c r="A52" s="23">
        <v>43291.958333333336</v>
      </c>
      <c r="B52" s="15">
        <v>9.2999999999999997E-5</v>
      </c>
      <c r="C52" s="15">
        <v>1.2899999999999999E-4</v>
      </c>
      <c r="D52" s="28">
        <v>0.14531249999999998</v>
      </c>
      <c r="E52" s="28">
        <v>0.20156249999999998</v>
      </c>
    </row>
    <row r="53" spans="1:5" x14ac:dyDescent="0.3">
      <c r="A53" s="23">
        <v>43292</v>
      </c>
      <c r="B53" s="15">
        <v>6.2000000000000003E-5</v>
      </c>
      <c r="C53" s="15">
        <v>8.25E-4</v>
      </c>
      <c r="D53" s="28">
        <v>4.4927536231884065E-2</v>
      </c>
      <c r="E53" s="28">
        <v>0.59782608695652173</v>
      </c>
    </row>
    <row r="54" spans="1:5" x14ac:dyDescent="0.3">
      <c r="A54" s="23">
        <v>43292.041666666664</v>
      </c>
      <c r="B54" s="15">
        <v>6.4700000000000001E-4</v>
      </c>
      <c r="C54" s="15">
        <v>2.8899999999999998E-4</v>
      </c>
      <c r="D54" s="28">
        <v>0.92428571428571427</v>
      </c>
      <c r="E54" s="28">
        <v>0.41285714285714281</v>
      </c>
    </row>
    <row r="55" spans="1:5" x14ac:dyDescent="0.3">
      <c r="A55" s="23">
        <v>43292.083333333336</v>
      </c>
      <c r="B55" s="15">
        <v>1.75E-4</v>
      </c>
      <c r="C55" s="15">
        <v>4.6799999999999999E-4</v>
      </c>
      <c r="D55" s="28">
        <v>0.14462809917355374</v>
      </c>
      <c r="E55" s="28">
        <v>0.38677685950413226</v>
      </c>
    </row>
    <row r="56" spans="1:5" x14ac:dyDescent="0.3">
      <c r="A56" s="23">
        <v>43292.125</v>
      </c>
      <c r="B56" s="15">
        <v>1.22E-4</v>
      </c>
      <c r="C56" s="15">
        <v>2.22E-4</v>
      </c>
      <c r="D56" s="28">
        <v>0.1506172839506173</v>
      </c>
      <c r="E56" s="28">
        <v>0.27407407407407408</v>
      </c>
    </row>
    <row r="57" spans="1:5" x14ac:dyDescent="0.3">
      <c r="A57" s="23">
        <v>43292.166666666664</v>
      </c>
      <c r="B57" s="15">
        <v>9.8999999999999994E-5</v>
      </c>
      <c r="C57" s="15">
        <v>8.7999999999999998E-5</v>
      </c>
      <c r="D57" s="28">
        <v>0.12222222222222222</v>
      </c>
      <c r="E57" s="28">
        <v>0.10864197530864197</v>
      </c>
    </row>
    <row r="58" spans="1:5" x14ac:dyDescent="0.3">
      <c r="A58" s="23">
        <v>43292.208333333336</v>
      </c>
      <c r="B58" s="15">
        <v>1.85E-4</v>
      </c>
      <c r="C58" s="15">
        <v>6.6000000000000005E-5</v>
      </c>
      <c r="D58" s="28">
        <v>0.21511627906976744</v>
      </c>
      <c r="E58" s="28">
        <v>7.6744186046511634E-2</v>
      </c>
    </row>
    <row r="59" spans="1:5" x14ac:dyDescent="0.3">
      <c r="A59" s="23">
        <v>43292.25</v>
      </c>
      <c r="B59" s="15">
        <v>2.22E-4</v>
      </c>
      <c r="C59" s="15">
        <v>2.2000000000000001E-4</v>
      </c>
      <c r="D59" s="28">
        <v>0.29599999999999999</v>
      </c>
      <c r="E59" s="28">
        <v>0.29333333333333333</v>
      </c>
    </row>
    <row r="60" spans="1:5" x14ac:dyDescent="0.3">
      <c r="A60" s="23">
        <v>43292.291666666664</v>
      </c>
      <c r="B60" s="15">
        <v>1.85E-4</v>
      </c>
      <c r="C60" s="15">
        <v>2.3699999999999999E-4</v>
      </c>
      <c r="D60" s="28">
        <v>0.23717948717948717</v>
      </c>
      <c r="E60" s="28">
        <v>0.30384615384615382</v>
      </c>
    </row>
    <row r="61" spans="1:5" x14ac:dyDescent="0.3">
      <c r="A61" s="23">
        <v>43292.333333333336</v>
      </c>
      <c r="B61" s="15">
        <v>1.8799999999999999E-4</v>
      </c>
      <c r="C61" s="15">
        <v>4.6500000000000003E-4</v>
      </c>
      <c r="D61" s="28">
        <v>0.27647058823529408</v>
      </c>
      <c r="E61" s="28">
        <v>0.68382352941176472</v>
      </c>
    </row>
    <row r="62" spans="1:5" x14ac:dyDescent="0.3">
      <c r="A62" s="23">
        <v>43292.375</v>
      </c>
      <c r="B62" s="15">
        <v>6.0400000000000004E-4</v>
      </c>
      <c r="C62" s="15">
        <v>4.8999999999999998E-5</v>
      </c>
      <c r="D62" s="28">
        <v>0.38227848101265827</v>
      </c>
      <c r="E62" s="28">
        <v>3.10126582278481E-2</v>
      </c>
    </row>
    <row r="63" spans="1:5" x14ac:dyDescent="0.3">
      <c r="A63" s="23">
        <v>43292.416666666664</v>
      </c>
      <c r="B63" s="15">
        <v>3.0299999999999999E-4</v>
      </c>
      <c r="C63" s="15">
        <v>3.7399999999999998E-4</v>
      </c>
      <c r="D63" s="28">
        <v>0.19423076923076923</v>
      </c>
      <c r="E63" s="28">
        <v>0.23974358974358972</v>
      </c>
    </row>
    <row r="64" spans="1:5" x14ac:dyDescent="0.3">
      <c r="A64" s="23">
        <v>43292.458333333336</v>
      </c>
      <c r="B64" s="15">
        <v>1.13E-4</v>
      </c>
      <c r="C64" s="15">
        <v>1.6900000000000001E-3</v>
      </c>
      <c r="D64" s="28">
        <v>3.4662576687116566E-2</v>
      </c>
      <c r="E64" s="28">
        <v>0.51840490797546013</v>
      </c>
    </row>
    <row r="65" spans="1:5" x14ac:dyDescent="0.3">
      <c r="A65" s="23">
        <v>43292.5</v>
      </c>
      <c r="B65" s="15">
        <v>1.286E-3</v>
      </c>
      <c r="C65" s="15">
        <v>2.41E-4</v>
      </c>
      <c r="D65" s="28">
        <v>0.78414634146341466</v>
      </c>
      <c r="E65" s="28">
        <v>0.14695121951219511</v>
      </c>
    </row>
    <row r="66" spans="1:5" x14ac:dyDescent="0.3">
      <c r="A66" s="23">
        <v>43292.541666666664</v>
      </c>
      <c r="B66" s="15">
        <v>4.9799999999999996E-4</v>
      </c>
      <c r="C66" s="15">
        <v>7.6400000000000003E-4</v>
      </c>
      <c r="D66" s="28">
        <v>0.32129032258064516</v>
      </c>
      <c r="E66" s="28">
        <v>0.49290322580645163</v>
      </c>
    </row>
    <row r="67" spans="1:5" x14ac:dyDescent="0.3">
      <c r="A67" s="23">
        <v>43292.583333333336</v>
      </c>
      <c r="B67" s="15">
        <v>2.5999999999999998E-5</v>
      </c>
      <c r="C67" s="15">
        <v>5.1900000000000004E-4</v>
      </c>
      <c r="D67" s="28">
        <v>1.268292682926829E-2</v>
      </c>
      <c r="E67" s="28">
        <v>0.25317073170731708</v>
      </c>
    </row>
    <row r="68" spans="1:5" x14ac:dyDescent="0.3">
      <c r="A68" s="23">
        <v>43292.625</v>
      </c>
      <c r="B68" s="15">
        <v>3.614E-3</v>
      </c>
      <c r="C68" s="15">
        <v>2.14E-4</v>
      </c>
      <c r="D68" s="28">
        <v>0.67425373134328359</v>
      </c>
      <c r="E68" s="28">
        <v>3.9925373134328354E-2</v>
      </c>
    </row>
    <row r="69" spans="1:5" x14ac:dyDescent="0.3">
      <c r="A69" s="23">
        <v>43292.666666666664</v>
      </c>
      <c r="B69" s="15">
        <v>1.297E-3</v>
      </c>
      <c r="C69" s="15">
        <v>1.7060000000000001E-3</v>
      </c>
      <c r="D69" s="28">
        <v>0.90069444444444435</v>
      </c>
      <c r="E69" s="28">
        <v>1.1847222222222222</v>
      </c>
    </row>
    <row r="70" spans="1:5" x14ac:dyDescent="0.3">
      <c r="A70" s="23">
        <v>43292.708333333336</v>
      </c>
      <c r="B70" s="15">
        <v>8.0900000000000004E-4</v>
      </c>
      <c r="C70" s="15">
        <v>1.4339999999999999E-3</v>
      </c>
      <c r="D70" s="28">
        <v>0.25440251572327044</v>
      </c>
      <c r="E70" s="28">
        <v>0.45094339622641505</v>
      </c>
    </row>
    <row r="71" spans="1:5" x14ac:dyDescent="0.3">
      <c r="A71" s="23">
        <v>43292.75</v>
      </c>
      <c r="B71" s="15">
        <v>6.4199999999999999E-4</v>
      </c>
      <c r="C71" s="15">
        <v>1.13E-4</v>
      </c>
      <c r="D71" s="28">
        <v>0.35865921787709498</v>
      </c>
      <c r="E71" s="28">
        <v>6.3128491620111735E-2</v>
      </c>
    </row>
    <row r="72" spans="1:5" x14ac:dyDescent="0.3">
      <c r="A72" s="23">
        <v>43292.791666666664</v>
      </c>
      <c r="B72" s="15">
        <v>5.9999999999999995E-4</v>
      </c>
      <c r="C72" s="15">
        <v>1.307E-3</v>
      </c>
      <c r="D72" s="28">
        <v>0.19999999999999998</v>
      </c>
      <c r="E72" s="28">
        <v>0.43566666666666665</v>
      </c>
    </row>
    <row r="73" spans="1:5" x14ac:dyDescent="0.3">
      <c r="A73" s="23">
        <v>43292.833333333336</v>
      </c>
      <c r="B73" s="15">
        <v>1.4829999999999999E-3</v>
      </c>
      <c r="C73" s="15">
        <v>1.874E-3</v>
      </c>
      <c r="D73" s="28">
        <v>0.46199376947040494</v>
      </c>
      <c r="E73" s="28">
        <v>0.58380062305295943</v>
      </c>
    </row>
    <row r="74" spans="1:5" x14ac:dyDescent="0.3">
      <c r="A74" s="23">
        <v>43292.875</v>
      </c>
      <c r="B74" s="15">
        <v>6.4700000000000001E-4</v>
      </c>
      <c r="C74" s="15">
        <v>7.6599999999999997E-4</v>
      </c>
      <c r="D74" s="28">
        <v>0.3718390804597701</v>
      </c>
      <c r="E74" s="28">
        <v>0.44022988505747124</v>
      </c>
    </row>
    <row r="75" spans="1:5" x14ac:dyDescent="0.3">
      <c r="A75" s="23">
        <v>43292.916666666664</v>
      </c>
      <c r="B75" s="15">
        <v>4.7600000000000002E-4</v>
      </c>
      <c r="C75" s="15">
        <v>5.8299999999999997E-4</v>
      </c>
      <c r="D75" s="28">
        <v>0.49072164948453606</v>
      </c>
      <c r="E75" s="28">
        <v>0.60103092783505152</v>
      </c>
    </row>
    <row r="76" spans="1:5" x14ac:dyDescent="0.3">
      <c r="A76" s="23">
        <v>43292.958333333336</v>
      </c>
      <c r="B76" s="15">
        <v>1.56E-4</v>
      </c>
      <c r="C76" s="15">
        <v>5.5699999999999999E-4</v>
      </c>
      <c r="D76" s="28">
        <v>0.26440677966101694</v>
      </c>
      <c r="E76" s="28">
        <v>0.94406779661016937</v>
      </c>
    </row>
    <row r="77" spans="1:5" x14ac:dyDescent="0.3">
      <c r="A77" s="23">
        <v>43293</v>
      </c>
      <c r="B77" s="15">
        <v>1.65E-4</v>
      </c>
      <c r="C77" s="15">
        <v>1.2400000000000001E-4</v>
      </c>
      <c r="D77" s="28">
        <v>0.19879518072289157</v>
      </c>
      <c r="E77" s="28">
        <v>0.14939759036144579</v>
      </c>
    </row>
    <row r="78" spans="1:5" x14ac:dyDescent="0.3">
      <c r="A78" s="23">
        <v>43293.041666666664</v>
      </c>
      <c r="B78" s="15">
        <v>3.86E-4</v>
      </c>
      <c r="C78" s="15">
        <v>1.2E-5</v>
      </c>
      <c r="D78" s="28">
        <v>0.98974358974358978</v>
      </c>
      <c r="E78" s="28">
        <v>3.0769230769230771E-2</v>
      </c>
    </row>
    <row r="79" spans="1:5" x14ac:dyDescent="0.3">
      <c r="A79" s="23">
        <v>43293.083333333336</v>
      </c>
      <c r="B79" s="15">
        <v>1.6799999999999999E-4</v>
      </c>
      <c r="C79" s="15">
        <v>2.1100000000000001E-4</v>
      </c>
      <c r="D79" s="28">
        <v>0.30545454545454542</v>
      </c>
      <c r="E79" s="28">
        <v>0.38363636363636361</v>
      </c>
    </row>
    <row r="80" spans="1:5" x14ac:dyDescent="0.3">
      <c r="A80" s="23">
        <v>43293.125</v>
      </c>
      <c r="B80" s="15">
        <v>5.8E-5</v>
      </c>
      <c r="C80" s="15">
        <v>2.8600000000000001E-4</v>
      </c>
      <c r="D80" s="28">
        <v>6.9879518072289162E-2</v>
      </c>
      <c r="E80" s="28">
        <v>0.34457831325301208</v>
      </c>
    </row>
    <row r="81" spans="1:5" x14ac:dyDescent="0.3">
      <c r="A81" s="23">
        <v>43293.166666666664</v>
      </c>
      <c r="B81" s="15">
        <v>3.5599999999999998E-4</v>
      </c>
      <c r="C81" s="15">
        <v>3.7599999999999998E-4</v>
      </c>
      <c r="D81" s="28">
        <v>0.43950617283950616</v>
      </c>
      <c r="E81" s="28">
        <v>0.46419753086419752</v>
      </c>
    </row>
    <row r="82" spans="1:5" x14ac:dyDescent="0.3">
      <c r="A82" s="23">
        <v>43293.208333333336</v>
      </c>
      <c r="B82" s="15">
        <v>1.3100000000000001E-4</v>
      </c>
      <c r="C82" s="15">
        <v>2.13E-4</v>
      </c>
      <c r="D82" s="28">
        <v>0.17236842105263159</v>
      </c>
      <c r="E82" s="28">
        <v>0.28026315789473683</v>
      </c>
    </row>
    <row r="83" spans="1:5" x14ac:dyDescent="0.3">
      <c r="A83" s="23">
        <v>43293.25</v>
      </c>
      <c r="B83" s="15">
        <v>1.5999999999999999E-5</v>
      </c>
      <c r="C83" s="15">
        <v>4.8000000000000001E-5</v>
      </c>
      <c r="D83" s="28">
        <v>2.5806451612903226E-2</v>
      </c>
      <c r="E83" s="28">
        <v>7.7419354838709681E-2</v>
      </c>
    </row>
    <row r="84" spans="1:5" x14ac:dyDescent="0.3">
      <c r="A84" s="23">
        <v>43293.291666666664</v>
      </c>
      <c r="B84" s="15">
        <v>1.64E-4</v>
      </c>
      <c r="C84" s="15">
        <v>2.8200000000000002E-4</v>
      </c>
      <c r="D84" s="28">
        <v>0.20499999999999999</v>
      </c>
      <c r="E84" s="28">
        <v>0.35250000000000004</v>
      </c>
    </row>
    <row r="85" spans="1:5" x14ac:dyDescent="0.3">
      <c r="A85" s="23">
        <v>43293.333333333336</v>
      </c>
      <c r="B85" s="15">
        <v>1.5799999999999999E-4</v>
      </c>
      <c r="C85" s="15">
        <v>4.6999999999999997E-5</v>
      </c>
      <c r="D85" s="28">
        <v>0.1926829268292683</v>
      </c>
      <c r="E85" s="28">
        <v>5.7317073170731703E-2</v>
      </c>
    </row>
    <row r="86" spans="1:5" x14ac:dyDescent="0.3">
      <c r="A86" s="23">
        <v>43293.375</v>
      </c>
      <c r="B86" s="15">
        <v>2.4399999999999999E-4</v>
      </c>
      <c r="C86" s="15">
        <v>4.8200000000000001E-4</v>
      </c>
      <c r="D86" s="28">
        <v>0.15947712418300655</v>
      </c>
      <c r="E86" s="28">
        <v>0.31503267973856214</v>
      </c>
    </row>
    <row r="87" spans="1:5" x14ac:dyDescent="0.3">
      <c r="A87" s="23">
        <v>43293.416666666664</v>
      </c>
      <c r="B87" s="15">
        <v>2.1800000000000001E-4</v>
      </c>
      <c r="C87" s="15">
        <v>4.3300000000000001E-4</v>
      </c>
      <c r="D87" s="28">
        <v>0.11354166666666667</v>
      </c>
      <c r="E87" s="28">
        <v>0.22552083333333334</v>
      </c>
    </row>
    <row r="88" spans="1:5" x14ac:dyDescent="0.3">
      <c r="A88" s="23">
        <v>43293.458333333336</v>
      </c>
      <c r="B88" s="15">
        <v>2.1999999999999999E-5</v>
      </c>
      <c r="C88" s="15">
        <v>1.37E-4</v>
      </c>
      <c r="D88" s="28">
        <v>1.1111111111111112E-2</v>
      </c>
      <c r="E88" s="28">
        <v>6.9191919191919193E-2</v>
      </c>
    </row>
    <row r="89" spans="1:5" x14ac:dyDescent="0.3">
      <c r="A89" s="23">
        <v>43293.5</v>
      </c>
      <c r="B89" s="15">
        <v>1.7799999999999999E-4</v>
      </c>
      <c r="C89" s="15">
        <v>1.54E-4</v>
      </c>
      <c r="D89" s="28">
        <v>0.12447552447552446</v>
      </c>
      <c r="E89" s="28">
        <v>0.10769230769230768</v>
      </c>
    </row>
    <row r="90" spans="1:5" x14ac:dyDescent="0.3">
      <c r="A90" s="23">
        <v>43293.541666666664</v>
      </c>
      <c r="B90" s="15">
        <v>5.4799999999999998E-4</v>
      </c>
      <c r="C90" s="15">
        <v>7.6099999999999996E-4</v>
      </c>
      <c r="D90" s="28">
        <v>0.26995073891625615</v>
      </c>
      <c r="E90" s="28">
        <v>0.37487684729064036</v>
      </c>
    </row>
    <row r="91" spans="1:5" x14ac:dyDescent="0.3">
      <c r="A91" s="23">
        <v>43293.583333333336</v>
      </c>
      <c r="B91" s="15">
        <v>9.9400000000000009E-4</v>
      </c>
      <c r="C91" s="15">
        <v>4.2900000000000002E-4</v>
      </c>
      <c r="D91" s="28">
        <v>0.69027777777777777</v>
      </c>
      <c r="E91" s="28">
        <v>0.29791666666666666</v>
      </c>
    </row>
    <row r="92" spans="1:5" x14ac:dyDescent="0.3">
      <c r="A92" s="23">
        <v>43293.625</v>
      </c>
      <c r="B92" s="15">
        <v>2.5460000000000001E-3</v>
      </c>
      <c r="C92" s="15">
        <v>7.2499999999999995E-4</v>
      </c>
      <c r="D92" s="28">
        <v>0.73160919540229885</v>
      </c>
      <c r="E92" s="28">
        <v>0.20833333333333331</v>
      </c>
    </row>
    <row r="93" spans="1:5" x14ac:dyDescent="0.3">
      <c r="A93" s="23">
        <v>43293.666666666664</v>
      </c>
      <c r="B93" s="15">
        <v>1.016E-3</v>
      </c>
      <c r="C93" s="15">
        <v>5.3300000000000005E-4</v>
      </c>
      <c r="D93" s="28">
        <v>0.71048951048951048</v>
      </c>
      <c r="E93" s="28">
        <v>0.37272727272727274</v>
      </c>
    </row>
    <row r="94" spans="1:5" x14ac:dyDescent="0.3">
      <c r="A94" s="23">
        <v>43293.708333333336</v>
      </c>
      <c r="B94" s="15">
        <v>2.8E-5</v>
      </c>
      <c r="C94" s="15">
        <v>2.4699999999999999E-4</v>
      </c>
      <c r="D94" s="28">
        <v>1.6666666666666666E-2</v>
      </c>
      <c r="E94" s="28">
        <v>0.1470238095238095</v>
      </c>
    </row>
    <row r="95" spans="1:5" x14ac:dyDescent="0.3">
      <c r="A95" s="23">
        <v>43293.75</v>
      </c>
      <c r="B95" s="15">
        <v>5.8900000000000001E-4</v>
      </c>
      <c r="C95" s="15">
        <v>2.4800000000000001E-4</v>
      </c>
      <c r="D95" s="28">
        <v>0.33657142857142858</v>
      </c>
      <c r="E95" s="28">
        <v>0.14171428571428571</v>
      </c>
    </row>
    <row r="96" spans="1:5" x14ac:dyDescent="0.3">
      <c r="A96" s="23">
        <v>43293.791666666664</v>
      </c>
      <c r="B96" s="15">
        <v>4.8200000000000001E-4</v>
      </c>
      <c r="C96" s="15">
        <v>7.9999999999999996E-6</v>
      </c>
      <c r="D96" s="28">
        <v>0.41551724137931034</v>
      </c>
      <c r="E96" s="28">
        <v>6.8965517241379309E-3</v>
      </c>
    </row>
    <row r="97" spans="1:5" x14ac:dyDescent="0.3">
      <c r="A97" s="23">
        <v>43293.833333333336</v>
      </c>
      <c r="B97" s="15">
        <v>3.2000000000000003E-4</v>
      </c>
      <c r="C97" s="15">
        <v>6.6399999999999999E-4</v>
      </c>
      <c r="D97" s="28">
        <v>0.186046511627907</v>
      </c>
      <c r="E97" s="28">
        <v>0.38604651162790699</v>
      </c>
    </row>
    <row r="98" spans="1:5" x14ac:dyDescent="0.3">
      <c r="A98" s="23">
        <v>43293.875</v>
      </c>
      <c r="B98" s="15">
        <v>5.9199999999999997E-4</v>
      </c>
      <c r="C98" s="15">
        <v>2.32E-4</v>
      </c>
      <c r="D98" s="28">
        <v>0.69647058823529417</v>
      </c>
      <c r="E98" s="28">
        <v>0.27294117647058824</v>
      </c>
    </row>
    <row r="99" spans="1:5" x14ac:dyDescent="0.3">
      <c r="A99" s="23">
        <v>43293.916666666664</v>
      </c>
      <c r="B99" s="15">
        <v>7.4999999999999993E-5</v>
      </c>
      <c r="C99" s="15">
        <v>1.84E-4</v>
      </c>
      <c r="D99" s="28">
        <v>8.152173913043477E-2</v>
      </c>
      <c r="E99" s="28">
        <v>0.19999999999999998</v>
      </c>
    </row>
    <row r="100" spans="1:5" x14ac:dyDescent="0.3">
      <c r="A100" s="23">
        <v>43293.958333333336</v>
      </c>
      <c r="B100" s="15">
        <v>4.3660000000000001E-3</v>
      </c>
      <c r="C100" s="15">
        <v>4.1999999999999997E-3</v>
      </c>
      <c r="D100" s="28">
        <v>7.9381818181818176</v>
      </c>
      <c r="E100" s="28">
        <v>7.6363636363636358</v>
      </c>
    </row>
    <row r="101" spans="1:5" x14ac:dyDescent="0.3">
      <c r="A101" s="23">
        <v>43294</v>
      </c>
      <c r="B101" s="15">
        <v>5.0000000000000001E-4</v>
      </c>
      <c r="C101" s="15">
        <v>5.0799999999999999E-4</v>
      </c>
      <c r="D101" s="28">
        <v>0.81967213114754101</v>
      </c>
      <c r="E101" s="28">
        <v>0.83278688524590161</v>
      </c>
    </row>
    <row r="102" spans="1:5" x14ac:dyDescent="0.3">
      <c r="A102" s="23">
        <v>43294.041666666664</v>
      </c>
      <c r="B102" s="15">
        <v>1.9900000000000001E-4</v>
      </c>
      <c r="C102" s="15">
        <v>1.2750000000000001E-3</v>
      </c>
      <c r="D102" s="28">
        <v>0.14525547445255477</v>
      </c>
      <c r="E102" s="28">
        <v>0.93065693430656948</v>
      </c>
    </row>
    <row r="103" spans="1:5" x14ac:dyDescent="0.3">
      <c r="A103" s="23">
        <v>43294.083333333336</v>
      </c>
      <c r="B103" s="15">
        <v>3.3799999999999998E-4</v>
      </c>
      <c r="C103" s="15">
        <v>3.4900000000000003E-4</v>
      </c>
      <c r="D103" s="28">
        <v>0.58275862068965512</v>
      </c>
      <c r="E103" s="28">
        <v>0.60172413793103452</v>
      </c>
    </row>
    <row r="104" spans="1:5" x14ac:dyDescent="0.3">
      <c r="A104" s="23">
        <v>43294.125</v>
      </c>
      <c r="B104" s="15">
        <v>3.4400000000000001E-4</v>
      </c>
      <c r="C104" s="15">
        <v>2.6200000000000003E-4</v>
      </c>
      <c r="D104" s="28">
        <v>0.39090909090909093</v>
      </c>
      <c r="E104" s="28">
        <v>0.29772727272727273</v>
      </c>
    </row>
    <row r="105" spans="1:5" x14ac:dyDescent="0.3">
      <c r="A105" s="23">
        <v>43294.166666666664</v>
      </c>
      <c r="B105" s="15">
        <v>4.2099999999999999E-4</v>
      </c>
      <c r="C105" s="15">
        <v>1.8100000000000001E-4</v>
      </c>
      <c r="D105" s="28">
        <v>0.38981481481481478</v>
      </c>
      <c r="E105" s="28">
        <v>0.1675925925925926</v>
      </c>
    </row>
    <row r="106" spans="1:5" x14ac:dyDescent="0.3">
      <c r="A106" s="23">
        <v>43294.208333333336</v>
      </c>
      <c r="B106" s="15">
        <v>3.0499999999999999E-4</v>
      </c>
      <c r="C106" s="15">
        <v>2.7799999999999998E-4</v>
      </c>
      <c r="D106" s="28">
        <v>0.36746987951807225</v>
      </c>
      <c r="E106" s="28">
        <v>0.33493975903614454</v>
      </c>
    </row>
    <row r="107" spans="1:5" x14ac:dyDescent="0.3">
      <c r="A107" s="23">
        <v>43294.25</v>
      </c>
      <c r="B107" s="15">
        <v>5.1500000000000005E-4</v>
      </c>
      <c r="C107" s="15">
        <v>4.0099999999999999E-4</v>
      </c>
      <c r="D107" s="28">
        <v>0.57865168539325851</v>
      </c>
      <c r="E107" s="28">
        <v>0.45056179775280902</v>
      </c>
    </row>
    <row r="108" spans="1:5" x14ac:dyDescent="0.3">
      <c r="A108" s="23">
        <v>43294.291666666664</v>
      </c>
      <c r="B108" s="15">
        <v>1.2300000000000001E-4</v>
      </c>
      <c r="C108" s="15">
        <v>1.25E-4</v>
      </c>
      <c r="D108" s="28">
        <v>0.13977272727272727</v>
      </c>
      <c r="E108" s="28">
        <v>0.14204545454545453</v>
      </c>
    </row>
    <row r="109" spans="1:5" x14ac:dyDescent="0.3">
      <c r="A109" s="23">
        <v>43294.333333333336</v>
      </c>
      <c r="B109" s="15">
        <v>3.4999999999999997E-5</v>
      </c>
      <c r="C109" s="15">
        <v>3.3599999999999998E-4</v>
      </c>
      <c r="D109" s="28">
        <v>3.888888888888889E-2</v>
      </c>
      <c r="E109" s="28">
        <v>0.37333333333333335</v>
      </c>
    </row>
    <row r="110" spans="1:5" x14ac:dyDescent="0.3">
      <c r="A110" s="23">
        <v>43294.375</v>
      </c>
      <c r="B110" s="15">
        <v>5.13E-4</v>
      </c>
      <c r="C110" s="15">
        <v>1.6720000000000001E-3</v>
      </c>
      <c r="D110" s="28">
        <v>0.24084507042253522</v>
      </c>
      <c r="E110" s="28">
        <v>0.78497652582159627</v>
      </c>
    </row>
    <row r="111" spans="1:5" x14ac:dyDescent="0.3">
      <c r="A111" s="23">
        <v>43294.416666666664</v>
      </c>
      <c r="B111" s="15">
        <v>3.6999999999999999E-4</v>
      </c>
      <c r="C111" s="15">
        <v>1.206E-3</v>
      </c>
      <c r="D111" s="28">
        <v>0.14624505928853754</v>
      </c>
      <c r="E111" s="28">
        <v>0.47667984189723317</v>
      </c>
    </row>
    <row r="112" spans="1:5" x14ac:dyDescent="0.3">
      <c r="A112" s="23">
        <v>43294.458333333336</v>
      </c>
      <c r="B112" s="15">
        <v>5.8699999999999996E-4</v>
      </c>
      <c r="C112" s="15">
        <v>7.2300000000000001E-4</v>
      </c>
      <c r="D112" s="28">
        <v>0.24978723404255315</v>
      </c>
      <c r="E112" s="28">
        <v>0.30765957446808512</v>
      </c>
    </row>
    <row r="113" spans="1:5" x14ac:dyDescent="0.3">
      <c r="A113" s="23">
        <v>43294.5</v>
      </c>
      <c r="B113" s="15">
        <v>2.9300000000000002E-4</v>
      </c>
      <c r="C113" s="15">
        <v>4.57E-4</v>
      </c>
      <c r="D113" s="28">
        <v>0.13502304147465438</v>
      </c>
      <c r="E113" s="28">
        <v>0.21059907834101382</v>
      </c>
    </row>
    <row r="114" spans="1:5" x14ac:dyDescent="0.3">
      <c r="A114" s="23">
        <v>43294.541666666664</v>
      </c>
      <c r="B114" s="15">
        <v>4.5100000000000001E-4</v>
      </c>
      <c r="C114" s="15">
        <v>3.6900000000000002E-4</v>
      </c>
      <c r="D114" s="28">
        <v>0.27839506172839507</v>
      </c>
      <c r="E114" s="28">
        <v>0.2277777777777778</v>
      </c>
    </row>
    <row r="115" spans="1:5" x14ac:dyDescent="0.3">
      <c r="A115" s="23">
        <v>43294.583333333336</v>
      </c>
      <c r="B115" s="15">
        <v>2.1900000000000001E-4</v>
      </c>
      <c r="C115" s="15">
        <v>8.3100000000000003E-4</v>
      </c>
      <c r="D115" s="28">
        <v>0.14038461538461539</v>
      </c>
      <c r="E115" s="28">
        <v>0.53269230769230769</v>
      </c>
    </row>
    <row r="116" spans="1:5" x14ac:dyDescent="0.3">
      <c r="A116" s="23">
        <v>43294.625</v>
      </c>
      <c r="B116" s="15">
        <v>9.9599999999999992E-4</v>
      </c>
      <c r="C116" s="15">
        <v>5.31E-4</v>
      </c>
      <c r="D116" s="28">
        <v>0.46111111111111108</v>
      </c>
      <c r="E116" s="28">
        <v>0.24583333333333332</v>
      </c>
    </row>
    <row r="117" spans="1:5" x14ac:dyDescent="0.3">
      <c r="A117" s="23">
        <v>43294.666666666664</v>
      </c>
      <c r="B117" s="15">
        <v>5.2099999999999998E-4</v>
      </c>
      <c r="C117" s="15">
        <v>1.45E-4</v>
      </c>
      <c r="D117" s="28">
        <v>0.4869158878504673</v>
      </c>
      <c r="E117" s="28">
        <v>0.1355140186915888</v>
      </c>
    </row>
    <row r="118" spans="1:5" x14ac:dyDescent="0.3">
      <c r="A118" s="23">
        <v>43294.708333333336</v>
      </c>
      <c r="B118" s="15">
        <v>2.006E-3</v>
      </c>
      <c r="C118" s="15">
        <v>3.3E-4</v>
      </c>
      <c r="D118" s="28">
        <v>0.67542087542087537</v>
      </c>
      <c r="E118" s="28">
        <v>0.1111111111111111</v>
      </c>
    </row>
    <row r="119" spans="1:5" x14ac:dyDescent="0.3">
      <c r="A119" s="23">
        <v>43294.75</v>
      </c>
      <c r="B119" s="15">
        <v>4.3899999999999999E-4</v>
      </c>
      <c r="C119" s="15">
        <v>5.0000000000000001E-4</v>
      </c>
      <c r="D119" s="28">
        <v>0.31811594202898552</v>
      </c>
      <c r="E119" s="28">
        <v>0.36231884057971014</v>
      </c>
    </row>
    <row r="120" spans="1:5" x14ac:dyDescent="0.3">
      <c r="A120" s="23">
        <v>43294.791666666664</v>
      </c>
      <c r="B120" s="15">
        <v>3.9399999999999998E-4</v>
      </c>
      <c r="C120" s="15">
        <v>7.4899999999999999E-4</v>
      </c>
      <c r="D120" s="28">
        <v>0.32032520325203251</v>
      </c>
      <c r="E120" s="28">
        <v>0.60894308943089437</v>
      </c>
    </row>
    <row r="121" spans="1:5" x14ac:dyDescent="0.3">
      <c r="A121" s="23">
        <v>43294.833333333336</v>
      </c>
      <c r="B121" s="15">
        <v>7.6099999999999996E-4</v>
      </c>
      <c r="C121" s="15">
        <v>1.93E-4</v>
      </c>
      <c r="D121" s="28">
        <v>0.78453608247422668</v>
      </c>
      <c r="E121" s="28">
        <v>0.19896907216494844</v>
      </c>
    </row>
    <row r="122" spans="1:5" x14ac:dyDescent="0.3">
      <c r="A122" s="23">
        <v>43294.875</v>
      </c>
      <c r="B122" s="15">
        <v>4.6299999999999998E-4</v>
      </c>
      <c r="C122" s="15">
        <v>6.78E-4</v>
      </c>
      <c r="D122" s="28">
        <v>0.53218390804597704</v>
      </c>
      <c r="E122" s="28">
        <v>0.77931034482758621</v>
      </c>
    </row>
    <row r="123" spans="1:5" x14ac:dyDescent="0.3">
      <c r="A123" s="23">
        <v>43294.916666666664</v>
      </c>
      <c r="B123" s="15">
        <v>3.4E-5</v>
      </c>
      <c r="C123" s="15">
        <v>2.4000000000000001E-5</v>
      </c>
      <c r="D123" s="28">
        <v>4.0963855421686748E-2</v>
      </c>
      <c r="E123" s="28">
        <v>2.891566265060241E-2</v>
      </c>
    </row>
    <row r="124" spans="1:5" x14ac:dyDescent="0.3">
      <c r="A124" s="23">
        <v>43294.958333333336</v>
      </c>
      <c r="B124" s="15">
        <v>1.56E-4</v>
      </c>
      <c r="C124" s="15">
        <v>2.5599999999999999E-4</v>
      </c>
      <c r="D124" s="28">
        <v>0.27368421052631581</v>
      </c>
      <c r="E124" s="28">
        <v>0.44912280701754387</v>
      </c>
    </row>
    <row r="125" spans="1:5" x14ac:dyDescent="0.3">
      <c r="A125" s="23">
        <v>43297</v>
      </c>
      <c r="B125" s="15">
        <v>2.7599999999999999E-4</v>
      </c>
      <c r="C125" s="15">
        <v>2.5999999999999998E-4</v>
      </c>
      <c r="D125" s="28">
        <v>0.26538461538461539</v>
      </c>
      <c r="E125" s="28">
        <v>0.25</v>
      </c>
    </row>
    <row r="126" spans="1:5" x14ac:dyDescent="0.3">
      <c r="A126" s="23">
        <v>43297.041666666664</v>
      </c>
      <c r="B126" s="15">
        <v>5.0699999999999996E-4</v>
      </c>
      <c r="C126" s="15">
        <v>4.4999999999999999E-4</v>
      </c>
      <c r="D126" s="28">
        <v>0.74558823529411755</v>
      </c>
      <c r="E126" s="28">
        <v>0.66176470588235292</v>
      </c>
    </row>
    <row r="127" spans="1:5" x14ac:dyDescent="0.3">
      <c r="A127" s="23">
        <v>43297.083333333336</v>
      </c>
      <c r="B127" s="15">
        <v>2.0699999999999999E-4</v>
      </c>
      <c r="C127" s="15">
        <v>3.1999999999999999E-5</v>
      </c>
      <c r="D127" s="28">
        <v>0.30441176470588233</v>
      </c>
      <c r="E127" s="28">
        <v>4.7058823529411757E-2</v>
      </c>
    </row>
    <row r="128" spans="1:5" x14ac:dyDescent="0.3">
      <c r="A128" s="23">
        <v>43297.125</v>
      </c>
      <c r="B128" s="15">
        <v>2.7E-4</v>
      </c>
      <c r="C128" s="15">
        <v>1.3799999999999999E-4</v>
      </c>
      <c r="D128" s="28">
        <v>0.28421052631578947</v>
      </c>
      <c r="E128" s="28">
        <v>0.14526315789473684</v>
      </c>
    </row>
    <row r="129" spans="1:5" x14ac:dyDescent="0.3">
      <c r="A129" s="23">
        <v>43297.166666666664</v>
      </c>
      <c r="B129" s="15">
        <v>2.4000000000000001E-5</v>
      </c>
      <c r="C129" s="15">
        <v>6.2000000000000003E-5</v>
      </c>
      <c r="D129" s="28">
        <v>2.6666666666666668E-2</v>
      </c>
      <c r="E129" s="28">
        <v>6.8888888888888888E-2</v>
      </c>
    </row>
    <row r="130" spans="1:5" x14ac:dyDescent="0.3">
      <c r="A130" s="23">
        <v>43297.208333333336</v>
      </c>
      <c r="B130" s="15">
        <v>1.5899999999999999E-4</v>
      </c>
      <c r="C130" s="15">
        <v>2.5999999999999998E-5</v>
      </c>
      <c r="D130" s="28">
        <v>0.21486486486486486</v>
      </c>
      <c r="E130" s="28">
        <v>3.513513513513513E-2</v>
      </c>
    </row>
    <row r="131" spans="1:5" x14ac:dyDescent="0.3">
      <c r="A131" s="23">
        <v>43297.25</v>
      </c>
      <c r="B131" s="15">
        <v>1.9599999999999999E-4</v>
      </c>
      <c r="C131" s="15">
        <v>1.66E-4</v>
      </c>
      <c r="D131" s="28">
        <v>0.2481012658227848</v>
      </c>
      <c r="E131" s="28">
        <v>0.21012658227848099</v>
      </c>
    </row>
    <row r="132" spans="1:5" x14ac:dyDescent="0.3">
      <c r="A132" s="23">
        <v>43297.291666666664</v>
      </c>
      <c r="B132" s="15">
        <v>2.7700000000000001E-4</v>
      </c>
      <c r="C132" s="15">
        <v>1.2300000000000001E-4</v>
      </c>
      <c r="D132" s="28">
        <v>0.5653061224489796</v>
      </c>
      <c r="E132" s="28">
        <v>0.25102040816326532</v>
      </c>
    </row>
    <row r="133" spans="1:5" x14ac:dyDescent="0.3">
      <c r="A133" s="23">
        <v>43297.333333333336</v>
      </c>
      <c r="B133" s="15">
        <v>1.7780000000000001E-3</v>
      </c>
      <c r="C133" s="15">
        <v>4.5100000000000001E-4</v>
      </c>
      <c r="D133" s="28">
        <v>0.84666666666666679</v>
      </c>
      <c r="E133" s="28">
        <v>0.21476190476190479</v>
      </c>
    </row>
    <row r="134" spans="1:5" x14ac:dyDescent="0.3">
      <c r="A134" s="23">
        <v>43297.375</v>
      </c>
      <c r="B134" s="15">
        <v>6.6200000000000005E-4</v>
      </c>
      <c r="C134" s="15">
        <v>3.1999999999999999E-5</v>
      </c>
      <c r="D134" s="28">
        <v>0.57068965517241388</v>
      </c>
      <c r="E134" s="28">
        <v>2.7586206896551724E-2</v>
      </c>
    </row>
    <row r="135" spans="1:5" x14ac:dyDescent="0.3">
      <c r="A135" s="23">
        <v>43297.416666666664</v>
      </c>
      <c r="B135" s="15">
        <v>4.8999999999999998E-5</v>
      </c>
      <c r="C135" s="15">
        <v>6.8000000000000005E-4</v>
      </c>
      <c r="D135" s="28">
        <v>2.3902439024390241E-2</v>
      </c>
      <c r="E135" s="28">
        <v>0.33170731707317075</v>
      </c>
    </row>
    <row r="136" spans="1:5" x14ac:dyDescent="0.3">
      <c r="A136" s="23">
        <v>43297.458333333336</v>
      </c>
      <c r="B136" s="15">
        <v>8.1000000000000004E-5</v>
      </c>
      <c r="C136" s="15">
        <v>2.1599999999999999E-4</v>
      </c>
      <c r="D136" s="28">
        <v>5.586206896551725E-2</v>
      </c>
      <c r="E136" s="28">
        <v>0.14896551724137932</v>
      </c>
    </row>
    <row r="137" spans="1:5" x14ac:dyDescent="0.3">
      <c r="A137" s="23">
        <v>43297.5</v>
      </c>
      <c r="B137" s="15">
        <v>3.7100000000000002E-4</v>
      </c>
      <c r="C137" s="15">
        <v>1.76E-4</v>
      </c>
      <c r="D137" s="28">
        <v>0.22901234567901238</v>
      </c>
      <c r="E137" s="28">
        <v>0.10864197530864197</v>
      </c>
    </row>
    <row r="138" spans="1:5" x14ac:dyDescent="0.3">
      <c r="A138" s="23">
        <v>43297.541666666664</v>
      </c>
      <c r="B138" s="15">
        <v>3.8200000000000002E-4</v>
      </c>
      <c r="C138" s="15">
        <v>6.02E-4</v>
      </c>
      <c r="D138" s="28">
        <v>0.28296296296296297</v>
      </c>
      <c r="E138" s="28">
        <v>0.44592592592592589</v>
      </c>
    </row>
    <row r="139" spans="1:5" x14ac:dyDescent="0.3">
      <c r="A139" s="23">
        <v>43297.583333333336</v>
      </c>
      <c r="B139" s="15">
        <v>2.7099999999999997E-4</v>
      </c>
      <c r="C139" s="15">
        <v>7.2300000000000001E-4</v>
      </c>
      <c r="D139" s="28">
        <v>0.24636363636363631</v>
      </c>
      <c r="E139" s="28">
        <v>0.65727272727272723</v>
      </c>
    </row>
    <row r="140" spans="1:5" x14ac:dyDescent="0.3">
      <c r="A140" s="23">
        <v>43297.625</v>
      </c>
      <c r="B140" s="15">
        <v>2.3599999999999999E-4</v>
      </c>
      <c r="C140" s="15">
        <v>4.6099999999999998E-4</v>
      </c>
      <c r="D140" s="28">
        <v>0.16388888888888886</v>
      </c>
      <c r="E140" s="28">
        <v>0.32013888888888886</v>
      </c>
    </row>
    <row r="141" spans="1:5" x14ac:dyDescent="0.3">
      <c r="A141" s="23">
        <v>43297.666666666664</v>
      </c>
      <c r="B141" s="15">
        <v>1.8699999999999999E-4</v>
      </c>
      <c r="C141" s="15">
        <v>3.5500000000000001E-4</v>
      </c>
      <c r="D141" s="28">
        <v>0.1272108843537415</v>
      </c>
      <c r="E141" s="28">
        <v>0.2414965986394558</v>
      </c>
    </row>
    <row r="142" spans="1:5" x14ac:dyDescent="0.3">
      <c r="A142" s="23">
        <v>43297.708333333336</v>
      </c>
      <c r="B142" s="15">
        <v>4.1E-5</v>
      </c>
      <c r="C142" s="15">
        <v>5.8200000000000005E-4</v>
      </c>
      <c r="D142" s="28">
        <v>2.0918367346938777E-2</v>
      </c>
      <c r="E142" s="28">
        <v>0.29693877551020414</v>
      </c>
    </row>
    <row r="143" spans="1:5" x14ac:dyDescent="0.3">
      <c r="A143" s="23">
        <v>43297.75</v>
      </c>
      <c r="B143" s="15">
        <v>2.4499999999999999E-4</v>
      </c>
      <c r="C143" s="15">
        <v>3.4200000000000002E-4</v>
      </c>
      <c r="D143" s="28">
        <v>0.20762711864406777</v>
      </c>
      <c r="E143" s="28">
        <v>0.28983050847457625</v>
      </c>
    </row>
    <row r="144" spans="1:5" x14ac:dyDescent="0.3">
      <c r="A144" s="23">
        <v>43297.791666666664</v>
      </c>
      <c r="B144" s="15">
        <v>4.84E-4</v>
      </c>
      <c r="C144" s="15">
        <v>1.098E-3</v>
      </c>
      <c r="D144" s="28">
        <v>0.26021505376344084</v>
      </c>
      <c r="E144" s="28">
        <v>0.5903225806451613</v>
      </c>
    </row>
    <row r="145" spans="1:5" x14ac:dyDescent="0.3">
      <c r="A145" s="23">
        <v>43297.833333333336</v>
      </c>
      <c r="B145" s="15">
        <v>7.6499999999999995E-4</v>
      </c>
      <c r="C145" s="15">
        <v>1.188E-3</v>
      </c>
      <c r="D145" s="28">
        <v>0.701834862385321</v>
      </c>
      <c r="E145" s="28">
        <v>1.0899082568807339</v>
      </c>
    </row>
    <row r="146" spans="1:5" x14ac:dyDescent="0.3">
      <c r="A146" s="23">
        <v>43297.875</v>
      </c>
      <c r="B146" s="15">
        <v>4.1E-5</v>
      </c>
      <c r="C146" s="15">
        <v>4.55E-4</v>
      </c>
      <c r="D146" s="28">
        <v>5.1249999999999997E-2</v>
      </c>
      <c r="E146" s="28">
        <v>0.56874999999999998</v>
      </c>
    </row>
    <row r="147" spans="1:5" x14ac:dyDescent="0.3">
      <c r="A147" s="23">
        <v>43297.916666666664</v>
      </c>
      <c r="B147" s="15">
        <v>4.75E-4</v>
      </c>
      <c r="C147" s="15">
        <v>1.2899999999999999E-4</v>
      </c>
      <c r="D147" s="28">
        <v>0.69852941176470584</v>
      </c>
      <c r="E147" s="28">
        <v>0.18970588235294114</v>
      </c>
    </row>
    <row r="148" spans="1:5" x14ac:dyDescent="0.3">
      <c r="A148" s="23">
        <v>43297.958333333336</v>
      </c>
      <c r="B148" s="15">
        <v>3.0219999999999999E-3</v>
      </c>
      <c r="C148" s="15">
        <v>3.0999999999999999E-3</v>
      </c>
      <c r="D148" s="28">
        <v>4.6492307692307691</v>
      </c>
      <c r="E148" s="28">
        <v>4.7692307692307692</v>
      </c>
    </row>
    <row r="149" spans="1:5" x14ac:dyDescent="0.3">
      <c r="A149" s="23">
        <v>43298</v>
      </c>
      <c r="B149" s="15">
        <v>3.0000000000000001E-6</v>
      </c>
      <c r="C149" s="15">
        <v>7.7999999999999999E-5</v>
      </c>
      <c r="D149" s="28">
        <v>5.1724137931034482E-3</v>
      </c>
      <c r="E149" s="28">
        <v>0.13448275862068965</v>
      </c>
    </row>
    <row r="150" spans="1:5" x14ac:dyDescent="0.3">
      <c r="A150" s="23">
        <v>43298.041666666664</v>
      </c>
      <c r="B150" s="15">
        <v>2.2000000000000001E-4</v>
      </c>
      <c r="C150" s="15">
        <v>1.1E-5</v>
      </c>
      <c r="D150" s="28">
        <v>0.59459459459459463</v>
      </c>
      <c r="E150" s="28">
        <v>2.9729729729729728E-2</v>
      </c>
    </row>
    <row r="151" spans="1:5" x14ac:dyDescent="0.3">
      <c r="A151" s="23">
        <v>43298.083333333336</v>
      </c>
      <c r="B151" s="15">
        <v>3.4099999999999999E-4</v>
      </c>
      <c r="C151" s="15">
        <v>3.39E-4</v>
      </c>
      <c r="D151" s="28">
        <v>0.62</v>
      </c>
      <c r="E151" s="28">
        <v>0.61636363636363634</v>
      </c>
    </row>
    <row r="152" spans="1:5" x14ac:dyDescent="0.3">
      <c r="A152" s="23">
        <v>43298.125</v>
      </c>
      <c r="B152" s="15">
        <v>2.5799999999999998E-4</v>
      </c>
      <c r="C152" s="15">
        <v>7.1000000000000005E-5</v>
      </c>
      <c r="D152" s="28">
        <v>0.29655172413793102</v>
      </c>
      <c r="E152" s="28">
        <v>8.1609195402298856E-2</v>
      </c>
    </row>
    <row r="153" spans="1:5" x14ac:dyDescent="0.3">
      <c r="A153" s="23">
        <v>43298.166666666664</v>
      </c>
      <c r="B153" s="15">
        <v>4.1899999999999999E-4</v>
      </c>
      <c r="C153" s="15">
        <v>1.7000000000000001E-4</v>
      </c>
      <c r="D153" s="28">
        <v>0.57397260273972606</v>
      </c>
      <c r="E153" s="28">
        <v>0.23287671232876714</v>
      </c>
    </row>
    <row r="154" spans="1:5" x14ac:dyDescent="0.3">
      <c r="A154" s="23">
        <v>43298.208333333336</v>
      </c>
      <c r="B154" s="15">
        <v>1.83E-4</v>
      </c>
      <c r="C154" s="15">
        <v>7.4999999999999993E-5</v>
      </c>
      <c r="D154" s="28">
        <v>0.27727272727272728</v>
      </c>
      <c r="E154" s="28">
        <v>0.11363636363636363</v>
      </c>
    </row>
    <row r="155" spans="1:5" x14ac:dyDescent="0.3">
      <c r="A155" s="23">
        <v>43298.25</v>
      </c>
      <c r="B155" s="15">
        <v>1.0939999999999999E-3</v>
      </c>
      <c r="C155" s="15">
        <v>2.5300000000000002E-4</v>
      </c>
      <c r="D155" s="28">
        <v>0.72450331125827805</v>
      </c>
      <c r="E155" s="28">
        <v>0.16754966887417219</v>
      </c>
    </row>
    <row r="156" spans="1:5" x14ac:dyDescent="0.3">
      <c r="A156" s="23">
        <v>43298.291666666664</v>
      </c>
      <c r="B156" s="15">
        <v>5.0799999999999999E-4</v>
      </c>
      <c r="C156" s="15">
        <v>1.05E-4</v>
      </c>
      <c r="D156" s="28">
        <v>0.84666666666666668</v>
      </c>
      <c r="E156" s="28">
        <v>0.17500000000000002</v>
      </c>
    </row>
    <row r="157" spans="1:5" x14ac:dyDescent="0.3">
      <c r="A157" s="23">
        <v>43298.333333333336</v>
      </c>
      <c r="B157" s="15">
        <v>3.3199999999999999E-4</v>
      </c>
      <c r="C157" s="15">
        <v>4.6999999999999997E-5</v>
      </c>
      <c r="D157" s="28">
        <v>0.55333333333333334</v>
      </c>
      <c r="E157" s="28">
        <v>7.8333333333333338E-2</v>
      </c>
    </row>
    <row r="158" spans="1:5" x14ac:dyDescent="0.3">
      <c r="A158" s="23">
        <v>43298.375</v>
      </c>
      <c r="B158" s="15">
        <v>1.835E-3</v>
      </c>
      <c r="C158" s="15">
        <v>1.18E-4</v>
      </c>
      <c r="D158" s="28">
        <v>0.73694779116465869</v>
      </c>
      <c r="E158" s="28">
        <v>4.7389558232931728E-2</v>
      </c>
    </row>
    <row r="159" spans="1:5" x14ac:dyDescent="0.3">
      <c r="A159" s="23">
        <v>43298.416666666664</v>
      </c>
      <c r="B159" s="15">
        <v>6.0899999999999995E-4</v>
      </c>
      <c r="C159" s="15">
        <v>3.3199999999999999E-4</v>
      </c>
      <c r="D159" s="28">
        <v>0.49512195121951219</v>
      </c>
      <c r="E159" s="28">
        <v>0.26991869918699185</v>
      </c>
    </row>
    <row r="160" spans="1:5" x14ac:dyDescent="0.3">
      <c r="A160" s="23">
        <v>43298.458333333336</v>
      </c>
      <c r="B160" s="15">
        <v>6.11E-4</v>
      </c>
      <c r="C160" s="15">
        <v>4.7600000000000002E-4</v>
      </c>
      <c r="D160" s="28">
        <v>0.36369047619047618</v>
      </c>
      <c r="E160" s="28">
        <v>0.28333333333333333</v>
      </c>
    </row>
    <row r="161" spans="1:5" x14ac:dyDescent="0.3">
      <c r="A161" s="23">
        <v>43298.5</v>
      </c>
      <c r="B161" s="15">
        <v>3.4900000000000003E-4</v>
      </c>
      <c r="C161" s="15">
        <v>3.97E-4</v>
      </c>
      <c r="D161" s="28">
        <v>0.22516129032258067</v>
      </c>
      <c r="E161" s="28">
        <v>0.25612903225806455</v>
      </c>
    </row>
    <row r="162" spans="1:5" x14ac:dyDescent="0.3">
      <c r="A162" s="23">
        <v>43298.541666666664</v>
      </c>
      <c r="B162" s="15">
        <v>6.9899999999999997E-4</v>
      </c>
      <c r="C162" s="15">
        <v>7.3700000000000002E-4</v>
      </c>
      <c r="D162" s="28">
        <v>0.47551020408163264</v>
      </c>
      <c r="E162" s="28">
        <v>0.50136054421768705</v>
      </c>
    </row>
    <row r="163" spans="1:5" x14ac:dyDescent="0.3">
      <c r="A163" s="23">
        <v>43298.583333333336</v>
      </c>
      <c r="B163" s="15">
        <v>3.9599999999999998E-4</v>
      </c>
      <c r="C163" s="15">
        <v>8.1800000000000004E-4</v>
      </c>
      <c r="D163" s="28">
        <v>0.20204081632653062</v>
      </c>
      <c r="E163" s="28">
        <v>0.41734693877551021</v>
      </c>
    </row>
    <row r="164" spans="1:5" x14ac:dyDescent="0.3">
      <c r="A164" s="23">
        <v>43298.625</v>
      </c>
      <c r="B164" s="15">
        <v>6.29E-4</v>
      </c>
      <c r="C164" s="15">
        <v>4.55E-4</v>
      </c>
      <c r="D164" s="28">
        <v>0.3437158469945355</v>
      </c>
      <c r="E164" s="28">
        <v>0.24863387978142076</v>
      </c>
    </row>
    <row r="165" spans="1:5" x14ac:dyDescent="0.3">
      <c r="A165" s="23">
        <v>43298.666666666664</v>
      </c>
      <c r="B165" s="15">
        <v>5.2700000000000002E-4</v>
      </c>
      <c r="C165" s="15">
        <v>4.8700000000000002E-4</v>
      </c>
      <c r="D165" s="28">
        <v>0.31000000000000005</v>
      </c>
      <c r="E165" s="28">
        <v>0.28647058823529414</v>
      </c>
    </row>
    <row r="166" spans="1:5" x14ac:dyDescent="0.3">
      <c r="A166" s="23">
        <v>43298.708333333336</v>
      </c>
      <c r="B166" s="15">
        <v>7.8700000000000005E-4</v>
      </c>
      <c r="C166" s="15">
        <v>2.9999999999999997E-4</v>
      </c>
      <c r="D166" s="28">
        <v>0.33347457627118643</v>
      </c>
      <c r="E166" s="28">
        <v>0.1271186440677966</v>
      </c>
    </row>
    <row r="167" spans="1:5" x14ac:dyDescent="0.3">
      <c r="A167" s="23">
        <v>43298.75</v>
      </c>
      <c r="B167" s="15">
        <v>4.6000000000000001E-4</v>
      </c>
      <c r="C167" s="15">
        <v>1.7179999999999999E-3</v>
      </c>
      <c r="D167" s="28">
        <v>0.14886731391585761</v>
      </c>
      <c r="E167" s="28">
        <v>0.55598705501618118</v>
      </c>
    </row>
    <row r="168" spans="1:5" x14ac:dyDescent="0.3">
      <c r="A168" s="23">
        <v>43298.791666666664</v>
      </c>
      <c r="B168" s="15">
        <v>1.689E-3</v>
      </c>
      <c r="C168" s="15">
        <v>3.3399999999999999E-4</v>
      </c>
      <c r="D168" s="28">
        <v>1.2151079136690648</v>
      </c>
      <c r="E168" s="28">
        <v>0.24028776978417266</v>
      </c>
    </row>
    <row r="169" spans="1:5" x14ac:dyDescent="0.3">
      <c r="A169" s="23">
        <v>43298.833333333336</v>
      </c>
      <c r="B169" s="15">
        <v>4.5100000000000001E-4</v>
      </c>
      <c r="C169" s="15">
        <v>1.1E-5</v>
      </c>
      <c r="D169" s="28">
        <v>0.22663316582914572</v>
      </c>
      <c r="E169" s="28">
        <v>5.5276381909547733E-3</v>
      </c>
    </row>
    <row r="170" spans="1:5" x14ac:dyDescent="0.3">
      <c r="A170" s="23">
        <v>43298.875</v>
      </c>
      <c r="B170" s="15">
        <v>8.8800000000000001E-4</v>
      </c>
      <c r="C170" s="15">
        <v>2.2599999999999999E-4</v>
      </c>
      <c r="D170" s="28">
        <v>0.78584070796460181</v>
      </c>
      <c r="E170" s="28">
        <v>0.2</v>
      </c>
    </row>
    <row r="171" spans="1:5" x14ac:dyDescent="0.3">
      <c r="A171" s="23">
        <v>43298.916666666664</v>
      </c>
      <c r="B171" s="15">
        <v>1.5200000000000001E-4</v>
      </c>
      <c r="C171" s="15">
        <v>7.7300000000000003E-4</v>
      </c>
      <c r="D171" s="28">
        <v>0.32340425531914896</v>
      </c>
      <c r="E171" s="28">
        <v>1.64468085106383</v>
      </c>
    </row>
    <row r="172" spans="1:5" x14ac:dyDescent="0.3">
      <c r="A172" s="23">
        <v>43298.958333333336</v>
      </c>
      <c r="B172" s="15">
        <v>2.02E-4</v>
      </c>
      <c r="C172" s="15">
        <v>2.8600000000000001E-4</v>
      </c>
      <c r="D172" s="28">
        <v>0.35438596491228075</v>
      </c>
      <c r="E172" s="28">
        <v>0.50175438596491229</v>
      </c>
    </row>
    <row r="173" spans="1:5" x14ac:dyDescent="0.3">
      <c r="A173" s="23">
        <v>43299</v>
      </c>
      <c r="B173" s="15">
        <v>1.54E-4</v>
      </c>
      <c r="C173" s="15">
        <v>2.1800000000000001E-4</v>
      </c>
      <c r="D173" s="28">
        <v>0.30196078431372547</v>
      </c>
      <c r="E173" s="28">
        <v>0.42745098039215684</v>
      </c>
    </row>
    <row r="174" spans="1:5" x14ac:dyDescent="0.3">
      <c r="A174" s="23">
        <v>43299.041666666664</v>
      </c>
      <c r="B174" s="15">
        <v>1.2899999999999999E-4</v>
      </c>
      <c r="C174" s="15">
        <v>5.3000000000000001E-5</v>
      </c>
      <c r="D174" s="28">
        <v>0.3</v>
      </c>
      <c r="E174" s="28">
        <v>0.12325581395348838</v>
      </c>
    </row>
    <row r="175" spans="1:5" x14ac:dyDescent="0.3">
      <c r="A175" s="23">
        <v>43299.083333333336</v>
      </c>
      <c r="B175" s="15">
        <v>2.7E-4</v>
      </c>
      <c r="C175" s="15">
        <v>6.6200000000000005E-4</v>
      </c>
      <c r="D175" s="28">
        <v>0.28421052631578947</v>
      </c>
      <c r="E175" s="28">
        <v>0.69684210526315793</v>
      </c>
    </row>
    <row r="176" spans="1:5" x14ac:dyDescent="0.3">
      <c r="A176" s="23">
        <v>43299.125</v>
      </c>
      <c r="B176" s="15">
        <v>3.59E-4</v>
      </c>
      <c r="C176" s="15">
        <v>3.9100000000000002E-4</v>
      </c>
      <c r="D176" s="28">
        <v>0.5056338028169014</v>
      </c>
      <c r="E176" s="28">
        <v>0.55070422535211272</v>
      </c>
    </row>
    <row r="177" spans="1:5" x14ac:dyDescent="0.3">
      <c r="A177" s="23">
        <v>43299.166666666664</v>
      </c>
      <c r="B177" s="15">
        <v>2.3499999999999999E-4</v>
      </c>
      <c r="C177" s="15">
        <v>1.4999999999999999E-4</v>
      </c>
      <c r="D177" s="28">
        <v>0.22815533980582522</v>
      </c>
      <c r="E177" s="28">
        <v>0.14563106796116501</v>
      </c>
    </row>
    <row r="178" spans="1:5" x14ac:dyDescent="0.3">
      <c r="A178" s="23">
        <v>43299.208333333336</v>
      </c>
      <c r="B178" s="15">
        <v>8.2999999999999998E-5</v>
      </c>
      <c r="C178" s="15">
        <v>1.25E-4</v>
      </c>
      <c r="D178" s="28">
        <v>0.10641025641025641</v>
      </c>
      <c r="E178" s="28">
        <v>0.16025641025641027</v>
      </c>
    </row>
    <row r="179" spans="1:5" x14ac:dyDescent="0.3">
      <c r="A179" s="23">
        <v>43299.25</v>
      </c>
      <c r="B179" s="15">
        <v>5.4600000000000004E-4</v>
      </c>
      <c r="C179" s="15">
        <v>3.1399999999999999E-4</v>
      </c>
      <c r="D179" s="28">
        <v>1.0705882352941176</v>
      </c>
      <c r="E179" s="28">
        <v>0.61568627450980384</v>
      </c>
    </row>
    <row r="180" spans="1:5" x14ac:dyDescent="0.3">
      <c r="A180" s="23">
        <v>43299.291666666664</v>
      </c>
      <c r="B180" s="15">
        <v>2.3599999999999999E-4</v>
      </c>
      <c r="C180" s="15">
        <v>7.9600000000000005E-4</v>
      </c>
      <c r="D180" s="28">
        <v>0.2185185185185185</v>
      </c>
      <c r="E180" s="28">
        <v>0.73703703703703705</v>
      </c>
    </row>
    <row r="181" spans="1:5" x14ac:dyDescent="0.3">
      <c r="A181" s="23">
        <v>43299.333333333336</v>
      </c>
      <c r="B181" s="15">
        <v>2.1499999999999999E-4</v>
      </c>
      <c r="C181" s="15">
        <v>4.8000000000000001E-4</v>
      </c>
      <c r="D181" s="28">
        <v>0.15925925925925924</v>
      </c>
      <c r="E181" s="28">
        <v>0.35555555555555557</v>
      </c>
    </row>
    <row r="182" spans="1:5" x14ac:dyDescent="0.3">
      <c r="A182" s="23">
        <v>43299.375</v>
      </c>
      <c r="B182" s="15">
        <v>5.1500000000000005E-4</v>
      </c>
      <c r="C182" s="15">
        <v>4.2299999999999998E-4</v>
      </c>
      <c r="D182" s="28">
        <v>0.39312977099236646</v>
      </c>
      <c r="E182" s="28">
        <v>0.3229007633587786</v>
      </c>
    </row>
    <row r="183" spans="1:5" x14ac:dyDescent="0.3">
      <c r="A183" s="23">
        <v>43299.416666666664</v>
      </c>
      <c r="B183" s="15">
        <v>4.28E-4</v>
      </c>
      <c r="C183" s="15">
        <v>4.1199999999999999E-4</v>
      </c>
      <c r="D183" s="28">
        <v>0.19022222222222224</v>
      </c>
      <c r="E183" s="28">
        <v>0.18311111111111111</v>
      </c>
    </row>
    <row r="184" spans="1:5" x14ac:dyDescent="0.3">
      <c r="A184" s="23">
        <v>43299.458333333336</v>
      </c>
      <c r="B184" s="15">
        <v>9.7199999999999999E-4</v>
      </c>
      <c r="C184" s="15">
        <v>7.2099999999999996E-4</v>
      </c>
      <c r="D184" s="28">
        <v>0.52258064516129032</v>
      </c>
      <c r="E184" s="28">
        <v>0.38763440860215048</v>
      </c>
    </row>
    <row r="185" spans="1:5" x14ac:dyDescent="0.3">
      <c r="A185" s="23">
        <v>43299.5</v>
      </c>
      <c r="B185" s="15">
        <v>2.9100000000000003E-4</v>
      </c>
      <c r="C185" s="15">
        <v>7.3099999999999999E-4</v>
      </c>
      <c r="D185" s="28">
        <v>0.20208333333333334</v>
      </c>
      <c r="E185" s="28">
        <v>0.50763888888888886</v>
      </c>
    </row>
    <row r="186" spans="1:5" x14ac:dyDescent="0.3">
      <c r="A186" s="23">
        <v>43299.541666666664</v>
      </c>
      <c r="B186" s="15">
        <v>4.0099999999999999E-4</v>
      </c>
      <c r="C186" s="15">
        <v>1.07E-4</v>
      </c>
      <c r="D186" s="28">
        <v>0.22784090909090907</v>
      </c>
      <c r="E186" s="28">
        <v>6.0795454545454541E-2</v>
      </c>
    </row>
    <row r="187" spans="1:5" x14ac:dyDescent="0.3">
      <c r="A187" s="23">
        <v>43299.583333333336</v>
      </c>
      <c r="B187" s="15">
        <v>5.9299999999999999E-4</v>
      </c>
      <c r="C187" s="15">
        <v>9.4799999999999995E-4</v>
      </c>
      <c r="D187" s="28">
        <v>0.29949494949494948</v>
      </c>
      <c r="E187" s="28">
        <v>0.47878787878787876</v>
      </c>
    </row>
    <row r="188" spans="1:5" x14ac:dyDescent="0.3">
      <c r="A188" s="23">
        <v>43299.625</v>
      </c>
      <c r="B188" s="15">
        <v>1.0020000000000001E-3</v>
      </c>
      <c r="C188" s="15">
        <v>3.5100000000000002E-4</v>
      </c>
      <c r="D188" s="28">
        <v>0.38837209302325587</v>
      </c>
      <c r="E188" s="28">
        <v>0.13604651162790699</v>
      </c>
    </row>
    <row r="189" spans="1:5" x14ac:dyDescent="0.3">
      <c r="A189" s="23">
        <v>43299.666666666664</v>
      </c>
      <c r="B189" s="15">
        <v>5.4799999999999998E-4</v>
      </c>
      <c r="C189" s="15">
        <v>1.1559999999999999E-3</v>
      </c>
      <c r="D189" s="28">
        <v>0.30786516853932583</v>
      </c>
      <c r="E189" s="28">
        <v>0.64943820224719095</v>
      </c>
    </row>
    <row r="190" spans="1:5" x14ac:dyDescent="0.3">
      <c r="A190" s="23">
        <v>43299.708333333336</v>
      </c>
      <c r="B190" s="15">
        <v>3.9599999999999998E-4</v>
      </c>
      <c r="C190" s="15">
        <v>7.2000000000000005E-4</v>
      </c>
      <c r="D190" s="28">
        <v>0.2429447852760736</v>
      </c>
      <c r="E190" s="28">
        <v>0.441717791411043</v>
      </c>
    </row>
    <row r="191" spans="1:5" x14ac:dyDescent="0.3">
      <c r="A191" s="23">
        <v>43299.75</v>
      </c>
      <c r="B191" s="15">
        <v>1.3899999999999999E-4</v>
      </c>
      <c r="C191" s="15">
        <v>1.16E-4</v>
      </c>
      <c r="D191" s="28">
        <v>0.10072463768115941</v>
      </c>
      <c r="E191" s="28">
        <v>8.4057971014492763E-2</v>
      </c>
    </row>
    <row r="192" spans="1:5" x14ac:dyDescent="0.3">
      <c r="A192" s="23">
        <v>43299.791666666664</v>
      </c>
      <c r="B192" s="15">
        <v>1.0380000000000001E-3</v>
      </c>
      <c r="C192" s="15">
        <v>5.8699999999999996E-4</v>
      </c>
      <c r="D192" s="28">
        <v>0.58977272727272734</v>
      </c>
      <c r="E192" s="28">
        <v>0.33352272727272725</v>
      </c>
    </row>
    <row r="193" spans="1:5" x14ac:dyDescent="0.3">
      <c r="A193" s="23">
        <v>43299.833333333336</v>
      </c>
      <c r="B193" s="15">
        <v>1.026E-3</v>
      </c>
      <c r="C193" s="15">
        <v>1.22E-4</v>
      </c>
      <c r="D193" s="28">
        <v>1.2825</v>
      </c>
      <c r="E193" s="28">
        <v>0.1525</v>
      </c>
    </row>
    <row r="194" spans="1:5" x14ac:dyDescent="0.3">
      <c r="A194" s="23">
        <v>43299.875</v>
      </c>
      <c r="B194" s="15">
        <v>4.84E-4</v>
      </c>
      <c r="C194" s="15">
        <v>1.64E-4</v>
      </c>
      <c r="D194" s="28">
        <v>0.74461538461538468</v>
      </c>
      <c r="E194" s="28">
        <v>0.25230769230769234</v>
      </c>
    </row>
    <row r="195" spans="1:5" x14ac:dyDescent="0.3">
      <c r="A195" s="23">
        <v>43299.916666666664</v>
      </c>
      <c r="B195" s="15">
        <v>3.7300000000000001E-4</v>
      </c>
      <c r="C195" s="15">
        <v>8.1899999999999996E-4</v>
      </c>
      <c r="D195" s="28">
        <v>0.3552380952380953</v>
      </c>
      <c r="E195" s="28">
        <v>0.78</v>
      </c>
    </row>
    <row r="196" spans="1:5" x14ac:dyDescent="0.3">
      <c r="A196" s="23">
        <v>43299.958333333336</v>
      </c>
      <c r="B196" s="15">
        <v>2.8760000000000001E-3</v>
      </c>
      <c r="C196" s="15">
        <v>2.7430000000000002E-3</v>
      </c>
      <c r="D196" s="28">
        <v>4.4937499999999995</v>
      </c>
      <c r="E196" s="28">
        <v>4.2859375000000002</v>
      </c>
    </row>
    <row r="197" spans="1:5" x14ac:dyDescent="0.3">
      <c r="A197" s="23">
        <v>43300</v>
      </c>
      <c r="B197" s="15">
        <v>1.8000000000000001E-4</v>
      </c>
      <c r="C197" s="15">
        <v>1.0900000000000001E-4</v>
      </c>
      <c r="D197" s="28">
        <v>0.20930232558139536</v>
      </c>
      <c r="E197" s="28">
        <v>0.12674418604651164</v>
      </c>
    </row>
    <row r="198" spans="1:5" x14ac:dyDescent="0.3">
      <c r="A198" s="23">
        <v>43300.041666666664</v>
      </c>
      <c r="B198" s="15">
        <v>3.79E-4</v>
      </c>
      <c r="C198" s="15">
        <v>1.07E-4</v>
      </c>
      <c r="D198" s="28">
        <v>0.90238095238095228</v>
      </c>
      <c r="E198" s="28">
        <v>0.25476190476190474</v>
      </c>
    </row>
    <row r="199" spans="1:5" x14ac:dyDescent="0.3">
      <c r="A199" s="23">
        <v>43300.083333333336</v>
      </c>
      <c r="B199" s="15">
        <v>1.26E-4</v>
      </c>
      <c r="C199" s="15">
        <v>8.8999999999999995E-5</v>
      </c>
      <c r="D199" s="28">
        <v>0.2930232558139535</v>
      </c>
      <c r="E199" s="28">
        <v>0.2069767441860465</v>
      </c>
    </row>
    <row r="200" spans="1:5" x14ac:dyDescent="0.3">
      <c r="A200" s="23">
        <v>43300.125</v>
      </c>
      <c r="B200" s="15">
        <v>7.5100000000000004E-4</v>
      </c>
      <c r="C200" s="15">
        <v>1.6899999999999999E-4</v>
      </c>
      <c r="D200" s="28">
        <v>0.72912621359223295</v>
      </c>
      <c r="E200" s="28">
        <v>0.16407766990291259</v>
      </c>
    </row>
    <row r="201" spans="1:5" x14ac:dyDescent="0.3">
      <c r="A201" s="23">
        <v>43300.166666666664</v>
      </c>
      <c r="B201" s="15">
        <v>2.0000000000000001E-4</v>
      </c>
      <c r="C201" s="15">
        <v>8.1499999999999997E-4</v>
      </c>
      <c r="D201" s="28">
        <v>0.12820512820512822</v>
      </c>
      <c r="E201" s="28">
        <v>0.52243589743589747</v>
      </c>
    </row>
    <row r="202" spans="1:5" x14ac:dyDescent="0.3">
      <c r="A202" s="23">
        <v>43300.208333333336</v>
      </c>
      <c r="B202" s="15">
        <v>2.8699999999999998E-4</v>
      </c>
      <c r="C202" s="15">
        <v>1.9699999999999999E-4</v>
      </c>
      <c r="D202" s="28">
        <v>0.27333333333333332</v>
      </c>
      <c r="E202" s="28">
        <v>0.18761904761904763</v>
      </c>
    </row>
    <row r="203" spans="1:5" x14ac:dyDescent="0.3">
      <c r="A203" s="23">
        <v>43300.25</v>
      </c>
      <c r="B203" s="15">
        <v>5.71E-4</v>
      </c>
      <c r="C203" s="15">
        <v>4.6099999999999998E-4</v>
      </c>
      <c r="D203" s="28">
        <v>0.46422764227642277</v>
      </c>
      <c r="E203" s="28">
        <v>0.37479674796747969</v>
      </c>
    </row>
    <row r="204" spans="1:5" x14ac:dyDescent="0.3">
      <c r="A204" s="23">
        <v>43300.291666666664</v>
      </c>
      <c r="B204" s="15">
        <v>4.08E-4</v>
      </c>
      <c r="C204" s="15">
        <v>2.3499999999999999E-4</v>
      </c>
      <c r="D204" s="28">
        <v>0.57464788732394367</v>
      </c>
      <c r="E204" s="28">
        <v>0.33098591549295775</v>
      </c>
    </row>
    <row r="205" spans="1:5" x14ac:dyDescent="0.3">
      <c r="A205" s="23">
        <v>43300.333333333336</v>
      </c>
      <c r="B205" s="15">
        <v>3.2200000000000002E-4</v>
      </c>
      <c r="C205" s="15">
        <v>2.2800000000000001E-4</v>
      </c>
      <c r="D205" s="28">
        <v>0.32857142857142863</v>
      </c>
      <c r="E205" s="28">
        <v>0.23265306122448981</v>
      </c>
    </row>
    <row r="206" spans="1:5" x14ac:dyDescent="0.3">
      <c r="A206" s="23">
        <v>43300.375</v>
      </c>
      <c r="B206" s="15">
        <v>2.2499999999999999E-4</v>
      </c>
      <c r="C206" s="15">
        <v>1.5499999999999999E-3</v>
      </c>
      <c r="D206" s="28">
        <v>0.09</v>
      </c>
      <c r="E206" s="28">
        <v>0.62</v>
      </c>
    </row>
    <row r="207" spans="1:5" x14ac:dyDescent="0.3">
      <c r="A207" s="23">
        <v>43300.416666666664</v>
      </c>
      <c r="B207" s="15">
        <v>8.4099999999999995E-4</v>
      </c>
      <c r="C207" s="15">
        <v>9.5699999999999995E-4</v>
      </c>
      <c r="D207" s="28">
        <v>0.39669811320754716</v>
      </c>
      <c r="E207" s="28">
        <v>0.45141509433962262</v>
      </c>
    </row>
    <row r="208" spans="1:5" x14ac:dyDescent="0.3">
      <c r="A208" s="23">
        <v>43300.458333333336</v>
      </c>
      <c r="B208" s="15">
        <v>3.8099999999999999E-4</v>
      </c>
      <c r="C208" s="15">
        <v>3.8499999999999998E-4</v>
      </c>
      <c r="D208" s="28">
        <v>0.25918367346938775</v>
      </c>
      <c r="E208" s="28">
        <v>0.26190476190476192</v>
      </c>
    </row>
    <row r="209" spans="1:5" x14ac:dyDescent="0.3">
      <c r="A209" s="23">
        <v>43300.5</v>
      </c>
      <c r="B209" s="15">
        <v>5.0000000000000001E-4</v>
      </c>
      <c r="C209" s="15">
        <v>1.042E-3</v>
      </c>
      <c r="D209" s="28">
        <v>0.24271844660194172</v>
      </c>
      <c r="E209" s="28">
        <v>0.50582524271844653</v>
      </c>
    </row>
    <row r="210" spans="1:5" x14ac:dyDescent="0.3">
      <c r="A210" s="23">
        <v>43300.541666666664</v>
      </c>
      <c r="B210" s="15">
        <v>1.7799999999999999E-4</v>
      </c>
      <c r="C210" s="15">
        <v>0</v>
      </c>
      <c r="D210" s="28">
        <v>9.3684210526315786E-2</v>
      </c>
      <c r="E210" s="28">
        <v>0</v>
      </c>
    </row>
    <row r="211" spans="1:5" x14ac:dyDescent="0.3">
      <c r="A211" s="23">
        <v>43300.583333333336</v>
      </c>
      <c r="B211" s="15">
        <v>5.8100000000000003E-4</v>
      </c>
      <c r="C211" s="15">
        <v>2.9500000000000001E-4</v>
      </c>
      <c r="D211" s="28">
        <v>0.39256756756756761</v>
      </c>
      <c r="E211" s="28">
        <v>0.19932432432432434</v>
      </c>
    </row>
    <row r="212" spans="1:5" x14ac:dyDescent="0.3">
      <c r="A212" s="23">
        <v>43300.625</v>
      </c>
      <c r="B212" s="15">
        <v>7.0200000000000004E-4</v>
      </c>
      <c r="C212" s="15">
        <v>1.3799999999999999E-3</v>
      </c>
      <c r="D212" s="28">
        <v>0.27209302325581397</v>
      </c>
      <c r="E212" s="28">
        <v>0.53488372093023262</v>
      </c>
    </row>
    <row r="213" spans="1:5" x14ac:dyDescent="0.3">
      <c r="A213" s="23">
        <v>43300.666666666664</v>
      </c>
      <c r="B213" s="15">
        <v>1.7979999999999999E-3</v>
      </c>
      <c r="C213" s="15">
        <v>1.2930000000000001E-3</v>
      </c>
      <c r="D213" s="28">
        <v>0.72793522267206479</v>
      </c>
      <c r="E213" s="28">
        <v>0.52348178137651824</v>
      </c>
    </row>
    <row r="214" spans="1:5" x14ac:dyDescent="0.3">
      <c r="A214" s="23">
        <v>43300.708333333336</v>
      </c>
      <c r="B214" s="15">
        <v>7.9600000000000005E-4</v>
      </c>
      <c r="C214" s="15">
        <v>7.9299999999999998E-4</v>
      </c>
      <c r="D214" s="28">
        <v>0.30733590733590738</v>
      </c>
      <c r="E214" s="28">
        <v>0.3061776061776062</v>
      </c>
    </row>
    <row r="215" spans="1:5" x14ac:dyDescent="0.3">
      <c r="A215" s="23">
        <v>43300.75</v>
      </c>
      <c r="B215" s="15">
        <v>1.5380000000000001E-3</v>
      </c>
      <c r="C215" s="15">
        <v>7.7200000000000001E-4</v>
      </c>
      <c r="D215" s="28">
        <v>0.8738636363636364</v>
      </c>
      <c r="E215" s="28">
        <v>0.4386363636363636</v>
      </c>
    </row>
    <row r="216" spans="1:5" x14ac:dyDescent="0.3">
      <c r="A216" s="23">
        <v>43300.791666666664</v>
      </c>
      <c r="B216" s="15">
        <v>1.35E-4</v>
      </c>
      <c r="C216" s="15">
        <v>6.9300000000000004E-4</v>
      </c>
      <c r="D216" s="28">
        <v>0.16666666666666669</v>
      </c>
      <c r="E216" s="28">
        <v>0.85555555555555562</v>
      </c>
    </row>
    <row r="217" spans="1:5" x14ac:dyDescent="0.3">
      <c r="A217" s="23">
        <v>43300.833333333336</v>
      </c>
      <c r="B217" s="15">
        <v>6.5760000000000002E-3</v>
      </c>
      <c r="C217" s="15">
        <v>3.8699999999999997E-4</v>
      </c>
      <c r="D217" s="28">
        <v>0.90205761316872435</v>
      </c>
      <c r="E217" s="28">
        <v>5.3086419753086422E-2</v>
      </c>
    </row>
    <row r="218" spans="1:5" x14ac:dyDescent="0.3">
      <c r="A218" s="23">
        <v>43300.875</v>
      </c>
      <c r="B218" s="15">
        <v>2.4689999999999998E-3</v>
      </c>
      <c r="C218" s="15">
        <v>1.292E-3</v>
      </c>
      <c r="D218" s="28">
        <v>1.2102941176470587</v>
      </c>
      <c r="E218" s="28">
        <v>0.6333333333333333</v>
      </c>
    </row>
    <row r="219" spans="1:5" x14ac:dyDescent="0.3">
      <c r="A219" s="23">
        <v>43300.916666666664</v>
      </c>
      <c r="B219" s="15">
        <v>2.0769999999999999E-3</v>
      </c>
      <c r="C219" s="15">
        <v>1.7200000000000001E-4</v>
      </c>
      <c r="D219" s="28">
        <v>1.888181818181818</v>
      </c>
      <c r="E219" s="28">
        <v>0.15636363636363637</v>
      </c>
    </row>
    <row r="220" spans="1:5" x14ac:dyDescent="0.3">
      <c r="A220" s="23">
        <v>43300.958333333336</v>
      </c>
      <c r="B220" s="15">
        <v>5.6899999999999995E-4</v>
      </c>
      <c r="C220" s="15">
        <v>6.9999999999999999E-6</v>
      </c>
      <c r="D220" s="28">
        <v>0.34907975460122698</v>
      </c>
      <c r="E220" s="28">
        <v>4.2944785276073623E-3</v>
      </c>
    </row>
    <row r="221" spans="1:5" x14ac:dyDescent="0.3">
      <c r="A221" s="23">
        <v>43301</v>
      </c>
      <c r="B221" s="15">
        <v>4.5800000000000002E-4</v>
      </c>
      <c r="C221" s="15">
        <v>4.2200000000000001E-4</v>
      </c>
      <c r="D221" s="28">
        <v>0.6450704225352113</v>
      </c>
      <c r="E221" s="28">
        <v>0.59436619718309858</v>
      </c>
    </row>
    <row r="222" spans="1:5" x14ac:dyDescent="0.3">
      <c r="A222" s="23">
        <v>43301.041666666664</v>
      </c>
      <c r="B222" s="15">
        <v>3.8200000000000002E-4</v>
      </c>
      <c r="C222" s="15">
        <v>3.4499999999999998E-4</v>
      </c>
      <c r="D222" s="28">
        <v>0.79583333333333339</v>
      </c>
      <c r="E222" s="28">
        <v>0.71875</v>
      </c>
    </row>
    <row r="223" spans="1:5" x14ac:dyDescent="0.3">
      <c r="A223" s="23">
        <v>43301.083333333336</v>
      </c>
      <c r="B223" s="15">
        <v>5.3399999999999997E-4</v>
      </c>
      <c r="C223" s="15">
        <v>5.8100000000000003E-4</v>
      </c>
      <c r="D223" s="28">
        <v>0.39850746268656712</v>
      </c>
      <c r="E223" s="28">
        <v>0.43358208955223881</v>
      </c>
    </row>
    <row r="224" spans="1:5" x14ac:dyDescent="0.3">
      <c r="A224" s="23">
        <v>43301.125</v>
      </c>
      <c r="B224" s="15">
        <v>3.9599999999999998E-4</v>
      </c>
      <c r="C224" s="15">
        <v>3.9300000000000001E-4</v>
      </c>
      <c r="D224" s="28">
        <v>0.46046511627906977</v>
      </c>
      <c r="E224" s="28">
        <v>0.45697674418604656</v>
      </c>
    </row>
    <row r="225" spans="1:5" x14ac:dyDescent="0.3">
      <c r="A225" s="23">
        <v>43301.166666666664</v>
      </c>
      <c r="B225" s="15">
        <v>2.3800000000000001E-4</v>
      </c>
      <c r="C225" s="15">
        <v>2.0539999999999998E-3</v>
      </c>
      <c r="D225" s="28">
        <v>7.0833333333333331E-2</v>
      </c>
      <c r="E225" s="28">
        <v>0.61130952380952375</v>
      </c>
    </row>
    <row r="226" spans="1:5" x14ac:dyDescent="0.3">
      <c r="A226" s="23">
        <v>43301.208333333336</v>
      </c>
      <c r="B226" s="15">
        <v>8.0800000000000002E-4</v>
      </c>
      <c r="C226" s="15">
        <v>1.2030000000000001E-3</v>
      </c>
      <c r="D226" s="28">
        <v>0.3941463414634146</v>
      </c>
      <c r="E226" s="28">
        <v>0.58682926829268289</v>
      </c>
    </row>
    <row r="227" spans="1:5" x14ac:dyDescent="0.3">
      <c r="A227" s="23">
        <v>43301.25</v>
      </c>
      <c r="B227" s="15">
        <v>7.6400000000000003E-4</v>
      </c>
      <c r="C227" s="15">
        <v>4.26E-4</v>
      </c>
      <c r="D227" s="28">
        <v>0.7717171717171718</v>
      </c>
      <c r="E227" s="28">
        <v>0.4303030303030303</v>
      </c>
    </row>
    <row r="228" spans="1:5" x14ac:dyDescent="0.3">
      <c r="A228" s="23">
        <v>43301.291666666664</v>
      </c>
      <c r="B228" s="15">
        <v>8.5700000000000001E-4</v>
      </c>
      <c r="C228" s="15">
        <v>4.8299999999999998E-4</v>
      </c>
      <c r="D228" s="28">
        <v>0.51626506024096386</v>
      </c>
      <c r="E228" s="28">
        <v>0.29096385542168673</v>
      </c>
    </row>
    <row r="229" spans="1:5" x14ac:dyDescent="0.3">
      <c r="A229" s="23">
        <v>43301.333333333336</v>
      </c>
      <c r="B229" s="15">
        <v>1.75E-4</v>
      </c>
      <c r="C229" s="15">
        <v>5.5999999999999995E-4</v>
      </c>
      <c r="D229" s="28">
        <v>0.14830508474576271</v>
      </c>
      <c r="E229" s="28">
        <v>0.47457627118644063</v>
      </c>
    </row>
    <row r="230" spans="1:5" x14ac:dyDescent="0.3">
      <c r="A230" s="23">
        <v>43301.375</v>
      </c>
      <c r="B230" s="15">
        <v>4.1E-5</v>
      </c>
      <c r="C230" s="15">
        <v>1.157E-3</v>
      </c>
      <c r="D230" s="28">
        <v>1.4642857142857143E-2</v>
      </c>
      <c r="E230" s="28">
        <v>0.41321428571428576</v>
      </c>
    </row>
    <row r="231" spans="1:5" x14ac:dyDescent="0.3">
      <c r="A231" s="23">
        <v>43301.416666666664</v>
      </c>
      <c r="B231" s="15">
        <v>8.1899999999999996E-4</v>
      </c>
      <c r="C231" s="15">
        <v>9.3099999999999997E-4</v>
      </c>
      <c r="D231" s="28">
        <v>0.33703703703703702</v>
      </c>
      <c r="E231" s="28">
        <v>0.38312757201646092</v>
      </c>
    </row>
    <row r="232" spans="1:5" x14ac:dyDescent="0.3">
      <c r="A232" s="23">
        <v>43301.458333333336</v>
      </c>
      <c r="B232" s="15">
        <v>2.0000000000000001E-4</v>
      </c>
      <c r="C232" s="15">
        <v>8.9300000000000002E-4</v>
      </c>
      <c r="D232" s="28">
        <v>0.12578616352201258</v>
      </c>
      <c r="E232" s="28">
        <v>0.56163522012578615</v>
      </c>
    </row>
    <row r="233" spans="1:5" x14ac:dyDescent="0.3">
      <c r="A233" s="23">
        <v>43301.5</v>
      </c>
      <c r="B233" s="15">
        <v>3.6499999999999998E-4</v>
      </c>
      <c r="C233" s="15">
        <v>2.0799999999999999E-4</v>
      </c>
      <c r="D233" s="28">
        <v>0.18622448979591835</v>
      </c>
      <c r="E233" s="28">
        <v>0.10612244897959183</v>
      </c>
    </row>
    <row r="234" spans="1:5" x14ac:dyDescent="0.3">
      <c r="A234" s="23">
        <v>43301.541666666664</v>
      </c>
      <c r="B234" s="15">
        <v>9.2199999999999997E-4</v>
      </c>
      <c r="C234" s="15">
        <v>5.6499999999999996E-4</v>
      </c>
      <c r="D234" s="28">
        <v>0.57624999999999993</v>
      </c>
      <c r="E234" s="28">
        <v>0.35312499999999997</v>
      </c>
    </row>
    <row r="235" spans="1:5" x14ac:dyDescent="0.3">
      <c r="A235" s="23">
        <v>43301.583333333336</v>
      </c>
      <c r="B235" s="15">
        <v>9.5E-4</v>
      </c>
      <c r="C235" s="15">
        <v>6.6600000000000003E-4</v>
      </c>
      <c r="D235" s="28">
        <v>0.52777777777777779</v>
      </c>
      <c r="E235" s="28">
        <v>0.37000000000000005</v>
      </c>
    </row>
    <row r="236" spans="1:5" x14ac:dyDescent="0.3">
      <c r="A236" s="23">
        <v>43301.625</v>
      </c>
      <c r="B236" s="15">
        <v>4.1970000000000002E-3</v>
      </c>
      <c r="C236" s="15">
        <v>8.6700000000000004E-4</v>
      </c>
      <c r="D236" s="28">
        <v>0.78011152416356877</v>
      </c>
      <c r="E236" s="28">
        <v>0.16115241635687733</v>
      </c>
    </row>
    <row r="237" spans="1:5" x14ac:dyDescent="0.3">
      <c r="A237" s="23">
        <v>43301.666666666664</v>
      </c>
      <c r="B237" s="15">
        <v>7.9000000000000001E-4</v>
      </c>
      <c r="C237" s="15">
        <v>1.5169999999999999E-3</v>
      </c>
      <c r="D237" s="28">
        <v>0.3779904306220096</v>
      </c>
      <c r="E237" s="28">
        <v>0.72583732057416273</v>
      </c>
    </row>
    <row r="238" spans="1:5" x14ac:dyDescent="0.3">
      <c r="A238" s="23">
        <v>43301.708333333336</v>
      </c>
      <c r="B238" s="15">
        <v>3.7599999999999998E-4</v>
      </c>
      <c r="C238" s="15">
        <v>3.5300000000000002E-4</v>
      </c>
      <c r="D238" s="28">
        <v>0.20888888888888887</v>
      </c>
      <c r="E238" s="28">
        <v>0.19611111111111112</v>
      </c>
    </row>
    <row r="239" spans="1:5" x14ac:dyDescent="0.3">
      <c r="A239" s="23">
        <v>43301.75</v>
      </c>
      <c r="B239" s="15">
        <v>8.7999999999999998E-5</v>
      </c>
      <c r="C239" s="15">
        <v>5.3399999999999997E-4</v>
      </c>
      <c r="D239" s="28">
        <v>8.3018867924528297E-2</v>
      </c>
      <c r="E239" s="28">
        <v>0.50377358490566038</v>
      </c>
    </row>
    <row r="240" spans="1:5" x14ac:dyDescent="0.3">
      <c r="A240" s="23">
        <v>43301.791666666664</v>
      </c>
      <c r="B240" s="15">
        <v>7.5100000000000004E-4</v>
      </c>
      <c r="C240" s="15">
        <v>4.35E-4</v>
      </c>
      <c r="D240" s="28">
        <v>0.72912621359223295</v>
      </c>
      <c r="E240" s="28">
        <v>0.42233009708737862</v>
      </c>
    </row>
    <row r="241" spans="1:5" x14ac:dyDescent="0.3">
      <c r="A241" s="23">
        <v>43301.833333333336</v>
      </c>
      <c r="B241" s="15">
        <v>7.5699999999999997E-4</v>
      </c>
      <c r="C241" s="15">
        <v>5.6400000000000005E-4</v>
      </c>
      <c r="D241" s="28">
        <v>0.45329341317365268</v>
      </c>
      <c r="E241" s="28">
        <v>0.33772455089820363</v>
      </c>
    </row>
    <row r="242" spans="1:5" x14ac:dyDescent="0.3">
      <c r="A242" s="23">
        <v>43301.875</v>
      </c>
      <c r="B242" s="15">
        <v>1.2949999999999999E-3</v>
      </c>
      <c r="C242" s="15">
        <v>1.2830000000000001E-3</v>
      </c>
      <c r="D242" s="28">
        <v>0.65736040609137059</v>
      </c>
      <c r="E242" s="28">
        <v>0.65126903553299498</v>
      </c>
    </row>
    <row r="243" spans="1:5" x14ac:dyDescent="0.3">
      <c r="A243" s="23">
        <v>43301.916666666664</v>
      </c>
      <c r="B243" s="15">
        <v>1.0889999999999999E-3</v>
      </c>
      <c r="C243" s="15">
        <v>2.03E-4</v>
      </c>
      <c r="D243" s="28">
        <v>1.089</v>
      </c>
      <c r="E243" s="28">
        <v>0.20299999999999999</v>
      </c>
    </row>
    <row r="244" spans="1:5" x14ac:dyDescent="0.3">
      <c r="A244" s="23">
        <v>43301.958333333336</v>
      </c>
      <c r="B244" s="15">
        <v>3.1100000000000002E-4</v>
      </c>
      <c r="C244" s="15">
        <v>7.45E-4</v>
      </c>
      <c r="D244" s="28">
        <v>0.2776785714285715</v>
      </c>
      <c r="E244" s="28">
        <v>0.66517857142857151</v>
      </c>
    </row>
    <row r="245" spans="1:5" x14ac:dyDescent="0.3">
      <c r="A245" s="23">
        <v>43304</v>
      </c>
      <c r="B245" s="15">
        <v>6.6399999999999999E-4</v>
      </c>
      <c r="C245" s="15">
        <v>4.1199999999999999E-4</v>
      </c>
      <c r="D245" s="28">
        <v>1.1649122807017545</v>
      </c>
      <c r="E245" s="28">
        <v>0.72280701754385968</v>
      </c>
    </row>
    <row r="246" spans="1:5" x14ac:dyDescent="0.3">
      <c r="A246" s="23">
        <v>43304.041666666664</v>
      </c>
      <c r="B246" s="15">
        <v>7.2999999999999999E-5</v>
      </c>
      <c r="C246" s="15">
        <v>5.1999999999999997E-5</v>
      </c>
      <c r="D246" s="28">
        <v>6.5178571428571433E-2</v>
      </c>
      <c r="E246" s="28">
        <v>4.642857142857143E-2</v>
      </c>
    </row>
    <row r="247" spans="1:5" x14ac:dyDescent="0.3">
      <c r="A247" s="23">
        <v>43304.083333333336</v>
      </c>
      <c r="B247" s="15">
        <v>6.7199999999999996E-4</v>
      </c>
      <c r="C247" s="15">
        <v>8.8000000000000003E-4</v>
      </c>
      <c r="D247" s="28">
        <v>0.54634146341463408</v>
      </c>
      <c r="E247" s="28">
        <v>0.71544715447154472</v>
      </c>
    </row>
    <row r="248" spans="1:5" x14ac:dyDescent="0.3">
      <c r="A248" s="23">
        <v>43304.125</v>
      </c>
      <c r="B248" s="15">
        <v>2.7799999999999998E-4</v>
      </c>
      <c r="C248" s="15">
        <v>2.6999999999999999E-5</v>
      </c>
      <c r="D248" s="28">
        <v>0.23166666666666666</v>
      </c>
      <c r="E248" s="28">
        <v>2.2500000000000003E-2</v>
      </c>
    </row>
    <row r="249" spans="1:5" x14ac:dyDescent="0.3">
      <c r="A249" s="23">
        <v>43304.166666666664</v>
      </c>
      <c r="B249" s="15">
        <v>4.5000000000000003E-5</v>
      </c>
      <c r="C249" s="15">
        <v>3.4400000000000001E-4</v>
      </c>
      <c r="D249" s="28">
        <v>2.7439024390243906E-2</v>
      </c>
      <c r="E249" s="28">
        <v>0.20975609756097563</v>
      </c>
    </row>
    <row r="250" spans="1:5" x14ac:dyDescent="0.3">
      <c r="A250" s="23">
        <v>43304.208333333336</v>
      </c>
      <c r="B250" s="15">
        <v>2.3499999999999999E-4</v>
      </c>
      <c r="C250" s="15">
        <v>4.8999999999999998E-5</v>
      </c>
      <c r="D250" s="28">
        <v>0.23039215686274508</v>
      </c>
      <c r="E250" s="28">
        <v>4.8039215686274506E-2</v>
      </c>
    </row>
    <row r="251" spans="1:5" x14ac:dyDescent="0.3">
      <c r="A251" s="23">
        <v>43304.25</v>
      </c>
      <c r="B251" s="15">
        <v>2.9599999999999998E-4</v>
      </c>
      <c r="C251" s="15">
        <v>1.8200000000000001E-4</v>
      </c>
      <c r="D251" s="28">
        <v>0.31489361702127661</v>
      </c>
      <c r="E251" s="28">
        <v>0.19361702127659575</v>
      </c>
    </row>
    <row r="252" spans="1:5" x14ac:dyDescent="0.3">
      <c r="A252" s="23">
        <v>43304.291666666664</v>
      </c>
      <c r="B252" s="15">
        <v>8.8199999999999997E-4</v>
      </c>
      <c r="C252" s="15">
        <v>5.9999999999999995E-4</v>
      </c>
      <c r="D252" s="28">
        <v>0.88200000000000001</v>
      </c>
      <c r="E252" s="28">
        <v>0.6</v>
      </c>
    </row>
    <row r="253" spans="1:5" x14ac:dyDescent="0.3">
      <c r="A253" s="23">
        <v>43304.333333333336</v>
      </c>
      <c r="B253" s="15">
        <v>1.07E-4</v>
      </c>
      <c r="C253" s="15">
        <v>4.6700000000000002E-4</v>
      </c>
      <c r="D253" s="28">
        <v>6.604938271604939E-2</v>
      </c>
      <c r="E253" s="28">
        <v>0.28827160493827164</v>
      </c>
    </row>
    <row r="254" spans="1:5" x14ac:dyDescent="0.3">
      <c r="A254" s="23">
        <v>43304.375</v>
      </c>
      <c r="B254" s="15">
        <v>2.04E-4</v>
      </c>
      <c r="C254" s="15">
        <v>4.6E-5</v>
      </c>
      <c r="D254" s="28">
        <v>0.13076923076923078</v>
      </c>
      <c r="E254" s="28">
        <v>2.9487179487179487E-2</v>
      </c>
    </row>
    <row r="255" spans="1:5" x14ac:dyDescent="0.3">
      <c r="A255" s="23">
        <v>43304.416666666664</v>
      </c>
      <c r="B255" s="15">
        <v>1.1490000000000001E-3</v>
      </c>
      <c r="C255" s="15">
        <v>3.4999999999999997E-5</v>
      </c>
      <c r="D255" s="28">
        <v>0.4031578947368421</v>
      </c>
      <c r="E255" s="28">
        <v>1.2280701754385963E-2</v>
      </c>
    </row>
    <row r="256" spans="1:5" x14ac:dyDescent="0.3">
      <c r="A256" s="23">
        <v>43304.458333333336</v>
      </c>
      <c r="B256" s="15">
        <v>1.238E-3</v>
      </c>
      <c r="C256" s="15">
        <v>2.1090000000000002E-3</v>
      </c>
      <c r="D256" s="28">
        <v>0.41266666666666663</v>
      </c>
      <c r="E256" s="28">
        <v>0.70300000000000007</v>
      </c>
    </row>
    <row r="257" spans="1:5" x14ac:dyDescent="0.3">
      <c r="A257" s="23">
        <v>43304.5</v>
      </c>
      <c r="B257" s="15">
        <v>1.2310000000000001E-3</v>
      </c>
      <c r="C257" s="15">
        <v>8.7900000000000001E-4</v>
      </c>
      <c r="D257" s="28">
        <v>0.59182692307692319</v>
      </c>
      <c r="E257" s="28">
        <v>0.4225961538461539</v>
      </c>
    </row>
    <row r="258" spans="1:5" x14ac:dyDescent="0.3">
      <c r="A258" s="23">
        <v>43304.541666666664</v>
      </c>
      <c r="B258" s="15">
        <v>9.6299999999999999E-4</v>
      </c>
      <c r="C258" s="15">
        <v>1.379E-3</v>
      </c>
      <c r="D258" s="28">
        <v>0.49384615384615388</v>
      </c>
      <c r="E258" s="28">
        <v>0.7071794871794872</v>
      </c>
    </row>
    <row r="259" spans="1:5" x14ac:dyDescent="0.3">
      <c r="A259" s="23">
        <v>43304.583333333336</v>
      </c>
      <c r="B259" s="15">
        <v>5.9299999999999999E-4</v>
      </c>
      <c r="C259" s="15">
        <v>1.168E-3</v>
      </c>
      <c r="D259" s="28">
        <v>0.8471428571428572</v>
      </c>
      <c r="E259" s="28">
        <v>1.6685714285714286</v>
      </c>
    </row>
    <row r="260" spans="1:5" x14ac:dyDescent="0.3">
      <c r="A260" s="23">
        <v>43304.625</v>
      </c>
      <c r="B260" s="15">
        <v>5.2999999999999998E-4</v>
      </c>
      <c r="C260" s="15">
        <v>3.0499999999999999E-4</v>
      </c>
      <c r="D260" s="28">
        <v>0.34640522875816993</v>
      </c>
      <c r="E260" s="28">
        <v>0.19934640522875818</v>
      </c>
    </row>
    <row r="261" spans="1:5" x14ac:dyDescent="0.3">
      <c r="A261" s="23">
        <v>43304.666666666664</v>
      </c>
      <c r="B261" s="15">
        <v>2.99E-4</v>
      </c>
      <c r="C261" s="15">
        <v>1.3090000000000001E-3</v>
      </c>
      <c r="D261" s="28">
        <v>0.13056768558951964</v>
      </c>
      <c r="E261" s="28">
        <v>0.57161572052401755</v>
      </c>
    </row>
    <row r="262" spans="1:5" x14ac:dyDescent="0.3">
      <c r="A262" s="23">
        <v>43304.708333333336</v>
      </c>
      <c r="B262" s="15">
        <v>4.1999999999999998E-5</v>
      </c>
      <c r="C262" s="15">
        <v>6.02E-4</v>
      </c>
      <c r="D262" s="28">
        <v>3.5593220338983045E-2</v>
      </c>
      <c r="E262" s="28">
        <v>0.51016949152542368</v>
      </c>
    </row>
    <row r="263" spans="1:5" x14ac:dyDescent="0.3">
      <c r="A263" s="23">
        <v>43304.75</v>
      </c>
      <c r="B263" s="15">
        <v>5.6400000000000005E-4</v>
      </c>
      <c r="C263" s="15">
        <v>9.7000000000000005E-4</v>
      </c>
      <c r="D263" s="28">
        <v>0.36153846153846159</v>
      </c>
      <c r="E263" s="28">
        <v>0.62179487179487181</v>
      </c>
    </row>
    <row r="264" spans="1:5" x14ac:dyDescent="0.3">
      <c r="A264" s="23">
        <v>43304.791666666664</v>
      </c>
      <c r="B264" s="15">
        <v>1.45E-4</v>
      </c>
      <c r="C264" s="15">
        <v>1.6799999999999999E-4</v>
      </c>
      <c r="D264" s="28">
        <v>0.11068702290076336</v>
      </c>
      <c r="E264" s="28">
        <v>0.12824427480916031</v>
      </c>
    </row>
    <row r="265" spans="1:5" x14ac:dyDescent="0.3">
      <c r="A265" s="23">
        <v>43304.833333333336</v>
      </c>
      <c r="B265" s="15">
        <v>8.6000000000000003E-5</v>
      </c>
      <c r="C265" s="15">
        <v>5.62E-4</v>
      </c>
      <c r="D265" s="28">
        <v>3.6134453781512602E-2</v>
      </c>
      <c r="E265" s="28">
        <v>0.2361344537815126</v>
      </c>
    </row>
    <row r="266" spans="1:5" x14ac:dyDescent="0.3">
      <c r="A266" s="23">
        <v>43304.875</v>
      </c>
      <c r="B266" s="15">
        <v>6.5700000000000003E-4</v>
      </c>
      <c r="C266" s="15">
        <v>3.6699999999999998E-4</v>
      </c>
      <c r="D266" s="28">
        <v>0.67040816326530617</v>
      </c>
      <c r="E266" s="28">
        <v>0.37448979591836734</v>
      </c>
    </row>
    <row r="267" spans="1:5" x14ac:dyDescent="0.3">
      <c r="A267" s="23">
        <v>43304.916666666664</v>
      </c>
      <c r="B267" s="15">
        <v>2.34E-4</v>
      </c>
      <c r="C267" s="15">
        <v>3.3500000000000001E-4</v>
      </c>
      <c r="D267" s="28">
        <v>0.21869158878504671</v>
      </c>
      <c r="E267" s="28">
        <v>0.31308411214953275</v>
      </c>
    </row>
    <row r="268" spans="1:5" x14ac:dyDescent="0.3">
      <c r="A268" s="23">
        <v>43304.958333333336</v>
      </c>
      <c r="B268" s="15">
        <v>5.7000000000000003E-5</v>
      </c>
      <c r="C268" s="15">
        <v>1.4999999999999999E-4</v>
      </c>
      <c r="D268" s="28">
        <v>8.6363636363636365E-2</v>
      </c>
      <c r="E268" s="28">
        <v>0.22727272727272727</v>
      </c>
    </row>
    <row r="269" spans="1:5" x14ac:dyDescent="0.3">
      <c r="A269" s="23">
        <v>43305</v>
      </c>
      <c r="B269" s="15">
        <v>6.3999999999999997E-5</v>
      </c>
      <c r="C269" s="15">
        <v>5.5400000000000002E-4</v>
      </c>
      <c r="D269" s="28">
        <v>6.6666666666666666E-2</v>
      </c>
      <c r="E269" s="28">
        <v>0.57708333333333339</v>
      </c>
    </row>
    <row r="270" spans="1:5" x14ac:dyDescent="0.3">
      <c r="A270" s="23">
        <v>43305.041666666664</v>
      </c>
      <c r="B270" s="15">
        <v>4.2999999999999999E-4</v>
      </c>
      <c r="C270" s="15">
        <v>4.2499999999999998E-4</v>
      </c>
      <c r="D270" s="28">
        <v>0.63235294117647056</v>
      </c>
      <c r="E270" s="28">
        <v>0.62499999999999989</v>
      </c>
    </row>
    <row r="271" spans="1:5" x14ac:dyDescent="0.3">
      <c r="A271" s="26">
        <v>43305.083333333336</v>
      </c>
      <c r="B271" s="27">
        <v>5.4299999999999997E-4</v>
      </c>
      <c r="C271" s="27">
        <v>4.1999999999999998E-5</v>
      </c>
      <c r="D271" s="29">
        <v>0.74383561643835616</v>
      </c>
      <c r="E271" s="29">
        <v>5.7534246575342465E-2</v>
      </c>
    </row>
    <row r="272" spans="1:5" x14ac:dyDescent="0.3">
      <c r="A272" s="23">
        <v>43305.125</v>
      </c>
      <c r="B272" s="15">
        <v>5.7000000000000003E-5</v>
      </c>
      <c r="C272" s="15">
        <v>1.9000000000000001E-4</v>
      </c>
      <c r="D272" s="28">
        <v>9.3442622950819676E-2</v>
      </c>
      <c r="E272" s="28">
        <v>0.31147540983606559</v>
      </c>
    </row>
    <row r="273" spans="1:5" x14ac:dyDescent="0.3">
      <c r="A273" s="23">
        <v>43305.166666666664</v>
      </c>
      <c r="B273" s="15">
        <v>4.7699999999999999E-4</v>
      </c>
      <c r="C273" s="15">
        <v>2.81E-4</v>
      </c>
      <c r="D273" s="28">
        <v>0.40769230769230769</v>
      </c>
      <c r="E273" s="28">
        <v>0.24017094017094015</v>
      </c>
    </row>
    <row r="274" spans="1:5" x14ac:dyDescent="0.3">
      <c r="A274" s="23">
        <v>43305.208333333336</v>
      </c>
      <c r="B274" s="15">
        <v>1.6100000000000001E-4</v>
      </c>
      <c r="C274" s="15">
        <v>7.1100000000000004E-4</v>
      </c>
      <c r="D274" s="28">
        <v>0.10062500000000001</v>
      </c>
      <c r="E274" s="28">
        <v>0.44437500000000002</v>
      </c>
    </row>
    <row r="275" spans="1:5" x14ac:dyDescent="0.3">
      <c r="A275" s="23">
        <v>43305.25</v>
      </c>
      <c r="B275" s="15">
        <v>3.2699999999999998E-4</v>
      </c>
      <c r="C275" s="15">
        <v>1.6699999999999999E-4</v>
      </c>
      <c r="D275" s="28">
        <v>0.51904761904761898</v>
      </c>
      <c r="E275" s="28">
        <v>0.26507936507936508</v>
      </c>
    </row>
    <row r="276" spans="1:5" x14ac:dyDescent="0.3">
      <c r="A276" s="23">
        <v>43305.291666666664</v>
      </c>
      <c r="B276" s="15">
        <v>1.83E-4</v>
      </c>
      <c r="C276" s="15">
        <v>7.5799999999999999E-4</v>
      </c>
      <c r="D276" s="28">
        <v>0.13455882352941176</v>
      </c>
      <c r="E276" s="28">
        <v>0.5573529411764705</v>
      </c>
    </row>
    <row r="277" spans="1:5" x14ac:dyDescent="0.3">
      <c r="A277" s="23">
        <v>43305.333333333336</v>
      </c>
      <c r="B277" s="15">
        <v>1.8799999999999999E-4</v>
      </c>
      <c r="C277" s="15">
        <v>5.6300000000000002E-4</v>
      </c>
      <c r="D277" s="28">
        <v>0.20659340659340658</v>
      </c>
      <c r="E277" s="28">
        <v>0.6186813186813187</v>
      </c>
    </row>
    <row r="278" spans="1:5" x14ac:dyDescent="0.3">
      <c r="A278" s="23">
        <v>43305.375</v>
      </c>
      <c r="B278" s="15">
        <v>8.0199999999999998E-4</v>
      </c>
      <c r="C278" s="15">
        <v>2.1610000000000002E-3</v>
      </c>
      <c r="D278" s="28">
        <v>0.30264150943396223</v>
      </c>
      <c r="E278" s="28">
        <v>0.81547169811320763</v>
      </c>
    </row>
    <row r="279" spans="1:5" x14ac:dyDescent="0.3">
      <c r="A279" s="23">
        <v>43305.416666666664</v>
      </c>
      <c r="B279" s="15">
        <v>3.6319999999999998E-3</v>
      </c>
      <c r="C279" s="15">
        <v>6.3299999999999999E-4</v>
      </c>
      <c r="D279" s="28">
        <v>0.72785571142284566</v>
      </c>
      <c r="E279" s="28">
        <v>0.12685370741482965</v>
      </c>
    </row>
    <row r="280" spans="1:5" x14ac:dyDescent="0.3">
      <c r="A280" s="23">
        <v>43305.458333333336</v>
      </c>
      <c r="B280" s="15">
        <v>1.91E-3</v>
      </c>
      <c r="C280" s="15">
        <v>2.6499999999999999E-4</v>
      </c>
      <c r="D280" s="28">
        <v>1.0159574468085106</v>
      </c>
      <c r="E280" s="28">
        <v>0.14095744680851063</v>
      </c>
    </row>
    <row r="281" spans="1:5" x14ac:dyDescent="0.3">
      <c r="A281" s="23">
        <v>43305.5</v>
      </c>
      <c r="B281" s="15">
        <v>2.12E-4</v>
      </c>
      <c r="C281" s="15">
        <v>1.379E-3</v>
      </c>
      <c r="D281" s="28">
        <v>0.17815126050420166</v>
      </c>
      <c r="E281" s="28">
        <v>1.1588235294117646</v>
      </c>
    </row>
    <row r="282" spans="1:5" x14ac:dyDescent="0.3">
      <c r="A282" s="23">
        <v>43305.541666666664</v>
      </c>
      <c r="B282" s="15">
        <v>1.8469999999999999E-3</v>
      </c>
      <c r="C282" s="15">
        <v>7.67E-4</v>
      </c>
      <c r="D282" s="28">
        <v>0.76322314049586781</v>
      </c>
      <c r="E282" s="28">
        <v>0.31694214876033061</v>
      </c>
    </row>
    <row r="283" spans="1:5" x14ac:dyDescent="0.3">
      <c r="A283" s="23">
        <v>43305.583333333336</v>
      </c>
      <c r="B283" s="15">
        <v>6.02E-4</v>
      </c>
      <c r="C283" s="15">
        <v>1.64E-4</v>
      </c>
      <c r="D283" s="28">
        <v>0.4123287671232877</v>
      </c>
      <c r="E283" s="28">
        <v>0.11232876712328768</v>
      </c>
    </row>
    <row r="284" spans="1:5" x14ac:dyDescent="0.3">
      <c r="A284" s="23">
        <v>43305.625</v>
      </c>
      <c r="B284" s="15">
        <v>8.0000000000000004E-4</v>
      </c>
      <c r="C284" s="15">
        <v>8.1800000000000004E-4</v>
      </c>
      <c r="D284" s="28">
        <v>0.38095238095238099</v>
      </c>
      <c r="E284" s="28">
        <v>0.38952380952380955</v>
      </c>
    </row>
    <row r="285" spans="1:5" x14ac:dyDescent="0.3">
      <c r="A285" s="23">
        <v>43305.666666666664</v>
      </c>
      <c r="B285" s="15">
        <v>1.2899999999999999E-3</v>
      </c>
      <c r="C285" s="15">
        <v>8.9300000000000002E-4</v>
      </c>
      <c r="D285" s="28">
        <v>0.56828193832599116</v>
      </c>
      <c r="E285" s="28">
        <v>0.39339207048458152</v>
      </c>
    </row>
    <row r="286" spans="1:5" x14ac:dyDescent="0.3">
      <c r="A286" s="23">
        <v>43305.708333333336</v>
      </c>
      <c r="B286" s="15">
        <v>2.7599999999999999E-4</v>
      </c>
      <c r="C286" s="15">
        <v>9.7999999999999997E-5</v>
      </c>
      <c r="D286" s="28">
        <v>0.18278145695364237</v>
      </c>
      <c r="E286" s="28">
        <v>6.4900662251655625E-2</v>
      </c>
    </row>
    <row r="287" spans="1:5" x14ac:dyDescent="0.3">
      <c r="A287" s="23">
        <v>43305.75</v>
      </c>
      <c r="B287" s="15">
        <v>5.6999999999999998E-4</v>
      </c>
      <c r="C287" s="15">
        <v>1.554E-3</v>
      </c>
      <c r="D287" s="28">
        <v>0.21673003802281368</v>
      </c>
      <c r="E287" s="28">
        <v>0.59087452471482893</v>
      </c>
    </row>
    <row r="288" spans="1:5" x14ac:dyDescent="0.3">
      <c r="A288" s="23">
        <v>43305.791666666664</v>
      </c>
      <c r="B288" s="15">
        <v>7.0500000000000001E-4</v>
      </c>
      <c r="C288" s="15">
        <v>1.2999999999999999E-5</v>
      </c>
      <c r="D288" s="28">
        <v>0.55511811023622049</v>
      </c>
      <c r="E288" s="28">
        <v>1.0236220472440943E-2</v>
      </c>
    </row>
    <row r="289" spans="1:5" x14ac:dyDescent="0.3">
      <c r="A289" s="23">
        <v>43305.833333333336</v>
      </c>
      <c r="B289" s="15">
        <v>5.6999999999999998E-4</v>
      </c>
      <c r="C289" s="15">
        <v>2.1599999999999999E-4</v>
      </c>
      <c r="D289" s="28">
        <v>0.4351145038167939</v>
      </c>
      <c r="E289" s="28">
        <v>0.16488549618320611</v>
      </c>
    </row>
    <row r="290" spans="1:5" x14ac:dyDescent="0.3">
      <c r="A290" s="23">
        <v>43305.875</v>
      </c>
      <c r="B290" s="15">
        <v>1.84E-4</v>
      </c>
      <c r="C290" s="15">
        <v>6.3E-5</v>
      </c>
      <c r="D290" s="28">
        <v>0.16283185840707964</v>
      </c>
      <c r="E290" s="28">
        <v>5.5752212389380537E-2</v>
      </c>
    </row>
    <row r="291" spans="1:5" x14ac:dyDescent="0.3">
      <c r="A291" s="23">
        <v>43305.916666666664</v>
      </c>
      <c r="B291" s="15">
        <v>3.0499999999999999E-4</v>
      </c>
      <c r="C291" s="15">
        <v>6.6399999999999999E-4</v>
      </c>
      <c r="D291" s="28">
        <v>0.37195121951219512</v>
      </c>
      <c r="E291" s="28">
        <v>0.80975609756097566</v>
      </c>
    </row>
    <row r="292" spans="1:5" x14ac:dyDescent="0.3">
      <c r="A292" s="23">
        <v>43305.958333333336</v>
      </c>
      <c r="B292" s="15"/>
      <c r="C292" s="15"/>
      <c r="D292" s="28">
        <v>0</v>
      </c>
      <c r="E292" s="28">
        <v>0</v>
      </c>
    </row>
    <row r="293" spans="1:5" x14ac:dyDescent="0.3">
      <c r="A293" s="23">
        <v>43306</v>
      </c>
      <c r="B293" s="15">
        <v>3.6699999999999998E-4</v>
      </c>
      <c r="C293" s="15">
        <v>6.1899999999999998E-4</v>
      </c>
      <c r="D293" s="28">
        <v>0.42183908045977009</v>
      </c>
      <c r="E293" s="28">
        <v>0.71149425287356316</v>
      </c>
    </row>
    <row r="294" spans="1:5" x14ac:dyDescent="0.3">
      <c r="A294" s="23">
        <v>43306.041666666664</v>
      </c>
      <c r="B294" s="15">
        <v>1.66E-4</v>
      </c>
      <c r="C294" s="15">
        <v>1.8100000000000001E-4</v>
      </c>
      <c r="D294" s="28">
        <v>0.48823529411764699</v>
      </c>
      <c r="E294" s="28">
        <v>0.53235294117647058</v>
      </c>
    </row>
    <row r="295" spans="1:5" x14ac:dyDescent="0.3">
      <c r="A295" s="23">
        <v>43306.083333333336</v>
      </c>
      <c r="B295" s="15">
        <v>4.5000000000000003E-5</v>
      </c>
      <c r="C295" s="15">
        <v>4.8000000000000001E-4</v>
      </c>
      <c r="D295" s="28">
        <v>0.10975609756097562</v>
      </c>
      <c r="E295" s="28">
        <v>1.1707317073170733</v>
      </c>
    </row>
    <row r="296" spans="1:5" x14ac:dyDescent="0.3">
      <c r="A296" s="23">
        <v>43306.125</v>
      </c>
      <c r="B296" s="15">
        <v>5.1999999999999995E-4</v>
      </c>
      <c r="C296" s="15">
        <v>7.7999999999999999E-5</v>
      </c>
      <c r="D296" s="28">
        <v>0.5</v>
      </c>
      <c r="E296" s="28">
        <v>7.5000000000000011E-2</v>
      </c>
    </row>
    <row r="297" spans="1:5" x14ac:dyDescent="0.3">
      <c r="A297" s="23">
        <v>43306.166666666664</v>
      </c>
      <c r="B297" s="15">
        <v>3.3700000000000001E-4</v>
      </c>
      <c r="C297" s="15">
        <v>1.73E-4</v>
      </c>
      <c r="D297" s="28">
        <v>0.25149253731343285</v>
      </c>
      <c r="E297" s="28">
        <v>0.1291044776119403</v>
      </c>
    </row>
    <row r="298" spans="1:5" x14ac:dyDescent="0.3">
      <c r="A298" s="23">
        <v>43306.208333333336</v>
      </c>
      <c r="B298" s="15">
        <v>1.0939999999999999E-3</v>
      </c>
      <c r="C298" s="15">
        <v>6.9899999999999997E-4</v>
      </c>
      <c r="D298" s="28">
        <v>1.2431818181818179</v>
      </c>
      <c r="E298" s="28">
        <v>0.7943181818181817</v>
      </c>
    </row>
    <row r="299" spans="1:5" x14ac:dyDescent="0.3">
      <c r="A299" s="23">
        <v>43306.25</v>
      </c>
      <c r="B299" s="15">
        <v>2.5900000000000001E-4</v>
      </c>
      <c r="C299" s="15">
        <v>2.9E-4</v>
      </c>
      <c r="D299" s="28">
        <v>0.33636363636363636</v>
      </c>
      <c r="E299" s="28">
        <v>0.37662337662337664</v>
      </c>
    </row>
    <row r="300" spans="1:5" x14ac:dyDescent="0.3">
      <c r="A300" s="23">
        <v>43306.291666666664</v>
      </c>
      <c r="B300" s="15">
        <v>2.3E-5</v>
      </c>
      <c r="C300" s="15">
        <v>3.4999999999999997E-5</v>
      </c>
      <c r="D300" s="28">
        <v>4.1818181818181817E-2</v>
      </c>
      <c r="E300" s="28">
        <v>6.363636363636363E-2</v>
      </c>
    </row>
    <row r="301" spans="1:5" x14ac:dyDescent="0.3">
      <c r="A301" s="23">
        <v>43306.333333333336</v>
      </c>
      <c r="B301" s="15">
        <v>8.2899999999999998E-4</v>
      </c>
      <c r="C301" s="15">
        <v>5.7600000000000001E-4</v>
      </c>
      <c r="D301" s="28">
        <v>0.67398373983739834</v>
      </c>
      <c r="E301" s="28">
        <v>0.4682926829268293</v>
      </c>
    </row>
    <row r="302" spans="1:5" x14ac:dyDescent="0.3">
      <c r="A302" s="23">
        <v>43306.375</v>
      </c>
      <c r="B302" s="15">
        <v>5.9699999999999998E-4</v>
      </c>
      <c r="C302" s="15">
        <v>3.4999999999999997E-5</v>
      </c>
      <c r="D302" s="28">
        <v>0.31925133689839574</v>
      </c>
      <c r="E302" s="28">
        <v>1.871657754010695E-2</v>
      </c>
    </row>
    <row r="303" spans="1:5" x14ac:dyDescent="0.3">
      <c r="A303" s="23">
        <v>43306.416666666664</v>
      </c>
      <c r="B303" s="15">
        <v>8.9800000000000004E-4</v>
      </c>
      <c r="C303" s="15">
        <v>3.3500000000000001E-4</v>
      </c>
      <c r="D303" s="28">
        <v>0.627972027972028</v>
      </c>
      <c r="E303" s="28">
        <v>0.23426573426573427</v>
      </c>
    </row>
    <row r="304" spans="1:5" x14ac:dyDescent="0.3">
      <c r="A304" s="23">
        <v>43306.458333333336</v>
      </c>
      <c r="B304" s="15">
        <v>4.2299999999999998E-4</v>
      </c>
      <c r="C304" s="15">
        <v>1.73E-4</v>
      </c>
      <c r="D304" s="28">
        <v>0.25792682926829269</v>
      </c>
      <c r="E304" s="28">
        <v>0.10548780487804879</v>
      </c>
    </row>
    <row r="305" spans="1:5" x14ac:dyDescent="0.3">
      <c r="A305" s="23">
        <v>43306.5</v>
      </c>
      <c r="B305" s="15">
        <v>3.3799999999999998E-4</v>
      </c>
      <c r="C305" s="15">
        <v>8.34E-4</v>
      </c>
      <c r="D305" s="28">
        <v>0.32500000000000001</v>
      </c>
      <c r="E305" s="28">
        <v>0.80192307692307696</v>
      </c>
    </row>
    <row r="306" spans="1:5" x14ac:dyDescent="0.3">
      <c r="A306" s="23">
        <v>43306.541666666664</v>
      </c>
      <c r="B306" s="15">
        <v>2.2499999999999999E-4</v>
      </c>
      <c r="C306" s="15">
        <v>7.3099999999999999E-4</v>
      </c>
      <c r="D306" s="28">
        <v>0.14423076923076922</v>
      </c>
      <c r="E306" s="28">
        <v>0.46858974358974359</v>
      </c>
    </row>
    <row r="307" spans="1:5" x14ac:dyDescent="0.3">
      <c r="A307" s="23">
        <v>43306.583333333336</v>
      </c>
      <c r="B307" s="15">
        <v>2.3499999999999999E-4</v>
      </c>
      <c r="C307" s="15">
        <v>6.1700000000000004E-4</v>
      </c>
      <c r="D307" s="28">
        <v>0.25543478260869562</v>
      </c>
      <c r="E307" s="28">
        <v>0.67065217391304355</v>
      </c>
    </row>
    <row r="308" spans="1:5" x14ac:dyDescent="0.3">
      <c r="A308" s="23">
        <v>43306.625</v>
      </c>
      <c r="B308" s="15">
        <v>4.7699999999999999E-4</v>
      </c>
      <c r="C308" s="15">
        <v>3.88E-4</v>
      </c>
      <c r="D308" s="28">
        <v>0.33591549295774648</v>
      </c>
      <c r="E308" s="28">
        <v>0.27323943661971828</v>
      </c>
    </row>
    <row r="309" spans="1:5" x14ac:dyDescent="0.3">
      <c r="A309" s="23">
        <v>43306.666666666664</v>
      </c>
      <c r="B309" s="15">
        <v>9.19E-4</v>
      </c>
      <c r="C309" s="15">
        <v>6.4400000000000004E-4</v>
      </c>
      <c r="D309" s="28">
        <v>0.53742690058479536</v>
      </c>
      <c r="E309" s="28">
        <v>0.37660818713450295</v>
      </c>
    </row>
    <row r="310" spans="1:5" x14ac:dyDescent="0.3">
      <c r="A310" s="23">
        <v>43306.708333333336</v>
      </c>
      <c r="B310" s="15">
        <v>7.7300000000000003E-4</v>
      </c>
      <c r="C310" s="15">
        <v>2.0699999999999998E-3</v>
      </c>
      <c r="D310" s="28">
        <v>0.28629629629629627</v>
      </c>
      <c r="E310" s="28">
        <v>0.7666666666666665</v>
      </c>
    </row>
    <row r="311" spans="1:5" x14ac:dyDescent="0.3">
      <c r="A311" s="23">
        <v>43306.75</v>
      </c>
      <c r="B311" s="15">
        <v>6.5899999999999997E-4</v>
      </c>
      <c r="C311" s="15">
        <v>2.8600000000000001E-4</v>
      </c>
      <c r="D311" s="28">
        <v>0.37443181818181814</v>
      </c>
      <c r="E311" s="28">
        <v>0.16250000000000001</v>
      </c>
    </row>
    <row r="312" spans="1:5" x14ac:dyDescent="0.3">
      <c r="A312" s="23">
        <v>43306.791666666664</v>
      </c>
      <c r="B312" s="15">
        <v>1.15E-4</v>
      </c>
      <c r="C312" s="15">
        <v>1.3999999999999999E-4</v>
      </c>
      <c r="D312" s="28">
        <v>6.8047337278106509E-2</v>
      </c>
      <c r="E312" s="28">
        <v>8.2840236686390525E-2</v>
      </c>
    </row>
    <row r="313" spans="1:5" x14ac:dyDescent="0.3">
      <c r="A313" s="23">
        <v>43306.833333333336</v>
      </c>
      <c r="B313" s="15">
        <v>1.5920000000000001E-3</v>
      </c>
      <c r="C313" s="15">
        <v>8.5700000000000001E-4</v>
      </c>
      <c r="D313" s="28">
        <v>0.7013215859030838</v>
      </c>
      <c r="E313" s="28">
        <v>0.37753303964757712</v>
      </c>
    </row>
    <row r="314" spans="1:5" x14ac:dyDescent="0.3">
      <c r="A314" s="23">
        <v>43306.875</v>
      </c>
      <c r="B314" s="15">
        <v>2.7099999999999997E-4</v>
      </c>
      <c r="C314" s="15">
        <v>6.1799999999999995E-4</v>
      </c>
      <c r="D314" s="28">
        <v>0.15224719101123596</v>
      </c>
      <c r="E314" s="28">
        <v>0.34719101123595503</v>
      </c>
    </row>
    <row r="315" spans="1:5" x14ac:dyDescent="0.3">
      <c r="A315" s="23">
        <v>43306.916666666664</v>
      </c>
      <c r="B315" s="15">
        <v>2.702E-3</v>
      </c>
      <c r="C315" s="15">
        <v>6.6200000000000005E-4</v>
      </c>
      <c r="D315" s="28">
        <v>0.678894472361809</v>
      </c>
      <c r="E315" s="28">
        <v>0.1663316582914573</v>
      </c>
    </row>
    <row r="316" spans="1:5" x14ac:dyDescent="0.3">
      <c r="A316" s="23">
        <v>43306.958333333336</v>
      </c>
      <c r="B316" s="15">
        <v>1.1709999999999999E-3</v>
      </c>
      <c r="C316" s="15">
        <v>2.1999999999999999E-5</v>
      </c>
      <c r="D316" s="28">
        <v>0.59744897959183674</v>
      </c>
      <c r="E316" s="28">
        <v>1.1224489795918367E-2</v>
      </c>
    </row>
    <row r="317" spans="1:5" x14ac:dyDescent="0.3">
      <c r="A317" s="23">
        <v>43307</v>
      </c>
      <c r="B317" s="15">
        <v>4.4999999999999999E-4</v>
      </c>
      <c r="C317" s="15">
        <v>5.5800000000000001E-4</v>
      </c>
      <c r="D317" s="28">
        <v>0.33834586466165412</v>
      </c>
      <c r="E317" s="28">
        <v>0.41954887218045112</v>
      </c>
    </row>
    <row r="318" spans="1:5" x14ac:dyDescent="0.3">
      <c r="A318" s="23">
        <v>43307.041666666664</v>
      </c>
      <c r="B318" s="15">
        <v>7.8999999999999996E-5</v>
      </c>
      <c r="C318" s="15">
        <v>5.9000000000000003E-4</v>
      </c>
      <c r="D318" s="28">
        <v>7.7450980392156851E-2</v>
      </c>
      <c r="E318" s="28">
        <v>0.57843137254901955</v>
      </c>
    </row>
    <row r="319" spans="1:5" x14ac:dyDescent="0.3">
      <c r="A319" s="23">
        <v>43307.083333333336</v>
      </c>
      <c r="B319" s="15">
        <v>1.01E-4</v>
      </c>
      <c r="C319" s="15">
        <v>6.5099999999999999E-4</v>
      </c>
      <c r="D319" s="28">
        <v>0.13466666666666666</v>
      </c>
      <c r="E319" s="28">
        <v>0.86799999999999999</v>
      </c>
    </row>
    <row r="320" spans="1:5" x14ac:dyDescent="0.3">
      <c r="A320" s="23">
        <v>43307.125</v>
      </c>
      <c r="B320" s="15">
        <v>5.6400000000000005E-4</v>
      </c>
      <c r="C320" s="15">
        <v>2.33E-4</v>
      </c>
      <c r="D320" s="28">
        <v>0.69629629629629641</v>
      </c>
      <c r="E320" s="28">
        <v>0.28765432098765431</v>
      </c>
    </row>
    <row r="321" spans="1:5" x14ac:dyDescent="0.3">
      <c r="A321" s="23">
        <v>43307.166666666664</v>
      </c>
      <c r="B321" s="15">
        <v>3.6699999999999998E-4</v>
      </c>
      <c r="C321" s="15">
        <v>2.6200000000000003E-4</v>
      </c>
      <c r="D321" s="28">
        <v>0.28015267175572517</v>
      </c>
      <c r="E321" s="28">
        <v>0.2</v>
      </c>
    </row>
    <row r="322" spans="1:5" x14ac:dyDescent="0.3">
      <c r="A322" s="23">
        <v>43307.208333333336</v>
      </c>
      <c r="B322" s="15">
        <v>1.2E-4</v>
      </c>
      <c r="C322" s="15">
        <v>1.4999999999999999E-4</v>
      </c>
      <c r="D322" s="28">
        <v>0.14285714285714285</v>
      </c>
      <c r="E322" s="28">
        <v>0.17857142857142855</v>
      </c>
    </row>
    <row r="323" spans="1:5" x14ac:dyDescent="0.3">
      <c r="A323" s="23">
        <v>43307.25</v>
      </c>
      <c r="B323" s="15">
        <v>1.3999999999999999E-4</v>
      </c>
      <c r="C323" s="15">
        <v>3.1100000000000002E-4</v>
      </c>
      <c r="D323" s="28">
        <v>0.16470588235294117</v>
      </c>
      <c r="E323" s="28">
        <v>0.36588235294117649</v>
      </c>
    </row>
    <row r="324" spans="1:5" x14ac:dyDescent="0.3">
      <c r="A324" s="23">
        <v>43307.291666666664</v>
      </c>
      <c r="B324" s="15">
        <v>1.11E-4</v>
      </c>
      <c r="C324" s="15">
        <v>6.3999999999999997E-5</v>
      </c>
      <c r="D324" s="28">
        <v>0.22653061224489796</v>
      </c>
      <c r="E324" s="28">
        <v>0.1306122448979592</v>
      </c>
    </row>
    <row r="325" spans="1:5" x14ac:dyDescent="0.3">
      <c r="A325" s="23">
        <v>43307.333333333336</v>
      </c>
      <c r="B325" s="15">
        <v>3.1999999999999999E-5</v>
      </c>
      <c r="C325" s="15">
        <v>3.3E-4</v>
      </c>
      <c r="D325" s="28">
        <v>2.9090909090909087E-2</v>
      </c>
      <c r="E325" s="28">
        <v>0.3</v>
      </c>
    </row>
    <row r="326" spans="1:5" x14ac:dyDescent="0.3">
      <c r="A326" s="23">
        <v>43307.375</v>
      </c>
      <c r="B326" s="15">
        <v>3.7500000000000001E-4</v>
      </c>
      <c r="C326" s="15">
        <v>2.6499999999999999E-4</v>
      </c>
      <c r="D326" s="28">
        <v>0.19329896907216496</v>
      </c>
      <c r="E326" s="28">
        <v>0.13659793814432988</v>
      </c>
    </row>
    <row r="327" spans="1:5" x14ac:dyDescent="0.3">
      <c r="A327" s="23">
        <v>43307.416666666664</v>
      </c>
      <c r="B327" s="15">
        <v>3.1000000000000001E-5</v>
      </c>
      <c r="C327" s="15">
        <v>4.0299999999999998E-4</v>
      </c>
      <c r="D327" s="28">
        <v>1.9496855345911949E-2</v>
      </c>
      <c r="E327" s="28">
        <v>0.25345911949685535</v>
      </c>
    </row>
    <row r="328" spans="1:5" x14ac:dyDescent="0.3">
      <c r="A328" s="23">
        <v>43307.458333333336</v>
      </c>
      <c r="B328" s="15">
        <v>1.2780000000000001E-3</v>
      </c>
      <c r="C328" s="15">
        <v>1.438E-3</v>
      </c>
      <c r="D328" s="28">
        <v>0.73448275862068968</v>
      </c>
      <c r="E328" s="28">
        <v>0.82643678160919543</v>
      </c>
    </row>
    <row r="329" spans="1:5" x14ac:dyDescent="0.3">
      <c r="A329" s="23">
        <v>43307.5</v>
      </c>
      <c r="B329" s="15">
        <v>3.57E-4</v>
      </c>
      <c r="C329" s="15">
        <v>6.6000000000000005E-5</v>
      </c>
      <c r="D329" s="28">
        <v>0.30775862068965515</v>
      </c>
      <c r="E329" s="28">
        <v>5.6896551724137934E-2</v>
      </c>
    </row>
    <row r="330" spans="1:5" x14ac:dyDescent="0.3">
      <c r="A330" s="23">
        <v>43307.541666666664</v>
      </c>
      <c r="B330" s="15">
        <v>6.9999999999999999E-6</v>
      </c>
      <c r="C330" s="15">
        <v>1.7100000000000001E-4</v>
      </c>
      <c r="D330" s="28">
        <v>6.9306930693069299E-3</v>
      </c>
      <c r="E330" s="28">
        <v>0.16930693069306932</v>
      </c>
    </row>
    <row r="331" spans="1:5" x14ac:dyDescent="0.3">
      <c r="A331" s="23">
        <v>43307.583333333336</v>
      </c>
      <c r="B331" s="15">
        <v>7.4999999999999993E-5</v>
      </c>
      <c r="C331" s="15">
        <v>9.1000000000000003E-5</v>
      </c>
      <c r="D331" s="28">
        <v>6.8181818181818177E-2</v>
      </c>
      <c r="E331" s="28">
        <v>8.2727272727272719E-2</v>
      </c>
    </row>
    <row r="332" spans="1:5" x14ac:dyDescent="0.3">
      <c r="A332" s="23">
        <v>43307.625</v>
      </c>
      <c r="B332" s="15">
        <v>1.3879999999999999E-3</v>
      </c>
      <c r="C332" s="15">
        <v>1.276E-3</v>
      </c>
      <c r="D332" s="28">
        <v>0.35865633074935399</v>
      </c>
      <c r="E332" s="28">
        <v>0.32971576227390181</v>
      </c>
    </row>
    <row r="333" spans="1:5" x14ac:dyDescent="0.3">
      <c r="A333" s="23">
        <v>43307.666666666664</v>
      </c>
      <c r="B333" s="15">
        <v>1.6559999999999999E-3</v>
      </c>
      <c r="C333" s="15">
        <v>1.516E-3</v>
      </c>
      <c r="D333" s="28">
        <v>0.61333333333333329</v>
      </c>
      <c r="E333" s="28">
        <v>0.56148148148148147</v>
      </c>
    </row>
    <row r="334" spans="1:5" x14ac:dyDescent="0.3">
      <c r="A334" s="23">
        <v>43307.708333333336</v>
      </c>
      <c r="B334" s="15">
        <v>1.6329999999999999E-3</v>
      </c>
      <c r="C334" s="15">
        <v>1.8519999999999999E-3</v>
      </c>
      <c r="D334" s="28">
        <v>0.54433333333333334</v>
      </c>
      <c r="E334" s="28">
        <v>0.61733333333333329</v>
      </c>
    </row>
    <row r="335" spans="1:5" x14ac:dyDescent="0.3">
      <c r="A335" s="23">
        <v>43307.75</v>
      </c>
      <c r="B335" s="15">
        <v>1.3100000000000001E-4</v>
      </c>
      <c r="C335" s="15">
        <v>8.0099999999999995E-4</v>
      </c>
      <c r="D335" s="28">
        <v>7.4011299435028252E-2</v>
      </c>
      <c r="E335" s="28">
        <v>0.4525423728813559</v>
      </c>
    </row>
    <row r="336" spans="1:5" x14ac:dyDescent="0.3">
      <c r="A336" s="23">
        <v>43307.791666666664</v>
      </c>
      <c r="B336" s="15">
        <v>1.1E-4</v>
      </c>
      <c r="C336" s="15">
        <v>1.16E-4</v>
      </c>
      <c r="D336" s="28">
        <v>6.2857142857142861E-2</v>
      </c>
      <c r="E336" s="28">
        <v>6.6285714285714281E-2</v>
      </c>
    </row>
    <row r="337" spans="1:5" x14ac:dyDescent="0.3">
      <c r="A337" s="23">
        <v>43307.833333333336</v>
      </c>
      <c r="B337" s="15">
        <v>8.3600000000000005E-4</v>
      </c>
      <c r="C337" s="15">
        <v>1.7E-5</v>
      </c>
      <c r="D337" s="28">
        <v>0.81165048543689322</v>
      </c>
      <c r="E337" s="28">
        <v>1.6504854368932037E-2</v>
      </c>
    </row>
    <row r="338" spans="1:5" x14ac:dyDescent="0.3">
      <c r="A338" s="23">
        <v>43307.875</v>
      </c>
      <c r="B338" s="15">
        <v>5.3499999999999999E-4</v>
      </c>
      <c r="C338" s="15">
        <v>6.2100000000000002E-4</v>
      </c>
      <c r="D338" s="28">
        <v>0.31845238095238093</v>
      </c>
      <c r="E338" s="28">
        <v>0.36964285714285716</v>
      </c>
    </row>
    <row r="339" spans="1:5" x14ac:dyDescent="0.3">
      <c r="A339" s="23">
        <v>43307.916666666664</v>
      </c>
      <c r="B339" s="15">
        <v>4.44E-4</v>
      </c>
      <c r="C339" s="15">
        <v>3.1100000000000002E-4</v>
      </c>
      <c r="D339" s="28">
        <v>0.59199999999999997</v>
      </c>
      <c r="E339" s="28">
        <v>0.41466666666666668</v>
      </c>
    </row>
    <row r="340" spans="1:5" x14ac:dyDescent="0.3">
      <c r="A340" s="23" t="s">
        <v>1</v>
      </c>
      <c r="B340" s="15">
        <v>6.1394328358208949E-4</v>
      </c>
      <c r="C340" s="15">
        <v>5.6651044776119422E-4</v>
      </c>
      <c r="D340" s="28">
        <v>0.42488741065157232</v>
      </c>
      <c r="E340" s="28">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4.4" x14ac:dyDescent="0.3"/>
  <cols>
    <col min="1" max="1" width="19.44140625" bestFit="1" customWidth="1"/>
    <col min="2" max="2" width="36.6640625" bestFit="1" customWidth="1"/>
  </cols>
  <sheetData>
    <row r="1" spans="1:2" x14ac:dyDescent="0.3">
      <c r="A1" t="s">
        <v>36</v>
      </c>
      <c r="B1" s="5" t="s">
        <v>38</v>
      </c>
    </row>
    <row r="2" spans="1:2" x14ac:dyDescent="0.3">
      <c r="A2" t="s">
        <v>37</v>
      </c>
      <c r="B2" s="5" t="s">
        <v>35</v>
      </c>
    </row>
    <row r="3" spans="1:2" x14ac:dyDescent="0.3">
      <c r="A3" t="s">
        <v>52</v>
      </c>
      <c r="B3" s="11" t="str">
        <f>$B$1&amp;"DataShapes"&amp;"\"</f>
        <v>Config\DataShapes\</v>
      </c>
    </row>
    <row r="4" spans="1:2" x14ac:dyDescent="0.3">
      <c r="A4" t="s">
        <v>39</v>
      </c>
      <c r="B4" s="11" t="str">
        <f>$B$1&amp;"DataSets"&amp;"\"</f>
        <v>Config\DataSets\</v>
      </c>
    </row>
    <row r="5" spans="1:2" x14ac:dyDescent="0.3">
      <c r="A5" t="s">
        <v>40</v>
      </c>
      <c r="B5" s="11" t="str">
        <f>$B$1&amp;"Engines"&amp;"\"</f>
        <v>Config\Engines\</v>
      </c>
    </row>
    <row r="7" spans="1:2" x14ac:dyDescent="0.3">
      <c r="A7" t="s">
        <v>47</v>
      </c>
      <c r="B7" s="6" t="s">
        <v>84</v>
      </c>
    </row>
    <row r="8" spans="1:2" x14ac:dyDescent="0.3">
      <c r="A8" s="12" t="s">
        <v>49</v>
      </c>
      <c r="B8" s="13" t="s">
        <v>85</v>
      </c>
    </row>
    <row r="9" spans="1:2" x14ac:dyDescent="0.3">
      <c r="A9" t="s">
        <v>53</v>
      </c>
      <c r="B9" s="6" t="s">
        <v>48</v>
      </c>
    </row>
    <row r="10" spans="1:2" x14ac:dyDescent="0.3">
      <c r="A10" s="12"/>
      <c r="B10" s="12"/>
    </row>
    <row r="11" spans="1:2" x14ac:dyDescent="0.3">
      <c r="A11" s="10" t="s">
        <v>29</v>
      </c>
      <c r="B11" s="14" t="s">
        <v>59</v>
      </c>
    </row>
    <row r="12" spans="1:2" x14ac:dyDescent="0.3">
      <c r="A12" s="10" t="s">
        <v>33</v>
      </c>
      <c r="B12" s="14" t="s">
        <v>61</v>
      </c>
    </row>
    <row r="13" spans="1:2" x14ac:dyDescent="0.3">
      <c r="A13" s="10" t="s">
        <v>34</v>
      </c>
      <c r="B13" s="14" t="s">
        <v>62</v>
      </c>
    </row>
    <row r="14" spans="1:2" x14ac:dyDescent="0.3">
      <c r="A14" s="10" t="s">
        <v>46</v>
      </c>
      <c r="B14" s="14" t="s">
        <v>60</v>
      </c>
    </row>
    <row r="15" spans="1:2" x14ac:dyDescent="0.3">
      <c r="A15" s="10" t="s">
        <v>50</v>
      </c>
      <c r="B15" s="14" t="s">
        <v>63</v>
      </c>
    </row>
    <row r="16" spans="1:2" x14ac:dyDescent="0.3">
      <c r="A16" s="10" t="s">
        <v>51</v>
      </c>
      <c r="B16" s="14" t="s">
        <v>64</v>
      </c>
    </row>
    <row r="17" spans="1:6" x14ac:dyDescent="0.3">
      <c r="A17" s="10" t="s">
        <v>57</v>
      </c>
      <c r="B17" s="14" t="s">
        <v>65</v>
      </c>
      <c r="D17" t="s">
        <v>22</v>
      </c>
      <c r="E17" s="7" t="s">
        <v>54</v>
      </c>
    </row>
    <row r="18" spans="1:6" x14ac:dyDescent="0.3">
      <c r="A18" s="10" t="s">
        <v>58</v>
      </c>
      <c r="B18" s="14" t="s">
        <v>66</v>
      </c>
      <c r="D18" t="s">
        <v>23</v>
      </c>
      <c r="E18" s="7" t="s">
        <v>25</v>
      </c>
      <c r="F18" s="7">
        <v>7240</v>
      </c>
    </row>
    <row r="19" spans="1:6" x14ac:dyDescent="0.3">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4"/>
    </row>
    <row r="21" spans="1:6" x14ac:dyDescent="0.3">
      <c r="A21" s="10" t="s">
        <v>30</v>
      </c>
      <c r="B21" s="9" t="s">
        <v>68</v>
      </c>
    </row>
    <row r="22" spans="1:6" x14ac:dyDescent="0.3">
      <c r="A22" s="10" t="s">
        <v>31</v>
      </c>
      <c r="B22" s="9" t="s">
        <v>69</v>
      </c>
    </row>
    <row r="23" spans="1:6" x14ac:dyDescent="0.3">
      <c r="A23" s="10" t="s">
        <v>32</v>
      </c>
      <c r="B23" s="9" t="s">
        <v>70</v>
      </c>
    </row>
    <row r="24" spans="1:6" x14ac:dyDescent="0.3">
      <c r="A24" s="12"/>
      <c r="B24" s="12"/>
    </row>
    <row r="25" spans="1:6" x14ac:dyDescent="0.3">
      <c r="A25" s="10" t="s">
        <v>41</v>
      </c>
      <c r="B25" s="14" t="s">
        <v>77</v>
      </c>
    </row>
    <row r="26" spans="1:6" x14ac:dyDescent="0.3">
      <c r="A26" s="10" t="s">
        <v>42</v>
      </c>
      <c r="B26" s="14" t="s">
        <v>78</v>
      </c>
    </row>
    <row r="27" spans="1:6" x14ac:dyDescent="0.3">
      <c r="A27" s="8" t="s">
        <v>43</v>
      </c>
      <c r="B27" s="14" t="s">
        <v>79</v>
      </c>
    </row>
    <row r="28" spans="1:6" x14ac:dyDescent="0.3">
      <c r="A28" s="8" t="s">
        <v>71</v>
      </c>
      <c r="B28" s="14" t="s">
        <v>80</v>
      </c>
    </row>
    <row r="29" spans="1:6" x14ac:dyDescent="0.3">
      <c r="A29" s="8" t="s">
        <v>72</v>
      </c>
      <c r="B29" s="14" t="s">
        <v>44</v>
      </c>
    </row>
    <row r="30" spans="1:6" x14ac:dyDescent="0.3">
      <c r="A30" s="8" t="s">
        <v>73</v>
      </c>
      <c r="B30" s="14" t="s">
        <v>45</v>
      </c>
    </row>
    <row r="31" spans="1:6" x14ac:dyDescent="0.3">
      <c r="A31" s="8" t="s">
        <v>74</v>
      </c>
      <c r="B31" s="14" t="s">
        <v>81</v>
      </c>
    </row>
    <row r="32" spans="1:6" x14ac:dyDescent="0.3">
      <c r="A32" s="8" t="s">
        <v>75</v>
      </c>
      <c r="B32" s="14" t="s">
        <v>82</v>
      </c>
    </row>
    <row r="33" spans="1:2" x14ac:dyDescent="0.3">
      <c r="A33" s="8" t="s">
        <v>76</v>
      </c>
      <c r="B33" s="14" t="s">
        <v>83</v>
      </c>
    </row>
    <row r="34" spans="1:2" x14ac:dyDescent="0.3">
      <c r="A34" s="8"/>
      <c r="B34" s="14"/>
    </row>
    <row r="35" spans="1:2" x14ac:dyDescent="0.3">
      <c r="A35" s="18"/>
      <c r="B35" s="19"/>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4" spans="1:2" x14ac:dyDescent="0.3">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L98"/>
  <sheetViews>
    <sheetView zoomScaleNormal="100" workbookViewId="0">
      <selection activeCell="D23" sqref="D23"/>
    </sheetView>
  </sheetViews>
  <sheetFormatPr defaultRowHeight="14.4" x14ac:dyDescent="0.3"/>
  <cols>
    <col min="1" max="1" width="16.109375" style="4" customWidth="1"/>
    <col min="2" max="2" width="12.6640625" customWidth="1"/>
    <col min="3" max="3" width="16.109375" style="4" customWidth="1"/>
    <col min="4" max="4" width="21.5546875" bestFit="1" customWidth="1"/>
    <col min="5" max="5" width="15.44140625" customWidth="1"/>
    <col min="6" max="6" width="14.109375" customWidth="1"/>
    <col min="7" max="7" width="25.109375" style="4" customWidth="1"/>
    <col min="8" max="8" width="15.5546875" hidden="1" customWidth="1"/>
    <col min="9" max="9" width="10.5546875" customWidth="1"/>
    <col min="10" max="10" width="17.44140625" style="4" customWidth="1"/>
    <col min="11" max="11" width="80.88671875" style="4" customWidth="1"/>
    <col min="12" max="12" width="14" hidden="1" customWidth="1"/>
    <col min="13" max="13" width="25.109375" bestFit="1" customWidth="1"/>
    <col min="14" max="14" width="24.77734375" bestFit="1" customWidth="1"/>
    <col min="15" max="15" width="25" bestFit="1" customWidth="1"/>
    <col min="16" max="16" width="37.88671875" bestFit="1" customWidth="1"/>
    <col min="17" max="17" width="38.5546875" bestFit="1" customWidth="1"/>
    <col min="18" max="18" width="39.109375" bestFit="1" customWidth="1"/>
    <col min="19" max="19" width="16" bestFit="1" customWidth="1"/>
    <col min="21" max="21" width="10" bestFit="1" customWidth="1"/>
    <col min="22" max="22" width="20.44140625" bestFit="1" customWidth="1"/>
    <col min="23" max="23" width="18.109375" bestFit="1" customWidth="1"/>
    <col min="24" max="24" width="81.109375" bestFit="1" customWidth="1"/>
    <col min="25" max="25" width="15.44140625" bestFit="1" customWidth="1"/>
    <col min="26" max="26" width="19.6640625" bestFit="1" customWidth="1"/>
    <col min="27" max="27" width="17.5546875" bestFit="1" customWidth="1"/>
    <col min="28" max="28" width="46.6640625" bestFit="1" customWidth="1"/>
    <col min="29" max="29" width="48.33203125" bestFit="1" customWidth="1"/>
    <col min="30" max="30" width="25" customWidth="1"/>
    <col min="32" max="32" width="25" bestFit="1" customWidth="1"/>
    <col min="33" max="33" width="14" bestFit="1" customWidth="1"/>
  </cols>
  <sheetData>
    <row r="2" spans="1:12" x14ac:dyDescent="0.3">
      <c r="A2" s="4" t="s">
        <v>10</v>
      </c>
      <c r="B2" t="s">
        <v>3</v>
      </c>
      <c r="C2" s="4" t="s">
        <v>139</v>
      </c>
      <c r="D2" t="s">
        <v>4</v>
      </c>
      <c r="E2" t="s">
        <v>5</v>
      </c>
      <c r="F2" t="s">
        <v>6</v>
      </c>
      <c r="G2" t="s">
        <v>8</v>
      </c>
      <c r="H2" t="s">
        <v>9</v>
      </c>
      <c r="I2" t="s">
        <v>364</v>
      </c>
      <c r="J2"/>
      <c r="K2"/>
    </row>
    <row r="3" spans="1:12" x14ac:dyDescent="0.3">
      <c r="A3" s="4">
        <v>14030</v>
      </c>
      <c r="B3">
        <v>10468</v>
      </c>
      <c r="C3" s="4">
        <v>13172</v>
      </c>
      <c r="D3" t="s">
        <v>366</v>
      </c>
      <c r="E3" s="25">
        <v>43709.608298611114</v>
      </c>
      <c r="F3">
        <v>0</v>
      </c>
      <c r="G3" s="25"/>
      <c r="H3" s="25"/>
      <c r="I3" s="25" t="s">
        <v>332</v>
      </c>
      <c r="J3"/>
      <c r="K3"/>
      <c r="L3">
        <f>3134/60/24</f>
        <v>2.1763888888888889</v>
      </c>
    </row>
    <row r="4" spans="1:12" x14ac:dyDescent="0.3">
      <c r="A4" s="4">
        <v>11509</v>
      </c>
      <c r="B4">
        <v>14620</v>
      </c>
      <c r="C4" s="4">
        <v>13172</v>
      </c>
      <c r="D4" t="s">
        <v>366</v>
      </c>
      <c r="E4" s="25">
        <v>43709.599537037036</v>
      </c>
      <c r="F4">
        <v>0</v>
      </c>
      <c r="G4" s="25"/>
      <c r="H4" s="25"/>
      <c r="I4" s="25" t="s">
        <v>332</v>
      </c>
      <c r="J4"/>
      <c r="K4"/>
    </row>
    <row r="5" spans="1:12" x14ac:dyDescent="0.3">
      <c r="A5" s="4">
        <v>7656</v>
      </c>
      <c r="B5">
        <v>14924</v>
      </c>
      <c r="C5" s="4">
        <v>13172</v>
      </c>
      <c r="D5" t="s">
        <v>366</v>
      </c>
      <c r="E5" s="25">
        <v>43709.585613425923</v>
      </c>
      <c r="F5">
        <v>0</v>
      </c>
      <c r="G5" s="25"/>
      <c r="H5" s="25"/>
      <c r="I5" s="25" t="s">
        <v>332</v>
      </c>
      <c r="J5"/>
      <c r="K5"/>
    </row>
    <row r="6" spans="1:12" x14ac:dyDescent="0.3">
      <c r="A6" s="4">
        <v>7166</v>
      </c>
      <c r="B6">
        <v>12876</v>
      </c>
      <c r="C6" s="4">
        <v>13172</v>
      </c>
      <c r="D6" t="s">
        <v>366</v>
      </c>
      <c r="E6" s="25">
        <v>43709.583692129629</v>
      </c>
      <c r="F6">
        <v>0</v>
      </c>
      <c r="G6" s="25"/>
      <c r="H6" s="25"/>
      <c r="I6" s="25" t="s">
        <v>332</v>
      </c>
      <c r="J6"/>
      <c r="K6"/>
    </row>
    <row r="7" spans="1:12" x14ac:dyDescent="0.3">
      <c r="A7" s="4">
        <v>2359</v>
      </c>
      <c r="B7">
        <v>15712</v>
      </c>
      <c r="C7" s="4">
        <v>13172</v>
      </c>
      <c r="D7" t="s">
        <v>366</v>
      </c>
      <c r="E7" s="25">
        <v>43709.566655092596</v>
      </c>
      <c r="F7">
        <v>0</v>
      </c>
      <c r="G7" s="25"/>
      <c r="H7" s="25"/>
      <c r="I7" s="25" t="s">
        <v>332</v>
      </c>
      <c r="J7"/>
      <c r="K7"/>
    </row>
    <row r="8" spans="1:12" x14ac:dyDescent="0.3">
      <c r="A8" s="4">
        <v>1849</v>
      </c>
      <c r="B8">
        <v>13884</v>
      </c>
      <c r="C8" s="4">
        <v>13172</v>
      </c>
      <c r="D8" t="s">
        <v>366</v>
      </c>
      <c r="E8" s="25">
        <v>43709.564837962964</v>
      </c>
      <c r="F8">
        <v>0</v>
      </c>
      <c r="G8" s="25"/>
      <c r="H8" s="25"/>
      <c r="I8" s="25" t="s">
        <v>332</v>
      </c>
      <c r="J8"/>
      <c r="K8"/>
    </row>
    <row r="9" spans="1:12" x14ac:dyDescent="0.3">
      <c r="A9" s="4">
        <v>1304</v>
      </c>
      <c r="B9">
        <v>13592</v>
      </c>
      <c r="C9" s="4">
        <v>13172</v>
      </c>
      <c r="D9" t="s">
        <v>366</v>
      </c>
      <c r="E9" s="25">
        <v>43709.562916666669</v>
      </c>
      <c r="F9">
        <v>0</v>
      </c>
      <c r="G9" s="25"/>
      <c r="H9" s="25"/>
      <c r="I9" s="25" t="s">
        <v>332</v>
      </c>
      <c r="J9"/>
      <c r="K9"/>
    </row>
    <row r="10" spans="1:12" x14ac:dyDescent="0.3">
      <c r="A10" s="4">
        <v>791</v>
      </c>
      <c r="B10">
        <v>9936</v>
      </c>
      <c r="C10" s="4">
        <v>13172</v>
      </c>
      <c r="D10" t="s">
        <v>366</v>
      </c>
      <c r="E10" s="25">
        <v>43709.561099537037</v>
      </c>
      <c r="F10">
        <v>0</v>
      </c>
      <c r="G10" s="25"/>
      <c r="H10" s="25"/>
      <c r="I10" s="25" t="s">
        <v>332</v>
      </c>
      <c r="J10"/>
      <c r="K10"/>
    </row>
    <row r="11" spans="1:12" x14ac:dyDescent="0.3">
      <c r="A11" s="4">
        <v>661</v>
      </c>
      <c r="B11">
        <v>16496</v>
      </c>
      <c r="C11" s="4">
        <v>13172</v>
      </c>
      <c r="D11" t="s">
        <v>366</v>
      </c>
      <c r="E11" s="25">
        <v>43709.560636574075</v>
      </c>
      <c r="F11">
        <v>0</v>
      </c>
      <c r="G11" s="25"/>
      <c r="H11" s="25"/>
      <c r="I11" s="25" t="s">
        <v>332</v>
      </c>
      <c r="J11"/>
      <c r="K11"/>
    </row>
    <row r="12" spans="1:12" x14ac:dyDescent="0.3">
      <c r="A12" s="4">
        <v>31881</v>
      </c>
      <c r="B12">
        <v>16236</v>
      </c>
      <c r="C12" s="4">
        <v>13172</v>
      </c>
      <c r="D12" t="s">
        <v>366</v>
      </c>
      <c r="E12" s="25">
        <v>43709.55537037037</v>
      </c>
      <c r="F12">
        <v>0</v>
      </c>
      <c r="G12" s="25"/>
      <c r="H12" s="25"/>
      <c r="I12" s="25" t="s">
        <v>332</v>
      </c>
      <c r="J12"/>
      <c r="K12"/>
    </row>
    <row r="13" spans="1:12" x14ac:dyDescent="0.3">
      <c r="A13" s="4">
        <v>30016</v>
      </c>
      <c r="B13">
        <v>15548</v>
      </c>
      <c r="C13" s="4">
        <v>13172</v>
      </c>
      <c r="D13" t="s">
        <v>366</v>
      </c>
      <c r="E13" s="25">
        <v>43709.548773148148</v>
      </c>
      <c r="F13">
        <v>0</v>
      </c>
      <c r="G13" s="25"/>
      <c r="H13" s="25"/>
      <c r="I13" s="25" t="s">
        <v>332</v>
      </c>
      <c r="J13"/>
      <c r="K13"/>
    </row>
    <row r="14" spans="1:12" x14ac:dyDescent="0.3">
      <c r="A14" s="4">
        <v>18291</v>
      </c>
      <c r="B14">
        <v>8024</v>
      </c>
      <c r="C14" s="4">
        <v>13172</v>
      </c>
      <c r="D14" t="s">
        <v>366</v>
      </c>
      <c r="E14" s="25">
        <v>43709.042442129627</v>
      </c>
      <c r="F14">
        <v>0</v>
      </c>
      <c r="G14" s="25"/>
      <c r="H14" s="25"/>
      <c r="I14" s="25" t="s">
        <v>332</v>
      </c>
      <c r="J14"/>
      <c r="K14"/>
    </row>
    <row r="15" spans="1:12" x14ac:dyDescent="0.3">
      <c r="A15" s="4">
        <v>17386</v>
      </c>
      <c r="B15">
        <v>14524</v>
      </c>
      <c r="C15" s="4">
        <v>13172</v>
      </c>
      <c r="D15" t="s">
        <v>366</v>
      </c>
      <c r="E15" s="25">
        <v>43709.039224537039</v>
      </c>
      <c r="F15">
        <v>0</v>
      </c>
      <c r="G15" s="25"/>
      <c r="H15" s="25"/>
      <c r="I15" s="25" t="s">
        <v>332</v>
      </c>
      <c r="J15"/>
      <c r="K15"/>
    </row>
    <row r="16" spans="1:12" x14ac:dyDescent="0.3">
      <c r="A16" s="4">
        <v>16479</v>
      </c>
      <c r="B16">
        <v>7140</v>
      </c>
      <c r="C16" s="4">
        <v>13172</v>
      </c>
      <c r="D16" t="s">
        <v>366</v>
      </c>
      <c r="E16" s="25">
        <v>43709.036006944443</v>
      </c>
      <c r="F16">
        <v>0</v>
      </c>
      <c r="G16" s="25"/>
      <c r="H16" s="25"/>
      <c r="I16" s="25" t="s">
        <v>332</v>
      </c>
      <c r="J16"/>
      <c r="K16"/>
    </row>
    <row r="17" spans="1:11" x14ac:dyDescent="0.3">
      <c r="A17" s="4">
        <v>16034</v>
      </c>
      <c r="B17">
        <v>15372</v>
      </c>
      <c r="C17" s="4">
        <v>13172</v>
      </c>
      <c r="D17" t="s">
        <v>366</v>
      </c>
      <c r="E17" s="25">
        <v>43709.034444444442</v>
      </c>
      <c r="F17">
        <v>0</v>
      </c>
      <c r="G17" s="25"/>
      <c r="H17" s="25"/>
      <c r="I17" s="25" t="s">
        <v>332</v>
      </c>
      <c r="J17"/>
      <c r="K17"/>
    </row>
    <row r="18" spans="1:11" x14ac:dyDescent="0.3">
      <c r="A18" s="4">
        <v>6884</v>
      </c>
      <c r="B18">
        <v>11792</v>
      </c>
      <c r="C18" s="4">
        <v>13172</v>
      </c>
      <c r="D18" t="s">
        <v>366</v>
      </c>
      <c r="E18" s="25">
        <v>43709.002210648148</v>
      </c>
      <c r="F18">
        <v>0</v>
      </c>
      <c r="G18" s="25"/>
      <c r="H18" s="25"/>
      <c r="I18" s="25" t="s">
        <v>332</v>
      </c>
      <c r="J18"/>
      <c r="K18"/>
    </row>
    <row r="19" spans="1:11" x14ac:dyDescent="0.3">
      <c r="A19" s="4">
        <v>5062</v>
      </c>
      <c r="B19">
        <v>15584</v>
      </c>
      <c r="C19" s="4">
        <v>13172</v>
      </c>
      <c r="D19" t="s">
        <v>365</v>
      </c>
      <c r="E19" s="25">
        <v>43708.995775462965</v>
      </c>
      <c r="F19">
        <v>0</v>
      </c>
      <c r="G19" s="25"/>
      <c r="H19" s="25"/>
      <c r="I19" s="25" t="s">
        <v>332</v>
      </c>
      <c r="J19"/>
      <c r="K19"/>
    </row>
    <row r="20" spans="1:11" x14ac:dyDescent="0.3">
      <c r="A20" s="4">
        <v>12513</v>
      </c>
      <c r="B20">
        <v>2820</v>
      </c>
      <c r="C20" s="4">
        <v>14148</v>
      </c>
      <c r="D20" t="s">
        <v>365</v>
      </c>
      <c r="E20" s="25">
        <v>43708.789710648147</v>
      </c>
      <c r="F20">
        <v>0</v>
      </c>
      <c r="G20" s="25"/>
      <c r="H20" s="25"/>
      <c r="I20" s="25" t="s">
        <v>332</v>
      </c>
      <c r="J20"/>
      <c r="K20"/>
    </row>
    <row r="21" spans="1:11" x14ac:dyDescent="0.3">
      <c r="A21" s="4">
        <v>9202</v>
      </c>
      <c r="B21">
        <v>1048</v>
      </c>
      <c r="C21" s="4">
        <v>14148</v>
      </c>
      <c r="D21" t="s">
        <v>365</v>
      </c>
      <c r="E21" s="25">
        <v>43708.777974537035</v>
      </c>
      <c r="F21">
        <v>0</v>
      </c>
      <c r="G21" s="25"/>
      <c r="H21" s="25"/>
      <c r="I21" s="25" t="s">
        <v>332</v>
      </c>
      <c r="J21"/>
      <c r="K21"/>
    </row>
    <row r="22" spans="1:11" x14ac:dyDescent="0.3">
      <c r="A22" s="4">
        <v>27459</v>
      </c>
      <c r="B22">
        <v>9902</v>
      </c>
      <c r="C22" s="4">
        <v>14148</v>
      </c>
      <c r="D22" t="s">
        <v>365</v>
      </c>
      <c r="E22" s="25">
        <v>43708.610358796293</v>
      </c>
      <c r="F22">
        <v>0</v>
      </c>
      <c r="G22" s="25"/>
      <c r="H22" s="25"/>
      <c r="I22" s="25" t="s">
        <v>332</v>
      </c>
      <c r="J22"/>
      <c r="K22"/>
    </row>
    <row r="23" spans="1:11" x14ac:dyDescent="0.3">
      <c r="A23" s="4">
        <v>26757</v>
      </c>
      <c r="B23">
        <v>9903</v>
      </c>
      <c r="C23" s="4">
        <v>14148</v>
      </c>
      <c r="D23" t="s">
        <v>365</v>
      </c>
      <c r="E23" s="25">
        <v>43708.607870370368</v>
      </c>
      <c r="F23">
        <v>0</v>
      </c>
      <c r="G23" s="25"/>
      <c r="H23" s="25"/>
      <c r="I23" s="25" t="s">
        <v>332</v>
      </c>
      <c r="J23"/>
      <c r="K23"/>
    </row>
    <row r="24" spans="1:11" x14ac:dyDescent="0.3">
      <c r="A24" s="4">
        <v>26450</v>
      </c>
      <c r="B24">
        <v>9904</v>
      </c>
      <c r="C24" s="4">
        <v>14148</v>
      </c>
      <c r="D24" t="s">
        <v>365</v>
      </c>
      <c r="E24" s="25">
        <v>43708.606793981482</v>
      </c>
      <c r="F24">
        <v>0</v>
      </c>
      <c r="G24" s="25"/>
      <c r="H24" s="25"/>
      <c r="I24" s="25" t="s">
        <v>332</v>
      </c>
      <c r="J24"/>
      <c r="K24"/>
    </row>
    <row r="25" spans="1:11" x14ac:dyDescent="0.3">
      <c r="A25" s="4">
        <v>25735</v>
      </c>
      <c r="B25">
        <v>11144</v>
      </c>
      <c r="C25" s="4">
        <v>14148</v>
      </c>
      <c r="D25" t="s">
        <v>365</v>
      </c>
      <c r="E25" s="25">
        <v>43708.604259259257</v>
      </c>
      <c r="F25">
        <v>0</v>
      </c>
      <c r="G25" s="25"/>
      <c r="H25" s="25"/>
      <c r="I25" s="25" t="s">
        <v>332</v>
      </c>
      <c r="J25"/>
      <c r="K25"/>
    </row>
    <row r="26" spans="1:11" x14ac:dyDescent="0.3">
      <c r="A26" s="4">
        <v>4159</v>
      </c>
      <c r="B26">
        <v>8027</v>
      </c>
      <c r="C26" s="4">
        <v>14148</v>
      </c>
      <c r="D26" t="s">
        <v>365</v>
      </c>
      <c r="E26" s="25">
        <v>43708.527800925927</v>
      </c>
      <c r="F26">
        <v>0</v>
      </c>
      <c r="G26" s="25"/>
      <c r="H26" s="25"/>
      <c r="I26" s="25" t="s">
        <v>332</v>
      </c>
      <c r="J26"/>
      <c r="K26"/>
    </row>
    <row r="27" spans="1:11" x14ac:dyDescent="0.3">
      <c r="A27" s="4">
        <v>2670</v>
      </c>
      <c r="B27">
        <v>8028</v>
      </c>
      <c r="C27" s="4">
        <v>14148</v>
      </c>
      <c r="D27" t="s">
        <v>365</v>
      </c>
      <c r="E27" s="25">
        <v>43708.522511574076</v>
      </c>
      <c r="F27">
        <v>0</v>
      </c>
      <c r="G27" s="25"/>
      <c r="H27" s="25"/>
      <c r="I27" s="25" t="s">
        <v>332</v>
      </c>
      <c r="J27"/>
      <c r="K27"/>
    </row>
    <row r="28" spans="1:11" x14ac:dyDescent="0.3">
      <c r="A28" s="4">
        <v>2062</v>
      </c>
      <c r="B28">
        <v>9132</v>
      </c>
      <c r="C28" s="4">
        <v>14148</v>
      </c>
      <c r="D28" t="s">
        <v>365</v>
      </c>
      <c r="E28" s="25">
        <v>43708.520428240743</v>
      </c>
      <c r="F28">
        <v>0</v>
      </c>
      <c r="G28" s="25"/>
      <c r="H28" s="25"/>
      <c r="I28" s="25" t="s">
        <v>332</v>
      </c>
      <c r="J28"/>
      <c r="K28"/>
    </row>
    <row r="29" spans="1:11" x14ac:dyDescent="0.3">
      <c r="A29" s="4">
        <v>1435</v>
      </c>
      <c r="B29">
        <v>13160</v>
      </c>
      <c r="C29" s="4">
        <v>14148</v>
      </c>
      <c r="D29" t="s">
        <v>365</v>
      </c>
      <c r="E29" s="25">
        <v>43708.51835648148</v>
      </c>
      <c r="F29">
        <v>0</v>
      </c>
      <c r="G29" s="25"/>
      <c r="H29" s="25"/>
      <c r="I29" s="25" t="s">
        <v>332</v>
      </c>
      <c r="J29"/>
      <c r="K29"/>
    </row>
    <row r="30" spans="1:11" x14ac:dyDescent="0.3">
      <c r="A30" s="4">
        <v>20</v>
      </c>
      <c r="B30">
        <v>2572</v>
      </c>
      <c r="C30" s="4">
        <v>8576</v>
      </c>
      <c r="D30" t="s">
        <v>7</v>
      </c>
      <c r="E30" s="25">
        <v>43708.020289351851</v>
      </c>
      <c r="F30">
        <v>0</v>
      </c>
      <c r="G30" s="25"/>
      <c r="H30" s="25" t="s">
        <v>303</v>
      </c>
      <c r="I30" s="25" t="s">
        <v>363</v>
      </c>
      <c r="J30"/>
      <c r="K30"/>
    </row>
    <row r="31" spans="1:11" x14ac:dyDescent="0.3">
      <c r="A31" s="4">
        <v>20</v>
      </c>
      <c r="B31">
        <v>8576</v>
      </c>
      <c r="C31" s="4">
        <v>8576</v>
      </c>
      <c r="D31" t="s">
        <v>7</v>
      </c>
      <c r="E31" s="25">
        <v>43707.979733796295</v>
      </c>
      <c r="F31">
        <v>1</v>
      </c>
      <c r="G31" s="25" t="s">
        <v>192</v>
      </c>
      <c r="H31" s="25"/>
      <c r="I31" s="25" t="s">
        <v>362</v>
      </c>
      <c r="J31"/>
      <c r="K31"/>
    </row>
    <row r="32" spans="1:11" x14ac:dyDescent="0.3">
      <c r="A32" s="4">
        <v>20</v>
      </c>
      <c r="B32">
        <v>12796</v>
      </c>
      <c r="C32" s="4">
        <v>13172</v>
      </c>
      <c r="D32" t="s">
        <v>7</v>
      </c>
      <c r="E32" s="25">
        <v>43707.940532407411</v>
      </c>
      <c r="F32">
        <v>0</v>
      </c>
      <c r="G32" s="25"/>
      <c r="H32" s="25" t="s">
        <v>303</v>
      </c>
      <c r="I32" s="25" t="s">
        <v>361</v>
      </c>
      <c r="J32"/>
      <c r="K32"/>
    </row>
    <row r="33" spans="1:11" x14ac:dyDescent="0.3">
      <c r="A33" s="4">
        <v>20</v>
      </c>
      <c r="B33">
        <v>13172</v>
      </c>
      <c r="C33" s="4">
        <v>13172</v>
      </c>
      <c r="D33" t="s">
        <v>7</v>
      </c>
      <c r="E33" s="25">
        <v>43707.938437500001</v>
      </c>
      <c r="F33">
        <v>1</v>
      </c>
      <c r="G33" s="25" t="s">
        <v>190</v>
      </c>
      <c r="H33" s="25"/>
      <c r="I33" s="25" t="s">
        <v>360</v>
      </c>
      <c r="J33"/>
      <c r="K33"/>
    </row>
    <row r="34" spans="1:11" x14ac:dyDescent="0.3">
      <c r="A34" s="4">
        <v>20</v>
      </c>
      <c r="B34">
        <v>1224</v>
      </c>
      <c r="C34" s="4">
        <v>3392</v>
      </c>
      <c r="D34" t="s">
        <v>7</v>
      </c>
      <c r="E34" s="25">
        <v>43707.925300925926</v>
      </c>
      <c r="F34">
        <v>0</v>
      </c>
      <c r="G34" s="25"/>
      <c r="H34" s="25" t="s">
        <v>303</v>
      </c>
      <c r="I34" s="25" t="s">
        <v>359</v>
      </c>
      <c r="J34"/>
      <c r="K34"/>
    </row>
    <row r="35" spans="1:11" x14ac:dyDescent="0.3">
      <c r="A35" s="4">
        <v>20</v>
      </c>
      <c r="B35">
        <v>656</v>
      </c>
      <c r="C35" s="4">
        <v>8312</v>
      </c>
      <c r="D35" t="s">
        <v>7</v>
      </c>
      <c r="E35" s="25">
        <v>43707.911423611113</v>
      </c>
      <c r="F35">
        <v>0</v>
      </c>
      <c r="G35" s="25"/>
      <c r="H35" s="25" t="s">
        <v>201</v>
      </c>
      <c r="I35" s="25" t="s">
        <v>358</v>
      </c>
      <c r="J35"/>
      <c r="K35"/>
    </row>
    <row r="36" spans="1:11" x14ac:dyDescent="0.3">
      <c r="A36" s="4">
        <v>20</v>
      </c>
      <c r="B36">
        <v>5576</v>
      </c>
      <c r="C36" s="4">
        <v>3392</v>
      </c>
      <c r="D36" t="s">
        <v>7</v>
      </c>
      <c r="E36" s="25">
        <v>43707.907569444447</v>
      </c>
      <c r="F36">
        <v>0</v>
      </c>
      <c r="G36" s="25"/>
      <c r="H36" s="25" t="s">
        <v>303</v>
      </c>
      <c r="I36" s="25" t="s">
        <v>357</v>
      </c>
      <c r="J36"/>
      <c r="K36"/>
    </row>
    <row r="37" spans="1:11" x14ac:dyDescent="0.3">
      <c r="A37" s="4">
        <v>20</v>
      </c>
      <c r="B37">
        <v>7488</v>
      </c>
      <c r="C37" s="4">
        <v>3392</v>
      </c>
      <c r="D37" t="s">
        <v>7</v>
      </c>
      <c r="E37" s="25">
        <v>43707.900138888886</v>
      </c>
      <c r="F37">
        <v>0</v>
      </c>
      <c r="G37" s="25"/>
      <c r="H37" s="25" t="s">
        <v>303</v>
      </c>
      <c r="I37" s="25" t="s">
        <v>356</v>
      </c>
      <c r="J37"/>
      <c r="K37"/>
    </row>
    <row r="38" spans="1:11" x14ac:dyDescent="0.3">
      <c r="A38" s="4">
        <v>20</v>
      </c>
      <c r="B38">
        <v>5512</v>
      </c>
      <c r="C38" s="4">
        <v>8312</v>
      </c>
      <c r="D38" t="s">
        <v>7</v>
      </c>
      <c r="E38" s="25">
        <v>43707.892476851855</v>
      </c>
      <c r="F38">
        <v>0</v>
      </c>
      <c r="G38" s="25"/>
      <c r="H38" s="25" t="s">
        <v>188</v>
      </c>
      <c r="I38" s="25" t="s">
        <v>355</v>
      </c>
      <c r="J38"/>
      <c r="K38"/>
    </row>
    <row r="39" spans="1:11" x14ac:dyDescent="0.3">
      <c r="A39" s="4">
        <v>20</v>
      </c>
      <c r="B39">
        <v>3392</v>
      </c>
      <c r="C39" s="4">
        <v>3392</v>
      </c>
      <c r="D39" t="s">
        <v>7</v>
      </c>
      <c r="E39" s="25">
        <v>43707.892025462963</v>
      </c>
      <c r="F39">
        <v>1</v>
      </c>
      <c r="G39" s="25" t="s">
        <v>190</v>
      </c>
      <c r="H39" s="25"/>
      <c r="I39" s="25" t="s">
        <v>354</v>
      </c>
      <c r="J39"/>
      <c r="K39"/>
    </row>
    <row r="40" spans="1:11" x14ac:dyDescent="0.3">
      <c r="A40" s="4">
        <v>20</v>
      </c>
      <c r="B40">
        <v>8312</v>
      </c>
      <c r="C40" s="4">
        <v>8312</v>
      </c>
      <c r="D40" t="s">
        <v>7</v>
      </c>
      <c r="E40" s="25">
        <v>43707.871793981481</v>
      </c>
      <c r="F40">
        <v>1</v>
      </c>
      <c r="G40" s="25" t="s">
        <v>188</v>
      </c>
      <c r="H40" s="25"/>
      <c r="I40" s="25" t="s">
        <v>353</v>
      </c>
      <c r="J40"/>
      <c r="K40"/>
    </row>
    <row r="41" spans="1:11" x14ac:dyDescent="0.3">
      <c r="A41" s="4">
        <v>16</v>
      </c>
      <c r="B41">
        <v>7500</v>
      </c>
      <c r="C41" s="4">
        <v>13404</v>
      </c>
      <c r="D41" t="s">
        <v>7</v>
      </c>
      <c r="E41" s="25">
        <v>43707.598958333336</v>
      </c>
      <c r="F41">
        <v>0</v>
      </c>
      <c r="G41" s="25"/>
      <c r="H41" s="25" t="s">
        <v>303</v>
      </c>
      <c r="I41" s="25" t="s">
        <v>322</v>
      </c>
      <c r="J41"/>
      <c r="K41"/>
    </row>
    <row r="42" spans="1:11" x14ac:dyDescent="0.3">
      <c r="A42" s="4">
        <v>15</v>
      </c>
      <c r="B42">
        <v>13404</v>
      </c>
      <c r="C42" s="4">
        <v>13404</v>
      </c>
      <c r="D42" t="s">
        <v>7</v>
      </c>
      <c r="E42" s="25">
        <v>43707.590729166666</v>
      </c>
      <c r="F42">
        <v>1</v>
      </c>
      <c r="G42" s="25" t="s">
        <v>202</v>
      </c>
      <c r="H42" s="25"/>
      <c r="I42" s="25" t="s">
        <v>352</v>
      </c>
      <c r="J42"/>
      <c r="K42"/>
    </row>
    <row r="43" spans="1:11" x14ac:dyDescent="0.3">
      <c r="A43" s="4">
        <v>13</v>
      </c>
      <c r="B43">
        <v>3572</v>
      </c>
      <c r="C43" s="4">
        <v>11908</v>
      </c>
      <c r="D43" t="s">
        <v>7</v>
      </c>
      <c r="E43" s="25">
        <v>43707.058379629627</v>
      </c>
      <c r="F43">
        <v>0</v>
      </c>
      <c r="G43" s="25"/>
      <c r="H43" s="25" t="s">
        <v>201</v>
      </c>
      <c r="I43" s="25" t="s">
        <v>332</v>
      </c>
      <c r="J43"/>
      <c r="K43"/>
    </row>
    <row r="44" spans="1:11" x14ac:dyDescent="0.3">
      <c r="A44" s="4">
        <v>13</v>
      </c>
      <c r="B44">
        <v>10188</v>
      </c>
      <c r="C44" s="4">
        <v>11908</v>
      </c>
      <c r="D44" t="s">
        <v>7</v>
      </c>
      <c r="E44" s="25">
        <v>43707.057870370372</v>
      </c>
      <c r="F44">
        <v>0</v>
      </c>
      <c r="G44" s="25"/>
      <c r="H44" s="25" t="s">
        <v>201</v>
      </c>
      <c r="I44" s="25" t="s">
        <v>332</v>
      </c>
      <c r="J44"/>
      <c r="K44"/>
    </row>
    <row r="45" spans="1:11" x14ac:dyDescent="0.3">
      <c r="A45" s="4">
        <v>12</v>
      </c>
      <c r="B45">
        <v>11908</v>
      </c>
      <c r="C45" s="4">
        <v>11908</v>
      </c>
      <c r="D45" t="s">
        <v>7</v>
      </c>
      <c r="E45" s="25">
        <v>43707.057129629633</v>
      </c>
      <c r="F45">
        <v>1</v>
      </c>
      <c r="G45" s="25" t="s">
        <v>202</v>
      </c>
      <c r="H45" s="25"/>
      <c r="I45" s="25" t="s">
        <v>351</v>
      </c>
      <c r="J45"/>
      <c r="K45"/>
    </row>
    <row r="46" spans="1:11" x14ac:dyDescent="0.3">
      <c r="A46" s="4">
        <v>13</v>
      </c>
      <c r="B46">
        <v>13744</v>
      </c>
      <c r="C46" s="4">
        <v>12012</v>
      </c>
      <c r="D46" t="s">
        <v>7</v>
      </c>
      <c r="E46" s="25">
        <v>43707.019270833334</v>
      </c>
      <c r="F46">
        <v>0</v>
      </c>
      <c r="G46" s="25"/>
      <c r="H46" s="25" t="s">
        <v>201</v>
      </c>
      <c r="I46" s="25" t="s">
        <v>350</v>
      </c>
      <c r="J46"/>
      <c r="K46"/>
    </row>
    <row r="47" spans="1:11" x14ac:dyDescent="0.3">
      <c r="A47" s="4">
        <v>12</v>
      </c>
      <c r="B47">
        <v>12012</v>
      </c>
      <c r="C47" s="4">
        <v>12012</v>
      </c>
      <c r="D47" t="s">
        <v>7</v>
      </c>
      <c r="E47" s="25">
        <v>43707.01871527778</v>
      </c>
      <c r="F47">
        <v>1</v>
      </c>
      <c r="G47" s="25" t="s">
        <v>202</v>
      </c>
      <c r="H47" s="25"/>
      <c r="I47" s="25" t="s">
        <v>349</v>
      </c>
      <c r="J47"/>
      <c r="K47"/>
    </row>
    <row r="48" spans="1:11" x14ac:dyDescent="0.3">
      <c r="A48" s="4">
        <v>13</v>
      </c>
      <c r="B48">
        <v>11788</v>
      </c>
      <c r="C48" s="4">
        <v>14148</v>
      </c>
      <c r="D48" t="s">
        <v>7</v>
      </c>
      <c r="E48" s="25">
        <v>43707.00712962963</v>
      </c>
      <c r="F48">
        <v>0</v>
      </c>
      <c r="G48" s="25"/>
      <c r="H48" s="25" t="s">
        <v>201</v>
      </c>
      <c r="I48" s="25" t="s">
        <v>347</v>
      </c>
      <c r="J48"/>
      <c r="K48"/>
    </row>
    <row r="49" spans="1:11" x14ac:dyDescent="0.3">
      <c r="A49" s="4">
        <v>13</v>
      </c>
      <c r="B49">
        <v>13284</v>
      </c>
      <c r="C49" s="4">
        <v>14148</v>
      </c>
      <c r="D49" t="s">
        <v>7</v>
      </c>
      <c r="E49" s="25">
        <v>43707.006944444445</v>
      </c>
      <c r="F49">
        <v>0</v>
      </c>
      <c r="G49" s="25"/>
      <c r="H49" s="25" t="s">
        <v>201</v>
      </c>
      <c r="I49" s="25" t="s">
        <v>347</v>
      </c>
      <c r="J49"/>
      <c r="K49"/>
    </row>
    <row r="50" spans="1:11" x14ac:dyDescent="0.3">
      <c r="A50" s="4">
        <v>13</v>
      </c>
      <c r="B50">
        <v>8428</v>
      </c>
      <c r="C50" s="4">
        <v>14148</v>
      </c>
      <c r="D50" t="s">
        <v>7</v>
      </c>
      <c r="E50" s="25">
        <v>43707.006874999999</v>
      </c>
      <c r="F50">
        <v>0</v>
      </c>
      <c r="G50" s="25"/>
      <c r="H50" s="25" t="s">
        <v>201</v>
      </c>
      <c r="I50" s="25" t="s">
        <v>347</v>
      </c>
      <c r="J50"/>
      <c r="K50"/>
    </row>
    <row r="51" spans="1:11" x14ac:dyDescent="0.3">
      <c r="A51" s="4">
        <v>13</v>
      </c>
      <c r="B51">
        <v>10368</v>
      </c>
      <c r="C51" s="4">
        <v>14148</v>
      </c>
      <c r="D51" t="s">
        <v>7</v>
      </c>
      <c r="E51" s="25">
        <v>43707.00675925926</v>
      </c>
      <c r="F51">
        <v>0</v>
      </c>
      <c r="G51" s="25"/>
      <c r="H51" s="25" t="s">
        <v>201</v>
      </c>
      <c r="I51" s="25" t="s">
        <v>341</v>
      </c>
      <c r="J51"/>
      <c r="K51"/>
    </row>
    <row r="52" spans="1:11" x14ac:dyDescent="0.3">
      <c r="A52" s="4">
        <v>12</v>
      </c>
      <c r="B52">
        <v>14148</v>
      </c>
      <c r="C52" s="4">
        <v>14148</v>
      </c>
      <c r="D52" t="s">
        <v>7</v>
      </c>
      <c r="E52" s="25">
        <v>43707.005648148152</v>
      </c>
      <c r="F52">
        <v>1</v>
      </c>
      <c r="G52" s="25" t="s">
        <v>202</v>
      </c>
      <c r="H52" s="25"/>
      <c r="I52" s="25" t="s">
        <v>348</v>
      </c>
      <c r="J52"/>
      <c r="K52"/>
    </row>
    <row r="53" spans="1:11" x14ac:dyDescent="0.3">
      <c r="A53" s="4">
        <v>11</v>
      </c>
      <c r="B53">
        <v>8240</v>
      </c>
      <c r="C53" s="4">
        <v>13688</v>
      </c>
      <c r="D53" t="s">
        <v>7</v>
      </c>
      <c r="E53" s="25">
        <v>43706.99559027778</v>
      </c>
      <c r="F53">
        <v>0</v>
      </c>
      <c r="G53" s="25"/>
      <c r="H53" s="25" t="s">
        <v>201</v>
      </c>
      <c r="I53" s="25" t="s">
        <v>347</v>
      </c>
      <c r="J53"/>
      <c r="K53"/>
    </row>
    <row r="54" spans="1:11" x14ac:dyDescent="0.3">
      <c r="A54" s="4">
        <v>11</v>
      </c>
      <c r="B54">
        <v>11464</v>
      </c>
      <c r="C54" s="4">
        <v>13688</v>
      </c>
      <c r="D54" t="s">
        <v>7</v>
      </c>
      <c r="E54" s="25">
        <v>43706.995474537034</v>
      </c>
      <c r="F54">
        <v>0</v>
      </c>
      <c r="G54" s="25"/>
      <c r="H54" s="25" t="s">
        <v>201</v>
      </c>
      <c r="I54" s="25" t="s">
        <v>347</v>
      </c>
      <c r="J54"/>
      <c r="K54"/>
    </row>
    <row r="55" spans="1:11" x14ac:dyDescent="0.3">
      <c r="A55" s="4">
        <v>11</v>
      </c>
      <c r="B55">
        <v>8580</v>
      </c>
      <c r="C55" s="4">
        <v>13688</v>
      </c>
      <c r="D55" t="s">
        <v>7</v>
      </c>
      <c r="E55" s="25">
        <v>43706.995347222219</v>
      </c>
      <c r="F55">
        <v>0</v>
      </c>
      <c r="G55" s="25"/>
      <c r="H55" s="25" t="s">
        <v>201</v>
      </c>
      <c r="I55" s="25" t="s">
        <v>347</v>
      </c>
      <c r="J55"/>
      <c r="K55"/>
    </row>
    <row r="56" spans="1:11" x14ac:dyDescent="0.3">
      <c r="A56" s="4">
        <v>11</v>
      </c>
      <c r="B56">
        <v>10280</v>
      </c>
      <c r="C56" s="4">
        <v>13688</v>
      </c>
      <c r="D56" t="s">
        <v>7</v>
      </c>
      <c r="E56" s="25">
        <v>43706.99490740741</v>
      </c>
      <c r="F56">
        <v>0</v>
      </c>
      <c r="G56" s="25"/>
      <c r="H56" s="25" t="s">
        <v>201</v>
      </c>
      <c r="I56" s="25" t="s">
        <v>334</v>
      </c>
      <c r="J56"/>
      <c r="K56"/>
    </row>
    <row r="57" spans="1:11" x14ac:dyDescent="0.3">
      <c r="A57" s="4">
        <v>10</v>
      </c>
      <c r="B57">
        <v>9628</v>
      </c>
      <c r="C57" s="4">
        <v>9628</v>
      </c>
      <c r="D57" t="s">
        <v>7</v>
      </c>
      <c r="E57" s="25">
        <v>43706.96371527778</v>
      </c>
      <c r="F57">
        <v>1</v>
      </c>
      <c r="G57" s="25" t="s">
        <v>203</v>
      </c>
      <c r="H57" s="25"/>
      <c r="I57" s="25" t="s">
        <v>346</v>
      </c>
      <c r="J57"/>
      <c r="K57"/>
    </row>
    <row r="58" spans="1:11" x14ac:dyDescent="0.3">
      <c r="A58" s="4">
        <v>10</v>
      </c>
      <c r="B58">
        <v>13688</v>
      </c>
      <c r="C58" s="4">
        <v>13688</v>
      </c>
      <c r="D58" t="s">
        <v>7</v>
      </c>
      <c r="E58" s="25">
        <v>43706.960428240738</v>
      </c>
      <c r="F58">
        <v>1</v>
      </c>
      <c r="G58" s="25" t="s">
        <v>202</v>
      </c>
      <c r="H58" s="25"/>
      <c r="I58" s="25" t="s">
        <v>345</v>
      </c>
      <c r="J58"/>
      <c r="K58"/>
    </row>
    <row r="59" spans="1:11" x14ac:dyDescent="0.3">
      <c r="A59" s="4">
        <v>10</v>
      </c>
      <c r="B59">
        <v>7232</v>
      </c>
      <c r="C59" s="4">
        <v>7232</v>
      </c>
      <c r="D59" t="s">
        <v>7</v>
      </c>
      <c r="E59" s="25">
        <v>43706.9533912037</v>
      </c>
      <c r="F59">
        <v>1</v>
      </c>
      <c r="G59" s="25" t="s">
        <v>138</v>
      </c>
      <c r="H59" s="25"/>
      <c r="I59" s="25" t="s">
        <v>344</v>
      </c>
      <c r="J59"/>
      <c r="K59"/>
    </row>
    <row r="60" spans="1:11" x14ac:dyDescent="0.3">
      <c r="A60" s="4">
        <v>10</v>
      </c>
      <c r="B60">
        <v>1252</v>
      </c>
      <c r="C60" s="4">
        <v>1252</v>
      </c>
      <c r="D60" t="s">
        <v>7</v>
      </c>
      <c r="E60" s="25">
        <v>43706.948761574073</v>
      </c>
      <c r="F60">
        <v>1</v>
      </c>
      <c r="G60" s="25" t="s">
        <v>138</v>
      </c>
      <c r="H60" s="25"/>
      <c r="I60" s="25" t="s">
        <v>343</v>
      </c>
      <c r="J60"/>
      <c r="K60"/>
    </row>
    <row r="61" spans="1:11" x14ac:dyDescent="0.3">
      <c r="A61" s="4">
        <v>10</v>
      </c>
      <c r="B61">
        <v>13568</v>
      </c>
      <c r="C61" s="4">
        <v>13568</v>
      </c>
      <c r="D61" t="s">
        <v>7</v>
      </c>
      <c r="E61" s="25">
        <v>43706.945231481484</v>
      </c>
      <c r="F61">
        <v>1</v>
      </c>
      <c r="G61" s="25" t="s">
        <v>138</v>
      </c>
      <c r="H61" s="25"/>
      <c r="I61" s="25" t="s">
        <v>318</v>
      </c>
      <c r="J61"/>
      <c r="K61"/>
    </row>
    <row r="62" spans="1:11" x14ac:dyDescent="0.3">
      <c r="A62" s="4">
        <v>10</v>
      </c>
      <c r="B62">
        <v>9236</v>
      </c>
      <c r="C62" s="4">
        <v>9236</v>
      </c>
      <c r="D62" t="s">
        <v>7</v>
      </c>
      <c r="E62" s="25">
        <v>43706.943576388891</v>
      </c>
      <c r="F62">
        <v>1</v>
      </c>
      <c r="G62" s="25" t="s">
        <v>138</v>
      </c>
      <c r="H62" s="25"/>
      <c r="I62" s="25" t="s">
        <v>342</v>
      </c>
      <c r="J62"/>
      <c r="K62"/>
    </row>
    <row r="63" spans="1:11" x14ac:dyDescent="0.3">
      <c r="A63" s="4">
        <v>10</v>
      </c>
      <c r="B63">
        <v>8244</v>
      </c>
      <c r="C63" s="4">
        <v>8244</v>
      </c>
      <c r="D63" t="s">
        <v>7</v>
      </c>
      <c r="E63" s="25">
        <v>43706.942696759259</v>
      </c>
      <c r="F63">
        <v>1</v>
      </c>
      <c r="G63" s="25" t="s">
        <v>190</v>
      </c>
      <c r="H63" s="25"/>
      <c r="I63" s="25" t="s">
        <v>321</v>
      </c>
      <c r="J63"/>
      <c r="K63"/>
    </row>
    <row r="64" spans="1:11" x14ac:dyDescent="0.3">
      <c r="A64" s="4">
        <v>9</v>
      </c>
      <c r="B64">
        <v>13976</v>
      </c>
      <c r="C64" s="4">
        <v>13976</v>
      </c>
      <c r="D64" t="s">
        <v>7</v>
      </c>
      <c r="E64" s="25">
        <v>43706.931226851855</v>
      </c>
      <c r="F64">
        <v>1</v>
      </c>
      <c r="G64" s="25" t="s">
        <v>140</v>
      </c>
      <c r="H64" s="25"/>
      <c r="I64" s="25" t="s">
        <v>324</v>
      </c>
      <c r="J64"/>
      <c r="K64"/>
    </row>
    <row r="65" spans="1:11" x14ac:dyDescent="0.3">
      <c r="A65" s="4">
        <v>9</v>
      </c>
      <c r="B65">
        <v>11756</v>
      </c>
      <c r="C65" s="4">
        <v>11756</v>
      </c>
      <c r="D65" t="s">
        <v>7</v>
      </c>
      <c r="E65" s="25">
        <v>43706.930127314816</v>
      </c>
      <c r="F65">
        <v>1</v>
      </c>
      <c r="G65" s="25" t="s">
        <v>140</v>
      </c>
      <c r="H65" s="25"/>
      <c r="I65" s="25" t="s">
        <v>341</v>
      </c>
      <c r="J65"/>
      <c r="K65"/>
    </row>
    <row r="66" spans="1:11" x14ac:dyDescent="0.3">
      <c r="A66" s="4">
        <v>9</v>
      </c>
      <c r="B66">
        <v>13928</v>
      </c>
      <c r="C66" s="4">
        <v>13928</v>
      </c>
      <c r="D66" t="s">
        <v>7</v>
      </c>
      <c r="E66" s="25">
        <v>43706.914675925924</v>
      </c>
      <c r="F66">
        <v>1</v>
      </c>
      <c r="G66" s="25" t="s">
        <v>140</v>
      </c>
      <c r="H66" s="25"/>
      <c r="I66" s="25" t="s">
        <v>340</v>
      </c>
      <c r="J66"/>
      <c r="K66"/>
    </row>
    <row r="67" spans="1:11" x14ac:dyDescent="0.3">
      <c r="A67" s="4">
        <v>5</v>
      </c>
      <c r="B67">
        <v>13212</v>
      </c>
      <c r="C67" s="4">
        <v>13212</v>
      </c>
      <c r="D67" t="s">
        <v>7</v>
      </c>
      <c r="E67" s="25">
        <v>43706.893877314818</v>
      </c>
      <c r="F67">
        <v>1</v>
      </c>
      <c r="G67" s="25" t="s">
        <v>191</v>
      </c>
      <c r="H67" s="25"/>
      <c r="I67" s="25" t="s">
        <v>338</v>
      </c>
      <c r="J67"/>
      <c r="K67"/>
    </row>
    <row r="68" spans="1:11" x14ac:dyDescent="0.3">
      <c r="A68" s="4">
        <v>5</v>
      </c>
      <c r="B68">
        <v>4052</v>
      </c>
      <c r="C68" s="4">
        <v>4052</v>
      </c>
      <c r="D68" t="s">
        <v>7</v>
      </c>
      <c r="E68" s="25">
        <v>43706.842256944445</v>
      </c>
      <c r="F68">
        <v>1</v>
      </c>
      <c r="G68" s="25" t="s">
        <v>191</v>
      </c>
      <c r="H68" s="25"/>
      <c r="I68" s="25" t="s">
        <v>339</v>
      </c>
      <c r="J68"/>
      <c r="K68"/>
    </row>
    <row r="69" spans="1:11" x14ac:dyDescent="0.3">
      <c r="A69" s="4">
        <v>5</v>
      </c>
      <c r="B69">
        <v>5704</v>
      </c>
      <c r="C69" s="4">
        <v>5704</v>
      </c>
      <c r="D69" t="s">
        <v>7</v>
      </c>
      <c r="E69" s="25">
        <v>43706.839525462965</v>
      </c>
      <c r="F69">
        <v>1</v>
      </c>
      <c r="G69" s="25" t="s">
        <v>193</v>
      </c>
      <c r="H69" s="25"/>
      <c r="I69" s="25" t="s">
        <v>338</v>
      </c>
      <c r="J69"/>
      <c r="K69"/>
    </row>
    <row r="70" spans="1:11" x14ac:dyDescent="0.3">
      <c r="A70" s="4">
        <v>5</v>
      </c>
      <c r="B70">
        <v>4100</v>
      </c>
      <c r="C70" s="4">
        <v>4100</v>
      </c>
      <c r="D70" t="s">
        <v>7</v>
      </c>
      <c r="E70" s="25">
        <v>43706.833692129629</v>
      </c>
      <c r="F70">
        <v>1</v>
      </c>
      <c r="G70" s="25" t="s">
        <v>193</v>
      </c>
      <c r="H70" s="25"/>
      <c r="I70" s="25" t="s">
        <v>337</v>
      </c>
      <c r="J70"/>
      <c r="K70"/>
    </row>
    <row r="71" spans="1:11" x14ac:dyDescent="0.3">
      <c r="A71" s="4">
        <v>5</v>
      </c>
      <c r="B71">
        <v>10408</v>
      </c>
      <c r="C71" s="4">
        <v>10408</v>
      </c>
      <c r="D71" t="s">
        <v>7</v>
      </c>
      <c r="E71" s="25">
        <v>43706.830277777779</v>
      </c>
      <c r="F71">
        <v>1</v>
      </c>
      <c r="G71" s="25" t="s">
        <v>193</v>
      </c>
      <c r="H71" s="25"/>
      <c r="I71" s="25" t="s">
        <v>318</v>
      </c>
      <c r="J71"/>
      <c r="K71"/>
    </row>
    <row r="72" spans="1:11" x14ac:dyDescent="0.3">
      <c r="A72" s="4">
        <v>5</v>
      </c>
      <c r="B72">
        <v>10308</v>
      </c>
      <c r="C72" s="4">
        <v>10308</v>
      </c>
      <c r="D72" t="s">
        <v>7</v>
      </c>
      <c r="E72" s="25">
        <v>43706.829675925925</v>
      </c>
      <c r="F72">
        <v>1</v>
      </c>
      <c r="G72" s="25" t="s">
        <v>193</v>
      </c>
      <c r="H72" s="25"/>
      <c r="I72" s="25" t="s">
        <v>336</v>
      </c>
    </row>
    <row r="73" spans="1:11" x14ac:dyDescent="0.3">
      <c r="A73" s="4">
        <v>5</v>
      </c>
      <c r="B73">
        <v>7156</v>
      </c>
      <c r="C73" s="4">
        <v>7156</v>
      </c>
      <c r="D73" t="s">
        <v>7</v>
      </c>
      <c r="E73" s="25">
        <v>43706.829317129632</v>
      </c>
      <c r="F73">
        <v>1</v>
      </c>
      <c r="G73" s="25" t="s">
        <v>193</v>
      </c>
      <c r="H73" s="25"/>
      <c r="I73" s="25" t="s">
        <v>335</v>
      </c>
    </row>
    <row r="74" spans="1:11" x14ac:dyDescent="0.3">
      <c r="A74" s="4">
        <v>5</v>
      </c>
      <c r="B74">
        <v>1936</v>
      </c>
      <c r="C74" s="4">
        <v>1936</v>
      </c>
      <c r="D74" t="s">
        <v>7</v>
      </c>
      <c r="E74" s="25">
        <v>43706.828946759262</v>
      </c>
      <c r="F74">
        <v>1</v>
      </c>
      <c r="G74" s="25" t="s">
        <v>193</v>
      </c>
      <c r="H74" s="25"/>
      <c r="I74" s="25" t="s">
        <v>319</v>
      </c>
    </row>
    <row r="75" spans="1:11" x14ac:dyDescent="0.3">
      <c r="A75" s="4">
        <v>5</v>
      </c>
      <c r="B75">
        <v>10936</v>
      </c>
      <c r="C75" s="4">
        <v>10936</v>
      </c>
      <c r="D75" t="s">
        <v>7</v>
      </c>
      <c r="E75" s="25">
        <v>43706.828622685185</v>
      </c>
      <c r="F75">
        <v>1</v>
      </c>
      <c r="G75" s="25" t="s">
        <v>193</v>
      </c>
      <c r="H75" s="25"/>
      <c r="I75" s="25" t="s">
        <v>334</v>
      </c>
    </row>
    <row r="76" spans="1:11" x14ac:dyDescent="0.3">
      <c r="A76" s="4">
        <v>5</v>
      </c>
      <c r="B76">
        <v>7628</v>
      </c>
      <c r="C76" s="4">
        <v>7628</v>
      </c>
      <c r="D76" t="s">
        <v>7</v>
      </c>
      <c r="E76" s="25">
        <v>43706.826874999999</v>
      </c>
      <c r="F76">
        <v>1</v>
      </c>
      <c r="G76" s="25" t="s">
        <v>192</v>
      </c>
      <c r="H76" s="25"/>
      <c r="I76" s="25" t="s">
        <v>333</v>
      </c>
    </row>
    <row r="77" spans="1:11" x14ac:dyDescent="0.3">
      <c r="A77" s="4">
        <v>5</v>
      </c>
      <c r="B77">
        <v>6168</v>
      </c>
      <c r="C77" s="4">
        <v>6168</v>
      </c>
      <c r="D77" t="s">
        <v>7</v>
      </c>
      <c r="E77" s="25">
        <v>43706.823449074072</v>
      </c>
      <c r="F77">
        <v>1</v>
      </c>
      <c r="G77" s="25" t="s">
        <v>192</v>
      </c>
      <c r="H77" s="25"/>
      <c r="I77" s="25" t="s">
        <v>330</v>
      </c>
    </row>
    <row r="78" spans="1:11" x14ac:dyDescent="0.3">
      <c r="A78" s="4">
        <v>5</v>
      </c>
      <c r="B78">
        <v>8372</v>
      </c>
      <c r="C78" s="4">
        <v>8372</v>
      </c>
      <c r="D78" t="s">
        <v>7</v>
      </c>
      <c r="E78" s="25">
        <v>43706.821689814817</v>
      </c>
      <c r="F78">
        <v>1</v>
      </c>
      <c r="G78" s="25" t="s">
        <v>191</v>
      </c>
      <c r="H78" s="25"/>
      <c r="I78" s="25" t="s">
        <v>323</v>
      </c>
    </row>
    <row r="79" spans="1:11" x14ac:dyDescent="0.3">
      <c r="A79" s="4">
        <v>5</v>
      </c>
      <c r="B79">
        <v>6792</v>
      </c>
      <c r="C79" s="4">
        <v>6792</v>
      </c>
      <c r="D79" t="s">
        <v>7</v>
      </c>
      <c r="E79" s="25">
        <v>43706.820150462961</v>
      </c>
      <c r="F79">
        <v>1</v>
      </c>
      <c r="G79" s="25" t="s">
        <v>188</v>
      </c>
      <c r="H79" s="25"/>
      <c r="I79" s="25" t="s">
        <v>321</v>
      </c>
    </row>
    <row r="80" spans="1:11" x14ac:dyDescent="0.3">
      <c r="A80" s="4">
        <v>4</v>
      </c>
      <c r="B80">
        <v>10332</v>
      </c>
      <c r="C80" s="4">
        <v>10780</v>
      </c>
      <c r="D80" t="s">
        <v>7</v>
      </c>
      <c r="E80" s="25">
        <v>43706.707245370373</v>
      </c>
      <c r="F80">
        <v>0</v>
      </c>
      <c r="G80" s="25"/>
      <c r="H80" s="25" t="s">
        <v>194</v>
      </c>
      <c r="I80" s="25" t="s">
        <v>332</v>
      </c>
    </row>
    <row r="81" spans="1:9" x14ac:dyDescent="0.3">
      <c r="A81" s="4">
        <v>4</v>
      </c>
      <c r="B81">
        <v>10780</v>
      </c>
      <c r="C81" s="4">
        <v>10780</v>
      </c>
      <c r="D81" t="s">
        <v>7</v>
      </c>
      <c r="E81" s="25">
        <v>43706.704907407409</v>
      </c>
      <c r="F81">
        <v>1</v>
      </c>
      <c r="G81" s="25" t="s">
        <v>138</v>
      </c>
      <c r="H81" s="25"/>
      <c r="I81" s="25" t="s">
        <v>319</v>
      </c>
    </row>
    <row r="82" spans="1:9" x14ac:dyDescent="0.3">
      <c r="A82" s="4">
        <v>4</v>
      </c>
      <c r="B82">
        <v>10328</v>
      </c>
      <c r="C82" s="4">
        <v>10328</v>
      </c>
      <c r="D82" t="s">
        <v>7</v>
      </c>
      <c r="E82" s="25">
        <v>43706.704687500001</v>
      </c>
      <c r="F82">
        <v>1</v>
      </c>
      <c r="G82" s="25" t="s">
        <v>138</v>
      </c>
      <c r="H82" s="25"/>
      <c r="I82" s="25" t="s">
        <v>331</v>
      </c>
    </row>
    <row r="83" spans="1:9" x14ac:dyDescent="0.3">
      <c r="A83" s="4">
        <v>4</v>
      </c>
      <c r="B83">
        <v>11004</v>
      </c>
      <c r="C83" s="4">
        <v>11004</v>
      </c>
      <c r="D83" t="s">
        <v>7</v>
      </c>
      <c r="E83" s="25">
        <v>43706.704479166663</v>
      </c>
      <c r="F83">
        <v>1</v>
      </c>
      <c r="G83" s="25" t="s">
        <v>138</v>
      </c>
      <c r="H83" s="25"/>
      <c r="I83" s="25" t="s">
        <v>321</v>
      </c>
    </row>
    <row r="84" spans="1:9" x14ac:dyDescent="0.3">
      <c r="A84" s="4">
        <v>4</v>
      </c>
      <c r="B84">
        <v>10952</v>
      </c>
      <c r="C84" s="4">
        <v>10952</v>
      </c>
      <c r="D84" t="s">
        <v>7</v>
      </c>
      <c r="E84" s="25">
        <v>43706.704363425924</v>
      </c>
      <c r="F84">
        <v>1</v>
      </c>
      <c r="G84" s="25" t="s">
        <v>138</v>
      </c>
      <c r="H84" s="25"/>
      <c r="I84" s="25" t="s">
        <v>322</v>
      </c>
    </row>
    <row r="85" spans="1:9" x14ac:dyDescent="0.3">
      <c r="A85" s="4">
        <v>4</v>
      </c>
      <c r="B85">
        <v>9056</v>
      </c>
      <c r="C85" s="4">
        <v>9056</v>
      </c>
      <c r="D85" t="s">
        <v>7</v>
      </c>
      <c r="E85" s="25">
        <v>43706.704247685186</v>
      </c>
      <c r="F85">
        <v>1</v>
      </c>
      <c r="G85" s="25" t="s">
        <v>138</v>
      </c>
      <c r="H85" s="25"/>
      <c r="I85" s="25" t="s">
        <v>323</v>
      </c>
    </row>
    <row r="86" spans="1:9" x14ac:dyDescent="0.3">
      <c r="A86" s="4">
        <v>4</v>
      </c>
      <c r="B86">
        <v>3068</v>
      </c>
      <c r="C86" s="4">
        <v>3068</v>
      </c>
      <c r="D86" t="s">
        <v>7</v>
      </c>
      <c r="E86" s="25">
        <v>43706.704097222224</v>
      </c>
      <c r="F86">
        <v>1</v>
      </c>
      <c r="G86" s="25" t="s">
        <v>138</v>
      </c>
      <c r="H86" s="25"/>
      <c r="I86" s="25" t="s">
        <v>330</v>
      </c>
    </row>
    <row r="87" spans="1:9" x14ac:dyDescent="0.3">
      <c r="A87" s="4">
        <v>4</v>
      </c>
      <c r="B87">
        <v>5752</v>
      </c>
      <c r="C87" s="4">
        <v>5752</v>
      </c>
      <c r="D87" t="s">
        <v>7</v>
      </c>
      <c r="E87" s="25">
        <v>43706.703784722224</v>
      </c>
      <c r="F87">
        <v>1</v>
      </c>
      <c r="G87" s="25" t="s">
        <v>138</v>
      </c>
      <c r="H87" s="25"/>
      <c r="I87" s="25" t="s">
        <v>329</v>
      </c>
    </row>
    <row r="88" spans="1:9" x14ac:dyDescent="0.3">
      <c r="A88" s="4">
        <v>4</v>
      </c>
      <c r="B88">
        <v>3816</v>
      </c>
      <c r="C88" s="4">
        <v>3816</v>
      </c>
      <c r="D88" t="s">
        <v>7</v>
      </c>
      <c r="E88" s="25">
        <v>43706.703055555554</v>
      </c>
      <c r="F88">
        <v>1</v>
      </c>
      <c r="G88" s="25" t="s">
        <v>138</v>
      </c>
      <c r="H88" s="25"/>
      <c r="I88" s="25" t="s">
        <v>328</v>
      </c>
    </row>
    <row r="89" spans="1:9" x14ac:dyDescent="0.3">
      <c r="A89" s="4">
        <v>3</v>
      </c>
      <c r="B89">
        <v>9572</v>
      </c>
      <c r="C89" s="4">
        <v>9572</v>
      </c>
      <c r="D89" t="s">
        <v>7</v>
      </c>
      <c r="E89" s="25">
        <v>43706.69835648148</v>
      </c>
      <c r="F89">
        <v>1</v>
      </c>
      <c r="G89" s="25" t="s">
        <v>189</v>
      </c>
      <c r="H89" s="25"/>
      <c r="I89" s="25" t="s">
        <v>327</v>
      </c>
    </row>
    <row r="90" spans="1:9" x14ac:dyDescent="0.3">
      <c r="A90" s="4">
        <v>1</v>
      </c>
      <c r="B90">
        <v>7192</v>
      </c>
      <c r="C90" s="4">
        <v>7192</v>
      </c>
      <c r="D90" t="s">
        <v>7</v>
      </c>
      <c r="E90" s="25">
        <v>43706.682164351849</v>
      </c>
      <c r="F90">
        <v>1</v>
      </c>
      <c r="G90" s="25" t="s">
        <v>138</v>
      </c>
      <c r="H90" s="25"/>
      <c r="I90" s="25" t="s">
        <v>326</v>
      </c>
    </row>
    <row r="91" spans="1:9" x14ac:dyDescent="0.3">
      <c r="A91" s="4">
        <v>1</v>
      </c>
      <c r="B91">
        <v>14296</v>
      </c>
      <c r="C91" s="4">
        <v>14296</v>
      </c>
      <c r="D91" t="s">
        <v>7</v>
      </c>
      <c r="E91" s="25">
        <v>43705.952638888892</v>
      </c>
      <c r="F91">
        <v>1</v>
      </c>
      <c r="G91" s="25" t="s">
        <v>138</v>
      </c>
      <c r="H91" s="25"/>
      <c r="I91" s="25" t="s">
        <v>325</v>
      </c>
    </row>
    <row r="92" spans="1:9" x14ac:dyDescent="0.3">
      <c r="A92" s="4">
        <v>1</v>
      </c>
      <c r="B92">
        <v>14280</v>
      </c>
      <c r="C92" s="4">
        <v>14280</v>
      </c>
      <c r="D92" t="s">
        <v>7</v>
      </c>
      <c r="E92" s="25">
        <v>43705.952199074076</v>
      </c>
      <c r="F92">
        <v>1</v>
      </c>
      <c r="G92" s="25" t="s">
        <v>138</v>
      </c>
      <c r="H92" s="25"/>
      <c r="I92" s="25" t="s">
        <v>324</v>
      </c>
    </row>
    <row r="93" spans="1:9" x14ac:dyDescent="0.3">
      <c r="A93" s="4">
        <v>1</v>
      </c>
      <c r="B93">
        <v>11736</v>
      </c>
      <c r="C93" s="4">
        <v>11736</v>
      </c>
      <c r="D93" t="s">
        <v>7</v>
      </c>
      <c r="E93" s="25">
        <v>43705.952013888891</v>
      </c>
      <c r="F93">
        <v>1</v>
      </c>
      <c r="G93" s="25" t="s">
        <v>138</v>
      </c>
      <c r="H93" s="25"/>
      <c r="I93" s="25" t="s">
        <v>323</v>
      </c>
    </row>
    <row r="94" spans="1:9" x14ac:dyDescent="0.3">
      <c r="A94" s="4">
        <v>1</v>
      </c>
      <c r="B94">
        <v>13484</v>
      </c>
      <c r="C94" s="4">
        <v>13484</v>
      </c>
      <c r="D94" t="s">
        <v>7</v>
      </c>
      <c r="E94" s="25">
        <v>43705.951851851853</v>
      </c>
      <c r="F94">
        <v>1</v>
      </c>
      <c r="G94" s="25" t="s">
        <v>138</v>
      </c>
      <c r="H94" s="25"/>
      <c r="I94" s="25" t="s">
        <v>322</v>
      </c>
    </row>
    <row r="95" spans="1:9" x14ac:dyDescent="0.3">
      <c r="A95" s="4">
        <v>1</v>
      </c>
      <c r="B95">
        <v>12284</v>
      </c>
      <c r="C95" s="4">
        <v>12284</v>
      </c>
      <c r="D95" t="s">
        <v>7</v>
      </c>
      <c r="E95" s="25">
        <v>43705.951666666668</v>
      </c>
      <c r="F95">
        <v>1</v>
      </c>
      <c r="G95" s="25" t="s">
        <v>138</v>
      </c>
      <c r="H95" s="25"/>
      <c r="I95" s="25" t="s">
        <v>321</v>
      </c>
    </row>
    <row r="96" spans="1:9" x14ac:dyDescent="0.3">
      <c r="A96" s="4">
        <v>1</v>
      </c>
      <c r="B96">
        <v>7472</v>
      </c>
      <c r="C96" s="4">
        <v>7472</v>
      </c>
      <c r="D96" t="s">
        <v>7</v>
      </c>
      <c r="E96" s="25">
        <v>43705.951527777775</v>
      </c>
      <c r="F96">
        <v>1</v>
      </c>
      <c r="G96" s="25" t="s">
        <v>138</v>
      </c>
      <c r="H96" s="25"/>
      <c r="I96" s="25" t="s">
        <v>320</v>
      </c>
    </row>
    <row r="97" spans="1:9" x14ac:dyDescent="0.3">
      <c r="A97" s="4">
        <v>1</v>
      </c>
      <c r="B97">
        <v>3140</v>
      </c>
      <c r="C97" s="4">
        <v>3140</v>
      </c>
      <c r="D97" t="s">
        <v>7</v>
      </c>
      <c r="E97" s="25">
        <v>43705.951354166667</v>
      </c>
      <c r="F97">
        <v>1</v>
      </c>
      <c r="G97" s="25" t="s">
        <v>138</v>
      </c>
      <c r="H97" s="25"/>
      <c r="I97" s="25" t="s">
        <v>319</v>
      </c>
    </row>
    <row r="98" spans="1:9" x14ac:dyDescent="0.3">
      <c r="A98" s="4">
        <v>1</v>
      </c>
      <c r="B98">
        <v>7268</v>
      </c>
      <c r="C98" s="4">
        <v>7268</v>
      </c>
      <c r="D98" t="s">
        <v>7</v>
      </c>
      <c r="E98" s="25">
        <v>43705.951122685183</v>
      </c>
      <c r="F98">
        <v>1</v>
      </c>
      <c r="G98" s="25" t="s">
        <v>138</v>
      </c>
      <c r="H98" s="25"/>
      <c r="I98" s="25" t="s">
        <v>318</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E27" sqref="E27"/>
    </sheetView>
  </sheetViews>
  <sheetFormatPr defaultRowHeight="14.4" x14ac:dyDescent="0.3"/>
  <cols>
    <col min="1" max="1" width="10.5546875" customWidth="1"/>
    <col min="2" max="2" width="59" customWidth="1"/>
    <col min="3" max="4" width="61.88671875" customWidth="1"/>
    <col min="5" max="5" width="11.88671875" customWidth="1"/>
    <col min="6" max="8" width="61.88671875" customWidth="1"/>
    <col min="9" max="9" width="62" bestFit="1" customWidth="1"/>
  </cols>
  <sheetData>
    <row r="1" spans="1:5" x14ac:dyDescent="0.3">
      <c r="A1">
        <v>13172</v>
      </c>
    </row>
    <row r="2" spans="1:5" x14ac:dyDescent="0.3">
      <c r="A2">
        <v>3392</v>
      </c>
    </row>
    <row r="3" spans="1:5" x14ac:dyDescent="0.3">
      <c r="A3" t="s">
        <v>156</v>
      </c>
      <c r="B3" t="s">
        <v>157</v>
      </c>
      <c r="C3" t="s">
        <v>198</v>
      </c>
      <c r="D3" t="s">
        <v>199</v>
      </c>
      <c r="E3" t="s">
        <v>200</v>
      </c>
    </row>
    <row r="4" spans="1:5" hidden="1" x14ac:dyDescent="0.3">
      <c r="A4" t="s">
        <v>158</v>
      </c>
      <c r="B4" t="s">
        <v>174</v>
      </c>
      <c r="C4" t="s">
        <v>175</v>
      </c>
      <c r="D4" t="s">
        <v>175</v>
      </c>
    </row>
    <row r="5" spans="1:5" hidden="1" x14ac:dyDescent="0.3">
      <c r="A5" t="s">
        <v>158</v>
      </c>
      <c r="B5" t="s">
        <v>170</v>
      </c>
      <c r="C5" t="s">
        <v>171</v>
      </c>
      <c r="D5" t="s">
        <v>171</v>
      </c>
    </row>
    <row r="6" spans="1:5" hidden="1" x14ac:dyDescent="0.3">
      <c r="A6" t="s">
        <v>158</v>
      </c>
      <c r="B6" t="s">
        <v>172</v>
      </c>
      <c r="C6" t="s">
        <v>173</v>
      </c>
      <c r="D6" t="s">
        <v>173</v>
      </c>
    </row>
    <row r="7" spans="1:5" hidden="1" x14ac:dyDescent="0.3">
      <c r="A7" t="s">
        <v>158</v>
      </c>
      <c r="B7" t="s">
        <v>179</v>
      </c>
      <c r="C7" t="s">
        <v>175</v>
      </c>
      <c r="D7" t="s">
        <v>175</v>
      </c>
    </row>
    <row r="8" spans="1:5" hidden="1" x14ac:dyDescent="0.3">
      <c r="A8" t="s">
        <v>158</v>
      </c>
      <c r="B8" t="s">
        <v>176</v>
      </c>
      <c r="C8" t="s">
        <v>177</v>
      </c>
      <c r="D8" t="s">
        <v>177</v>
      </c>
    </row>
    <row r="9" spans="1:5" hidden="1" x14ac:dyDescent="0.3">
      <c r="A9" t="s">
        <v>158</v>
      </c>
      <c r="B9" t="s">
        <v>178</v>
      </c>
      <c r="C9" t="s">
        <v>173</v>
      </c>
      <c r="D9" t="s">
        <v>173</v>
      </c>
    </row>
    <row r="10" spans="1:5" hidden="1" x14ac:dyDescent="0.3">
      <c r="A10" t="s">
        <v>158</v>
      </c>
      <c r="B10" t="s">
        <v>183</v>
      </c>
      <c r="C10" t="s">
        <v>175</v>
      </c>
      <c r="D10" t="s">
        <v>175</v>
      </c>
    </row>
    <row r="11" spans="1:5" hidden="1" x14ac:dyDescent="0.3">
      <c r="A11" t="s">
        <v>158</v>
      </c>
      <c r="B11" t="s">
        <v>180</v>
      </c>
      <c r="C11" t="s">
        <v>181</v>
      </c>
      <c r="D11" t="s">
        <v>181</v>
      </c>
    </row>
    <row r="12" spans="1:5" hidden="1" x14ac:dyDescent="0.3">
      <c r="A12" t="s">
        <v>158</v>
      </c>
      <c r="B12" t="s">
        <v>182</v>
      </c>
      <c r="C12" t="s">
        <v>173</v>
      </c>
      <c r="D12" t="s">
        <v>173</v>
      </c>
    </row>
    <row r="13" spans="1:5" hidden="1" x14ac:dyDescent="0.3">
      <c r="A13" t="s">
        <v>158</v>
      </c>
      <c r="B13" t="s">
        <v>184</v>
      </c>
      <c r="C13" t="s">
        <v>185</v>
      </c>
      <c r="D13" t="s">
        <v>185</v>
      </c>
    </row>
    <row r="14" spans="1:5" hidden="1" x14ac:dyDescent="0.3">
      <c r="A14" t="s">
        <v>158</v>
      </c>
      <c r="B14" t="s">
        <v>163</v>
      </c>
      <c r="C14" t="s">
        <v>164</v>
      </c>
      <c r="D14" t="s">
        <v>164</v>
      </c>
    </row>
    <row r="15" spans="1:5" hidden="1" x14ac:dyDescent="0.3">
      <c r="A15" t="s">
        <v>158</v>
      </c>
      <c r="B15" t="s">
        <v>186</v>
      </c>
      <c r="C15" t="s">
        <v>187</v>
      </c>
      <c r="D15" t="s">
        <v>187</v>
      </c>
    </row>
    <row r="16" spans="1:5" hidden="1" x14ac:dyDescent="0.3">
      <c r="A16" t="s">
        <v>158</v>
      </c>
      <c r="B16" t="s">
        <v>159</v>
      </c>
      <c r="C16" t="s">
        <v>160</v>
      </c>
      <c r="D16" t="s">
        <v>160</v>
      </c>
    </row>
    <row r="17" spans="1:5" hidden="1" x14ac:dyDescent="0.3">
      <c r="A17" t="s">
        <v>158</v>
      </c>
      <c r="B17" t="s">
        <v>165</v>
      </c>
      <c r="C17" t="s">
        <v>166</v>
      </c>
      <c r="D17" t="s">
        <v>166</v>
      </c>
    </row>
    <row r="18" spans="1:5" hidden="1" x14ac:dyDescent="0.3">
      <c r="A18" t="s">
        <v>158</v>
      </c>
      <c r="B18" t="s">
        <v>167</v>
      </c>
      <c r="C18" t="s">
        <v>162</v>
      </c>
      <c r="D18" t="s">
        <v>162</v>
      </c>
    </row>
    <row r="19" spans="1:5" hidden="1" x14ac:dyDescent="0.3">
      <c r="A19" t="s">
        <v>158</v>
      </c>
      <c r="B19" t="s">
        <v>168</v>
      </c>
      <c r="C19" t="s">
        <v>169</v>
      </c>
      <c r="D19" t="s">
        <v>169</v>
      </c>
    </row>
    <row r="20" spans="1:5" hidden="1" x14ac:dyDescent="0.3">
      <c r="A20" t="s">
        <v>158</v>
      </c>
      <c r="B20" t="s">
        <v>161</v>
      </c>
      <c r="C20" t="s">
        <v>162</v>
      </c>
      <c r="D20" t="s">
        <v>162</v>
      </c>
    </row>
    <row r="21" spans="1:5" x14ac:dyDescent="0.3">
      <c r="A21" t="s">
        <v>204</v>
      </c>
      <c r="B21" t="s">
        <v>205</v>
      </c>
      <c r="C21" t="s">
        <v>206</v>
      </c>
      <c r="D21" t="s">
        <v>206</v>
      </c>
    </row>
    <row r="22" spans="1:5" x14ac:dyDescent="0.3">
      <c r="A22" t="s">
        <v>204</v>
      </c>
      <c r="B22" t="s">
        <v>207</v>
      </c>
      <c r="C22" t="s">
        <v>206</v>
      </c>
      <c r="D22" t="s">
        <v>206</v>
      </c>
    </row>
    <row r="23" spans="1:5" x14ac:dyDescent="0.3">
      <c r="A23" t="s">
        <v>204</v>
      </c>
      <c r="B23" t="s">
        <v>208</v>
      </c>
      <c r="C23" t="s">
        <v>209</v>
      </c>
      <c r="D23" t="s">
        <v>209</v>
      </c>
    </row>
    <row r="24" spans="1:5" x14ac:dyDescent="0.3">
      <c r="A24" t="s">
        <v>204</v>
      </c>
      <c r="B24" t="s">
        <v>210</v>
      </c>
      <c r="C24" t="s">
        <v>211</v>
      </c>
      <c r="D24" t="s">
        <v>211</v>
      </c>
    </row>
    <row r="25" spans="1:5" x14ac:dyDescent="0.3">
      <c r="A25" t="s">
        <v>204</v>
      </c>
      <c r="B25" t="s">
        <v>212</v>
      </c>
      <c r="C25" t="s">
        <v>185</v>
      </c>
      <c r="D25" t="s">
        <v>185</v>
      </c>
    </row>
    <row r="26" spans="1:5" x14ac:dyDescent="0.3">
      <c r="A26" t="s">
        <v>204</v>
      </c>
      <c r="B26" t="s">
        <v>214</v>
      </c>
      <c r="C26" t="s">
        <v>162</v>
      </c>
      <c r="D26" t="s">
        <v>162</v>
      </c>
    </row>
    <row r="27" spans="1:5" x14ac:dyDescent="0.3">
      <c r="A27" t="s">
        <v>204</v>
      </c>
      <c r="B27" t="s">
        <v>215</v>
      </c>
      <c r="C27" t="s">
        <v>169</v>
      </c>
      <c r="D27" t="s">
        <v>162</v>
      </c>
      <c r="E27" t="s">
        <v>213</v>
      </c>
    </row>
    <row r="28" spans="1:5" x14ac:dyDescent="0.3">
      <c r="A28" t="s">
        <v>204</v>
      </c>
      <c r="B28" t="s">
        <v>216</v>
      </c>
      <c r="C28" t="s">
        <v>217</v>
      </c>
      <c r="D28" t="s">
        <v>217</v>
      </c>
    </row>
    <row r="29" spans="1:5" x14ac:dyDescent="0.3">
      <c r="A29" t="s">
        <v>204</v>
      </c>
      <c r="B29" t="s">
        <v>218</v>
      </c>
      <c r="C29" t="s">
        <v>219</v>
      </c>
      <c r="D29" t="s">
        <v>219</v>
      </c>
    </row>
    <row r="30" spans="1:5" x14ac:dyDescent="0.3">
      <c r="A30" t="s">
        <v>204</v>
      </c>
      <c r="B30" t="s">
        <v>220</v>
      </c>
      <c r="C30" t="s">
        <v>221</v>
      </c>
      <c r="D30" t="s">
        <v>221</v>
      </c>
    </row>
    <row r="31" spans="1:5" x14ac:dyDescent="0.3">
      <c r="A31" t="s">
        <v>204</v>
      </c>
      <c r="B31" t="s">
        <v>222</v>
      </c>
      <c r="C31" t="s">
        <v>223</v>
      </c>
      <c r="D31" t="s">
        <v>223</v>
      </c>
    </row>
    <row r="32" spans="1:5" x14ac:dyDescent="0.3">
      <c r="A32" t="s">
        <v>204</v>
      </c>
      <c r="B32" t="s">
        <v>224</v>
      </c>
      <c r="C32" t="s">
        <v>225</v>
      </c>
      <c r="D32" t="s">
        <v>225</v>
      </c>
    </row>
    <row r="33" spans="1:4" x14ac:dyDescent="0.3">
      <c r="A33" t="s">
        <v>204</v>
      </c>
      <c r="B33" t="s">
        <v>226</v>
      </c>
      <c r="C33" t="s">
        <v>169</v>
      </c>
      <c r="D33" t="s">
        <v>169</v>
      </c>
    </row>
    <row r="34" spans="1:4" x14ac:dyDescent="0.3">
      <c r="A34" t="s">
        <v>204</v>
      </c>
      <c r="B34" t="s">
        <v>227</v>
      </c>
      <c r="C34" t="s">
        <v>162</v>
      </c>
      <c r="D34" t="s">
        <v>162</v>
      </c>
    </row>
    <row r="35" spans="1:4" x14ac:dyDescent="0.3">
      <c r="A35" t="s">
        <v>204</v>
      </c>
      <c r="B35" t="s">
        <v>228</v>
      </c>
      <c r="C35" t="s">
        <v>229</v>
      </c>
      <c r="D35" t="s">
        <v>229</v>
      </c>
    </row>
    <row r="36" spans="1:4" hidden="1" x14ac:dyDescent="0.3">
      <c r="A36" t="s">
        <v>204</v>
      </c>
      <c r="B36" t="s">
        <v>230</v>
      </c>
      <c r="C36" t="s">
        <v>231</v>
      </c>
      <c r="D36" t="s">
        <v>231</v>
      </c>
    </row>
    <row r="37" spans="1:4" hidden="1" x14ac:dyDescent="0.3">
      <c r="A37" t="s">
        <v>204</v>
      </c>
      <c r="B37" t="s">
        <v>232</v>
      </c>
      <c r="C37" t="s">
        <v>233</v>
      </c>
      <c r="D37" t="s">
        <v>233</v>
      </c>
    </row>
    <row r="38" spans="1:4" hidden="1" x14ac:dyDescent="0.3">
      <c r="A38" t="s">
        <v>204</v>
      </c>
      <c r="B38" t="s">
        <v>234</v>
      </c>
      <c r="C38" t="s">
        <v>235</v>
      </c>
      <c r="D38" t="s">
        <v>235</v>
      </c>
    </row>
    <row r="39" spans="1:4" hidden="1" x14ac:dyDescent="0.3">
      <c r="A39" t="s">
        <v>204</v>
      </c>
      <c r="B39" t="s">
        <v>236</v>
      </c>
      <c r="C39" t="s">
        <v>237</v>
      </c>
      <c r="D39" t="s">
        <v>237</v>
      </c>
    </row>
    <row r="40" spans="1:4" hidden="1" x14ac:dyDescent="0.3">
      <c r="A40" t="s">
        <v>204</v>
      </c>
      <c r="B40" t="s">
        <v>238</v>
      </c>
      <c r="C40" t="s">
        <v>239</v>
      </c>
      <c r="D40" t="s">
        <v>239</v>
      </c>
    </row>
    <row r="41" spans="1:4" hidden="1" x14ac:dyDescent="0.3">
      <c r="A41" t="s">
        <v>204</v>
      </c>
      <c r="B41" t="s">
        <v>240</v>
      </c>
      <c r="C41" t="s">
        <v>164</v>
      </c>
      <c r="D41" t="s">
        <v>164</v>
      </c>
    </row>
    <row r="42" spans="1:4" hidden="1" x14ac:dyDescent="0.3">
      <c r="A42" t="s">
        <v>204</v>
      </c>
      <c r="B42" t="s">
        <v>241</v>
      </c>
      <c r="C42" t="s">
        <v>187</v>
      </c>
      <c r="D42" t="s">
        <v>187</v>
      </c>
    </row>
    <row r="43" spans="1:4" hidden="1" x14ac:dyDescent="0.3">
      <c r="A43" t="s">
        <v>204</v>
      </c>
      <c r="B43" t="s">
        <v>242</v>
      </c>
      <c r="C43" t="s">
        <v>160</v>
      </c>
      <c r="D43" t="s">
        <v>160</v>
      </c>
    </row>
    <row r="44" spans="1:4" hidden="1" x14ac:dyDescent="0.3">
      <c r="A44" t="s">
        <v>204</v>
      </c>
      <c r="B44" t="s">
        <v>243</v>
      </c>
      <c r="C44" t="s">
        <v>166</v>
      </c>
      <c r="D44" t="s">
        <v>166</v>
      </c>
    </row>
    <row r="45" spans="1:4" hidden="1" x14ac:dyDescent="0.3">
      <c r="A45" t="s">
        <v>204</v>
      </c>
      <c r="B45" t="s">
        <v>244</v>
      </c>
      <c r="C45" t="s">
        <v>162</v>
      </c>
      <c r="D45" t="s">
        <v>162</v>
      </c>
    </row>
    <row r="46" spans="1:4" hidden="1" x14ac:dyDescent="0.3">
      <c r="A46" t="s">
        <v>204</v>
      </c>
      <c r="B46" t="s">
        <v>245</v>
      </c>
      <c r="C46" t="s">
        <v>162</v>
      </c>
      <c r="D46" t="s">
        <v>162</v>
      </c>
    </row>
    <row r="47" spans="1:4" hidden="1" x14ac:dyDescent="0.3">
      <c r="A47" t="s">
        <v>204</v>
      </c>
      <c r="B47" t="s">
        <v>246</v>
      </c>
      <c r="C47" t="s">
        <v>162</v>
      </c>
      <c r="D47" t="s">
        <v>162</v>
      </c>
    </row>
    <row r="48" spans="1:4" hidden="1" x14ac:dyDescent="0.3">
      <c r="A48" t="s">
        <v>204</v>
      </c>
      <c r="B48" t="s">
        <v>247</v>
      </c>
      <c r="C48" t="s">
        <v>162</v>
      </c>
      <c r="D48" t="s">
        <v>162</v>
      </c>
    </row>
    <row r="49" spans="1:4" hidden="1" x14ac:dyDescent="0.3">
      <c r="A49" t="s">
        <v>204</v>
      </c>
      <c r="B49" t="s">
        <v>248</v>
      </c>
      <c r="C49" t="s">
        <v>162</v>
      </c>
      <c r="D49" t="s">
        <v>162</v>
      </c>
    </row>
    <row r="50" spans="1:4" hidden="1" x14ac:dyDescent="0.3">
      <c r="A50" t="s">
        <v>204</v>
      </c>
      <c r="B50" t="s">
        <v>249</v>
      </c>
      <c r="C50" t="s">
        <v>169</v>
      </c>
      <c r="D50" t="s">
        <v>169</v>
      </c>
    </row>
    <row r="51" spans="1:4" x14ac:dyDescent="0.3">
      <c r="A51" t="s">
        <v>204</v>
      </c>
      <c r="B51" t="s">
        <v>250</v>
      </c>
      <c r="C51" t="s">
        <v>185</v>
      </c>
      <c r="D51" t="s">
        <v>185</v>
      </c>
    </row>
    <row r="52" spans="1:4" hidden="1" x14ac:dyDescent="0.3">
      <c r="A52" t="s">
        <v>204</v>
      </c>
      <c r="B52" t="s">
        <v>251</v>
      </c>
      <c r="C52" t="s">
        <v>164</v>
      </c>
      <c r="D52" t="s">
        <v>164</v>
      </c>
    </row>
    <row r="53" spans="1:4" hidden="1" x14ac:dyDescent="0.3">
      <c r="A53" t="s">
        <v>204</v>
      </c>
      <c r="B53" t="s">
        <v>252</v>
      </c>
      <c r="C53" t="s">
        <v>187</v>
      </c>
      <c r="D53" t="s">
        <v>187</v>
      </c>
    </row>
    <row r="54" spans="1:4" hidden="1" x14ac:dyDescent="0.3">
      <c r="A54" t="s">
        <v>204</v>
      </c>
      <c r="B54" t="s">
        <v>253</v>
      </c>
      <c r="C54" t="s">
        <v>160</v>
      </c>
      <c r="D54" t="s">
        <v>160</v>
      </c>
    </row>
    <row r="55" spans="1:4" hidden="1" x14ac:dyDescent="0.3">
      <c r="A55" t="s">
        <v>204</v>
      </c>
      <c r="B55" t="s">
        <v>254</v>
      </c>
      <c r="C55" t="s">
        <v>166</v>
      </c>
      <c r="D55" t="s">
        <v>166</v>
      </c>
    </row>
    <row r="56" spans="1:4" hidden="1" x14ac:dyDescent="0.3">
      <c r="A56" t="s">
        <v>204</v>
      </c>
      <c r="B56" t="s">
        <v>255</v>
      </c>
      <c r="C56" t="s">
        <v>162</v>
      </c>
      <c r="D56" t="s">
        <v>162</v>
      </c>
    </row>
    <row r="57" spans="1:4" hidden="1" x14ac:dyDescent="0.3">
      <c r="A57" t="s">
        <v>204</v>
      </c>
      <c r="B57" t="s">
        <v>256</v>
      </c>
      <c r="C57" t="s">
        <v>169</v>
      </c>
      <c r="D57" t="s">
        <v>169</v>
      </c>
    </row>
    <row r="58" spans="1:4" x14ac:dyDescent="0.3">
      <c r="A58" t="s">
        <v>204</v>
      </c>
      <c r="B58" t="s">
        <v>257</v>
      </c>
      <c r="C58" t="s">
        <v>258</v>
      </c>
      <c r="D58" t="s">
        <v>258</v>
      </c>
    </row>
    <row r="59" spans="1:4" x14ac:dyDescent="0.3">
      <c r="A59" t="s">
        <v>259</v>
      </c>
      <c r="B59" t="s">
        <v>260</v>
      </c>
      <c r="C59" t="s">
        <v>261</v>
      </c>
      <c r="D59" t="s">
        <v>261</v>
      </c>
    </row>
    <row r="60" spans="1:4" x14ac:dyDescent="0.3">
      <c r="A60" t="s">
        <v>259</v>
      </c>
      <c r="B60" t="s">
        <v>262</v>
      </c>
      <c r="C60" t="s">
        <v>169</v>
      </c>
      <c r="D60" t="s">
        <v>169</v>
      </c>
    </row>
    <row r="61" spans="1:4" x14ac:dyDescent="0.3">
      <c r="A61" t="s">
        <v>259</v>
      </c>
      <c r="B61" t="s">
        <v>263</v>
      </c>
      <c r="C61" t="s">
        <v>264</v>
      </c>
      <c r="D61" t="s">
        <v>264</v>
      </c>
    </row>
    <row r="62" spans="1:4" hidden="1" x14ac:dyDescent="0.3">
      <c r="A62" t="s">
        <v>259</v>
      </c>
      <c r="B62" t="s">
        <v>265</v>
      </c>
      <c r="C62" t="s">
        <v>266</v>
      </c>
      <c r="D62" t="s">
        <v>266</v>
      </c>
    </row>
    <row r="63" spans="1:4" hidden="1" x14ac:dyDescent="0.3">
      <c r="A63" t="s">
        <v>259</v>
      </c>
      <c r="B63" t="s">
        <v>267</v>
      </c>
      <c r="C63" t="s">
        <v>231</v>
      </c>
      <c r="D63" t="s">
        <v>231</v>
      </c>
    </row>
    <row r="64" spans="1:4" hidden="1" x14ac:dyDescent="0.3">
      <c r="A64" t="s">
        <v>259</v>
      </c>
      <c r="B64" t="s">
        <v>268</v>
      </c>
      <c r="C64" t="s">
        <v>233</v>
      </c>
      <c r="D64" t="s">
        <v>233</v>
      </c>
    </row>
    <row r="65" spans="1:4" hidden="1" x14ac:dyDescent="0.3">
      <c r="A65" t="s">
        <v>259</v>
      </c>
      <c r="B65" t="s">
        <v>269</v>
      </c>
      <c r="C65" t="s">
        <v>235</v>
      </c>
      <c r="D65" t="s">
        <v>235</v>
      </c>
    </row>
    <row r="66" spans="1:4" hidden="1" x14ac:dyDescent="0.3">
      <c r="A66" t="s">
        <v>259</v>
      </c>
      <c r="B66" t="s">
        <v>270</v>
      </c>
      <c r="C66" t="s">
        <v>237</v>
      </c>
      <c r="D66" t="s">
        <v>237</v>
      </c>
    </row>
    <row r="67" spans="1:4" hidden="1" x14ac:dyDescent="0.3">
      <c r="A67" t="s">
        <v>259</v>
      </c>
      <c r="B67" t="s">
        <v>271</v>
      </c>
      <c r="C67" t="s">
        <v>239</v>
      </c>
      <c r="D67" t="s">
        <v>239</v>
      </c>
    </row>
    <row r="68" spans="1:4" hidden="1" x14ac:dyDescent="0.3">
      <c r="A68" t="s">
        <v>259</v>
      </c>
      <c r="B68" t="s">
        <v>272</v>
      </c>
      <c r="C68" t="s">
        <v>164</v>
      </c>
      <c r="D68" t="s">
        <v>164</v>
      </c>
    </row>
    <row r="69" spans="1:4" hidden="1" x14ac:dyDescent="0.3">
      <c r="A69" t="s">
        <v>259</v>
      </c>
      <c r="B69" t="s">
        <v>273</v>
      </c>
      <c r="C69" t="s">
        <v>187</v>
      </c>
      <c r="D69" t="s">
        <v>187</v>
      </c>
    </row>
    <row r="70" spans="1:4" hidden="1" x14ac:dyDescent="0.3">
      <c r="A70" t="s">
        <v>259</v>
      </c>
      <c r="B70" t="s">
        <v>274</v>
      </c>
      <c r="C70" t="s">
        <v>160</v>
      </c>
      <c r="D70" t="s">
        <v>160</v>
      </c>
    </row>
    <row r="71" spans="1:4" hidden="1" x14ac:dyDescent="0.3">
      <c r="A71" t="s">
        <v>259</v>
      </c>
      <c r="B71" t="s">
        <v>275</v>
      </c>
      <c r="C71" t="s">
        <v>166</v>
      </c>
      <c r="D71" t="s">
        <v>166</v>
      </c>
    </row>
    <row r="72" spans="1:4" hidden="1" x14ac:dyDescent="0.3">
      <c r="A72" t="s">
        <v>259</v>
      </c>
      <c r="B72" t="s">
        <v>276</v>
      </c>
      <c r="C72" t="s">
        <v>162</v>
      </c>
      <c r="D72" t="s">
        <v>162</v>
      </c>
    </row>
    <row r="73" spans="1:4" hidden="1" x14ac:dyDescent="0.3">
      <c r="A73" t="s">
        <v>259</v>
      </c>
      <c r="B73" t="s">
        <v>277</v>
      </c>
      <c r="C73" t="s">
        <v>169</v>
      </c>
      <c r="D73" t="s">
        <v>169</v>
      </c>
    </row>
    <row r="74" spans="1:4" hidden="1" x14ac:dyDescent="0.3">
      <c r="A74" t="s">
        <v>259</v>
      </c>
      <c r="B74" t="s">
        <v>278</v>
      </c>
      <c r="C74" t="s">
        <v>162</v>
      </c>
      <c r="D74" t="s">
        <v>162</v>
      </c>
    </row>
    <row r="75" spans="1:4" hidden="1" x14ac:dyDescent="0.3">
      <c r="A75" t="s">
        <v>259</v>
      </c>
      <c r="B75" t="s">
        <v>279</v>
      </c>
      <c r="C75" t="s">
        <v>162</v>
      </c>
      <c r="D75" t="s">
        <v>162</v>
      </c>
    </row>
    <row r="76" spans="1:4" hidden="1" x14ac:dyDescent="0.3">
      <c r="A76" t="s">
        <v>259</v>
      </c>
      <c r="B76" t="s">
        <v>280</v>
      </c>
      <c r="C76" t="s">
        <v>162</v>
      </c>
      <c r="D76" t="s">
        <v>162</v>
      </c>
    </row>
    <row r="77" spans="1:4" hidden="1" x14ac:dyDescent="0.3">
      <c r="A77" t="s">
        <v>259</v>
      </c>
      <c r="B77" t="s">
        <v>281</v>
      </c>
      <c r="C77" t="s">
        <v>169</v>
      </c>
      <c r="D77" t="s">
        <v>169</v>
      </c>
    </row>
    <row r="78" spans="1:4" x14ac:dyDescent="0.3">
      <c r="A78" t="s">
        <v>259</v>
      </c>
      <c r="B78" t="s">
        <v>282</v>
      </c>
      <c r="C78" t="s">
        <v>225</v>
      </c>
      <c r="D78" t="s">
        <v>225</v>
      </c>
    </row>
    <row r="79" spans="1:4" x14ac:dyDescent="0.3">
      <c r="A79" t="s">
        <v>259</v>
      </c>
      <c r="B79" t="s">
        <v>283</v>
      </c>
      <c r="C79" t="s">
        <v>284</v>
      </c>
      <c r="D79" t="s">
        <v>284</v>
      </c>
    </row>
    <row r="80" spans="1:4" x14ac:dyDescent="0.3">
      <c r="A80" t="s">
        <v>259</v>
      </c>
      <c r="B80" t="s">
        <v>285</v>
      </c>
      <c r="C80" t="s">
        <v>164</v>
      </c>
      <c r="D80" t="s">
        <v>164</v>
      </c>
    </row>
    <row r="81" spans="1:4" x14ac:dyDescent="0.3">
      <c r="A81" t="s">
        <v>259</v>
      </c>
      <c r="B81" t="s">
        <v>286</v>
      </c>
      <c r="C81" t="s">
        <v>287</v>
      </c>
      <c r="D81" t="s">
        <v>287</v>
      </c>
    </row>
    <row r="82" spans="1:4" x14ac:dyDescent="0.3">
      <c r="A82" t="s">
        <v>259</v>
      </c>
      <c r="B82" t="s">
        <v>288</v>
      </c>
      <c r="C82" t="s">
        <v>289</v>
      </c>
      <c r="D82" t="s">
        <v>289</v>
      </c>
    </row>
    <row r="83" spans="1:4" x14ac:dyDescent="0.3">
      <c r="A83" t="s">
        <v>259</v>
      </c>
      <c r="B83" t="s">
        <v>290</v>
      </c>
      <c r="C83" t="s">
        <v>169</v>
      </c>
      <c r="D83" t="s">
        <v>169</v>
      </c>
    </row>
    <row r="84" spans="1:4" x14ac:dyDescent="0.3">
      <c r="A84" t="s">
        <v>259</v>
      </c>
      <c r="B84" t="s">
        <v>291</v>
      </c>
      <c r="C84" t="s">
        <v>171</v>
      </c>
      <c r="D84" t="s">
        <v>171</v>
      </c>
    </row>
    <row r="85" spans="1:4" x14ac:dyDescent="0.3">
      <c r="A85" t="s">
        <v>259</v>
      </c>
      <c r="B85" t="s">
        <v>292</v>
      </c>
      <c r="C85" t="s">
        <v>173</v>
      </c>
      <c r="D85" t="s">
        <v>173</v>
      </c>
    </row>
    <row r="86" spans="1:4" x14ac:dyDescent="0.3">
      <c r="A86" t="s">
        <v>259</v>
      </c>
      <c r="B86" t="s">
        <v>293</v>
      </c>
      <c r="C86" t="s">
        <v>175</v>
      </c>
      <c r="D86" t="s">
        <v>175</v>
      </c>
    </row>
    <row r="87" spans="1:4" x14ac:dyDescent="0.3">
      <c r="A87" t="s">
        <v>259</v>
      </c>
      <c r="B87" t="s">
        <v>294</v>
      </c>
      <c r="C87" t="s">
        <v>185</v>
      </c>
      <c r="D87" t="s">
        <v>185</v>
      </c>
    </row>
    <row r="88" spans="1:4" x14ac:dyDescent="0.3">
      <c r="A88" t="s">
        <v>259</v>
      </c>
      <c r="B88" t="s">
        <v>295</v>
      </c>
      <c r="C88" t="s">
        <v>296</v>
      </c>
      <c r="D88" t="s">
        <v>296</v>
      </c>
    </row>
    <row r="89" spans="1:4" x14ac:dyDescent="0.3">
      <c r="A89" t="s">
        <v>259</v>
      </c>
      <c r="B89" t="s">
        <v>297</v>
      </c>
      <c r="C89" t="s">
        <v>298</v>
      </c>
      <c r="D89" t="s">
        <v>298</v>
      </c>
    </row>
    <row r="90" spans="1:4" x14ac:dyDescent="0.3">
      <c r="A90" t="s">
        <v>259</v>
      </c>
      <c r="B90" t="s">
        <v>299</v>
      </c>
      <c r="C90" t="s">
        <v>169</v>
      </c>
      <c r="D90" t="s">
        <v>169</v>
      </c>
    </row>
    <row r="91" spans="1:4" x14ac:dyDescent="0.3">
      <c r="A91" t="s">
        <v>259</v>
      </c>
      <c r="B91" t="s">
        <v>300</v>
      </c>
      <c r="C91" t="s">
        <v>264</v>
      </c>
      <c r="D91" t="s">
        <v>264</v>
      </c>
    </row>
    <row r="92" spans="1:4" x14ac:dyDescent="0.3">
      <c r="A92" t="s">
        <v>259</v>
      </c>
      <c r="B92" t="s">
        <v>301</v>
      </c>
      <c r="C92" t="s">
        <v>302</v>
      </c>
      <c r="D92" t="s">
        <v>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1"/>
  <sheetViews>
    <sheetView workbookViewId="0"/>
  </sheetViews>
  <sheetFormatPr defaultRowHeight="14.4" x14ac:dyDescent="0.3"/>
  <cols>
    <col min="1" max="1" width="12.6640625" bestFit="1" customWidth="1"/>
    <col min="2" max="2" width="13.6640625" bestFit="1" customWidth="1"/>
    <col min="3" max="3" width="12.44140625" bestFit="1" customWidth="1"/>
    <col min="4" max="4" width="14.109375" bestFit="1" customWidth="1"/>
    <col min="5" max="5" width="8.44140625" bestFit="1" customWidth="1"/>
    <col min="6" max="6" width="13.44140625" bestFit="1" customWidth="1"/>
    <col min="7" max="7" width="15.6640625" bestFit="1" customWidth="1"/>
    <col min="8" max="10" width="11.33203125" bestFit="1" customWidth="1"/>
    <col min="11" max="11" width="13.5546875" bestFit="1" customWidth="1"/>
    <col min="12" max="12" width="24.44140625" bestFit="1" customWidth="1"/>
    <col min="13" max="13" width="20.21875" bestFit="1" customWidth="1"/>
    <col min="14" max="14" width="19.5546875" bestFit="1" customWidth="1"/>
    <col min="15" max="15" width="16.109375" bestFit="1" customWidth="1"/>
  </cols>
  <sheetData>
    <row r="1" spans="1:15" x14ac:dyDescent="0.3">
      <c r="A1" t="s">
        <v>3</v>
      </c>
      <c r="B1" t="s">
        <v>103</v>
      </c>
      <c r="C1" t="s">
        <v>104</v>
      </c>
      <c r="D1" t="s">
        <v>105</v>
      </c>
      <c r="E1" t="s">
        <v>106</v>
      </c>
      <c r="F1" t="s">
        <v>107</v>
      </c>
      <c r="G1" t="s">
        <v>108</v>
      </c>
      <c r="H1" t="s">
        <v>109</v>
      </c>
      <c r="I1" t="s">
        <v>110</v>
      </c>
      <c r="J1" t="s">
        <v>111</v>
      </c>
      <c r="K1" t="s">
        <v>112</v>
      </c>
      <c r="L1" t="s">
        <v>113</v>
      </c>
      <c r="M1" t="s">
        <v>143</v>
      </c>
      <c r="N1" t="s">
        <v>125</v>
      </c>
      <c r="O1" t="s">
        <v>144</v>
      </c>
    </row>
    <row r="2" spans="1:15" hidden="1" x14ac:dyDescent="0.3">
      <c r="A2">
        <v>1252</v>
      </c>
      <c r="B2">
        <v>5002</v>
      </c>
      <c r="C2" t="s">
        <v>195</v>
      </c>
      <c r="D2">
        <v>50</v>
      </c>
      <c r="F2">
        <v>100</v>
      </c>
      <c r="G2" t="s">
        <v>146</v>
      </c>
      <c r="K2" t="s">
        <v>114</v>
      </c>
      <c r="L2" t="s">
        <v>115</v>
      </c>
      <c r="M2" t="s">
        <v>147</v>
      </c>
      <c r="O2" t="s">
        <v>147</v>
      </c>
    </row>
    <row r="3" spans="1:15" hidden="1" x14ac:dyDescent="0.3">
      <c r="A3">
        <v>1936</v>
      </c>
      <c r="B3">
        <v>25052</v>
      </c>
      <c r="C3" t="s">
        <v>196</v>
      </c>
      <c r="D3">
        <v>50</v>
      </c>
      <c r="F3">
        <v>50</v>
      </c>
      <c r="G3" t="s">
        <v>146</v>
      </c>
      <c r="K3" t="s">
        <v>114</v>
      </c>
      <c r="L3" t="s">
        <v>115</v>
      </c>
      <c r="M3" t="s">
        <v>147</v>
      </c>
      <c r="O3" t="s">
        <v>147</v>
      </c>
    </row>
    <row r="4" spans="1:15" hidden="1" x14ac:dyDescent="0.3">
      <c r="A4">
        <v>3068</v>
      </c>
      <c r="B4">
        <v>5002</v>
      </c>
      <c r="C4" t="s">
        <v>196</v>
      </c>
      <c r="D4">
        <v>50</v>
      </c>
      <c r="F4">
        <v>20</v>
      </c>
      <c r="G4" t="s">
        <v>146</v>
      </c>
      <c r="K4" t="s">
        <v>114</v>
      </c>
      <c r="L4" t="s">
        <v>115</v>
      </c>
      <c r="M4" t="s">
        <v>148</v>
      </c>
      <c r="O4" t="s">
        <v>148</v>
      </c>
    </row>
    <row r="5" spans="1:15" hidden="1" x14ac:dyDescent="0.3">
      <c r="A5">
        <v>3140</v>
      </c>
      <c r="B5">
        <v>5002</v>
      </c>
      <c r="C5" t="s">
        <v>196</v>
      </c>
      <c r="D5">
        <v>50</v>
      </c>
      <c r="F5">
        <v>20</v>
      </c>
      <c r="G5" t="s">
        <v>146</v>
      </c>
      <c r="K5" t="s">
        <v>114</v>
      </c>
      <c r="L5" t="s">
        <v>115</v>
      </c>
      <c r="M5" t="s">
        <v>147</v>
      </c>
      <c r="O5" t="s">
        <v>148</v>
      </c>
    </row>
    <row r="6" spans="1:15" hidden="1" x14ac:dyDescent="0.3">
      <c r="A6">
        <v>3816</v>
      </c>
      <c r="B6">
        <v>5002</v>
      </c>
      <c r="C6" t="s">
        <v>196</v>
      </c>
      <c r="D6">
        <v>50</v>
      </c>
      <c r="F6">
        <v>20</v>
      </c>
      <c r="G6" t="s">
        <v>146</v>
      </c>
      <c r="K6" t="s">
        <v>114</v>
      </c>
      <c r="L6" t="s">
        <v>115</v>
      </c>
      <c r="M6" t="s">
        <v>147</v>
      </c>
      <c r="O6" t="s">
        <v>148</v>
      </c>
    </row>
    <row r="7" spans="1:15" hidden="1" x14ac:dyDescent="0.3">
      <c r="A7">
        <v>4052</v>
      </c>
      <c r="B7">
        <v>25022</v>
      </c>
      <c r="C7" t="s">
        <v>196</v>
      </c>
      <c r="D7">
        <v>500</v>
      </c>
      <c r="F7">
        <v>20</v>
      </c>
      <c r="G7" t="s">
        <v>146</v>
      </c>
      <c r="K7" t="s">
        <v>114</v>
      </c>
      <c r="L7" t="s">
        <v>115</v>
      </c>
      <c r="M7" t="s">
        <v>147</v>
      </c>
      <c r="O7" t="s">
        <v>147</v>
      </c>
    </row>
    <row r="8" spans="1:15" hidden="1" x14ac:dyDescent="0.3">
      <c r="A8">
        <v>4100</v>
      </c>
      <c r="B8">
        <v>25052</v>
      </c>
      <c r="C8" t="s">
        <v>196</v>
      </c>
      <c r="D8">
        <v>500</v>
      </c>
      <c r="F8">
        <v>50</v>
      </c>
      <c r="G8" t="s">
        <v>146</v>
      </c>
      <c r="K8" t="s">
        <v>114</v>
      </c>
      <c r="L8" t="s">
        <v>115</v>
      </c>
      <c r="M8" t="s">
        <v>147</v>
      </c>
      <c r="O8" t="s">
        <v>147</v>
      </c>
    </row>
    <row r="9" spans="1:15" hidden="1" x14ac:dyDescent="0.3">
      <c r="A9">
        <v>5704</v>
      </c>
      <c r="B9">
        <v>25052</v>
      </c>
      <c r="C9" t="s">
        <v>196</v>
      </c>
      <c r="D9">
        <v>500</v>
      </c>
      <c r="F9">
        <v>50</v>
      </c>
      <c r="G9" t="s">
        <v>146</v>
      </c>
      <c r="K9" t="s">
        <v>114</v>
      </c>
      <c r="L9" t="s">
        <v>115</v>
      </c>
      <c r="M9" t="s">
        <v>147</v>
      </c>
      <c r="O9" t="s">
        <v>147</v>
      </c>
    </row>
    <row r="10" spans="1:15" hidden="1" x14ac:dyDescent="0.3">
      <c r="A10">
        <v>5752</v>
      </c>
      <c r="B10">
        <v>5002</v>
      </c>
      <c r="C10" t="s">
        <v>196</v>
      </c>
      <c r="D10">
        <v>50</v>
      </c>
      <c r="F10">
        <v>20</v>
      </c>
      <c r="G10" t="s">
        <v>146</v>
      </c>
      <c r="K10" t="s">
        <v>114</v>
      </c>
      <c r="L10" t="s">
        <v>115</v>
      </c>
      <c r="M10" t="s">
        <v>148</v>
      </c>
      <c r="O10" t="s">
        <v>148</v>
      </c>
    </row>
    <row r="11" spans="1:15" hidden="1" x14ac:dyDescent="0.3">
      <c r="A11">
        <v>6168</v>
      </c>
      <c r="B11">
        <v>15052</v>
      </c>
      <c r="C11" t="s">
        <v>196</v>
      </c>
      <c r="D11">
        <v>50</v>
      </c>
      <c r="F11">
        <v>50</v>
      </c>
      <c r="G11" t="s">
        <v>146</v>
      </c>
      <c r="K11" t="s">
        <v>114</v>
      </c>
      <c r="L11" t="s">
        <v>115</v>
      </c>
      <c r="M11" t="s">
        <v>147</v>
      </c>
      <c r="O11" t="s">
        <v>147</v>
      </c>
    </row>
    <row r="12" spans="1:15" hidden="1" x14ac:dyDescent="0.3">
      <c r="A12">
        <v>6792</v>
      </c>
      <c r="B12">
        <v>15022</v>
      </c>
      <c r="C12" t="s">
        <v>196</v>
      </c>
      <c r="D12">
        <v>50</v>
      </c>
      <c r="F12">
        <v>20</v>
      </c>
      <c r="G12" t="s">
        <v>146</v>
      </c>
      <c r="K12" t="s">
        <v>114</v>
      </c>
      <c r="L12" t="s">
        <v>115</v>
      </c>
      <c r="M12" t="s">
        <v>147</v>
      </c>
      <c r="O12" t="s">
        <v>147</v>
      </c>
    </row>
    <row r="13" spans="1:15" hidden="1" x14ac:dyDescent="0.3">
      <c r="A13">
        <v>7156</v>
      </c>
      <c r="B13">
        <v>25052</v>
      </c>
      <c r="C13" t="s">
        <v>196</v>
      </c>
      <c r="D13">
        <v>50</v>
      </c>
      <c r="F13">
        <v>50</v>
      </c>
      <c r="G13" t="s">
        <v>146</v>
      </c>
      <c r="K13" t="s">
        <v>114</v>
      </c>
      <c r="L13" t="s">
        <v>115</v>
      </c>
      <c r="M13" t="s">
        <v>147</v>
      </c>
      <c r="O13" t="s">
        <v>147</v>
      </c>
    </row>
    <row r="14" spans="1:15" hidden="1" x14ac:dyDescent="0.3">
      <c r="A14">
        <v>7192</v>
      </c>
      <c r="B14">
        <v>5002</v>
      </c>
      <c r="C14" t="s">
        <v>196</v>
      </c>
      <c r="D14">
        <v>50</v>
      </c>
      <c r="F14">
        <v>10</v>
      </c>
      <c r="G14" t="s">
        <v>146</v>
      </c>
      <c r="K14" t="s">
        <v>114</v>
      </c>
      <c r="L14" t="s">
        <v>115</v>
      </c>
      <c r="M14" t="s">
        <v>147</v>
      </c>
      <c r="O14" t="s">
        <v>148</v>
      </c>
    </row>
    <row r="15" spans="1:15" x14ac:dyDescent="0.3">
      <c r="A15">
        <v>7232</v>
      </c>
      <c r="B15">
        <v>5002</v>
      </c>
      <c r="C15" t="s">
        <v>145</v>
      </c>
      <c r="D15">
        <v>50</v>
      </c>
      <c r="F15">
        <v>100</v>
      </c>
      <c r="G15" t="s">
        <v>146</v>
      </c>
      <c r="K15" t="s">
        <v>114</v>
      </c>
      <c r="L15" t="s">
        <v>115</v>
      </c>
      <c r="M15" t="s">
        <v>147</v>
      </c>
      <c r="O15" t="s">
        <v>147</v>
      </c>
    </row>
    <row r="16" spans="1:15" hidden="1" x14ac:dyDescent="0.3">
      <c r="A16">
        <v>7268</v>
      </c>
      <c r="B16">
        <v>5002</v>
      </c>
      <c r="C16" t="s">
        <v>196</v>
      </c>
      <c r="D16">
        <v>50</v>
      </c>
      <c r="F16">
        <v>20</v>
      </c>
      <c r="G16" t="s">
        <v>146</v>
      </c>
      <c r="K16" t="s">
        <v>114</v>
      </c>
      <c r="L16" t="s">
        <v>115</v>
      </c>
      <c r="M16" t="s">
        <v>147</v>
      </c>
      <c r="O16" t="s">
        <v>148</v>
      </c>
    </row>
    <row r="17" spans="1:15" hidden="1" x14ac:dyDescent="0.3">
      <c r="A17">
        <v>7472</v>
      </c>
      <c r="B17">
        <v>5002</v>
      </c>
      <c r="C17" t="s">
        <v>196</v>
      </c>
      <c r="D17">
        <v>50</v>
      </c>
      <c r="F17">
        <v>20</v>
      </c>
      <c r="G17" t="s">
        <v>146</v>
      </c>
      <c r="K17" t="s">
        <v>114</v>
      </c>
      <c r="L17" t="s">
        <v>115</v>
      </c>
      <c r="M17" t="s">
        <v>147</v>
      </c>
      <c r="O17" t="s">
        <v>148</v>
      </c>
    </row>
    <row r="18" spans="1:15" hidden="1" x14ac:dyDescent="0.3">
      <c r="A18">
        <v>7628</v>
      </c>
      <c r="B18">
        <v>15052</v>
      </c>
      <c r="C18" t="s">
        <v>196</v>
      </c>
      <c r="D18">
        <v>50</v>
      </c>
      <c r="F18">
        <v>50</v>
      </c>
      <c r="G18" t="s">
        <v>146</v>
      </c>
      <c r="K18" t="s">
        <v>114</v>
      </c>
      <c r="L18" t="s">
        <v>115</v>
      </c>
      <c r="M18" t="s">
        <v>147</v>
      </c>
      <c r="O18" t="s">
        <v>147</v>
      </c>
    </row>
    <row r="19" spans="1:15" hidden="1" x14ac:dyDescent="0.3">
      <c r="A19">
        <v>8244</v>
      </c>
      <c r="B19">
        <v>5012</v>
      </c>
      <c r="C19" t="s">
        <v>196</v>
      </c>
      <c r="D19">
        <v>50</v>
      </c>
      <c r="F19">
        <v>10</v>
      </c>
      <c r="G19" t="s">
        <v>146</v>
      </c>
      <c r="K19" t="s">
        <v>114</v>
      </c>
      <c r="L19" t="s">
        <v>115</v>
      </c>
      <c r="M19" t="s">
        <v>147</v>
      </c>
      <c r="O19" t="s">
        <v>147</v>
      </c>
    </row>
    <row r="20" spans="1:15" hidden="1" x14ac:dyDescent="0.3">
      <c r="A20">
        <v>8372</v>
      </c>
      <c r="B20">
        <v>25022</v>
      </c>
      <c r="C20" t="s">
        <v>196</v>
      </c>
      <c r="D20">
        <v>50</v>
      </c>
      <c r="F20">
        <v>20</v>
      </c>
      <c r="G20" t="s">
        <v>146</v>
      </c>
      <c r="K20" t="s">
        <v>114</v>
      </c>
      <c r="L20" t="s">
        <v>115</v>
      </c>
      <c r="M20" t="s">
        <v>147</v>
      </c>
      <c r="O20" t="s">
        <v>147</v>
      </c>
    </row>
    <row r="21" spans="1:15" hidden="1" x14ac:dyDescent="0.3">
      <c r="A21">
        <v>9056</v>
      </c>
      <c r="B21">
        <v>5002</v>
      </c>
      <c r="C21" t="s">
        <v>196</v>
      </c>
      <c r="D21">
        <v>50</v>
      </c>
      <c r="F21">
        <v>20</v>
      </c>
      <c r="G21" t="s">
        <v>146</v>
      </c>
      <c r="K21" t="s">
        <v>114</v>
      </c>
      <c r="L21" t="s">
        <v>115</v>
      </c>
      <c r="M21" t="s">
        <v>148</v>
      </c>
      <c r="O21" t="s">
        <v>148</v>
      </c>
    </row>
    <row r="22" spans="1:15" hidden="1" x14ac:dyDescent="0.3">
      <c r="A22">
        <v>9236</v>
      </c>
      <c r="B22">
        <v>5002</v>
      </c>
      <c r="C22" t="s">
        <v>196</v>
      </c>
      <c r="D22">
        <v>50</v>
      </c>
      <c r="F22">
        <v>100</v>
      </c>
      <c r="G22" t="s">
        <v>146</v>
      </c>
      <c r="K22" t="s">
        <v>114</v>
      </c>
      <c r="L22" t="s">
        <v>115</v>
      </c>
      <c r="M22" t="s">
        <v>147</v>
      </c>
      <c r="O22" t="s">
        <v>147</v>
      </c>
    </row>
    <row r="23" spans="1:15" hidden="1" x14ac:dyDescent="0.3">
      <c r="A23">
        <v>9572</v>
      </c>
      <c r="B23">
        <v>10002</v>
      </c>
      <c r="C23" t="s">
        <v>196</v>
      </c>
      <c r="D23">
        <v>50</v>
      </c>
      <c r="F23">
        <v>20</v>
      </c>
      <c r="G23" t="s">
        <v>146</v>
      </c>
      <c r="K23" t="s">
        <v>114</v>
      </c>
      <c r="L23" t="s">
        <v>115</v>
      </c>
      <c r="M23" t="s">
        <v>148</v>
      </c>
      <c r="O23" t="s">
        <v>148</v>
      </c>
    </row>
    <row r="24" spans="1:15" hidden="1" x14ac:dyDescent="0.3">
      <c r="A24">
        <v>10308</v>
      </c>
      <c r="B24">
        <v>25052</v>
      </c>
      <c r="C24" t="s">
        <v>196</v>
      </c>
      <c r="D24">
        <v>500</v>
      </c>
      <c r="F24">
        <v>50</v>
      </c>
      <c r="G24" t="s">
        <v>146</v>
      </c>
      <c r="K24" t="s">
        <v>114</v>
      </c>
      <c r="L24" t="s">
        <v>115</v>
      </c>
      <c r="M24" t="s">
        <v>147</v>
      </c>
      <c r="O24" t="s">
        <v>147</v>
      </c>
    </row>
    <row r="25" spans="1:15" hidden="1" x14ac:dyDescent="0.3">
      <c r="A25">
        <v>10328</v>
      </c>
      <c r="B25">
        <v>5002</v>
      </c>
      <c r="C25" t="s">
        <v>196</v>
      </c>
      <c r="D25">
        <v>50</v>
      </c>
      <c r="F25">
        <v>20</v>
      </c>
      <c r="G25" t="s">
        <v>146</v>
      </c>
      <c r="K25" t="s">
        <v>114</v>
      </c>
      <c r="L25" t="s">
        <v>115</v>
      </c>
      <c r="M25" t="s">
        <v>147</v>
      </c>
      <c r="O25" t="s">
        <v>148</v>
      </c>
    </row>
    <row r="26" spans="1:15" hidden="1" x14ac:dyDescent="0.3">
      <c r="A26">
        <v>10332</v>
      </c>
      <c r="B26">
        <v>102</v>
      </c>
      <c r="F26">
        <v>20</v>
      </c>
      <c r="G26" t="s">
        <v>197</v>
      </c>
      <c r="K26" t="s">
        <v>114</v>
      </c>
      <c r="L26" t="s">
        <v>115</v>
      </c>
    </row>
    <row r="27" spans="1:15" hidden="1" x14ac:dyDescent="0.3">
      <c r="A27">
        <v>10408</v>
      </c>
      <c r="B27">
        <v>25052</v>
      </c>
      <c r="C27" t="s">
        <v>196</v>
      </c>
      <c r="D27">
        <v>500</v>
      </c>
      <c r="F27">
        <v>50</v>
      </c>
      <c r="G27" t="s">
        <v>146</v>
      </c>
      <c r="K27" t="s">
        <v>114</v>
      </c>
      <c r="L27" t="s">
        <v>115</v>
      </c>
      <c r="M27" t="s">
        <v>147</v>
      </c>
      <c r="O27" t="s">
        <v>147</v>
      </c>
    </row>
    <row r="28" spans="1:15" hidden="1" x14ac:dyDescent="0.3">
      <c r="A28">
        <v>10780</v>
      </c>
      <c r="B28">
        <v>5002</v>
      </c>
      <c r="C28" t="s">
        <v>196</v>
      </c>
      <c r="D28">
        <v>50</v>
      </c>
      <c r="F28">
        <v>20</v>
      </c>
      <c r="G28" t="s">
        <v>146</v>
      </c>
      <c r="K28" t="s">
        <v>114</v>
      </c>
      <c r="L28" t="s">
        <v>115</v>
      </c>
      <c r="M28" t="s">
        <v>147</v>
      </c>
      <c r="O28" t="s">
        <v>148</v>
      </c>
    </row>
    <row r="29" spans="1:15" hidden="1" x14ac:dyDescent="0.3">
      <c r="A29">
        <v>10936</v>
      </c>
      <c r="B29">
        <v>25052</v>
      </c>
      <c r="C29" t="s">
        <v>196</v>
      </c>
      <c r="D29">
        <v>50</v>
      </c>
      <c r="F29">
        <v>50</v>
      </c>
      <c r="G29" t="s">
        <v>146</v>
      </c>
      <c r="K29" t="s">
        <v>114</v>
      </c>
      <c r="L29" t="s">
        <v>115</v>
      </c>
      <c r="M29" t="s">
        <v>147</v>
      </c>
      <c r="O29" t="s">
        <v>147</v>
      </c>
    </row>
    <row r="30" spans="1:15" hidden="1" x14ac:dyDescent="0.3">
      <c r="A30">
        <v>10952</v>
      </c>
      <c r="B30">
        <v>5002</v>
      </c>
      <c r="C30" t="s">
        <v>196</v>
      </c>
      <c r="D30">
        <v>50</v>
      </c>
      <c r="F30">
        <v>20</v>
      </c>
      <c r="G30" t="s">
        <v>146</v>
      </c>
      <c r="K30" t="s">
        <v>114</v>
      </c>
      <c r="L30" t="s">
        <v>115</v>
      </c>
      <c r="M30" t="s">
        <v>148</v>
      </c>
      <c r="O30" t="s">
        <v>148</v>
      </c>
    </row>
    <row r="31" spans="1:15" hidden="1" x14ac:dyDescent="0.3">
      <c r="A31">
        <v>11004</v>
      </c>
      <c r="B31">
        <v>5002</v>
      </c>
      <c r="C31" t="s">
        <v>196</v>
      </c>
      <c r="D31">
        <v>50</v>
      </c>
      <c r="F31">
        <v>20</v>
      </c>
      <c r="G31" t="s">
        <v>146</v>
      </c>
      <c r="K31" t="s">
        <v>114</v>
      </c>
      <c r="L31" t="s">
        <v>115</v>
      </c>
      <c r="M31" t="s">
        <v>147</v>
      </c>
      <c r="O31" t="s">
        <v>148</v>
      </c>
    </row>
    <row r="32" spans="1:15" hidden="1" x14ac:dyDescent="0.3">
      <c r="A32">
        <v>11736</v>
      </c>
      <c r="B32">
        <v>5002</v>
      </c>
      <c r="C32" t="s">
        <v>196</v>
      </c>
      <c r="D32">
        <v>50</v>
      </c>
      <c r="F32">
        <v>20</v>
      </c>
      <c r="G32" t="s">
        <v>146</v>
      </c>
      <c r="K32" t="s">
        <v>114</v>
      </c>
      <c r="L32" t="s">
        <v>115</v>
      </c>
      <c r="M32" t="s">
        <v>148</v>
      </c>
      <c r="O32" t="s">
        <v>148</v>
      </c>
    </row>
    <row r="33" spans="1:15" hidden="1" x14ac:dyDescent="0.3">
      <c r="A33">
        <v>11756</v>
      </c>
      <c r="B33">
        <v>5022</v>
      </c>
      <c r="C33" t="s">
        <v>196</v>
      </c>
      <c r="D33">
        <v>50</v>
      </c>
      <c r="F33">
        <v>20</v>
      </c>
      <c r="G33" t="s">
        <v>146</v>
      </c>
      <c r="K33" t="s">
        <v>114</v>
      </c>
      <c r="L33" t="s">
        <v>115</v>
      </c>
      <c r="M33" t="s">
        <v>147</v>
      </c>
      <c r="O33" t="s">
        <v>147</v>
      </c>
    </row>
    <row r="34" spans="1:15" hidden="1" x14ac:dyDescent="0.3">
      <c r="A34">
        <v>12284</v>
      </c>
      <c r="B34">
        <v>5002</v>
      </c>
      <c r="C34" t="s">
        <v>196</v>
      </c>
      <c r="D34">
        <v>50</v>
      </c>
      <c r="F34">
        <v>20</v>
      </c>
      <c r="G34" t="s">
        <v>146</v>
      </c>
      <c r="K34" t="s">
        <v>114</v>
      </c>
      <c r="L34" t="s">
        <v>115</v>
      </c>
      <c r="M34" t="s">
        <v>147</v>
      </c>
      <c r="O34" t="s">
        <v>148</v>
      </c>
    </row>
    <row r="35" spans="1:15" hidden="1" x14ac:dyDescent="0.3">
      <c r="A35">
        <v>13212</v>
      </c>
      <c r="B35">
        <v>25022</v>
      </c>
      <c r="C35" t="s">
        <v>196</v>
      </c>
      <c r="D35">
        <v>500</v>
      </c>
      <c r="F35">
        <v>20</v>
      </c>
      <c r="G35" t="s">
        <v>146</v>
      </c>
      <c r="K35" t="s">
        <v>114</v>
      </c>
      <c r="L35" t="s">
        <v>115</v>
      </c>
      <c r="M35" t="s">
        <v>147</v>
      </c>
      <c r="O35" t="s">
        <v>147</v>
      </c>
    </row>
    <row r="36" spans="1:15" hidden="1" x14ac:dyDescent="0.3">
      <c r="A36">
        <v>13484</v>
      </c>
      <c r="B36">
        <v>5002</v>
      </c>
      <c r="C36" t="s">
        <v>196</v>
      </c>
      <c r="D36">
        <v>50</v>
      </c>
      <c r="F36">
        <v>20</v>
      </c>
      <c r="G36" t="s">
        <v>146</v>
      </c>
      <c r="K36" t="s">
        <v>114</v>
      </c>
      <c r="L36" t="s">
        <v>115</v>
      </c>
      <c r="M36" t="s">
        <v>148</v>
      </c>
      <c r="O36" t="s">
        <v>148</v>
      </c>
    </row>
    <row r="37" spans="1:15" x14ac:dyDescent="0.3">
      <c r="A37">
        <v>13568</v>
      </c>
      <c r="B37">
        <v>5002</v>
      </c>
      <c r="C37" t="s">
        <v>196</v>
      </c>
      <c r="D37">
        <v>50</v>
      </c>
      <c r="F37">
        <v>100</v>
      </c>
      <c r="G37" t="s">
        <v>146</v>
      </c>
      <c r="K37" t="s">
        <v>114</v>
      </c>
      <c r="L37" t="s">
        <v>115</v>
      </c>
      <c r="M37" t="s">
        <v>147</v>
      </c>
      <c r="O37" t="s">
        <v>147</v>
      </c>
    </row>
    <row r="38" spans="1:15" hidden="1" x14ac:dyDescent="0.3">
      <c r="A38">
        <v>13928</v>
      </c>
      <c r="B38">
        <v>5022</v>
      </c>
      <c r="C38" t="s">
        <v>196</v>
      </c>
      <c r="D38">
        <v>50</v>
      </c>
      <c r="F38">
        <v>20</v>
      </c>
      <c r="G38" t="s">
        <v>146</v>
      </c>
      <c r="K38" t="s">
        <v>114</v>
      </c>
      <c r="L38" t="s">
        <v>115</v>
      </c>
      <c r="M38" t="s">
        <v>148</v>
      </c>
      <c r="O38" t="s">
        <v>147</v>
      </c>
    </row>
    <row r="39" spans="1:15" hidden="1" x14ac:dyDescent="0.3">
      <c r="A39">
        <v>13976</v>
      </c>
      <c r="B39">
        <v>5022</v>
      </c>
      <c r="C39" t="s">
        <v>196</v>
      </c>
      <c r="D39">
        <v>50</v>
      </c>
      <c r="F39">
        <v>20</v>
      </c>
      <c r="G39" t="s">
        <v>146</v>
      </c>
      <c r="K39" t="s">
        <v>114</v>
      </c>
      <c r="L39" t="s">
        <v>115</v>
      </c>
      <c r="M39" t="s">
        <v>147</v>
      </c>
      <c r="O39" t="s">
        <v>147</v>
      </c>
    </row>
    <row r="40" spans="1:15" hidden="1" x14ac:dyDescent="0.3">
      <c r="A40">
        <v>14280</v>
      </c>
      <c r="B40">
        <v>5002</v>
      </c>
      <c r="C40" t="s">
        <v>196</v>
      </c>
      <c r="D40">
        <v>50</v>
      </c>
      <c r="F40">
        <v>20</v>
      </c>
      <c r="G40" t="s">
        <v>146</v>
      </c>
      <c r="K40" t="s">
        <v>114</v>
      </c>
      <c r="L40" t="s">
        <v>115</v>
      </c>
      <c r="M40" t="s">
        <v>148</v>
      </c>
      <c r="O40" t="s">
        <v>148</v>
      </c>
    </row>
    <row r="41" spans="1:15" hidden="1" x14ac:dyDescent="0.3">
      <c r="A41">
        <v>14296</v>
      </c>
      <c r="B41">
        <v>5002</v>
      </c>
      <c r="C41" t="s">
        <v>196</v>
      </c>
      <c r="D41">
        <v>50</v>
      </c>
      <c r="F41">
        <v>20</v>
      </c>
      <c r="G41" t="s">
        <v>146</v>
      </c>
      <c r="K41" t="s">
        <v>114</v>
      </c>
      <c r="L41" t="s">
        <v>115</v>
      </c>
      <c r="M41" t="s">
        <v>148</v>
      </c>
      <c r="O41" t="s">
        <v>148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4.4" x14ac:dyDescent="0.3"/>
  <cols>
    <col min="1" max="1" width="19.5546875" customWidth="1"/>
    <col min="2" max="2" width="20.109375" bestFit="1" customWidth="1"/>
    <col min="3" max="3" width="11.6640625" customWidth="1"/>
    <col min="4" max="4" width="15" bestFit="1" customWidth="1"/>
    <col min="5" max="6" width="11.5546875" customWidth="1"/>
    <col min="7" max="19" width="17.6640625" customWidth="1"/>
    <col min="20"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4" spans="1:8" x14ac:dyDescent="0.3">
      <c r="A4" s="1" t="s">
        <v>10</v>
      </c>
      <c r="B4" s="2">
        <v>66</v>
      </c>
    </row>
    <row r="6" spans="1:8" x14ac:dyDescent="0.3">
      <c r="A6" s="1" t="s">
        <v>89</v>
      </c>
      <c r="G6" s="1" t="s">
        <v>99</v>
      </c>
      <c r="H6" s="1" t="s">
        <v>129</v>
      </c>
    </row>
    <row r="7" spans="1:8" x14ac:dyDescent="0.3">
      <c r="G7" t="s">
        <v>127</v>
      </c>
      <c r="H7" t="s">
        <v>116</v>
      </c>
    </row>
    <row r="8" spans="1:8" x14ac:dyDescent="0.3">
      <c r="A8" s="1" t="s">
        <v>100</v>
      </c>
      <c r="B8" s="1" t="s">
        <v>125</v>
      </c>
      <c r="C8" s="1" t="s">
        <v>94</v>
      </c>
      <c r="D8" s="1" t="s">
        <v>130</v>
      </c>
      <c r="E8" s="1" t="s">
        <v>27</v>
      </c>
      <c r="F8" s="1" t="s">
        <v>128</v>
      </c>
    </row>
    <row r="9" spans="1:8" x14ac:dyDescent="0.3">
      <c r="A9" t="s">
        <v>124</v>
      </c>
      <c r="B9" t="s">
        <v>121</v>
      </c>
      <c r="C9">
        <v>5</v>
      </c>
      <c r="D9">
        <v>50</v>
      </c>
      <c r="E9">
        <v>1180</v>
      </c>
      <c r="F9" s="3">
        <v>1.38118292670697E-3</v>
      </c>
      <c r="G9" s="3">
        <v>6.1547884345054631E-4</v>
      </c>
      <c r="H9" s="3">
        <v>6.131550669670106E-4</v>
      </c>
    </row>
    <row r="10" spans="1:8" x14ac:dyDescent="0.3">
      <c r="C10">
        <v>10</v>
      </c>
      <c r="D10">
        <v>50</v>
      </c>
      <c r="E10">
        <v>4216</v>
      </c>
      <c r="F10" s="3">
        <v>1.36031466536224E-3</v>
      </c>
      <c r="G10" s="3">
        <v>6.1031845450401309E-4</v>
      </c>
      <c r="H10" s="3">
        <v>6.104230880737304E-4</v>
      </c>
    </row>
    <row r="11" spans="1:8" x14ac:dyDescent="0.3">
      <c r="D11">
        <v>500</v>
      </c>
      <c r="E11">
        <v>2592</v>
      </c>
      <c r="F11" s="3">
        <v>1.0546084959059999E-3</v>
      </c>
      <c r="G11" s="3">
        <v>5.3763253688812263E-4</v>
      </c>
      <c r="H11" s="3">
        <v>5.2551269531250007E-4</v>
      </c>
    </row>
    <row r="12" spans="1:8" x14ac:dyDescent="0.3">
      <c r="D12">
        <v>1024</v>
      </c>
      <c r="E12">
        <v>3416</v>
      </c>
      <c r="F12" s="3">
        <v>1.0287547484040299E-3</v>
      </c>
      <c r="G12" s="3">
        <v>5.3773167967796328E-4</v>
      </c>
      <c r="H12" s="3">
        <v>5.2404254674911512E-4</v>
      </c>
    </row>
    <row r="13" spans="1:8" x14ac:dyDescent="0.3">
      <c r="C13">
        <v>50</v>
      </c>
      <c r="D13">
        <v>50</v>
      </c>
      <c r="E13">
        <v>5372</v>
      </c>
      <c r="F13" s="3">
        <v>1.26162800006568E-3</v>
      </c>
      <c r="G13" s="3">
        <v>7.4351112684888218E-4</v>
      </c>
      <c r="H13" s="3">
        <v>7.1451693773269662E-4</v>
      </c>
    </row>
    <row r="14" spans="1:8" x14ac:dyDescent="0.3">
      <c r="C14">
        <v>100</v>
      </c>
      <c r="D14">
        <v>50</v>
      </c>
      <c r="E14">
        <v>8300</v>
      </c>
      <c r="F14" s="3">
        <v>1.22724496759474E-3</v>
      </c>
      <c r="G14" s="3">
        <v>8.2489843229692147E-4</v>
      </c>
      <c r="H14" s="3">
        <v>7.8192263841629021E-4</v>
      </c>
    </row>
    <row r="15" spans="1:8" x14ac:dyDescent="0.3">
      <c r="C15">
        <v>200</v>
      </c>
      <c r="D15">
        <v>50</v>
      </c>
      <c r="E15">
        <v>7124</v>
      </c>
      <c r="F15" s="3">
        <v>1.21462694369256E-3</v>
      </c>
      <c r="G15" s="3">
        <v>8.2741527547759393E-4</v>
      </c>
      <c r="H15" s="3"/>
    </row>
    <row r="16" spans="1:8" x14ac:dyDescent="0.3">
      <c r="B16" t="s">
        <v>126</v>
      </c>
      <c r="C16">
        <v>200</v>
      </c>
      <c r="D16">
        <v>28</v>
      </c>
      <c r="E16">
        <v>788</v>
      </c>
      <c r="F16" s="3">
        <v>5.7809392455965302E-4</v>
      </c>
      <c r="G16" s="3">
        <v>1.3883899356569014E-3</v>
      </c>
      <c r="H16" s="3"/>
    </row>
    <row r="17" spans="1:154" x14ac:dyDescent="0.3">
      <c r="A17" t="s">
        <v>1</v>
      </c>
      <c r="G17" s="3">
        <v>7.6067203560011801E-4</v>
      </c>
      <c r="H17" s="3">
        <v>6.2826216220855722E-4</v>
      </c>
    </row>
    <row r="21" spans="1:154" s="12"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4.4" x14ac:dyDescent="0.3"/>
  <cols>
    <col min="1" max="1" width="17.77734375" customWidth="1"/>
    <col min="2" max="2" width="23.33203125" bestFit="1" customWidth="1"/>
    <col min="3" max="4" width="19.33203125" customWidth="1"/>
    <col min="5" max="5" width="28.109375" bestFit="1" customWidth="1"/>
    <col min="6" max="6" width="24.109375" bestFit="1" customWidth="1"/>
  </cols>
  <sheetData>
    <row r="1" spans="1:3" x14ac:dyDescent="0.3">
      <c r="B1" s="1" t="s">
        <v>154</v>
      </c>
    </row>
    <row r="2" spans="1:3" x14ac:dyDescent="0.3">
      <c r="A2" s="1" t="s">
        <v>153</v>
      </c>
      <c r="B2" t="s">
        <v>149</v>
      </c>
      <c r="C2" t="s">
        <v>155</v>
      </c>
    </row>
    <row r="3" spans="1:3" x14ac:dyDescent="0.3">
      <c r="A3">
        <v>1</v>
      </c>
      <c r="B3" s="22">
        <v>0.10903226123945184</v>
      </c>
      <c r="C3" s="22">
        <v>1.47228790447116E-2</v>
      </c>
    </row>
    <row r="4" spans="1:3" x14ac:dyDescent="0.3">
      <c r="A4">
        <v>5</v>
      </c>
      <c r="B4" s="22">
        <v>8.2701498630585221E-2</v>
      </c>
      <c r="C4" s="22">
        <v>1.1140202172100501E-2</v>
      </c>
    </row>
    <row r="5" spans="1:3" x14ac:dyDescent="0.3">
      <c r="A5">
        <v>10</v>
      </c>
      <c r="B5" s="22">
        <v>8.3921808410890628E-2</v>
      </c>
      <c r="C5" s="22">
        <v>1.1272941716015301E-2</v>
      </c>
    </row>
    <row r="6" spans="1:3" x14ac:dyDescent="0.3">
      <c r="A6">
        <v>20</v>
      </c>
      <c r="B6" s="22">
        <v>7.0878666766800685E-2</v>
      </c>
      <c r="C6" s="22">
        <v>5.34465117380023E-3</v>
      </c>
    </row>
    <row r="7" spans="1:3" x14ac:dyDescent="0.3">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93</v>
      </c>
      <c r="C2" s="5" t="s">
        <v>94</v>
      </c>
      <c r="D2" s="5" t="s">
        <v>91</v>
      </c>
      <c r="E2" s="5" t="s">
        <v>92</v>
      </c>
      <c r="F2" s="5" t="s">
        <v>97</v>
      </c>
      <c r="G2" s="5" t="s">
        <v>98</v>
      </c>
    </row>
    <row r="3" spans="2:7" x14ac:dyDescent="0.3">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4.4" x14ac:dyDescent="0.3"/>
  <cols>
    <col min="1" max="1" width="13.109375" customWidth="1"/>
    <col min="2" max="2" width="17.44140625" customWidth="1"/>
    <col min="3" max="3" width="14.44140625" customWidth="1"/>
    <col min="4" max="4" width="17.44140625" customWidth="1"/>
    <col min="5" max="5" width="19.5546875" bestFit="1" customWidth="1"/>
  </cols>
  <sheetData>
    <row r="3" spans="1:3" x14ac:dyDescent="0.3">
      <c r="A3" s="1" t="s">
        <v>0</v>
      </c>
      <c r="B3" t="s">
        <v>119</v>
      </c>
      <c r="C3" t="s">
        <v>120</v>
      </c>
    </row>
    <row r="4" spans="1:3" x14ac:dyDescent="0.3">
      <c r="A4" s="2">
        <v>0</v>
      </c>
      <c r="B4" s="24">
        <v>47575.66796875</v>
      </c>
      <c r="C4" s="22">
        <v>6006.98681640625</v>
      </c>
    </row>
    <row r="5" spans="1:3" x14ac:dyDescent="0.3">
      <c r="A5" s="2">
        <v>1</v>
      </c>
      <c r="B5" s="24">
        <v>53800.94140625</v>
      </c>
      <c r="C5" s="22">
        <v>6006.98681640625</v>
      </c>
    </row>
    <row r="6" spans="1:3" x14ac:dyDescent="0.3">
      <c r="A6" s="2">
        <v>2</v>
      </c>
      <c r="B6" s="24">
        <v>53800.94140625</v>
      </c>
      <c r="C6" s="22">
        <v>6006.98681640625</v>
      </c>
    </row>
    <row r="7" spans="1:3" x14ac:dyDescent="0.3">
      <c r="A7" s="2">
        <v>3</v>
      </c>
      <c r="B7" s="24">
        <v>53800.94140625</v>
      </c>
      <c r="C7" s="22">
        <v>6006.98681640625</v>
      </c>
    </row>
    <row r="8" spans="1:3" x14ac:dyDescent="0.3">
      <c r="A8" s="2">
        <v>4</v>
      </c>
      <c r="B8" s="24">
        <v>53800.94140625</v>
      </c>
      <c r="C8" s="22">
        <v>6006.98681640625</v>
      </c>
    </row>
    <row r="9" spans="1:3" x14ac:dyDescent="0.3">
      <c r="A9" s="2">
        <v>5</v>
      </c>
      <c r="B9" s="24">
        <v>53800.93359375</v>
      </c>
      <c r="C9" s="22">
        <v>6006.98681640625</v>
      </c>
    </row>
    <row r="10" spans="1:3" x14ac:dyDescent="0.3">
      <c r="A10" s="2">
        <v>6</v>
      </c>
      <c r="B10" s="24">
        <v>53800.921875</v>
      </c>
      <c r="C10" s="22">
        <v>6006.98681640625</v>
      </c>
    </row>
    <row r="11" spans="1:3" x14ac:dyDescent="0.3">
      <c r="A11" s="2">
        <v>7</v>
      </c>
      <c r="B11" s="24">
        <v>53800.87109375</v>
      </c>
      <c r="C11" s="22">
        <v>6006.98681640625</v>
      </c>
    </row>
    <row r="12" spans="1:3" x14ac:dyDescent="0.3">
      <c r="A12" s="2">
        <v>8</v>
      </c>
      <c r="B12" s="24">
        <v>53800.6875</v>
      </c>
      <c r="C12" s="22">
        <v>6006.98681640625</v>
      </c>
    </row>
    <row r="13" spans="1:3" x14ac:dyDescent="0.3">
      <c r="A13" s="2">
        <v>9</v>
      </c>
      <c r="B13" s="24">
        <v>53800.0234375</v>
      </c>
      <c r="C13" s="22">
        <v>6006.98681640625</v>
      </c>
    </row>
    <row r="14" spans="1:3" x14ac:dyDescent="0.3">
      <c r="A14" s="2">
        <v>10</v>
      </c>
      <c r="B14" s="24">
        <v>53797.3046875</v>
      </c>
      <c r="C14" s="22">
        <v>6006.98681640625</v>
      </c>
    </row>
    <row r="15" spans="1:3" x14ac:dyDescent="0.3">
      <c r="A15" s="2">
        <v>11</v>
      </c>
      <c r="B15" s="24">
        <v>53786.47265625</v>
      </c>
      <c r="C15" s="22">
        <v>6006.98681640625</v>
      </c>
    </row>
    <row r="16" spans="1:3" x14ac:dyDescent="0.3">
      <c r="A16" s="2">
        <v>12</v>
      </c>
      <c r="B16" s="24">
        <v>53743.34765625</v>
      </c>
      <c r="C16" s="22">
        <v>6006.98681640625</v>
      </c>
    </row>
    <row r="17" spans="1:3" x14ac:dyDescent="0.3">
      <c r="A17" s="2">
        <v>13</v>
      </c>
      <c r="B17" s="24">
        <v>53573.25</v>
      </c>
      <c r="C17" s="22">
        <v>6006.98681640625</v>
      </c>
    </row>
    <row r="18" spans="1:3" x14ac:dyDescent="0.3">
      <c r="A18" s="2">
        <v>14</v>
      </c>
      <c r="B18" s="24">
        <v>52931.24609375</v>
      </c>
      <c r="C18" s="22">
        <v>6006.98681640625</v>
      </c>
    </row>
    <row r="19" spans="1:3" x14ac:dyDescent="0.3">
      <c r="A19" s="2">
        <v>15</v>
      </c>
      <c r="B19" s="24">
        <v>50873.62890625</v>
      </c>
      <c r="C19" s="22">
        <v>6006.98681640625</v>
      </c>
    </row>
    <row r="20" spans="1:3" x14ac:dyDescent="0.3">
      <c r="A20" s="2">
        <v>16</v>
      </c>
      <c r="B20" s="24">
        <v>47044.19921875</v>
      </c>
      <c r="C20" s="22">
        <v>9723.353515625</v>
      </c>
    </row>
    <row r="21" spans="1:3" x14ac:dyDescent="0.3">
      <c r="A21" s="2">
        <v>17</v>
      </c>
      <c r="B21" s="24">
        <v>129349.0859375</v>
      </c>
      <c r="C21" s="22">
        <v>9723.353515625</v>
      </c>
    </row>
    <row r="22" spans="1:3" x14ac:dyDescent="0.3">
      <c r="A22" s="2">
        <v>18</v>
      </c>
      <c r="B22" s="24">
        <v>50140.76953125</v>
      </c>
      <c r="C22" s="22">
        <v>9723.353515625</v>
      </c>
    </row>
    <row r="23" spans="1:3" x14ac:dyDescent="0.3">
      <c r="A23" s="2">
        <v>19</v>
      </c>
      <c r="B23" s="24">
        <v>45611.31640625</v>
      </c>
      <c r="C23" s="22">
        <v>1740.19396972656</v>
      </c>
    </row>
    <row r="24" spans="1:3" x14ac:dyDescent="0.3">
      <c r="A24" s="2">
        <v>20</v>
      </c>
      <c r="B24" s="24">
        <v>45375.37109375</v>
      </c>
      <c r="C24" s="22">
        <v>1037.98657226563</v>
      </c>
    </row>
    <row r="25" spans="1:3" x14ac:dyDescent="0.3">
      <c r="A25" s="2">
        <v>21</v>
      </c>
      <c r="B25" s="24">
        <v>46909.51171875</v>
      </c>
      <c r="C25" s="22">
        <v>1037.98657226563</v>
      </c>
    </row>
    <row r="26" spans="1:3" x14ac:dyDescent="0.3">
      <c r="A26" s="2">
        <v>22</v>
      </c>
      <c r="B26" s="24">
        <v>45446.31640625</v>
      </c>
      <c r="C26" s="22">
        <v>1037.98657226563</v>
      </c>
    </row>
    <row r="27" spans="1:3" x14ac:dyDescent="0.3">
      <c r="A27" s="2">
        <v>23</v>
      </c>
      <c r="B27" s="24">
        <v>45370.12109375</v>
      </c>
      <c r="C27" s="22">
        <v>591.6494140625</v>
      </c>
    </row>
    <row r="28" spans="1:3" x14ac:dyDescent="0.3">
      <c r="A28" s="2">
        <v>24</v>
      </c>
      <c r="B28" s="24">
        <v>45342.98828125</v>
      </c>
      <c r="C28" s="22">
        <v>398.42935180664102</v>
      </c>
    </row>
    <row r="29" spans="1:3" x14ac:dyDescent="0.3">
      <c r="A29" s="2">
        <v>25</v>
      </c>
      <c r="B29" s="24">
        <v>45339.0859375</v>
      </c>
      <c r="C29" s="22">
        <v>338.89654541015602</v>
      </c>
    </row>
    <row r="30" spans="1:3" x14ac:dyDescent="0.3">
      <c r="A30" s="2">
        <v>26</v>
      </c>
      <c r="B30" s="24">
        <v>53230.90625</v>
      </c>
      <c r="C30" s="22">
        <v>338.89654541015602</v>
      </c>
    </row>
    <row r="31" spans="1:3" x14ac:dyDescent="0.3">
      <c r="A31" s="2">
        <v>27</v>
      </c>
      <c r="B31" s="24">
        <v>45775.140625</v>
      </c>
      <c r="C31" s="22">
        <v>338.89654541015602</v>
      </c>
    </row>
    <row r="32" spans="1:3" x14ac:dyDescent="0.3">
      <c r="A32" s="2">
        <v>28</v>
      </c>
      <c r="B32" s="24">
        <v>45358.98828125</v>
      </c>
      <c r="C32" s="22">
        <v>338.89654541015602</v>
      </c>
    </row>
    <row r="33" spans="1:3" x14ac:dyDescent="0.3">
      <c r="A33" s="2">
        <v>29</v>
      </c>
      <c r="B33" s="24">
        <v>45338.55078125</v>
      </c>
      <c r="C33" s="22">
        <v>94.532814025878906</v>
      </c>
    </row>
    <row r="34" spans="1:3" x14ac:dyDescent="0.3">
      <c r="A34" s="2">
        <v>30</v>
      </c>
      <c r="B34" s="24">
        <v>45336.1328125</v>
      </c>
      <c r="C34" s="22">
        <v>61.373088836669901</v>
      </c>
    </row>
    <row r="35" spans="1:3" x14ac:dyDescent="0.3">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10</v>
      </c>
      <c r="B1" s="2">
        <v>21</v>
      </c>
    </row>
    <row r="2" spans="1:3" x14ac:dyDescent="0.3">
      <c r="A2" s="1" t="s">
        <v>28</v>
      </c>
      <c r="B2" t="s">
        <v>87</v>
      </c>
    </row>
    <row r="4" spans="1:3" x14ac:dyDescent="0.3">
      <c r="B4" s="1" t="s">
        <v>55</v>
      </c>
    </row>
    <row r="5" spans="1:3" x14ac:dyDescent="0.3">
      <c r="B5" s="16" t="s">
        <v>86</v>
      </c>
      <c r="C5" s="16"/>
    </row>
    <row r="6" spans="1:3" x14ac:dyDescent="0.3">
      <c r="A6" s="1" t="s">
        <v>0</v>
      </c>
      <c r="B6" t="s">
        <v>26</v>
      </c>
      <c r="C6" t="s">
        <v>88</v>
      </c>
    </row>
    <row r="7" spans="1:3" x14ac:dyDescent="0.3">
      <c r="A7" s="21">
        <v>2.5045182555913899E-3</v>
      </c>
      <c r="B7" s="15">
        <v>5.2624937840933968E-4</v>
      </c>
      <c r="C7" s="3">
        <v>2.5045186660632374E-3</v>
      </c>
    </row>
    <row r="8" spans="1:3" x14ac:dyDescent="0.3">
      <c r="A8" s="21">
        <v>2.5630462914705298E-3</v>
      </c>
      <c r="B8" s="15">
        <v>5.2458034340805077E-4</v>
      </c>
      <c r="C8" s="3">
        <v>2.5630468979848226E-3</v>
      </c>
    </row>
    <row r="9" spans="1:3" x14ac:dyDescent="0.3">
      <c r="A9" s="21">
        <v>2.6094238273799402E-3</v>
      </c>
      <c r="B9" s="15">
        <v>5.7429471474759514E-4</v>
      </c>
      <c r="C9" s="3">
        <v>2.6094244824981902E-3</v>
      </c>
    </row>
    <row r="10" spans="1:3" x14ac:dyDescent="0.3">
      <c r="A10" s="21">
        <v>2.6104634162038599E-3</v>
      </c>
      <c r="B10" s="15">
        <v>5.4383389544418296E-4</v>
      </c>
      <c r="C10" s="3">
        <v>2.6104636095401856E-3</v>
      </c>
    </row>
    <row r="11" spans="1:3" x14ac:dyDescent="0.3">
      <c r="A11" s="21">
        <v>2.6511079631745798E-3</v>
      </c>
      <c r="B11" s="15">
        <v>5.7620313747686904E-4</v>
      </c>
      <c r="C11" s="3">
        <v>2.6511082773499014E-3</v>
      </c>
    </row>
    <row r="12" spans="1:3" x14ac:dyDescent="0.3">
      <c r="A12" s="21">
        <v>2.6523263659328201E-3</v>
      </c>
      <c r="B12" s="15">
        <v>5.7716538400809554E-4</v>
      </c>
      <c r="C12" s="3">
        <v>2.6523258939838276E-3</v>
      </c>
    </row>
    <row r="13" spans="1:3" x14ac:dyDescent="0.3">
      <c r="A13" s="21">
        <v>2.6922526303678799E-3</v>
      </c>
      <c r="B13" s="15">
        <v>5.4572651137382291E-4</v>
      </c>
      <c r="C13" s="3">
        <v>2.6922531523068927E-3</v>
      </c>
    </row>
    <row r="14" spans="1:3" x14ac:dyDescent="0.3">
      <c r="A14" s="21">
        <v>2.7077475097030401E-3</v>
      </c>
      <c r="B14" s="15">
        <v>5.4984983102363797E-4</v>
      </c>
      <c r="C14" s="3">
        <v>2.7077459680566792E-3</v>
      </c>
    </row>
    <row r="15" spans="1:3" x14ac:dyDescent="0.3">
      <c r="A15" s="21">
        <v>2.7150895912200199E-3</v>
      </c>
      <c r="B15" s="15">
        <v>5.3902086198638762E-4</v>
      </c>
      <c r="C15" s="3">
        <v>2.7150907390394857E-3</v>
      </c>
    </row>
    <row r="16" spans="1:3" x14ac:dyDescent="0.3">
      <c r="A16" s="21">
        <v>2.7267211116850402E-3</v>
      </c>
      <c r="B16" s="15">
        <v>5.3940753164438324E-4</v>
      </c>
      <c r="C16" s="3">
        <v>2.7267208623176194E-3</v>
      </c>
    </row>
    <row r="17" spans="1:3" x14ac:dyDescent="0.3">
      <c r="A17" s="21">
        <v>2.7287094853818399E-3</v>
      </c>
      <c r="B17" s="15">
        <v>5.7429471474759514E-4</v>
      </c>
      <c r="C17" s="3">
        <v>2.6094244824981902E-3</v>
      </c>
    </row>
    <row r="18" spans="1:3" x14ac:dyDescent="0.3">
      <c r="A18" s="21">
        <v>2.7288943529128998E-3</v>
      </c>
      <c r="B18" s="15">
        <v>6.3158793252639906E-4</v>
      </c>
      <c r="C18" s="3">
        <v>3.3380647395034203E-3</v>
      </c>
    </row>
    <row r="19" spans="1:3" x14ac:dyDescent="0.3">
      <c r="A19" s="21">
        <v>2.7300291694700701E-3</v>
      </c>
      <c r="B19" s="15">
        <v>5.5852550369073868E-4</v>
      </c>
      <c r="C19" s="3">
        <v>2.7300304051260131E-3</v>
      </c>
    </row>
    <row r="20" spans="1:3" x14ac:dyDescent="0.3">
      <c r="A20" s="21">
        <v>2.73931701667607E-3</v>
      </c>
      <c r="B20" s="15">
        <v>5.3940753164438324E-4</v>
      </c>
      <c r="C20" s="3">
        <v>2.7267208623176194E-3</v>
      </c>
    </row>
    <row r="21" spans="1:3" x14ac:dyDescent="0.3">
      <c r="A21" s="21">
        <v>2.7393507771193999E-3</v>
      </c>
      <c r="B21" s="15">
        <v>5.460864848306898E-4</v>
      </c>
      <c r="C21" s="3">
        <v>2.7393519240135398E-3</v>
      </c>
    </row>
    <row r="22" spans="1:3" x14ac:dyDescent="0.3">
      <c r="A22" s="21">
        <v>2.7395684737712101E-3</v>
      </c>
      <c r="B22" s="15">
        <v>5.5276122529683753E-4</v>
      </c>
      <c r="C22" s="3">
        <v>2.739571537557617E-3</v>
      </c>
    </row>
    <row r="23" spans="1:3" x14ac:dyDescent="0.3">
      <c r="A23" s="21">
        <v>2.74024973623455E-3</v>
      </c>
      <c r="B23" s="15">
        <v>5.4577898917464391E-4</v>
      </c>
      <c r="C23" s="3">
        <v>2.740248835534663E-3</v>
      </c>
    </row>
    <row r="24" spans="1:3" x14ac:dyDescent="0.3">
      <c r="A24" s="21">
        <v>2.7408548630773999E-3</v>
      </c>
      <c r="B24" s="15">
        <v>5.5393187055687932E-4</v>
      </c>
      <c r="C24" s="3">
        <v>2.7408566146298508E-3</v>
      </c>
    </row>
    <row r="25" spans="1:3" x14ac:dyDescent="0.3">
      <c r="A25" s="21">
        <v>2.7771864552050799E-3</v>
      </c>
      <c r="B25" s="15">
        <v>5.6014690739753642E-4</v>
      </c>
      <c r="C25" s="3">
        <v>2.777186140328763E-3</v>
      </c>
    </row>
    <row r="26" spans="1:3" x14ac:dyDescent="0.3">
      <c r="A26" s="21">
        <v>2.80366791412234E-3</v>
      </c>
      <c r="B26" s="15">
        <v>5.891261087240038E-4</v>
      </c>
      <c r="C26" s="3">
        <v>2.8036685881023121E-3</v>
      </c>
    </row>
    <row r="27" spans="1:3" x14ac:dyDescent="0.3">
      <c r="A27" s="21">
        <v>2.8386912308633301E-3</v>
      </c>
      <c r="B27" s="15">
        <v>5.9262057067797046E-4</v>
      </c>
      <c r="C27" s="3">
        <v>2.8386868138961098E-3</v>
      </c>
    </row>
    <row r="28" spans="1:3" x14ac:dyDescent="0.3">
      <c r="A28" s="21">
        <v>2.8654306661337601E-3</v>
      </c>
      <c r="B28" s="15">
        <v>5.9984870938559827E-4</v>
      </c>
      <c r="C28" s="3">
        <v>2.8654319099386317E-3</v>
      </c>
    </row>
    <row r="29" spans="1:3" x14ac:dyDescent="0.3">
      <c r="A29" s="21">
        <v>3.3087665215134599E-3</v>
      </c>
      <c r="B29" s="15">
        <v>6.2104985737802603E-4</v>
      </c>
      <c r="C29" s="3">
        <v>3.3087662542233879E-3</v>
      </c>
    </row>
    <row r="30" spans="1:3" x14ac:dyDescent="0.3">
      <c r="A30" s="21">
        <v>3.3281163778155999E-3</v>
      </c>
      <c r="B30" s="15">
        <v>6.0805584837855808E-4</v>
      </c>
      <c r="C30" s="3">
        <v>3.3281145014955565E-3</v>
      </c>
    </row>
    <row r="31" spans="1:3" x14ac:dyDescent="0.3">
      <c r="A31" s="21">
        <v>3.3380659297108698E-3</v>
      </c>
      <c r="B31" s="15">
        <v>6.3158793252639906E-4</v>
      </c>
      <c r="C31" s="3">
        <v>3.3380647395034203E-3</v>
      </c>
    </row>
    <row r="32" spans="1:3" x14ac:dyDescent="0.3">
      <c r="A32" s="21">
        <v>3.3646663650870301E-3</v>
      </c>
      <c r="B32" s="15">
        <v>6.2414599727991685E-4</v>
      </c>
      <c r="C32" s="3">
        <v>3.364669375301286E-3</v>
      </c>
    </row>
    <row r="33" spans="1:3" x14ac:dyDescent="0.3">
      <c r="A33" s="21">
        <v>3.3867016900330799E-3</v>
      </c>
      <c r="B33" s="15">
        <v>6.5895715237916631E-4</v>
      </c>
      <c r="C33" s="3">
        <v>3.3867012060050596E-3</v>
      </c>
    </row>
    <row r="34" spans="1:3" x14ac:dyDescent="0.3">
      <c r="A34" s="21">
        <v>3.4071581903845102E-3</v>
      </c>
      <c r="B34" s="15">
        <v>6.6756625752982903E-4</v>
      </c>
      <c r="C34" s="3">
        <v>3.4071583270424955E-3</v>
      </c>
    </row>
    <row r="35" spans="1:3" x14ac:dyDescent="0.3">
      <c r="A35" s="20" t="s">
        <v>1</v>
      </c>
      <c r="B35" s="15">
        <v>5.7685039941598342E-4</v>
      </c>
      <c r="C35" s="3">
        <v>2.8648362787913853E-3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12</v>
      </c>
      <c r="C1" t="s">
        <v>13</v>
      </c>
      <c r="D1" t="s">
        <v>16</v>
      </c>
      <c r="E1" t="s">
        <v>17</v>
      </c>
      <c r="F1" t="s">
        <v>18</v>
      </c>
    </row>
    <row r="2" spans="1:6" x14ac:dyDescent="0.3">
      <c r="A2">
        <v>3812</v>
      </c>
      <c r="B2">
        <v>0</v>
      </c>
      <c r="D2" t="s">
        <v>14</v>
      </c>
      <c r="E2" t="s">
        <v>15</v>
      </c>
      <c r="F2" t="s">
        <v>19</v>
      </c>
    </row>
    <row r="3" spans="1:6" x14ac:dyDescent="0.3">
      <c r="A3">
        <v>3832</v>
      </c>
      <c r="B3">
        <v>0</v>
      </c>
      <c r="D3" t="s">
        <v>14</v>
      </c>
      <c r="E3" t="s">
        <v>15</v>
      </c>
      <c r="F3" t="s">
        <v>19</v>
      </c>
    </row>
    <row r="4" spans="1:6" x14ac:dyDescent="0.3">
      <c r="A4">
        <v>3932</v>
      </c>
      <c r="B4">
        <v>0</v>
      </c>
      <c r="D4" t="s">
        <v>14</v>
      </c>
      <c r="E4" t="s">
        <v>15</v>
      </c>
      <c r="F4" t="s">
        <v>19</v>
      </c>
    </row>
    <row r="5" spans="1:6" x14ac:dyDescent="0.3">
      <c r="A5">
        <v>4888</v>
      </c>
      <c r="B5">
        <v>0</v>
      </c>
      <c r="D5" t="s">
        <v>14</v>
      </c>
      <c r="E5" t="s">
        <v>15</v>
      </c>
      <c r="F5" t="s">
        <v>19</v>
      </c>
    </row>
    <row r="6" spans="1:6" x14ac:dyDescent="0.3">
      <c r="A6">
        <v>4936</v>
      </c>
      <c r="B6">
        <v>0</v>
      </c>
      <c r="D6" t="s">
        <v>14</v>
      </c>
      <c r="E6" t="s">
        <v>15</v>
      </c>
      <c r="F6" t="s">
        <v>19</v>
      </c>
    </row>
    <row r="7" spans="1:6" x14ac:dyDescent="0.3">
      <c r="A7">
        <v>6664</v>
      </c>
      <c r="B7">
        <v>0</v>
      </c>
      <c r="D7" t="s">
        <v>14</v>
      </c>
      <c r="E7" t="s">
        <v>15</v>
      </c>
      <c r="F7" t="s">
        <v>19</v>
      </c>
    </row>
    <row r="8" spans="1:6" x14ac:dyDescent="0.3">
      <c r="A8">
        <v>7688</v>
      </c>
      <c r="B8">
        <v>0</v>
      </c>
      <c r="D8" t="s">
        <v>14</v>
      </c>
      <c r="E8" t="s">
        <v>15</v>
      </c>
      <c r="F8" t="s">
        <v>19</v>
      </c>
    </row>
    <row r="9" spans="1:6" x14ac:dyDescent="0.3">
      <c r="A9">
        <v>8132</v>
      </c>
      <c r="B9">
        <v>0</v>
      </c>
      <c r="D9" t="s">
        <v>14</v>
      </c>
      <c r="E9" t="s">
        <v>15</v>
      </c>
      <c r="F9" t="s">
        <v>19</v>
      </c>
    </row>
    <row r="10" spans="1:6" x14ac:dyDescent="0.3">
      <c r="A10">
        <v>8492</v>
      </c>
      <c r="B10">
        <v>0</v>
      </c>
      <c r="D10" t="s">
        <v>14</v>
      </c>
      <c r="E10" t="s">
        <v>15</v>
      </c>
      <c r="F10" t="s">
        <v>19</v>
      </c>
    </row>
    <row r="11" spans="1:6" x14ac:dyDescent="0.3">
      <c r="A11">
        <v>9172</v>
      </c>
      <c r="B11">
        <v>0</v>
      </c>
      <c r="D11" t="s">
        <v>14</v>
      </c>
      <c r="E11" t="s">
        <v>15</v>
      </c>
      <c r="F11" t="s">
        <v>19</v>
      </c>
    </row>
    <row r="12" spans="1:6" x14ac:dyDescent="0.3">
      <c r="A12">
        <v>9508</v>
      </c>
      <c r="B12">
        <v>0</v>
      </c>
      <c r="D12" t="s">
        <v>14</v>
      </c>
      <c r="E12" t="s">
        <v>15</v>
      </c>
      <c r="F12" t="s">
        <v>19</v>
      </c>
    </row>
    <row r="13" spans="1:6" x14ac:dyDescent="0.3">
      <c r="A13">
        <v>9768</v>
      </c>
      <c r="B13">
        <v>0</v>
      </c>
      <c r="D13" t="s">
        <v>14</v>
      </c>
      <c r="E13" t="s">
        <v>15</v>
      </c>
      <c r="F13" t="s">
        <v>19</v>
      </c>
    </row>
    <row r="14" spans="1:6" x14ac:dyDescent="0.3">
      <c r="A14">
        <v>10172</v>
      </c>
      <c r="B14">
        <v>0</v>
      </c>
      <c r="D14" t="s">
        <v>14</v>
      </c>
      <c r="E14" t="s">
        <v>15</v>
      </c>
      <c r="F14" t="s">
        <v>19</v>
      </c>
    </row>
    <row r="15" spans="1:6" x14ac:dyDescent="0.3">
      <c r="A15">
        <v>10236</v>
      </c>
      <c r="B15">
        <v>0</v>
      </c>
      <c r="D15" t="s">
        <v>14</v>
      </c>
      <c r="E15" t="s">
        <v>15</v>
      </c>
      <c r="F15" t="s">
        <v>19</v>
      </c>
    </row>
    <row r="16" spans="1:6" x14ac:dyDescent="0.3">
      <c r="A16">
        <v>11744</v>
      </c>
      <c r="B16">
        <v>0</v>
      </c>
      <c r="D16" t="s">
        <v>14</v>
      </c>
      <c r="E16" t="s">
        <v>15</v>
      </c>
      <c r="F16" t="s">
        <v>19</v>
      </c>
    </row>
    <row r="17" spans="1:6" x14ac:dyDescent="0.3">
      <c r="A17">
        <v>11880</v>
      </c>
      <c r="B17">
        <v>0</v>
      </c>
      <c r="D17" t="s">
        <v>14</v>
      </c>
      <c r="E17" t="s">
        <v>15</v>
      </c>
      <c r="F17" t="s">
        <v>19</v>
      </c>
    </row>
    <row r="18" spans="1:6" x14ac:dyDescent="0.3">
      <c r="A18">
        <v>12184</v>
      </c>
      <c r="B18">
        <v>0</v>
      </c>
      <c r="D18" t="s">
        <v>14</v>
      </c>
      <c r="E18" t="s">
        <v>15</v>
      </c>
      <c r="F18" t="s">
        <v>19</v>
      </c>
    </row>
    <row r="19" spans="1:6" x14ac:dyDescent="0.3">
      <c r="A19">
        <v>12640</v>
      </c>
      <c r="B19">
        <v>0</v>
      </c>
      <c r="D19" t="s">
        <v>14</v>
      </c>
      <c r="E19" t="s">
        <v>15</v>
      </c>
      <c r="F19" t="s">
        <v>19</v>
      </c>
    </row>
    <row r="20" spans="1:6" x14ac:dyDescent="0.3">
      <c r="A20">
        <v>12956</v>
      </c>
      <c r="B20">
        <v>0</v>
      </c>
      <c r="D20" t="s">
        <v>14</v>
      </c>
      <c r="E20" t="s">
        <v>15</v>
      </c>
      <c r="F20" t="s">
        <v>19</v>
      </c>
    </row>
    <row r="21" spans="1:6" x14ac:dyDescent="0.3">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NN_Topology</vt:lpstr>
      <vt:lpstr>MSE</vt:lpstr>
      <vt:lpstr>Run_TRS</vt:lpstr>
      <vt:lpstr>Run_TR</vt:lpstr>
      <vt:lpstr>Run_BASE</vt:lpstr>
      <vt:lpstr>RunErrVsMSER</vt:lpstr>
      <vt:lpstr>TradeError</vt:lpstr>
      <vt:lpstr>TestEnvironment</vt:lpstr>
      <vt:lpstr>ClientInfo</vt:lpstr>
      <vt:lpstr>Config</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2019-09-01T12:39:32Z</dcterms:modified>
</cp:coreProperties>
</file>